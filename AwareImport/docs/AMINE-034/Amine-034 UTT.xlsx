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xcelgrpcom.sharepoint.com/sites/XcelCloud-MI/Shared Documents/Kinetik/2025 Projects/Kinetik Kings Landing Baseline/2. 2025 Inspection Field Report/Piping/AMINE-034/"/>
    </mc:Choice>
  </mc:AlternateContent>
  <xr:revisionPtr revIDLastSave="16" documentId="8_{A6CB1F68-EA31-44EA-9180-ED2CB02E16BB}" xr6:coauthVersionLast="47" xr6:coauthVersionMax="47" xr10:uidLastSave="{5D92EDD6-39A6-463D-8A5B-40EEF4790393}"/>
  <bookViews>
    <workbookView xWindow="1872" yWindow="3336" windowWidth="39408" windowHeight="13944" activeTab="2" xr2:uid="{00000000-000D-0000-FFFF-FFFF00000000}"/>
  </bookViews>
  <sheets>
    <sheet name="Rules" sheetId="1" r:id="rId1"/>
    <sheet name="Vessels" sheetId="2" r:id="rId2"/>
    <sheet name="Piping" sheetId="3" r:id="rId3"/>
    <sheet name="LWN SHEET" sheetId="4" r:id="rId4"/>
    <sheet name="Data Team Historicals" sheetId="5" r:id="rId5"/>
  </sheets>
  <definedNames>
    <definedName name="Nom_0.405">'LWN SHEET'!$AB$3:$AB$5</definedName>
    <definedName name="Nom_0.54">'LWN SHEET'!$AC$3:$AC$5</definedName>
    <definedName name="Nom_0.675">'LWN SHEET'!$AD$3:$AD$5</definedName>
    <definedName name="Nom_0.84">'LWN SHEET'!$AE$3:$AE$8</definedName>
    <definedName name="Nom_1.05">'LWN SHEET'!$AF$3:$AF$8</definedName>
    <definedName name="Nom_1.315">'LWN SHEET'!$AG$3:$AG$8</definedName>
    <definedName name="Nom_1.5">'LWN SHEET'!$AF$3:$AF$8</definedName>
    <definedName name="Nom_1.66">'LWN SHEET'!$AH$3:$AH$8</definedName>
    <definedName name="Nom_1.9">'LWN SHEET'!$AI$3:$AI$8</definedName>
    <definedName name="Nom_10.75">'LWN SHEET'!$AR$3:$AR$13</definedName>
    <definedName name="Nom_12.75">'LWN SHEET'!$AS$3:$AS$15</definedName>
    <definedName name="Nom_14">'LWN SHEET'!$AT$3:$AT$14</definedName>
    <definedName name="Nom_16">'LWN SHEET'!$AU$3:$AU$13</definedName>
    <definedName name="Nom_18">'LWN SHEET'!$AV$3:$AV$15</definedName>
    <definedName name="Nom_2.375">'LWN SHEET'!$AJ$3:$AJ$8</definedName>
    <definedName name="Nom_2.875">'LWN SHEET'!$AK$3:$AK$8</definedName>
    <definedName name="Nom_20">'LWN SHEET'!$AW$3:$AW$14</definedName>
    <definedName name="Nom_22">'LWN SHEET'!$AX$3:$AX$12</definedName>
    <definedName name="Nom_24">'LWN SHEET'!$AY$3:$AY$15</definedName>
    <definedName name="Nom_26">'LWN SHEET'!$AZ$3:$AZ$5</definedName>
    <definedName name="Nom_28">'LWN SHEET'!$BA$3:$BA$6</definedName>
    <definedName name="Nom_3.5">'LWN SHEET'!$AL$3:$AL$8</definedName>
    <definedName name="Nom_30">'LWN SHEET'!$BB$3:$BB$7</definedName>
    <definedName name="Nom_32">'LWN SHEET'!$BC$3:$BC$8</definedName>
    <definedName name="Nom_34">'LWN SHEET'!$BD$3:$BD$8</definedName>
    <definedName name="Nom_36">'LWN SHEET'!$BE$3:$BE$8</definedName>
    <definedName name="Nom_4">'LWN SHEET'!$AM$3:$AM$6</definedName>
    <definedName name="Nom_4.5">'LWN SHEET'!$AN$3:$AN$9</definedName>
    <definedName name="Nom_42">'LWN SHEET'!$BF$3:$BF$4</definedName>
    <definedName name="Nom_5.563">'LWN SHEET'!$AO$3:$AO$9</definedName>
    <definedName name="Nom_6.625">'LWN SHEET'!$AP$3:$AP$9</definedName>
    <definedName name="Nom_8.625">'LWN SHEET'!$AQ$3:$AQ$14</definedName>
    <definedName name="ODs">'LWN SHEET'!$AB$2:$BF$2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cY4U1rpjsoXURNNt0Z+MiARnLXzurTpMt6ylvhfHks="/>
    </ext>
  </extLst>
</workbook>
</file>

<file path=xl/calcChain.xml><?xml version="1.0" encoding="utf-8"?>
<calcChain xmlns="http://schemas.openxmlformats.org/spreadsheetml/2006/main">
  <c r="X6" i="3" l="1"/>
  <c r="J4" i="5"/>
  <c r="D4" i="5"/>
  <c r="J3" i="5"/>
  <c r="C3" i="5"/>
  <c r="I2" i="5"/>
  <c r="C2" i="5"/>
  <c r="N1" i="5"/>
  <c r="B427" i="5" s="1"/>
  <c r="S427" i="5" s="1"/>
  <c r="K1" i="5"/>
  <c r="G1" i="5"/>
  <c r="D1" i="5"/>
  <c r="B1" i="5"/>
  <c r="Y1005" i="3"/>
  <c r="X1005" i="3"/>
  <c r="Y1004" i="3"/>
  <c r="X1004" i="3"/>
  <c r="Y1003" i="3"/>
  <c r="X1003" i="3"/>
  <c r="Y1002" i="3"/>
  <c r="X1002" i="3"/>
  <c r="Y1001" i="3"/>
  <c r="X1001" i="3"/>
  <c r="Y1000" i="3"/>
  <c r="X1000" i="3"/>
  <c r="Y999" i="3"/>
  <c r="X999" i="3"/>
  <c r="Y998" i="3"/>
  <c r="X998" i="3"/>
  <c r="Y997" i="3"/>
  <c r="X997" i="3"/>
  <c r="Y996" i="3"/>
  <c r="X996" i="3"/>
  <c r="Y995" i="3"/>
  <c r="X995" i="3"/>
  <c r="Y994" i="3"/>
  <c r="X994" i="3"/>
  <c r="Y993" i="3"/>
  <c r="X993" i="3"/>
  <c r="Y992" i="3"/>
  <c r="X992" i="3"/>
  <c r="Y991" i="3"/>
  <c r="X991" i="3"/>
  <c r="Y990" i="3"/>
  <c r="X990" i="3"/>
  <c r="Y989" i="3"/>
  <c r="X989" i="3"/>
  <c r="Y988" i="3"/>
  <c r="X988" i="3"/>
  <c r="Y987" i="3"/>
  <c r="X987" i="3"/>
  <c r="Y986" i="3"/>
  <c r="X986" i="3"/>
  <c r="Y985" i="3"/>
  <c r="X985" i="3"/>
  <c r="Y984" i="3"/>
  <c r="X984" i="3"/>
  <c r="Y983" i="3"/>
  <c r="X983" i="3"/>
  <c r="Y982" i="3"/>
  <c r="X982" i="3"/>
  <c r="Y981" i="3"/>
  <c r="X981" i="3"/>
  <c r="Y980" i="3"/>
  <c r="X980" i="3"/>
  <c r="Y979" i="3"/>
  <c r="X979" i="3"/>
  <c r="Y978" i="3"/>
  <c r="X978" i="3"/>
  <c r="Y977" i="3"/>
  <c r="X977" i="3"/>
  <c r="Y976" i="3"/>
  <c r="X976" i="3"/>
  <c r="Y975" i="3"/>
  <c r="X975" i="3"/>
  <c r="Y974" i="3"/>
  <c r="X974" i="3"/>
  <c r="Y973" i="3"/>
  <c r="X973" i="3"/>
  <c r="Y972" i="3"/>
  <c r="X972" i="3"/>
  <c r="Y971" i="3"/>
  <c r="X971" i="3"/>
  <c r="Y970" i="3"/>
  <c r="X970" i="3"/>
  <c r="Y969" i="3"/>
  <c r="X969" i="3"/>
  <c r="Y968" i="3"/>
  <c r="X968" i="3"/>
  <c r="Y967" i="3"/>
  <c r="X967" i="3"/>
  <c r="Y966" i="3"/>
  <c r="X966" i="3"/>
  <c r="Y965" i="3"/>
  <c r="X965" i="3"/>
  <c r="Y964" i="3"/>
  <c r="X964" i="3"/>
  <c r="Y963" i="3"/>
  <c r="X963" i="3"/>
  <c r="Y962" i="3"/>
  <c r="X962" i="3"/>
  <c r="Y961" i="3"/>
  <c r="X961" i="3"/>
  <c r="Y960" i="3"/>
  <c r="X960" i="3"/>
  <c r="Y959" i="3"/>
  <c r="X959" i="3"/>
  <c r="Y958" i="3"/>
  <c r="X958" i="3"/>
  <c r="Y957" i="3"/>
  <c r="X957" i="3"/>
  <c r="Y956" i="3"/>
  <c r="X956" i="3"/>
  <c r="Y955" i="3"/>
  <c r="X955" i="3"/>
  <c r="Y954" i="3"/>
  <c r="X954" i="3"/>
  <c r="Y953" i="3"/>
  <c r="X953" i="3"/>
  <c r="Y952" i="3"/>
  <c r="X952" i="3"/>
  <c r="Y951" i="3"/>
  <c r="X951" i="3"/>
  <c r="Y950" i="3"/>
  <c r="X950" i="3"/>
  <c r="Y949" i="3"/>
  <c r="X949" i="3"/>
  <c r="Y948" i="3"/>
  <c r="X948" i="3"/>
  <c r="Y947" i="3"/>
  <c r="X947" i="3"/>
  <c r="Y946" i="3"/>
  <c r="X946" i="3"/>
  <c r="Y945" i="3"/>
  <c r="X945" i="3"/>
  <c r="Y944" i="3"/>
  <c r="X944" i="3"/>
  <c r="Y943" i="3"/>
  <c r="X943" i="3"/>
  <c r="Y942" i="3"/>
  <c r="X942" i="3"/>
  <c r="Y941" i="3"/>
  <c r="X941" i="3"/>
  <c r="Y940" i="3"/>
  <c r="X940" i="3"/>
  <c r="Y939" i="3"/>
  <c r="X939" i="3"/>
  <c r="Y938" i="3"/>
  <c r="X938" i="3"/>
  <c r="Y937" i="3"/>
  <c r="X937" i="3"/>
  <c r="Y936" i="3"/>
  <c r="X936" i="3"/>
  <c r="Y935" i="3"/>
  <c r="X935" i="3"/>
  <c r="Y934" i="3"/>
  <c r="X934" i="3"/>
  <c r="Y933" i="3"/>
  <c r="X933" i="3"/>
  <c r="Y932" i="3"/>
  <c r="X932" i="3"/>
  <c r="Y931" i="3"/>
  <c r="X931" i="3"/>
  <c r="Y930" i="3"/>
  <c r="X930" i="3"/>
  <c r="Y929" i="3"/>
  <c r="X929" i="3"/>
  <c r="Y928" i="3"/>
  <c r="X928" i="3"/>
  <c r="Y927" i="3"/>
  <c r="X927" i="3"/>
  <c r="Y926" i="3"/>
  <c r="X926" i="3"/>
  <c r="Y925" i="3"/>
  <c r="X925" i="3"/>
  <c r="Y924" i="3"/>
  <c r="X924" i="3"/>
  <c r="Y923" i="3"/>
  <c r="X923" i="3"/>
  <c r="Y922" i="3"/>
  <c r="X922" i="3"/>
  <c r="Y921" i="3"/>
  <c r="X921" i="3"/>
  <c r="Y920" i="3"/>
  <c r="X920" i="3"/>
  <c r="Y919" i="3"/>
  <c r="X919" i="3"/>
  <c r="Y918" i="3"/>
  <c r="X918" i="3"/>
  <c r="Y917" i="3"/>
  <c r="X917" i="3"/>
  <c r="Y916" i="3"/>
  <c r="X916" i="3"/>
  <c r="Y915" i="3"/>
  <c r="X915" i="3"/>
  <c r="Y914" i="3"/>
  <c r="X914" i="3"/>
  <c r="Y913" i="3"/>
  <c r="X913" i="3"/>
  <c r="Y912" i="3"/>
  <c r="X912" i="3"/>
  <c r="Y911" i="3"/>
  <c r="X911" i="3"/>
  <c r="Y910" i="3"/>
  <c r="X910" i="3"/>
  <c r="Y909" i="3"/>
  <c r="X909" i="3"/>
  <c r="Y908" i="3"/>
  <c r="X908" i="3"/>
  <c r="Y907" i="3"/>
  <c r="X907" i="3"/>
  <c r="Y906" i="3"/>
  <c r="X906" i="3"/>
  <c r="Y905" i="3"/>
  <c r="X905" i="3"/>
  <c r="Y904" i="3"/>
  <c r="X904" i="3"/>
  <c r="Y903" i="3"/>
  <c r="X903" i="3"/>
  <c r="Y902" i="3"/>
  <c r="X902" i="3"/>
  <c r="Y901" i="3"/>
  <c r="X901" i="3"/>
  <c r="Y900" i="3"/>
  <c r="X900" i="3"/>
  <c r="Y899" i="3"/>
  <c r="X899" i="3"/>
  <c r="Y898" i="3"/>
  <c r="X898" i="3"/>
  <c r="Y897" i="3"/>
  <c r="X897" i="3"/>
  <c r="Y896" i="3"/>
  <c r="X896" i="3"/>
  <c r="Y895" i="3"/>
  <c r="X895" i="3"/>
  <c r="Y894" i="3"/>
  <c r="X894" i="3"/>
  <c r="Y893" i="3"/>
  <c r="X893" i="3"/>
  <c r="Y892" i="3"/>
  <c r="X892" i="3"/>
  <c r="Y891" i="3"/>
  <c r="X891" i="3"/>
  <c r="Y890" i="3"/>
  <c r="X890" i="3"/>
  <c r="Y889" i="3"/>
  <c r="X889" i="3"/>
  <c r="Y888" i="3"/>
  <c r="X888" i="3"/>
  <c r="Y887" i="3"/>
  <c r="X887" i="3"/>
  <c r="Y886" i="3"/>
  <c r="X886" i="3"/>
  <c r="Y885" i="3"/>
  <c r="X885" i="3"/>
  <c r="Y884" i="3"/>
  <c r="X884" i="3"/>
  <c r="Y883" i="3"/>
  <c r="X883" i="3"/>
  <c r="Y882" i="3"/>
  <c r="X882" i="3"/>
  <c r="Y881" i="3"/>
  <c r="X881" i="3"/>
  <c r="Y880" i="3"/>
  <c r="X880" i="3"/>
  <c r="Y879" i="3"/>
  <c r="X879" i="3"/>
  <c r="Y878" i="3"/>
  <c r="X878" i="3"/>
  <c r="Y877" i="3"/>
  <c r="X877" i="3"/>
  <c r="Y876" i="3"/>
  <c r="X876" i="3"/>
  <c r="Y875" i="3"/>
  <c r="X875" i="3"/>
  <c r="Y874" i="3"/>
  <c r="X874" i="3"/>
  <c r="Y873" i="3"/>
  <c r="X873" i="3"/>
  <c r="Y872" i="3"/>
  <c r="X872" i="3"/>
  <c r="Y871" i="3"/>
  <c r="X871" i="3"/>
  <c r="Y870" i="3"/>
  <c r="X870" i="3"/>
  <c r="Y869" i="3"/>
  <c r="X869" i="3"/>
  <c r="Y868" i="3"/>
  <c r="X868" i="3"/>
  <c r="Y867" i="3"/>
  <c r="X867" i="3"/>
  <c r="Y866" i="3"/>
  <c r="X866" i="3"/>
  <c r="Y865" i="3"/>
  <c r="X865" i="3"/>
  <c r="Y864" i="3"/>
  <c r="X864" i="3"/>
  <c r="Y863" i="3"/>
  <c r="X863" i="3"/>
  <c r="Y862" i="3"/>
  <c r="X862" i="3"/>
  <c r="Y861" i="3"/>
  <c r="X861" i="3"/>
  <c r="Y860" i="3"/>
  <c r="X860" i="3"/>
  <c r="Y859" i="3"/>
  <c r="X859" i="3"/>
  <c r="Y858" i="3"/>
  <c r="X858" i="3"/>
  <c r="Y857" i="3"/>
  <c r="X857" i="3"/>
  <c r="Y856" i="3"/>
  <c r="X856" i="3"/>
  <c r="Y855" i="3"/>
  <c r="X855" i="3"/>
  <c r="Y854" i="3"/>
  <c r="X854" i="3"/>
  <c r="Y853" i="3"/>
  <c r="X853" i="3"/>
  <c r="Y852" i="3"/>
  <c r="X852" i="3"/>
  <c r="Y851" i="3"/>
  <c r="X851" i="3"/>
  <c r="Y850" i="3"/>
  <c r="X850" i="3"/>
  <c r="Y849" i="3"/>
  <c r="X849" i="3"/>
  <c r="Y848" i="3"/>
  <c r="X848" i="3"/>
  <c r="Y847" i="3"/>
  <c r="X847" i="3"/>
  <c r="Y846" i="3"/>
  <c r="X846" i="3"/>
  <c r="Y845" i="3"/>
  <c r="X845" i="3"/>
  <c r="Y844" i="3"/>
  <c r="X844" i="3"/>
  <c r="Y843" i="3"/>
  <c r="X843" i="3"/>
  <c r="Y842" i="3"/>
  <c r="X842" i="3"/>
  <c r="Y841" i="3"/>
  <c r="X841" i="3"/>
  <c r="Y840" i="3"/>
  <c r="X840" i="3"/>
  <c r="Y839" i="3"/>
  <c r="X839" i="3"/>
  <c r="Y838" i="3"/>
  <c r="X838" i="3"/>
  <c r="Y837" i="3"/>
  <c r="X837" i="3"/>
  <c r="Y836" i="3"/>
  <c r="X836" i="3"/>
  <c r="Y835" i="3"/>
  <c r="X835" i="3"/>
  <c r="Y834" i="3"/>
  <c r="X834" i="3"/>
  <c r="Y833" i="3"/>
  <c r="X833" i="3"/>
  <c r="Y832" i="3"/>
  <c r="X832" i="3"/>
  <c r="Y831" i="3"/>
  <c r="X831" i="3"/>
  <c r="Y830" i="3"/>
  <c r="X830" i="3"/>
  <c r="Y829" i="3"/>
  <c r="X829" i="3"/>
  <c r="Y828" i="3"/>
  <c r="X828" i="3"/>
  <c r="Y827" i="3"/>
  <c r="X827" i="3"/>
  <c r="Y826" i="3"/>
  <c r="X826" i="3"/>
  <c r="Y825" i="3"/>
  <c r="X825" i="3"/>
  <c r="Y824" i="3"/>
  <c r="X824" i="3"/>
  <c r="Y823" i="3"/>
  <c r="X823" i="3"/>
  <c r="Y822" i="3"/>
  <c r="X822" i="3"/>
  <c r="Y821" i="3"/>
  <c r="X821" i="3"/>
  <c r="Y820" i="3"/>
  <c r="X820" i="3"/>
  <c r="Y819" i="3"/>
  <c r="X819" i="3"/>
  <c r="Y818" i="3"/>
  <c r="X818" i="3"/>
  <c r="Y817" i="3"/>
  <c r="X817" i="3"/>
  <c r="Y816" i="3"/>
  <c r="X816" i="3"/>
  <c r="Y815" i="3"/>
  <c r="X815" i="3"/>
  <c r="Y814" i="3"/>
  <c r="X814" i="3"/>
  <c r="Y813" i="3"/>
  <c r="X813" i="3"/>
  <c r="Y812" i="3"/>
  <c r="X812" i="3"/>
  <c r="Y811" i="3"/>
  <c r="X811" i="3"/>
  <c r="Y810" i="3"/>
  <c r="X810" i="3"/>
  <c r="Y809" i="3"/>
  <c r="X809" i="3"/>
  <c r="Y808" i="3"/>
  <c r="X808" i="3"/>
  <c r="Y807" i="3"/>
  <c r="X807" i="3"/>
  <c r="Y806" i="3"/>
  <c r="X806" i="3"/>
  <c r="Y805" i="3"/>
  <c r="X805" i="3"/>
  <c r="Y804" i="3"/>
  <c r="X804" i="3"/>
  <c r="Y803" i="3"/>
  <c r="X803" i="3"/>
  <c r="Y802" i="3"/>
  <c r="X802" i="3"/>
  <c r="Y801" i="3"/>
  <c r="X801" i="3"/>
  <c r="Y800" i="3"/>
  <c r="X800" i="3"/>
  <c r="Y799" i="3"/>
  <c r="X799" i="3"/>
  <c r="Y798" i="3"/>
  <c r="X798" i="3"/>
  <c r="Y797" i="3"/>
  <c r="X797" i="3"/>
  <c r="Y796" i="3"/>
  <c r="X796" i="3"/>
  <c r="Y795" i="3"/>
  <c r="X795" i="3"/>
  <c r="Y794" i="3"/>
  <c r="X794" i="3"/>
  <c r="Y793" i="3"/>
  <c r="X793" i="3"/>
  <c r="Y792" i="3"/>
  <c r="X792" i="3"/>
  <c r="Y791" i="3"/>
  <c r="X791" i="3"/>
  <c r="Y790" i="3"/>
  <c r="X790" i="3"/>
  <c r="Y789" i="3"/>
  <c r="X789" i="3"/>
  <c r="Y788" i="3"/>
  <c r="X788" i="3"/>
  <c r="Y787" i="3"/>
  <c r="X787" i="3"/>
  <c r="Y786" i="3"/>
  <c r="X786" i="3"/>
  <c r="Y785" i="3"/>
  <c r="X785" i="3"/>
  <c r="Y784" i="3"/>
  <c r="X784" i="3"/>
  <c r="Y783" i="3"/>
  <c r="X783" i="3"/>
  <c r="Y782" i="3"/>
  <c r="X782" i="3"/>
  <c r="Y781" i="3"/>
  <c r="X781" i="3"/>
  <c r="Y780" i="3"/>
  <c r="X780" i="3"/>
  <c r="Y779" i="3"/>
  <c r="X779" i="3"/>
  <c r="Y778" i="3"/>
  <c r="X778" i="3"/>
  <c r="Y777" i="3"/>
  <c r="X777" i="3"/>
  <c r="Y776" i="3"/>
  <c r="X776" i="3"/>
  <c r="Y775" i="3"/>
  <c r="X775" i="3"/>
  <c r="Y774" i="3"/>
  <c r="X774" i="3"/>
  <c r="Y773" i="3"/>
  <c r="X773" i="3"/>
  <c r="Y772" i="3"/>
  <c r="X772" i="3"/>
  <c r="Y771" i="3"/>
  <c r="X771" i="3"/>
  <c r="Y770" i="3"/>
  <c r="X770" i="3"/>
  <c r="Y769" i="3"/>
  <c r="X769" i="3"/>
  <c r="Y768" i="3"/>
  <c r="X768" i="3"/>
  <c r="Y767" i="3"/>
  <c r="X767" i="3"/>
  <c r="Y766" i="3"/>
  <c r="X766" i="3"/>
  <c r="Y765" i="3"/>
  <c r="X765" i="3"/>
  <c r="Y764" i="3"/>
  <c r="X764" i="3"/>
  <c r="Y763" i="3"/>
  <c r="X763" i="3"/>
  <c r="Y762" i="3"/>
  <c r="X762" i="3"/>
  <c r="Y761" i="3"/>
  <c r="X761" i="3"/>
  <c r="Y760" i="3"/>
  <c r="X760" i="3"/>
  <c r="Y759" i="3"/>
  <c r="X759" i="3"/>
  <c r="Y758" i="3"/>
  <c r="X758" i="3"/>
  <c r="Y757" i="3"/>
  <c r="X757" i="3"/>
  <c r="Y756" i="3"/>
  <c r="X756" i="3"/>
  <c r="Y755" i="3"/>
  <c r="X755" i="3"/>
  <c r="Y754" i="3"/>
  <c r="X754" i="3"/>
  <c r="Y753" i="3"/>
  <c r="X753" i="3"/>
  <c r="Y752" i="3"/>
  <c r="X752" i="3"/>
  <c r="Y751" i="3"/>
  <c r="X751" i="3"/>
  <c r="Y750" i="3"/>
  <c r="X750" i="3"/>
  <c r="Y749" i="3"/>
  <c r="X749" i="3"/>
  <c r="Y748" i="3"/>
  <c r="X748" i="3"/>
  <c r="Y747" i="3"/>
  <c r="X747" i="3"/>
  <c r="Y746" i="3"/>
  <c r="X746" i="3"/>
  <c r="Y745" i="3"/>
  <c r="X745" i="3"/>
  <c r="Y744" i="3"/>
  <c r="X744" i="3"/>
  <c r="Y743" i="3"/>
  <c r="X743" i="3"/>
  <c r="Y742" i="3"/>
  <c r="X742" i="3"/>
  <c r="Y741" i="3"/>
  <c r="X741" i="3"/>
  <c r="Y740" i="3"/>
  <c r="X740" i="3"/>
  <c r="Y739" i="3"/>
  <c r="X739" i="3"/>
  <c r="Y738" i="3"/>
  <c r="X738" i="3"/>
  <c r="Y737" i="3"/>
  <c r="X737" i="3"/>
  <c r="Y736" i="3"/>
  <c r="X736" i="3"/>
  <c r="Y735" i="3"/>
  <c r="X735" i="3"/>
  <c r="Y734" i="3"/>
  <c r="X734" i="3"/>
  <c r="Y733" i="3"/>
  <c r="X733" i="3"/>
  <c r="Y732" i="3"/>
  <c r="X732" i="3"/>
  <c r="Y731" i="3"/>
  <c r="X731" i="3"/>
  <c r="Y730" i="3"/>
  <c r="X730" i="3"/>
  <c r="Y729" i="3"/>
  <c r="X729" i="3"/>
  <c r="Y728" i="3"/>
  <c r="X728" i="3"/>
  <c r="Y727" i="3"/>
  <c r="X727" i="3"/>
  <c r="Y726" i="3"/>
  <c r="X726" i="3"/>
  <c r="Y725" i="3"/>
  <c r="X725" i="3"/>
  <c r="Y724" i="3"/>
  <c r="X724" i="3"/>
  <c r="Y723" i="3"/>
  <c r="X723" i="3"/>
  <c r="Y722" i="3"/>
  <c r="X722" i="3"/>
  <c r="Y721" i="3"/>
  <c r="X721" i="3"/>
  <c r="Y720" i="3"/>
  <c r="X720" i="3"/>
  <c r="Y719" i="3"/>
  <c r="X719" i="3"/>
  <c r="Y718" i="3"/>
  <c r="X718" i="3"/>
  <c r="Y717" i="3"/>
  <c r="X717" i="3"/>
  <c r="Y716" i="3"/>
  <c r="X716" i="3"/>
  <c r="Y715" i="3"/>
  <c r="X715" i="3"/>
  <c r="Y714" i="3"/>
  <c r="X714" i="3"/>
  <c r="Y713" i="3"/>
  <c r="X713" i="3"/>
  <c r="Y712" i="3"/>
  <c r="X712" i="3"/>
  <c r="Y711" i="3"/>
  <c r="X711" i="3"/>
  <c r="Y710" i="3"/>
  <c r="X710" i="3"/>
  <c r="Y709" i="3"/>
  <c r="X709" i="3"/>
  <c r="Y708" i="3"/>
  <c r="X708" i="3"/>
  <c r="Y707" i="3"/>
  <c r="X707" i="3"/>
  <c r="Y706" i="3"/>
  <c r="X706" i="3"/>
  <c r="Y705" i="3"/>
  <c r="X705" i="3"/>
  <c r="Y704" i="3"/>
  <c r="X704" i="3"/>
  <c r="Y703" i="3"/>
  <c r="X703" i="3"/>
  <c r="Y702" i="3"/>
  <c r="X702" i="3"/>
  <c r="Y701" i="3"/>
  <c r="X701" i="3"/>
  <c r="Y700" i="3"/>
  <c r="X700" i="3"/>
  <c r="Y699" i="3"/>
  <c r="X699" i="3"/>
  <c r="Y698" i="3"/>
  <c r="X698" i="3"/>
  <c r="Y697" i="3"/>
  <c r="X697" i="3"/>
  <c r="Y696" i="3"/>
  <c r="X696" i="3"/>
  <c r="Y695" i="3"/>
  <c r="X695" i="3"/>
  <c r="Y694" i="3"/>
  <c r="X694" i="3"/>
  <c r="Y693" i="3"/>
  <c r="X693" i="3"/>
  <c r="Y692" i="3"/>
  <c r="X692" i="3"/>
  <c r="Y691" i="3"/>
  <c r="X691" i="3"/>
  <c r="Y690" i="3"/>
  <c r="X690" i="3"/>
  <c r="Y689" i="3"/>
  <c r="X689" i="3"/>
  <c r="Y688" i="3"/>
  <c r="X688" i="3"/>
  <c r="Y687" i="3"/>
  <c r="X687" i="3"/>
  <c r="Y686" i="3"/>
  <c r="X686" i="3"/>
  <c r="Y685" i="3"/>
  <c r="X685" i="3"/>
  <c r="Y684" i="3"/>
  <c r="X684" i="3"/>
  <c r="Y683" i="3"/>
  <c r="X683" i="3"/>
  <c r="Y682" i="3"/>
  <c r="X682" i="3"/>
  <c r="Y681" i="3"/>
  <c r="X681" i="3"/>
  <c r="Y680" i="3"/>
  <c r="X680" i="3"/>
  <c r="Y679" i="3"/>
  <c r="X679" i="3"/>
  <c r="Y678" i="3"/>
  <c r="X678" i="3"/>
  <c r="Y677" i="3"/>
  <c r="X677" i="3"/>
  <c r="Y676" i="3"/>
  <c r="X676" i="3"/>
  <c r="Y675" i="3"/>
  <c r="X675" i="3"/>
  <c r="Y674" i="3"/>
  <c r="X674" i="3"/>
  <c r="Y673" i="3"/>
  <c r="X673" i="3"/>
  <c r="Y672" i="3"/>
  <c r="X672" i="3"/>
  <c r="Y671" i="3"/>
  <c r="X671" i="3"/>
  <c r="Y670" i="3"/>
  <c r="X670" i="3"/>
  <c r="Y669" i="3"/>
  <c r="X669" i="3"/>
  <c r="Y668" i="3"/>
  <c r="X668" i="3"/>
  <c r="Y667" i="3"/>
  <c r="X667" i="3"/>
  <c r="Y666" i="3"/>
  <c r="X666" i="3"/>
  <c r="Y665" i="3"/>
  <c r="X665" i="3"/>
  <c r="Y664" i="3"/>
  <c r="X664" i="3"/>
  <c r="Y663" i="3"/>
  <c r="X663" i="3"/>
  <c r="Y662" i="3"/>
  <c r="X662" i="3"/>
  <c r="Y661" i="3"/>
  <c r="X661" i="3"/>
  <c r="Y660" i="3"/>
  <c r="X660" i="3"/>
  <c r="Y659" i="3"/>
  <c r="X659" i="3"/>
  <c r="Y658" i="3"/>
  <c r="X658" i="3"/>
  <c r="Y657" i="3"/>
  <c r="X657" i="3"/>
  <c r="Y656" i="3"/>
  <c r="X656" i="3"/>
  <c r="Y655" i="3"/>
  <c r="X655" i="3"/>
  <c r="Y654" i="3"/>
  <c r="X654" i="3"/>
  <c r="Y653" i="3"/>
  <c r="X653" i="3"/>
  <c r="Y652" i="3"/>
  <c r="X652" i="3"/>
  <c r="Y651" i="3"/>
  <c r="X651" i="3"/>
  <c r="Y650" i="3"/>
  <c r="X650" i="3"/>
  <c r="Y649" i="3"/>
  <c r="X649" i="3"/>
  <c r="Y648" i="3"/>
  <c r="X648" i="3"/>
  <c r="Y647" i="3"/>
  <c r="X647" i="3"/>
  <c r="Y646" i="3"/>
  <c r="X646" i="3"/>
  <c r="Y645" i="3"/>
  <c r="X645" i="3"/>
  <c r="Y644" i="3"/>
  <c r="X644" i="3"/>
  <c r="Y643" i="3"/>
  <c r="X643" i="3"/>
  <c r="Y642" i="3"/>
  <c r="X642" i="3"/>
  <c r="Y641" i="3"/>
  <c r="X641" i="3"/>
  <c r="Y640" i="3"/>
  <c r="X640" i="3"/>
  <c r="Y639" i="3"/>
  <c r="X639" i="3"/>
  <c r="Y638" i="3"/>
  <c r="X638" i="3"/>
  <c r="Y637" i="3"/>
  <c r="X637" i="3"/>
  <c r="Y636" i="3"/>
  <c r="X636" i="3"/>
  <c r="Y635" i="3"/>
  <c r="X635" i="3"/>
  <c r="Y634" i="3"/>
  <c r="X634" i="3"/>
  <c r="Y633" i="3"/>
  <c r="X633" i="3"/>
  <c r="Y632" i="3"/>
  <c r="X632" i="3"/>
  <c r="Y631" i="3"/>
  <c r="X631" i="3"/>
  <c r="Y630" i="3"/>
  <c r="X630" i="3"/>
  <c r="Y629" i="3"/>
  <c r="X629" i="3"/>
  <c r="Y628" i="3"/>
  <c r="X628" i="3"/>
  <c r="Y627" i="3"/>
  <c r="X627" i="3"/>
  <c r="Y626" i="3"/>
  <c r="X626" i="3"/>
  <c r="Y625" i="3"/>
  <c r="X625" i="3"/>
  <c r="Y624" i="3"/>
  <c r="X624" i="3"/>
  <c r="Y623" i="3"/>
  <c r="X623" i="3"/>
  <c r="Y622" i="3"/>
  <c r="X622" i="3"/>
  <c r="Y621" i="3"/>
  <c r="X621" i="3"/>
  <c r="Y620" i="3"/>
  <c r="X620" i="3"/>
  <c r="Y619" i="3"/>
  <c r="X619" i="3"/>
  <c r="Y618" i="3"/>
  <c r="X618" i="3"/>
  <c r="Y617" i="3"/>
  <c r="X617" i="3"/>
  <c r="Y616" i="3"/>
  <c r="X616" i="3"/>
  <c r="Y615" i="3"/>
  <c r="X615" i="3"/>
  <c r="Y614" i="3"/>
  <c r="X614" i="3"/>
  <c r="Y613" i="3"/>
  <c r="X613" i="3"/>
  <c r="Y612" i="3"/>
  <c r="X612" i="3"/>
  <c r="Y611" i="3"/>
  <c r="X611" i="3"/>
  <c r="Y610" i="3"/>
  <c r="X610" i="3"/>
  <c r="Y609" i="3"/>
  <c r="X609" i="3"/>
  <c r="Y608" i="3"/>
  <c r="X608" i="3"/>
  <c r="Y607" i="3"/>
  <c r="X607" i="3"/>
  <c r="Y606" i="3"/>
  <c r="X606" i="3"/>
  <c r="Y605" i="3"/>
  <c r="X605" i="3"/>
  <c r="Y604" i="3"/>
  <c r="X604" i="3"/>
  <c r="Y603" i="3"/>
  <c r="X603" i="3"/>
  <c r="Y602" i="3"/>
  <c r="X602" i="3"/>
  <c r="Y601" i="3"/>
  <c r="X601" i="3"/>
  <c r="Y600" i="3"/>
  <c r="X600" i="3"/>
  <c r="Y599" i="3"/>
  <c r="X599" i="3"/>
  <c r="Y598" i="3"/>
  <c r="X598" i="3"/>
  <c r="Y597" i="3"/>
  <c r="X597" i="3"/>
  <c r="Y596" i="3"/>
  <c r="X596" i="3"/>
  <c r="Y595" i="3"/>
  <c r="X595" i="3"/>
  <c r="Y594" i="3"/>
  <c r="X594" i="3"/>
  <c r="Y593" i="3"/>
  <c r="X593" i="3"/>
  <c r="Y592" i="3"/>
  <c r="X592" i="3"/>
  <c r="Y591" i="3"/>
  <c r="X591" i="3"/>
  <c r="Y590" i="3"/>
  <c r="X590" i="3"/>
  <c r="Y589" i="3"/>
  <c r="X589" i="3"/>
  <c r="Y588" i="3"/>
  <c r="X588" i="3"/>
  <c r="Y587" i="3"/>
  <c r="X587" i="3"/>
  <c r="Y586" i="3"/>
  <c r="X586" i="3"/>
  <c r="Y585" i="3"/>
  <c r="X585" i="3"/>
  <c r="Y584" i="3"/>
  <c r="X584" i="3"/>
  <c r="Y583" i="3"/>
  <c r="X583" i="3"/>
  <c r="Y582" i="3"/>
  <c r="X582" i="3"/>
  <c r="Y581" i="3"/>
  <c r="X581" i="3"/>
  <c r="Y580" i="3"/>
  <c r="X580" i="3"/>
  <c r="Y579" i="3"/>
  <c r="X579" i="3"/>
  <c r="Y578" i="3"/>
  <c r="X578" i="3"/>
  <c r="Y577" i="3"/>
  <c r="X577" i="3"/>
  <c r="Y576" i="3"/>
  <c r="X576" i="3"/>
  <c r="Y575" i="3"/>
  <c r="X575" i="3"/>
  <c r="Y574" i="3"/>
  <c r="X574" i="3"/>
  <c r="Y573" i="3"/>
  <c r="X573" i="3"/>
  <c r="Y572" i="3"/>
  <c r="X572" i="3"/>
  <c r="Y571" i="3"/>
  <c r="X571" i="3"/>
  <c r="Y570" i="3"/>
  <c r="X570" i="3"/>
  <c r="Y569" i="3"/>
  <c r="X569" i="3"/>
  <c r="Y568" i="3"/>
  <c r="X568" i="3"/>
  <c r="Y567" i="3"/>
  <c r="X567" i="3"/>
  <c r="Y566" i="3"/>
  <c r="X566" i="3"/>
  <c r="Y565" i="3"/>
  <c r="X565" i="3"/>
  <c r="Y564" i="3"/>
  <c r="X564" i="3"/>
  <c r="Y563" i="3"/>
  <c r="X563" i="3"/>
  <c r="Y562" i="3"/>
  <c r="X562" i="3"/>
  <c r="Y561" i="3"/>
  <c r="X561" i="3"/>
  <c r="Y560" i="3"/>
  <c r="X560" i="3"/>
  <c r="Y559" i="3"/>
  <c r="X559" i="3"/>
  <c r="Y558" i="3"/>
  <c r="X558" i="3"/>
  <c r="Y557" i="3"/>
  <c r="X557" i="3"/>
  <c r="Y556" i="3"/>
  <c r="X556" i="3"/>
  <c r="Y555" i="3"/>
  <c r="X555" i="3"/>
  <c r="Y554" i="3"/>
  <c r="X554" i="3"/>
  <c r="Y553" i="3"/>
  <c r="X553" i="3"/>
  <c r="Y552" i="3"/>
  <c r="X552" i="3"/>
  <c r="Y551" i="3"/>
  <c r="X551" i="3"/>
  <c r="Y550" i="3"/>
  <c r="X550" i="3"/>
  <c r="Y549" i="3"/>
  <c r="X549" i="3"/>
  <c r="Y548" i="3"/>
  <c r="X548" i="3"/>
  <c r="Y547" i="3"/>
  <c r="X547" i="3"/>
  <c r="Y546" i="3"/>
  <c r="X546" i="3"/>
  <c r="Y545" i="3"/>
  <c r="X545" i="3"/>
  <c r="Y544" i="3"/>
  <c r="X544" i="3"/>
  <c r="Y543" i="3"/>
  <c r="X543" i="3"/>
  <c r="Y542" i="3"/>
  <c r="X542" i="3"/>
  <c r="Y541" i="3"/>
  <c r="X541" i="3"/>
  <c r="Y540" i="3"/>
  <c r="X540" i="3"/>
  <c r="Y539" i="3"/>
  <c r="X539" i="3"/>
  <c r="Y538" i="3"/>
  <c r="X538" i="3"/>
  <c r="Y537" i="3"/>
  <c r="X537" i="3"/>
  <c r="Y536" i="3"/>
  <c r="X536" i="3"/>
  <c r="Y535" i="3"/>
  <c r="X535" i="3"/>
  <c r="Y534" i="3"/>
  <c r="X534" i="3"/>
  <c r="Y533" i="3"/>
  <c r="X533" i="3"/>
  <c r="Y532" i="3"/>
  <c r="X532" i="3"/>
  <c r="Y531" i="3"/>
  <c r="X531" i="3"/>
  <c r="Y530" i="3"/>
  <c r="X530" i="3"/>
  <c r="Y529" i="3"/>
  <c r="X529" i="3"/>
  <c r="Y528" i="3"/>
  <c r="X528" i="3"/>
  <c r="Y527" i="3"/>
  <c r="X527" i="3"/>
  <c r="Y526" i="3"/>
  <c r="X526" i="3"/>
  <c r="Y525" i="3"/>
  <c r="X525" i="3"/>
  <c r="Y524" i="3"/>
  <c r="X524" i="3"/>
  <c r="Y523" i="3"/>
  <c r="X523" i="3"/>
  <c r="Y522" i="3"/>
  <c r="X522" i="3"/>
  <c r="Y521" i="3"/>
  <c r="X521" i="3"/>
  <c r="Y520" i="3"/>
  <c r="X520" i="3"/>
  <c r="Y519" i="3"/>
  <c r="X519" i="3"/>
  <c r="Y518" i="3"/>
  <c r="X518" i="3"/>
  <c r="Y517" i="3"/>
  <c r="X517" i="3"/>
  <c r="Y516" i="3"/>
  <c r="X516" i="3"/>
  <c r="Y515" i="3"/>
  <c r="X515" i="3"/>
  <c r="Y514" i="3"/>
  <c r="X514" i="3"/>
  <c r="Y513" i="3"/>
  <c r="X513" i="3"/>
  <c r="Y512" i="3"/>
  <c r="X512" i="3"/>
  <c r="Y511" i="3"/>
  <c r="X511" i="3"/>
  <c r="Y510" i="3"/>
  <c r="X510" i="3"/>
  <c r="Y509" i="3"/>
  <c r="X509" i="3"/>
  <c r="Y508" i="3"/>
  <c r="X508" i="3"/>
  <c r="Y507" i="3"/>
  <c r="X507" i="3"/>
  <c r="Y506" i="3"/>
  <c r="X506" i="3"/>
  <c r="Y505" i="3"/>
  <c r="X505" i="3"/>
  <c r="Y504" i="3"/>
  <c r="X504" i="3"/>
  <c r="Y503" i="3"/>
  <c r="X503" i="3"/>
  <c r="Y502" i="3"/>
  <c r="X502" i="3"/>
  <c r="Y501" i="3"/>
  <c r="X501" i="3"/>
  <c r="Y500" i="3"/>
  <c r="X500" i="3"/>
  <c r="Y499" i="3"/>
  <c r="X499" i="3"/>
  <c r="Y498" i="3"/>
  <c r="X498" i="3"/>
  <c r="Y497" i="3"/>
  <c r="X497" i="3"/>
  <c r="Y496" i="3"/>
  <c r="X496" i="3"/>
  <c r="Y495" i="3"/>
  <c r="X495" i="3"/>
  <c r="Y494" i="3"/>
  <c r="X494" i="3"/>
  <c r="Y493" i="3"/>
  <c r="X493" i="3"/>
  <c r="Y492" i="3"/>
  <c r="X492" i="3"/>
  <c r="Y491" i="3"/>
  <c r="X491" i="3"/>
  <c r="Y490" i="3"/>
  <c r="X490" i="3"/>
  <c r="Y489" i="3"/>
  <c r="X489" i="3"/>
  <c r="Y488" i="3"/>
  <c r="X488" i="3"/>
  <c r="Y487" i="3"/>
  <c r="X487" i="3"/>
  <c r="Y486" i="3"/>
  <c r="X486" i="3"/>
  <c r="Y485" i="3"/>
  <c r="X485" i="3"/>
  <c r="Y484" i="3"/>
  <c r="X484" i="3"/>
  <c r="Y483" i="3"/>
  <c r="X483" i="3"/>
  <c r="Y482" i="3"/>
  <c r="X482" i="3"/>
  <c r="Y481" i="3"/>
  <c r="X481" i="3"/>
  <c r="Y480" i="3"/>
  <c r="X480" i="3"/>
  <c r="Y479" i="3"/>
  <c r="X479" i="3"/>
  <c r="Y478" i="3"/>
  <c r="X478" i="3"/>
  <c r="Y477" i="3"/>
  <c r="X477" i="3"/>
  <c r="Y476" i="3"/>
  <c r="X476" i="3"/>
  <c r="Y475" i="3"/>
  <c r="X475" i="3"/>
  <c r="Y474" i="3"/>
  <c r="X474" i="3"/>
  <c r="Y473" i="3"/>
  <c r="X473" i="3"/>
  <c r="Y472" i="3"/>
  <c r="X472" i="3"/>
  <c r="Y471" i="3"/>
  <c r="X471" i="3"/>
  <c r="Y470" i="3"/>
  <c r="X470" i="3"/>
  <c r="Y469" i="3"/>
  <c r="X469" i="3"/>
  <c r="Y468" i="3"/>
  <c r="X468" i="3"/>
  <c r="Y467" i="3"/>
  <c r="X467" i="3"/>
  <c r="Y466" i="3"/>
  <c r="X466" i="3"/>
  <c r="Y465" i="3"/>
  <c r="X465" i="3"/>
  <c r="Y464" i="3"/>
  <c r="X464" i="3"/>
  <c r="Y463" i="3"/>
  <c r="X463" i="3"/>
  <c r="Y462" i="3"/>
  <c r="X462" i="3"/>
  <c r="Y461" i="3"/>
  <c r="X461" i="3"/>
  <c r="Y460" i="3"/>
  <c r="X460" i="3"/>
  <c r="Y459" i="3"/>
  <c r="X459" i="3"/>
  <c r="Y458" i="3"/>
  <c r="X458" i="3"/>
  <c r="Y457" i="3"/>
  <c r="X457" i="3"/>
  <c r="Y456" i="3"/>
  <c r="X456" i="3"/>
  <c r="Y455" i="3"/>
  <c r="X455" i="3"/>
  <c r="Y454" i="3"/>
  <c r="X454" i="3"/>
  <c r="Y453" i="3"/>
  <c r="X453" i="3"/>
  <c r="Y452" i="3"/>
  <c r="X452" i="3"/>
  <c r="Y451" i="3"/>
  <c r="X451" i="3"/>
  <c r="Y450" i="3"/>
  <c r="X450" i="3"/>
  <c r="Y449" i="3"/>
  <c r="X449" i="3"/>
  <c r="Y448" i="3"/>
  <c r="X448" i="3"/>
  <c r="Y447" i="3"/>
  <c r="X447" i="3"/>
  <c r="Y446" i="3"/>
  <c r="X446" i="3"/>
  <c r="Y445" i="3"/>
  <c r="X445" i="3"/>
  <c r="Y444" i="3"/>
  <c r="X444" i="3"/>
  <c r="Y443" i="3"/>
  <c r="X443" i="3"/>
  <c r="Y442" i="3"/>
  <c r="X442" i="3"/>
  <c r="Y441" i="3"/>
  <c r="X441" i="3"/>
  <c r="Y440" i="3"/>
  <c r="X440" i="3"/>
  <c r="Y439" i="3"/>
  <c r="X439" i="3"/>
  <c r="Y438" i="3"/>
  <c r="X438" i="3"/>
  <c r="Y437" i="3"/>
  <c r="X437" i="3"/>
  <c r="Y436" i="3"/>
  <c r="X436" i="3"/>
  <c r="Y435" i="3"/>
  <c r="X435" i="3"/>
  <c r="Y434" i="3"/>
  <c r="X434" i="3"/>
  <c r="Y433" i="3"/>
  <c r="X433" i="3"/>
  <c r="Y432" i="3"/>
  <c r="X432" i="3"/>
  <c r="Y431" i="3"/>
  <c r="X431" i="3"/>
  <c r="Y430" i="3"/>
  <c r="X430" i="3"/>
  <c r="Y429" i="3"/>
  <c r="X429" i="3"/>
  <c r="Y428" i="3"/>
  <c r="X428" i="3"/>
  <c r="Y427" i="3"/>
  <c r="X427" i="3"/>
  <c r="Y426" i="3"/>
  <c r="X426" i="3"/>
  <c r="Y425" i="3"/>
  <c r="X425" i="3"/>
  <c r="Y424" i="3"/>
  <c r="X424" i="3"/>
  <c r="Y423" i="3"/>
  <c r="X423" i="3"/>
  <c r="Y422" i="3"/>
  <c r="X422" i="3"/>
  <c r="Y421" i="3"/>
  <c r="X421" i="3"/>
  <c r="Y420" i="3"/>
  <c r="X420" i="3"/>
  <c r="Y419" i="3"/>
  <c r="X419" i="3"/>
  <c r="Y418" i="3"/>
  <c r="X418" i="3"/>
  <c r="Y417" i="3"/>
  <c r="X417" i="3"/>
  <c r="Y416" i="3"/>
  <c r="X416" i="3"/>
  <c r="Y415" i="3"/>
  <c r="X415" i="3"/>
  <c r="Y414" i="3"/>
  <c r="X414" i="3"/>
  <c r="Y413" i="3"/>
  <c r="X413" i="3"/>
  <c r="Y412" i="3"/>
  <c r="X412" i="3"/>
  <c r="Y411" i="3"/>
  <c r="X411" i="3"/>
  <c r="Y410" i="3"/>
  <c r="X410" i="3"/>
  <c r="Y409" i="3"/>
  <c r="X409" i="3"/>
  <c r="Y408" i="3"/>
  <c r="X408" i="3"/>
  <c r="Y407" i="3"/>
  <c r="X407" i="3"/>
  <c r="Y406" i="3"/>
  <c r="X406" i="3"/>
  <c r="Y405" i="3"/>
  <c r="X405" i="3"/>
  <c r="Y404" i="3"/>
  <c r="X404" i="3"/>
  <c r="Y403" i="3"/>
  <c r="X403" i="3"/>
  <c r="Y402" i="3"/>
  <c r="X402" i="3"/>
  <c r="Y401" i="3"/>
  <c r="X401" i="3"/>
  <c r="Y400" i="3"/>
  <c r="X400" i="3"/>
  <c r="Y399" i="3"/>
  <c r="X399" i="3"/>
  <c r="Y398" i="3"/>
  <c r="X398" i="3"/>
  <c r="Y397" i="3"/>
  <c r="X397" i="3"/>
  <c r="Y396" i="3"/>
  <c r="X396" i="3"/>
  <c r="Y395" i="3"/>
  <c r="X395" i="3"/>
  <c r="Y394" i="3"/>
  <c r="X394" i="3"/>
  <c r="Y393" i="3"/>
  <c r="X393" i="3"/>
  <c r="Y392" i="3"/>
  <c r="X392" i="3"/>
  <c r="Y391" i="3"/>
  <c r="X391" i="3"/>
  <c r="Y390" i="3"/>
  <c r="X390" i="3"/>
  <c r="Y389" i="3"/>
  <c r="X389" i="3"/>
  <c r="Y388" i="3"/>
  <c r="X388" i="3"/>
  <c r="Y387" i="3"/>
  <c r="X387" i="3"/>
  <c r="Y386" i="3"/>
  <c r="X386" i="3"/>
  <c r="Y385" i="3"/>
  <c r="X385" i="3"/>
  <c r="Y384" i="3"/>
  <c r="X384" i="3"/>
  <c r="Y383" i="3"/>
  <c r="X383" i="3"/>
  <c r="Y382" i="3"/>
  <c r="X382" i="3"/>
  <c r="Y381" i="3"/>
  <c r="X381" i="3"/>
  <c r="Y380" i="3"/>
  <c r="X380" i="3"/>
  <c r="Y379" i="3"/>
  <c r="X379" i="3"/>
  <c r="Y378" i="3"/>
  <c r="X378" i="3"/>
  <c r="Y377" i="3"/>
  <c r="X377" i="3"/>
  <c r="Y376" i="3"/>
  <c r="X376" i="3"/>
  <c r="Y375" i="3"/>
  <c r="X375" i="3"/>
  <c r="Y374" i="3"/>
  <c r="X374" i="3"/>
  <c r="Y373" i="3"/>
  <c r="X373" i="3"/>
  <c r="Y372" i="3"/>
  <c r="X372" i="3"/>
  <c r="Y371" i="3"/>
  <c r="X371" i="3"/>
  <c r="Y370" i="3"/>
  <c r="X370" i="3"/>
  <c r="Y369" i="3"/>
  <c r="X369" i="3"/>
  <c r="Y368" i="3"/>
  <c r="X368" i="3"/>
  <c r="Y367" i="3"/>
  <c r="X367" i="3"/>
  <c r="Y366" i="3"/>
  <c r="X366" i="3"/>
  <c r="Y365" i="3"/>
  <c r="X365" i="3"/>
  <c r="Y364" i="3"/>
  <c r="X364" i="3"/>
  <c r="Y363" i="3"/>
  <c r="X363" i="3"/>
  <c r="Y362" i="3"/>
  <c r="X362" i="3"/>
  <c r="Y361" i="3"/>
  <c r="X361" i="3"/>
  <c r="Y360" i="3"/>
  <c r="X360" i="3"/>
  <c r="Y359" i="3"/>
  <c r="X359" i="3"/>
  <c r="Y358" i="3"/>
  <c r="X358" i="3"/>
  <c r="Y357" i="3"/>
  <c r="X357" i="3"/>
  <c r="Y356" i="3"/>
  <c r="X356" i="3"/>
  <c r="Y355" i="3"/>
  <c r="X355" i="3"/>
  <c r="Y354" i="3"/>
  <c r="X354" i="3"/>
  <c r="Y353" i="3"/>
  <c r="X353" i="3"/>
  <c r="Y352" i="3"/>
  <c r="X352" i="3"/>
  <c r="Y351" i="3"/>
  <c r="X351" i="3"/>
  <c r="Y350" i="3"/>
  <c r="X350" i="3"/>
  <c r="Y349" i="3"/>
  <c r="X349" i="3"/>
  <c r="Y348" i="3"/>
  <c r="X348" i="3"/>
  <c r="Y347" i="3"/>
  <c r="X347" i="3"/>
  <c r="Y346" i="3"/>
  <c r="X346" i="3"/>
  <c r="Y345" i="3"/>
  <c r="X345" i="3"/>
  <c r="Y344" i="3"/>
  <c r="X344" i="3"/>
  <c r="Y343" i="3"/>
  <c r="X343" i="3"/>
  <c r="Y342" i="3"/>
  <c r="X342" i="3"/>
  <c r="Y341" i="3"/>
  <c r="X341" i="3"/>
  <c r="Y340" i="3"/>
  <c r="X340" i="3"/>
  <c r="Y339" i="3"/>
  <c r="X339" i="3"/>
  <c r="Y338" i="3"/>
  <c r="X338" i="3"/>
  <c r="Y337" i="3"/>
  <c r="X337" i="3"/>
  <c r="Y336" i="3"/>
  <c r="X336" i="3"/>
  <c r="Y335" i="3"/>
  <c r="X335" i="3"/>
  <c r="Y334" i="3"/>
  <c r="X334" i="3"/>
  <c r="Y333" i="3"/>
  <c r="X333" i="3"/>
  <c r="Y332" i="3"/>
  <c r="X332" i="3"/>
  <c r="Y331" i="3"/>
  <c r="X331" i="3"/>
  <c r="Y330" i="3"/>
  <c r="X330" i="3"/>
  <c r="Y329" i="3"/>
  <c r="X329" i="3"/>
  <c r="Y328" i="3"/>
  <c r="X328" i="3"/>
  <c r="Y327" i="3"/>
  <c r="X327" i="3"/>
  <c r="Y326" i="3"/>
  <c r="X326" i="3"/>
  <c r="Y325" i="3"/>
  <c r="X325" i="3"/>
  <c r="Y324" i="3"/>
  <c r="X324" i="3"/>
  <c r="Y323" i="3"/>
  <c r="X323" i="3"/>
  <c r="Y322" i="3"/>
  <c r="X322" i="3"/>
  <c r="Y321" i="3"/>
  <c r="X321" i="3"/>
  <c r="Y320" i="3"/>
  <c r="X320" i="3"/>
  <c r="Y319" i="3"/>
  <c r="X319" i="3"/>
  <c r="Y318" i="3"/>
  <c r="X318" i="3"/>
  <c r="Y317" i="3"/>
  <c r="X317" i="3"/>
  <c r="Y316" i="3"/>
  <c r="X316" i="3"/>
  <c r="Y315" i="3"/>
  <c r="X315" i="3"/>
  <c r="Y314" i="3"/>
  <c r="X314" i="3"/>
  <c r="Y313" i="3"/>
  <c r="X313" i="3"/>
  <c r="Y312" i="3"/>
  <c r="X312" i="3"/>
  <c r="Y311" i="3"/>
  <c r="X311" i="3"/>
  <c r="Y310" i="3"/>
  <c r="X310" i="3"/>
  <c r="Y309" i="3"/>
  <c r="X309" i="3"/>
  <c r="Y308" i="3"/>
  <c r="X308" i="3"/>
  <c r="Y307" i="3"/>
  <c r="X307" i="3"/>
  <c r="Y306" i="3"/>
  <c r="X306" i="3"/>
  <c r="Y305" i="3"/>
  <c r="X305" i="3"/>
  <c r="Y304" i="3"/>
  <c r="X304" i="3"/>
  <c r="Y303" i="3"/>
  <c r="X303" i="3"/>
  <c r="Y302" i="3"/>
  <c r="X302" i="3"/>
  <c r="Y301" i="3"/>
  <c r="X301" i="3"/>
  <c r="Y300" i="3"/>
  <c r="X300" i="3"/>
  <c r="Y299" i="3"/>
  <c r="X299" i="3"/>
  <c r="Y298" i="3"/>
  <c r="X298" i="3"/>
  <c r="Y297" i="3"/>
  <c r="X297" i="3"/>
  <c r="Y296" i="3"/>
  <c r="X296" i="3"/>
  <c r="Y295" i="3"/>
  <c r="X295" i="3"/>
  <c r="Y294" i="3"/>
  <c r="X294" i="3"/>
  <c r="Y293" i="3"/>
  <c r="X293" i="3"/>
  <c r="Y292" i="3"/>
  <c r="X292" i="3"/>
  <c r="Y291" i="3"/>
  <c r="X291" i="3"/>
  <c r="Y290" i="3"/>
  <c r="X290" i="3"/>
  <c r="Y289" i="3"/>
  <c r="X289" i="3"/>
  <c r="Y288" i="3"/>
  <c r="X288" i="3"/>
  <c r="Y287" i="3"/>
  <c r="X287" i="3"/>
  <c r="Y286" i="3"/>
  <c r="X286" i="3"/>
  <c r="Y285" i="3"/>
  <c r="X285" i="3"/>
  <c r="Y284" i="3"/>
  <c r="X284" i="3"/>
  <c r="Y283" i="3"/>
  <c r="X283" i="3"/>
  <c r="Y282" i="3"/>
  <c r="X282" i="3"/>
  <c r="Y281" i="3"/>
  <c r="X281" i="3"/>
  <c r="Y280" i="3"/>
  <c r="X280" i="3"/>
  <c r="Y279" i="3"/>
  <c r="X279" i="3"/>
  <c r="Y278" i="3"/>
  <c r="X278" i="3"/>
  <c r="Y277" i="3"/>
  <c r="X277" i="3"/>
  <c r="Y276" i="3"/>
  <c r="X276" i="3"/>
  <c r="Y275" i="3"/>
  <c r="X275" i="3"/>
  <c r="Y274" i="3"/>
  <c r="X274" i="3"/>
  <c r="Y273" i="3"/>
  <c r="X273" i="3"/>
  <c r="Y272" i="3"/>
  <c r="X272" i="3"/>
  <c r="Y271" i="3"/>
  <c r="X271" i="3"/>
  <c r="Y270" i="3"/>
  <c r="X270" i="3"/>
  <c r="Y269" i="3"/>
  <c r="X269" i="3"/>
  <c r="Y268" i="3"/>
  <c r="X268" i="3"/>
  <c r="Y267" i="3"/>
  <c r="X267" i="3"/>
  <c r="Y266" i="3"/>
  <c r="X266" i="3"/>
  <c r="Y265" i="3"/>
  <c r="X265" i="3"/>
  <c r="Y264" i="3"/>
  <c r="X264" i="3"/>
  <c r="Y263" i="3"/>
  <c r="X263" i="3"/>
  <c r="Y262" i="3"/>
  <c r="X262" i="3"/>
  <c r="Y261" i="3"/>
  <c r="X261" i="3"/>
  <c r="Y260" i="3"/>
  <c r="X260" i="3"/>
  <c r="Y259" i="3"/>
  <c r="X259" i="3"/>
  <c r="Y258" i="3"/>
  <c r="X258" i="3"/>
  <c r="Y257" i="3"/>
  <c r="X257" i="3"/>
  <c r="Y256" i="3"/>
  <c r="X256" i="3"/>
  <c r="Y255" i="3"/>
  <c r="X255" i="3"/>
  <c r="Y254" i="3"/>
  <c r="X254" i="3"/>
  <c r="Y253" i="3"/>
  <c r="X253" i="3"/>
  <c r="Y252" i="3"/>
  <c r="X252" i="3"/>
  <c r="Y251" i="3"/>
  <c r="X251" i="3"/>
  <c r="Y250" i="3"/>
  <c r="X250" i="3"/>
  <c r="Y249" i="3"/>
  <c r="X249" i="3"/>
  <c r="Y248" i="3"/>
  <c r="X248" i="3"/>
  <c r="Y247" i="3"/>
  <c r="X247" i="3"/>
  <c r="Y246" i="3"/>
  <c r="X246" i="3"/>
  <c r="Y245" i="3"/>
  <c r="X245" i="3"/>
  <c r="Y244" i="3"/>
  <c r="X244" i="3"/>
  <c r="Y243" i="3"/>
  <c r="X243" i="3"/>
  <c r="Y242" i="3"/>
  <c r="X242" i="3"/>
  <c r="Y241" i="3"/>
  <c r="X241" i="3"/>
  <c r="Y240" i="3"/>
  <c r="X240" i="3"/>
  <c r="Y239" i="3"/>
  <c r="X239" i="3"/>
  <c r="Y238" i="3"/>
  <c r="X238" i="3"/>
  <c r="Y237" i="3"/>
  <c r="X237" i="3"/>
  <c r="Y236" i="3"/>
  <c r="X236" i="3"/>
  <c r="Y235" i="3"/>
  <c r="X235" i="3"/>
  <c r="Y234" i="3"/>
  <c r="X234" i="3"/>
  <c r="Y233" i="3"/>
  <c r="X233" i="3"/>
  <c r="Y232" i="3"/>
  <c r="X232" i="3"/>
  <c r="Y231" i="3"/>
  <c r="X231" i="3"/>
  <c r="Y230" i="3"/>
  <c r="X230" i="3"/>
  <c r="Y229" i="3"/>
  <c r="X229" i="3"/>
  <c r="Y228" i="3"/>
  <c r="X228" i="3"/>
  <c r="Y227" i="3"/>
  <c r="X227" i="3"/>
  <c r="Y226" i="3"/>
  <c r="X226" i="3"/>
  <c r="Y225" i="3"/>
  <c r="X225" i="3"/>
  <c r="Y224" i="3"/>
  <c r="X224" i="3"/>
  <c r="Y223" i="3"/>
  <c r="X223" i="3"/>
  <c r="Y222" i="3"/>
  <c r="X222" i="3"/>
  <c r="Y221" i="3"/>
  <c r="X221" i="3"/>
  <c r="Y220" i="3"/>
  <c r="X220" i="3"/>
  <c r="Y219" i="3"/>
  <c r="X219" i="3"/>
  <c r="Y218" i="3"/>
  <c r="X218" i="3"/>
  <c r="Y217" i="3"/>
  <c r="X217" i="3"/>
  <c r="Y216" i="3"/>
  <c r="X216" i="3"/>
  <c r="Y215" i="3"/>
  <c r="X215" i="3"/>
  <c r="Y214" i="3"/>
  <c r="X214" i="3"/>
  <c r="Y213" i="3"/>
  <c r="X213" i="3"/>
  <c r="Y212" i="3"/>
  <c r="X212" i="3"/>
  <c r="Y211" i="3"/>
  <c r="X211" i="3"/>
  <c r="Y210" i="3"/>
  <c r="X210" i="3"/>
  <c r="Y209" i="3"/>
  <c r="X209" i="3"/>
  <c r="Y208" i="3"/>
  <c r="X208" i="3"/>
  <c r="Y207" i="3"/>
  <c r="X207" i="3"/>
  <c r="Y206" i="3"/>
  <c r="X206" i="3"/>
  <c r="Y205" i="3"/>
  <c r="X205" i="3"/>
  <c r="Y204" i="3"/>
  <c r="X204" i="3"/>
  <c r="Y203" i="3"/>
  <c r="X203" i="3"/>
  <c r="Y202" i="3"/>
  <c r="X202" i="3"/>
  <c r="Y201" i="3"/>
  <c r="X201" i="3"/>
  <c r="Y200" i="3"/>
  <c r="X200" i="3"/>
  <c r="Y199" i="3"/>
  <c r="X199" i="3"/>
  <c r="Y198" i="3"/>
  <c r="X198" i="3"/>
  <c r="Y197" i="3"/>
  <c r="X197" i="3"/>
  <c r="Y196" i="3"/>
  <c r="X196" i="3"/>
  <c r="Y195" i="3"/>
  <c r="X195" i="3"/>
  <c r="Y194" i="3"/>
  <c r="X194" i="3"/>
  <c r="Y193" i="3"/>
  <c r="X193" i="3"/>
  <c r="Y192" i="3"/>
  <c r="X192" i="3"/>
  <c r="Y191" i="3"/>
  <c r="X191" i="3"/>
  <c r="Y190" i="3"/>
  <c r="X190" i="3"/>
  <c r="Y189" i="3"/>
  <c r="X189" i="3"/>
  <c r="Y188" i="3"/>
  <c r="X188" i="3"/>
  <c r="Y187" i="3"/>
  <c r="X187" i="3"/>
  <c r="Y186" i="3"/>
  <c r="X186" i="3"/>
  <c r="Y185" i="3"/>
  <c r="X185" i="3"/>
  <c r="Y184" i="3"/>
  <c r="X184" i="3"/>
  <c r="Y183" i="3"/>
  <c r="X183" i="3"/>
  <c r="Y182" i="3"/>
  <c r="X182" i="3"/>
  <c r="Y181" i="3"/>
  <c r="X181" i="3"/>
  <c r="Y180" i="3"/>
  <c r="X180" i="3"/>
  <c r="Y179" i="3"/>
  <c r="X179" i="3"/>
  <c r="Y178" i="3"/>
  <c r="X178" i="3"/>
  <c r="Y177" i="3"/>
  <c r="X177" i="3"/>
  <c r="Y176" i="3"/>
  <c r="X176" i="3"/>
  <c r="Y175" i="3"/>
  <c r="X175" i="3"/>
  <c r="Y174" i="3"/>
  <c r="X174" i="3"/>
  <c r="Y173" i="3"/>
  <c r="X173" i="3"/>
  <c r="Y172" i="3"/>
  <c r="X172" i="3"/>
  <c r="Y171" i="3"/>
  <c r="X171" i="3"/>
  <c r="Y170" i="3"/>
  <c r="X170" i="3"/>
  <c r="Y169" i="3"/>
  <c r="X169" i="3"/>
  <c r="Y168" i="3"/>
  <c r="X168" i="3"/>
  <c r="Y167" i="3"/>
  <c r="X167" i="3"/>
  <c r="Y166" i="3"/>
  <c r="X166" i="3"/>
  <c r="Y165" i="3"/>
  <c r="X165" i="3"/>
  <c r="Y164" i="3"/>
  <c r="X164" i="3"/>
  <c r="Y163" i="3"/>
  <c r="X163" i="3"/>
  <c r="Y162" i="3"/>
  <c r="X162" i="3"/>
  <c r="Y161" i="3"/>
  <c r="X161" i="3"/>
  <c r="Y160" i="3"/>
  <c r="X160" i="3"/>
  <c r="Y159" i="3"/>
  <c r="X159" i="3"/>
  <c r="Y158" i="3"/>
  <c r="X158" i="3"/>
  <c r="Y157" i="3"/>
  <c r="X157" i="3"/>
  <c r="Y156" i="3"/>
  <c r="X156" i="3"/>
  <c r="Y155" i="3"/>
  <c r="X155" i="3"/>
  <c r="Y154" i="3"/>
  <c r="X154" i="3"/>
  <c r="Y153" i="3"/>
  <c r="X153" i="3"/>
  <c r="Y152" i="3"/>
  <c r="X152" i="3"/>
  <c r="Y151" i="3"/>
  <c r="X151" i="3"/>
  <c r="Y150" i="3"/>
  <c r="X150" i="3"/>
  <c r="Y149" i="3"/>
  <c r="X149" i="3"/>
  <c r="Y148" i="3"/>
  <c r="X148" i="3"/>
  <c r="Y147" i="3"/>
  <c r="X147" i="3"/>
  <c r="Y146" i="3"/>
  <c r="X146" i="3"/>
  <c r="Y145" i="3"/>
  <c r="X145" i="3"/>
  <c r="Y144" i="3"/>
  <c r="X144" i="3"/>
  <c r="Y143" i="3"/>
  <c r="X143" i="3"/>
  <c r="Y142" i="3"/>
  <c r="X142" i="3"/>
  <c r="Y141" i="3"/>
  <c r="X141" i="3"/>
  <c r="Y140" i="3"/>
  <c r="X140" i="3"/>
  <c r="Y139" i="3"/>
  <c r="X139" i="3"/>
  <c r="Y138" i="3"/>
  <c r="X138" i="3"/>
  <c r="Y137" i="3"/>
  <c r="X137" i="3"/>
  <c r="Y136" i="3"/>
  <c r="X136" i="3"/>
  <c r="Y135" i="3"/>
  <c r="X135" i="3"/>
  <c r="Y134" i="3"/>
  <c r="X134" i="3"/>
  <c r="Y133" i="3"/>
  <c r="X133" i="3"/>
  <c r="Y132" i="3"/>
  <c r="X132" i="3"/>
  <c r="Y131" i="3"/>
  <c r="X131" i="3"/>
  <c r="Y130" i="3"/>
  <c r="X130" i="3"/>
  <c r="Y129" i="3"/>
  <c r="X129" i="3"/>
  <c r="Y128" i="3"/>
  <c r="X128" i="3"/>
  <c r="Y127" i="3"/>
  <c r="X127" i="3"/>
  <c r="Y126" i="3"/>
  <c r="X126" i="3"/>
  <c r="Y125" i="3"/>
  <c r="X125" i="3"/>
  <c r="Y124" i="3"/>
  <c r="X124" i="3"/>
  <c r="Y123" i="3"/>
  <c r="X123" i="3"/>
  <c r="Y122" i="3"/>
  <c r="X122" i="3"/>
  <c r="Y121" i="3"/>
  <c r="X121" i="3"/>
  <c r="Y120" i="3"/>
  <c r="X120" i="3"/>
  <c r="Y119" i="3"/>
  <c r="X119" i="3"/>
  <c r="Y118" i="3"/>
  <c r="X118" i="3"/>
  <c r="Y117" i="3"/>
  <c r="X117" i="3"/>
  <c r="Y116" i="3"/>
  <c r="X116" i="3"/>
  <c r="Y115" i="3"/>
  <c r="X115" i="3"/>
  <c r="Y114" i="3"/>
  <c r="X114" i="3"/>
  <c r="Y113" i="3"/>
  <c r="X113" i="3"/>
  <c r="Y112" i="3"/>
  <c r="X112" i="3"/>
  <c r="Y111" i="3"/>
  <c r="X111" i="3"/>
  <c r="Y110" i="3"/>
  <c r="X110" i="3"/>
  <c r="Y109" i="3"/>
  <c r="X109" i="3"/>
  <c r="Y108" i="3"/>
  <c r="X108" i="3"/>
  <c r="Y107" i="3"/>
  <c r="X107" i="3"/>
  <c r="Y106" i="3"/>
  <c r="X106" i="3"/>
  <c r="Y105" i="3"/>
  <c r="X105" i="3"/>
  <c r="Y104" i="3"/>
  <c r="X104" i="3"/>
  <c r="Y103" i="3"/>
  <c r="X103" i="3"/>
  <c r="Y102" i="3"/>
  <c r="X102" i="3"/>
  <c r="Y101" i="3"/>
  <c r="X101" i="3"/>
  <c r="Y100" i="3"/>
  <c r="X100" i="3"/>
  <c r="Y99" i="3"/>
  <c r="X99" i="3"/>
  <c r="Y98" i="3"/>
  <c r="X98" i="3"/>
  <c r="Y97" i="3"/>
  <c r="X97" i="3"/>
  <c r="Y96" i="3"/>
  <c r="X96" i="3"/>
  <c r="Y95" i="3"/>
  <c r="X95" i="3"/>
  <c r="Y94" i="3"/>
  <c r="X94" i="3"/>
  <c r="Y93" i="3"/>
  <c r="X93" i="3"/>
  <c r="Y92" i="3"/>
  <c r="X92" i="3"/>
  <c r="Y91" i="3"/>
  <c r="X91" i="3"/>
  <c r="Y90" i="3"/>
  <c r="X90" i="3"/>
  <c r="Y89" i="3"/>
  <c r="X89" i="3"/>
  <c r="Y88" i="3"/>
  <c r="X88" i="3"/>
  <c r="Y87" i="3"/>
  <c r="X87" i="3"/>
  <c r="Y86" i="3"/>
  <c r="X86" i="3"/>
  <c r="Y85" i="3"/>
  <c r="X85" i="3"/>
  <c r="Y84" i="3"/>
  <c r="X84" i="3"/>
  <c r="Y83" i="3"/>
  <c r="X83" i="3"/>
  <c r="Y82" i="3"/>
  <c r="X82" i="3"/>
  <c r="Y81" i="3"/>
  <c r="X81" i="3"/>
  <c r="Y80" i="3"/>
  <c r="X80" i="3"/>
  <c r="Y79" i="3"/>
  <c r="X79" i="3"/>
  <c r="Y78" i="3"/>
  <c r="X78" i="3"/>
  <c r="Y77" i="3"/>
  <c r="X77" i="3"/>
  <c r="Y76" i="3"/>
  <c r="X76" i="3"/>
  <c r="Y75" i="3"/>
  <c r="X75" i="3"/>
  <c r="Y74" i="3"/>
  <c r="X74" i="3"/>
  <c r="Y73" i="3"/>
  <c r="X73" i="3"/>
  <c r="Y72" i="3"/>
  <c r="X72" i="3"/>
  <c r="Y71" i="3"/>
  <c r="X71" i="3"/>
  <c r="Y70" i="3"/>
  <c r="X70" i="3"/>
  <c r="Y69" i="3"/>
  <c r="X69" i="3"/>
  <c r="Y68" i="3"/>
  <c r="X68" i="3"/>
  <c r="Y67" i="3"/>
  <c r="X67" i="3"/>
  <c r="Y66" i="3"/>
  <c r="X66" i="3"/>
  <c r="Y65" i="3"/>
  <c r="X65" i="3"/>
  <c r="Y64" i="3"/>
  <c r="X64" i="3"/>
  <c r="Y63" i="3"/>
  <c r="X63" i="3"/>
  <c r="Y62" i="3"/>
  <c r="X62" i="3"/>
  <c r="Y61" i="3"/>
  <c r="X61" i="3"/>
  <c r="Y60" i="3"/>
  <c r="X60" i="3"/>
  <c r="Y59" i="3"/>
  <c r="X59" i="3"/>
  <c r="Y58" i="3"/>
  <c r="X58" i="3"/>
  <c r="Y57" i="3"/>
  <c r="X57" i="3"/>
  <c r="Y56" i="3"/>
  <c r="X56" i="3"/>
  <c r="Y55" i="3"/>
  <c r="X55" i="3"/>
  <c r="Y54" i="3"/>
  <c r="X54" i="3"/>
  <c r="Y53" i="3"/>
  <c r="X53" i="3"/>
  <c r="Y52" i="3"/>
  <c r="X52" i="3"/>
  <c r="Y51" i="3"/>
  <c r="X51" i="3"/>
  <c r="Y50" i="3"/>
  <c r="X50" i="3"/>
  <c r="Y49" i="3"/>
  <c r="X49" i="3"/>
  <c r="Y48" i="3"/>
  <c r="X48" i="3"/>
  <c r="Y47" i="3"/>
  <c r="X47" i="3"/>
  <c r="Y46" i="3"/>
  <c r="X46" i="3"/>
  <c r="Y45" i="3"/>
  <c r="X45" i="3"/>
  <c r="Y44" i="3"/>
  <c r="X44" i="3"/>
  <c r="Y43" i="3"/>
  <c r="X43" i="3"/>
  <c r="Y42" i="3"/>
  <c r="X42" i="3"/>
  <c r="Y41" i="3"/>
  <c r="X41" i="3"/>
  <c r="Y40" i="3"/>
  <c r="X40" i="3"/>
  <c r="Y39" i="3"/>
  <c r="X39" i="3"/>
  <c r="Y38" i="3"/>
  <c r="X38" i="3"/>
  <c r="Y37" i="3"/>
  <c r="X37" i="3"/>
  <c r="Y36" i="3"/>
  <c r="X36" i="3"/>
  <c r="Y35" i="3"/>
  <c r="X35" i="3"/>
  <c r="Y34" i="3"/>
  <c r="X34" i="3"/>
  <c r="Y33" i="3"/>
  <c r="X33" i="3"/>
  <c r="Y32" i="3"/>
  <c r="X32" i="3"/>
  <c r="Y31" i="3"/>
  <c r="X31" i="3"/>
  <c r="Y30" i="3"/>
  <c r="X30" i="3"/>
  <c r="Y29" i="3"/>
  <c r="X29" i="3"/>
  <c r="Y28" i="3"/>
  <c r="X28" i="3"/>
  <c r="Y27" i="3"/>
  <c r="X27" i="3"/>
  <c r="Y26" i="3"/>
  <c r="X26" i="3"/>
  <c r="Y25" i="3"/>
  <c r="X25" i="3"/>
  <c r="Y24" i="3"/>
  <c r="X24" i="3"/>
  <c r="Y23" i="3"/>
  <c r="X23" i="3"/>
  <c r="Y22" i="3"/>
  <c r="X22" i="3"/>
  <c r="Y21" i="3"/>
  <c r="X21" i="3"/>
  <c r="Y20" i="3"/>
  <c r="X20" i="3"/>
  <c r="Y19" i="3"/>
  <c r="X19" i="3"/>
  <c r="Y18" i="3"/>
  <c r="X18" i="3"/>
  <c r="Y17" i="3"/>
  <c r="X17" i="3"/>
  <c r="Y16" i="3"/>
  <c r="X16" i="3"/>
  <c r="Y15" i="3"/>
  <c r="X15" i="3"/>
  <c r="Y14" i="3"/>
  <c r="X14" i="3"/>
  <c r="Y13" i="3"/>
  <c r="X13" i="3"/>
  <c r="Y12" i="3"/>
  <c r="X12" i="3"/>
  <c r="Y11" i="3"/>
  <c r="X11" i="3"/>
  <c r="Y10" i="3"/>
  <c r="X10" i="3"/>
  <c r="Y9" i="3"/>
  <c r="X9" i="3"/>
  <c r="Y8" i="3"/>
  <c r="X8" i="3"/>
  <c r="Y7" i="3"/>
  <c r="X7" i="3"/>
  <c r="Y6" i="3"/>
  <c r="L12" i="5" l="1"/>
  <c r="Q23" i="5"/>
  <c r="K32" i="5"/>
  <c r="K37" i="5"/>
  <c r="Q43" i="5"/>
  <c r="I57" i="5"/>
  <c r="I67" i="5"/>
  <c r="L75" i="5"/>
  <c r="Q204" i="5"/>
  <c r="J6" i="5"/>
  <c r="Q7" i="5"/>
  <c r="B9" i="5"/>
  <c r="S9" i="5" s="1"/>
  <c r="E10" i="5"/>
  <c r="I11" i="5"/>
  <c r="Q12" i="5"/>
  <c r="B14" i="5"/>
  <c r="S14" i="5" s="1"/>
  <c r="F15" i="5"/>
  <c r="I16" i="5"/>
  <c r="Q17" i="5"/>
  <c r="B19" i="5"/>
  <c r="S19" i="5" s="1"/>
  <c r="F20" i="5"/>
  <c r="J21" i="5"/>
  <c r="K22" i="5"/>
  <c r="R23" i="5"/>
  <c r="D25" i="5"/>
  <c r="H26" i="5"/>
  <c r="L27" i="5"/>
  <c r="B29" i="5"/>
  <c r="S29" i="5" s="1"/>
  <c r="F30" i="5"/>
  <c r="I31" i="5"/>
  <c r="L32" i="5"/>
  <c r="A34" i="5"/>
  <c r="D35" i="5"/>
  <c r="H36" i="5"/>
  <c r="L37" i="5"/>
  <c r="A39" i="5"/>
  <c r="D40" i="5"/>
  <c r="F41" i="5"/>
  <c r="J42" i="5"/>
  <c r="R43" i="5"/>
  <c r="C45" i="5"/>
  <c r="G46" i="5"/>
  <c r="J47" i="5"/>
  <c r="Q48" i="5"/>
  <c r="B50" i="5"/>
  <c r="S50" i="5" s="1"/>
  <c r="F51" i="5"/>
  <c r="J52" i="5"/>
  <c r="R53" i="5"/>
  <c r="C55" i="5"/>
  <c r="F56" i="5"/>
  <c r="J57" i="5"/>
  <c r="R58" i="5"/>
  <c r="A60" i="5"/>
  <c r="E61" i="5"/>
  <c r="H62" i="5"/>
  <c r="K63" i="5"/>
  <c r="A65" i="5"/>
  <c r="E66" i="5"/>
  <c r="J67" i="5"/>
  <c r="R68" i="5"/>
  <c r="E70" i="5"/>
  <c r="I71" i="5"/>
  <c r="R72" i="5"/>
  <c r="F74" i="5"/>
  <c r="Q75" i="5"/>
  <c r="K77" i="5"/>
  <c r="Q79" i="5"/>
  <c r="H82" i="5"/>
  <c r="K85" i="5"/>
  <c r="I88" i="5"/>
  <c r="G91" i="5"/>
  <c r="F94" i="5"/>
  <c r="J97" i="5"/>
  <c r="Q100" i="5"/>
  <c r="K107" i="5"/>
  <c r="G113" i="5"/>
  <c r="I118" i="5"/>
  <c r="C139" i="5"/>
  <c r="F172" i="5"/>
  <c r="R206" i="5"/>
  <c r="H16" i="5"/>
  <c r="C35" i="5"/>
  <c r="A50" i="5"/>
  <c r="C82" i="5"/>
  <c r="K6" i="5"/>
  <c r="R7" i="5"/>
  <c r="C9" i="5"/>
  <c r="F10" i="5"/>
  <c r="J11" i="5"/>
  <c r="R12" i="5"/>
  <c r="C14" i="5"/>
  <c r="G15" i="5"/>
  <c r="J16" i="5"/>
  <c r="R17" i="5"/>
  <c r="C19" i="5"/>
  <c r="G20" i="5"/>
  <c r="K21" i="5"/>
  <c r="R22" i="5"/>
  <c r="A24" i="5"/>
  <c r="E25" i="5"/>
  <c r="I26" i="5"/>
  <c r="Q27" i="5"/>
  <c r="C29" i="5"/>
  <c r="G30" i="5"/>
  <c r="J31" i="5"/>
  <c r="Q32" i="5"/>
  <c r="B34" i="5"/>
  <c r="S34" i="5" s="1"/>
  <c r="E35" i="5"/>
  <c r="I36" i="5"/>
  <c r="Q37" i="5"/>
  <c r="B39" i="5"/>
  <c r="S39" i="5" s="1"/>
  <c r="E40" i="5"/>
  <c r="I41" i="5"/>
  <c r="K42" i="5"/>
  <c r="D45" i="5"/>
  <c r="H46" i="5"/>
  <c r="K47" i="5"/>
  <c r="R48" i="5"/>
  <c r="C50" i="5"/>
  <c r="G51" i="5"/>
  <c r="K52" i="5"/>
  <c r="D55" i="5"/>
  <c r="G56" i="5"/>
  <c r="K57" i="5"/>
  <c r="D60" i="5"/>
  <c r="F61" i="5"/>
  <c r="I62" i="5"/>
  <c r="L63" i="5"/>
  <c r="B65" i="5"/>
  <c r="S65" i="5" s="1"/>
  <c r="F66" i="5"/>
  <c r="K67" i="5"/>
  <c r="A69" i="5"/>
  <c r="F70" i="5"/>
  <c r="J71" i="5"/>
  <c r="A73" i="5"/>
  <c r="G74" i="5"/>
  <c r="L77" i="5"/>
  <c r="G80" i="5"/>
  <c r="R82" i="5"/>
  <c r="L85" i="5"/>
  <c r="J88" i="5"/>
  <c r="H91" i="5"/>
  <c r="G94" i="5"/>
  <c r="K97" i="5"/>
  <c r="R100" i="5"/>
  <c r="A104" i="5"/>
  <c r="D108" i="5"/>
  <c r="H113" i="5"/>
  <c r="J118" i="5"/>
  <c r="C141" i="5"/>
  <c r="F174" i="5"/>
  <c r="I209" i="5"/>
  <c r="E20" i="5"/>
  <c r="B55" i="5"/>
  <c r="S55" i="5" s="1"/>
  <c r="G112" i="5"/>
  <c r="R6" i="5"/>
  <c r="D9" i="5"/>
  <c r="G10" i="5"/>
  <c r="K11" i="5"/>
  <c r="A13" i="5"/>
  <c r="D14" i="5"/>
  <c r="H15" i="5"/>
  <c r="K16" i="5"/>
  <c r="A18" i="5"/>
  <c r="D19" i="5"/>
  <c r="H20" i="5"/>
  <c r="L21" i="5"/>
  <c r="D24" i="5"/>
  <c r="F25" i="5"/>
  <c r="J26" i="5"/>
  <c r="R27" i="5"/>
  <c r="D29" i="5"/>
  <c r="H30" i="5"/>
  <c r="K31" i="5"/>
  <c r="R32" i="5"/>
  <c r="C34" i="5"/>
  <c r="F35" i="5"/>
  <c r="J36" i="5"/>
  <c r="R37" i="5"/>
  <c r="C39" i="5"/>
  <c r="F40" i="5"/>
  <c r="J41" i="5"/>
  <c r="R42" i="5"/>
  <c r="A44" i="5"/>
  <c r="E45" i="5"/>
  <c r="I46" i="5"/>
  <c r="L47" i="5"/>
  <c r="A49" i="5"/>
  <c r="D50" i="5"/>
  <c r="H51" i="5"/>
  <c r="L52" i="5"/>
  <c r="A54" i="5"/>
  <c r="E55" i="5"/>
  <c r="H56" i="5"/>
  <c r="L57" i="5"/>
  <c r="A59" i="5"/>
  <c r="E60" i="5"/>
  <c r="I61" i="5"/>
  <c r="J62" i="5"/>
  <c r="Q63" i="5"/>
  <c r="C65" i="5"/>
  <c r="G66" i="5"/>
  <c r="L67" i="5"/>
  <c r="B69" i="5"/>
  <c r="S69" i="5" s="1"/>
  <c r="G70" i="5"/>
  <c r="K71" i="5"/>
  <c r="B73" i="5"/>
  <c r="S73" i="5" s="1"/>
  <c r="H74" i="5"/>
  <c r="A76" i="5"/>
  <c r="Q77" i="5"/>
  <c r="H80" i="5"/>
  <c r="Q85" i="5"/>
  <c r="K88" i="5"/>
  <c r="I91" i="5"/>
  <c r="H94" i="5"/>
  <c r="L97" i="5"/>
  <c r="B104" i="5"/>
  <c r="S104" i="5" s="1"/>
  <c r="E108" i="5"/>
  <c r="C114" i="5"/>
  <c r="C119" i="5"/>
  <c r="C143" i="5"/>
  <c r="G176" i="5"/>
  <c r="G212" i="5"/>
  <c r="L7" i="5"/>
  <c r="B45" i="5"/>
  <c r="S45" i="5" s="1"/>
  <c r="H118" i="5"/>
  <c r="A8" i="5"/>
  <c r="H10" i="5"/>
  <c r="B13" i="5"/>
  <c r="S13" i="5" s="1"/>
  <c r="B18" i="5"/>
  <c r="S18" i="5" s="1"/>
  <c r="E19" i="5"/>
  <c r="I20" i="5"/>
  <c r="Q21" i="5"/>
  <c r="A23" i="5"/>
  <c r="E24" i="5"/>
  <c r="I25" i="5"/>
  <c r="K26" i="5"/>
  <c r="A28" i="5"/>
  <c r="E29" i="5"/>
  <c r="I30" i="5"/>
  <c r="L31" i="5"/>
  <c r="A33" i="5"/>
  <c r="D34" i="5"/>
  <c r="G35" i="5"/>
  <c r="K36" i="5"/>
  <c r="D39" i="5"/>
  <c r="G40" i="5"/>
  <c r="K41" i="5"/>
  <c r="A43" i="5"/>
  <c r="D44" i="5"/>
  <c r="F45" i="5"/>
  <c r="J46" i="5"/>
  <c r="Q47" i="5"/>
  <c r="B49" i="5"/>
  <c r="S49" i="5" s="1"/>
  <c r="E50" i="5"/>
  <c r="I51" i="5"/>
  <c r="Q52" i="5"/>
  <c r="B54" i="5"/>
  <c r="S54" i="5" s="1"/>
  <c r="F55" i="5"/>
  <c r="I56" i="5"/>
  <c r="Q57" i="5"/>
  <c r="B59" i="5"/>
  <c r="S59" i="5" s="1"/>
  <c r="F60" i="5"/>
  <c r="J61" i="5"/>
  <c r="K62" i="5"/>
  <c r="R63" i="5"/>
  <c r="E65" i="5"/>
  <c r="H66" i="5"/>
  <c r="Q67" i="5"/>
  <c r="C69" i="5"/>
  <c r="H70" i="5"/>
  <c r="L71" i="5"/>
  <c r="C73" i="5"/>
  <c r="J74" i="5"/>
  <c r="D76" i="5"/>
  <c r="R77" i="5"/>
  <c r="I80" i="5"/>
  <c r="D83" i="5"/>
  <c r="B86" i="5"/>
  <c r="S86" i="5" s="1"/>
  <c r="A89" i="5"/>
  <c r="Q91" i="5"/>
  <c r="B95" i="5"/>
  <c r="S95" i="5" s="1"/>
  <c r="C98" i="5"/>
  <c r="D101" i="5"/>
  <c r="F104" i="5"/>
  <c r="F108" i="5"/>
  <c r="D114" i="5"/>
  <c r="D120" i="5"/>
  <c r="C145" i="5"/>
  <c r="G178" i="5"/>
  <c r="D215" i="5"/>
  <c r="I6" i="5"/>
  <c r="C25" i="5"/>
  <c r="I47" i="5"/>
  <c r="R64" i="5"/>
  <c r="Q87" i="5"/>
  <c r="E14" i="5"/>
  <c r="A7" i="5"/>
  <c r="D8" i="5"/>
  <c r="F9" i="5"/>
  <c r="I10" i="5"/>
  <c r="Q11" i="5"/>
  <c r="C13" i="5"/>
  <c r="F14" i="5"/>
  <c r="J15" i="5"/>
  <c r="Q16" i="5"/>
  <c r="C18" i="5"/>
  <c r="F19" i="5"/>
  <c r="J20" i="5"/>
  <c r="R21" i="5"/>
  <c r="B23" i="5"/>
  <c r="S23" i="5" s="1"/>
  <c r="F24" i="5"/>
  <c r="J25" i="5"/>
  <c r="R26" i="5"/>
  <c r="D28" i="5"/>
  <c r="F29" i="5"/>
  <c r="J30" i="5"/>
  <c r="Q31" i="5"/>
  <c r="B33" i="5"/>
  <c r="S33" i="5" s="1"/>
  <c r="E34" i="5"/>
  <c r="H35" i="5"/>
  <c r="L36" i="5"/>
  <c r="A38" i="5"/>
  <c r="E39" i="5"/>
  <c r="H40" i="5"/>
  <c r="L41" i="5"/>
  <c r="B43" i="5"/>
  <c r="S43" i="5" s="1"/>
  <c r="E44" i="5"/>
  <c r="I45" i="5"/>
  <c r="K46" i="5"/>
  <c r="R47" i="5"/>
  <c r="C49" i="5"/>
  <c r="F50" i="5"/>
  <c r="J51" i="5"/>
  <c r="R52" i="5"/>
  <c r="C54" i="5"/>
  <c r="G55" i="5"/>
  <c r="J56" i="5"/>
  <c r="R57" i="5"/>
  <c r="C59" i="5"/>
  <c r="G60" i="5"/>
  <c r="K61" i="5"/>
  <c r="R62" i="5"/>
  <c r="A64" i="5"/>
  <c r="F65" i="5"/>
  <c r="J66" i="5"/>
  <c r="E69" i="5"/>
  <c r="J70" i="5"/>
  <c r="Q71" i="5"/>
  <c r="E73" i="5"/>
  <c r="K74" i="5"/>
  <c r="E76" i="5"/>
  <c r="A78" i="5"/>
  <c r="J80" i="5"/>
  <c r="E83" i="5"/>
  <c r="C86" i="5"/>
  <c r="B89" i="5"/>
  <c r="S89" i="5" s="1"/>
  <c r="D92" i="5"/>
  <c r="C95" i="5"/>
  <c r="D98" i="5"/>
  <c r="E101" i="5"/>
  <c r="G104" i="5"/>
  <c r="B109" i="5"/>
  <c r="S109" i="5" s="1"/>
  <c r="E114" i="5"/>
  <c r="E120" i="5"/>
  <c r="A147" i="5"/>
  <c r="C181" i="5"/>
  <c r="A218" i="5"/>
  <c r="A14" i="5"/>
  <c r="R38" i="5"/>
  <c r="D61" i="5"/>
  <c r="A91" i="5"/>
  <c r="E9" i="5"/>
  <c r="G4" i="5"/>
  <c r="B7" i="5"/>
  <c r="S7" i="5" s="1"/>
  <c r="E8" i="5"/>
  <c r="I9" i="5"/>
  <c r="J10" i="5"/>
  <c r="R11" i="5"/>
  <c r="D13" i="5"/>
  <c r="G14" i="5"/>
  <c r="K15" i="5"/>
  <c r="R16" i="5"/>
  <c r="D18" i="5"/>
  <c r="G19" i="5"/>
  <c r="K20" i="5"/>
  <c r="C23" i="5"/>
  <c r="G24" i="5"/>
  <c r="K25" i="5"/>
  <c r="A27" i="5"/>
  <c r="E28" i="5"/>
  <c r="I29" i="5"/>
  <c r="K30" i="5"/>
  <c r="R31" i="5"/>
  <c r="C33" i="5"/>
  <c r="F34" i="5"/>
  <c r="I35" i="5"/>
  <c r="Q36" i="5"/>
  <c r="B38" i="5"/>
  <c r="S38" i="5" s="1"/>
  <c r="F39" i="5"/>
  <c r="I40" i="5"/>
  <c r="Q41" i="5"/>
  <c r="C43" i="5"/>
  <c r="F44" i="5"/>
  <c r="J45" i="5"/>
  <c r="R46" i="5"/>
  <c r="D49" i="5"/>
  <c r="G50" i="5"/>
  <c r="K51" i="5"/>
  <c r="A53" i="5"/>
  <c r="D54" i="5"/>
  <c r="H55" i="5"/>
  <c r="K56" i="5"/>
  <c r="A58" i="5"/>
  <c r="D59" i="5"/>
  <c r="H60" i="5"/>
  <c r="L61" i="5"/>
  <c r="D64" i="5"/>
  <c r="I65" i="5"/>
  <c r="K66" i="5"/>
  <c r="A68" i="5"/>
  <c r="F69" i="5"/>
  <c r="K70" i="5"/>
  <c r="A72" i="5"/>
  <c r="F73" i="5"/>
  <c r="R74" i="5"/>
  <c r="F76" i="5"/>
  <c r="F78" i="5"/>
  <c r="K80" i="5"/>
  <c r="F83" i="5"/>
  <c r="D86" i="5"/>
  <c r="C89" i="5"/>
  <c r="E92" i="5"/>
  <c r="D95" i="5"/>
  <c r="E98" i="5"/>
  <c r="F101" i="5"/>
  <c r="H104" i="5"/>
  <c r="C109" i="5"/>
  <c r="F114" i="5"/>
  <c r="F120" i="5"/>
  <c r="H149" i="5"/>
  <c r="A183" i="5"/>
  <c r="Q220" i="5"/>
  <c r="A29" i="5"/>
  <c r="K58" i="5"/>
  <c r="R93" i="5"/>
  <c r="L16" i="5"/>
  <c r="C7" i="5"/>
  <c r="F8" i="5"/>
  <c r="J9" i="5"/>
  <c r="K10" i="5"/>
  <c r="A12" i="5"/>
  <c r="E13" i="5"/>
  <c r="H14" i="5"/>
  <c r="L15" i="5"/>
  <c r="A17" i="5"/>
  <c r="E18" i="5"/>
  <c r="H19" i="5"/>
  <c r="L20" i="5"/>
  <c r="A22" i="5"/>
  <c r="D23" i="5"/>
  <c r="H24" i="5"/>
  <c r="L25" i="5"/>
  <c r="B27" i="5"/>
  <c r="S27" i="5" s="1"/>
  <c r="F28" i="5"/>
  <c r="J29" i="5"/>
  <c r="R30" i="5"/>
  <c r="D33" i="5"/>
  <c r="G34" i="5"/>
  <c r="J35" i="5"/>
  <c r="R36" i="5"/>
  <c r="C38" i="5"/>
  <c r="G39" i="5"/>
  <c r="J40" i="5"/>
  <c r="R41" i="5"/>
  <c r="D43" i="5"/>
  <c r="G44" i="5"/>
  <c r="K45" i="5"/>
  <c r="A48" i="5"/>
  <c r="E49" i="5"/>
  <c r="H50" i="5"/>
  <c r="L51" i="5"/>
  <c r="B53" i="5"/>
  <c r="S53" i="5" s="1"/>
  <c r="E54" i="5"/>
  <c r="I55" i="5"/>
  <c r="L56" i="5"/>
  <c r="B58" i="5"/>
  <c r="S58" i="5" s="1"/>
  <c r="E59" i="5"/>
  <c r="I60" i="5"/>
  <c r="Q61" i="5"/>
  <c r="A63" i="5"/>
  <c r="E64" i="5"/>
  <c r="J65" i="5"/>
  <c r="R66" i="5"/>
  <c r="D68" i="5"/>
  <c r="I69" i="5"/>
  <c r="R70" i="5"/>
  <c r="D72" i="5"/>
  <c r="I73" i="5"/>
  <c r="A75" i="5"/>
  <c r="G76" i="5"/>
  <c r="G78" i="5"/>
  <c r="L80" i="5"/>
  <c r="G83" i="5"/>
  <c r="E86" i="5"/>
  <c r="I89" i="5"/>
  <c r="F92" i="5"/>
  <c r="E95" i="5"/>
  <c r="F98" i="5"/>
  <c r="G101" i="5"/>
  <c r="I104" i="5"/>
  <c r="D110" i="5"/>
  <c r="H115" i="5"/>
  <c r="J121" i="5"/>
  <c r="I151" i="5"/>
  <c r="B185" i="5"/>
  <c r="S185" i="5" s="1"/>
  <c r="G223" i="5"/>
  <c r="E15" i="5"/>
  <c r="I21" i="5"/>
  <c r="G26" i="5"/>
  <c r="G36" i="5"/>
  <c r="I42" i="5"/>
  <c r="I52" i="5"/>
  <c r="G62" i="5"/>
  <c r="Q68" i="5"/>
  <c r="D70" i="5"/>
  <c r="Q72" i="5"/>
  <c r="E74" i="5"/>
  <c r="J77" i="5"/>
  <c r="D137" i="5"/>
  <c r="I15" i="5"/>
  <c r="A6" i="5"/>
  <c r="D7" i="5"/>
  <c r="G8" i="5"/>
  <c r="K9" i="5"/>
  <c r="R10" i="5"/>
  <c r="D12" i="5"/>
  <c r="F13" i="5"/>
  <c r="I14" i="5"/>
  <c r="Q15" i="5"/>
  <c r="B17" i="5"/>
  <c r="S17" i="5" s="1"/>
  <c r="F18" i="5"/>
  <c r="I19" i="5"/>
  <c r="Q20" i="5"/>
  <c r="B22" i="5"/>
  <c r="S22" i="5" s="1"/>
  <c r="E23" i="5"/>
  <c r="I24" i="5"/>
  <c r="Q25" i="5"/>
  <c r="C27" i="5"/>
  <c r="G28" i="5"/>
  <c r="K29" i="5"/>
  <c r="A32" i="5"/>
  <c r="E33" i="5"/>
  <c r="H34" i="5"/>
  <c r="K35" i="5"/>
  <c r="A37" i="5"/>
  <c r="D38" i="5"/>
  <c r="H39" i="5"/>
  <c r="K40" i="5"/>
  <c r="A42" i="5"/>
  <c r="E43" i="5"/>
  <c r="H44" i="5"/>
  <c r="L45" i="5"/>
  <c r="A47" i="5"/>
  <c r="D48" i="5"/>
  <c r="F49" i="5"/>
  <c r="I50" i="5"/>
  <c r="Q51" i="5"/>
  <c r="C53" i="5"/>
  <c r="F54" i="5"/>
  <c r="J55" i="5"/>
  <c r="Q56" i="5"/>
  <c r="C58" i="5"/>
  <c r="F59" i="5"/>
  <c r="J60" i="5"/>
  <c r="R61" i="5"/>
  <c r="B63" i="5"/>
  <c r="S63" i="5" s="1"/>
  <c r="F64" i="5"/>
  <c r="K65" i="5"/>
  <c r="A67" i="5"/>
  <c r="E68" i="5"/>
  <c r="J69" i="5"/>
  <c r="E72" i="5"/>
  <c r="J73" i="5"/>
  <c r="B75" i="5"/>
  <c r="S75" i="5" s="1"/>
  <c r="H76" i="5"/>
  <c r="H78" i="5"/>
  <c r="C81" i="5"/>
  <c r="H83" i="5"/>
  <c r="F86" i="5"/>
  <c r="J89" i="5"/>
  <c r="G92" i="5"/>
  <c r="F95" i="5"/>
  <c r="G98" i="5"/>
  <c r="H101" i="5"/>
  <c r="B105" i="5"/>
  <c r="S105" i="5" s="1"/>
  <c r="E110" i="5"/>
  <c r="I115" i="5"/>
  <c r="E122" i="5"/>
  <c r="G153" i="5"/>
  <c r="R186" i="5"/>
  <c r="C226" i="5"/>
  <c r="A19" i="5"/>
  <c r="A40" i="5"/>
  <c r="D66" i="5"/>
  <c r="G170" i="5"/>
  <c r="L11" i="5"/>
  <c r="B6" i="5"/>
  <c r="S6" i="5" s="1"/>
  <c r="E7" i="5"/>
  <c r="H8" i="5"/>
  <c r="L9" i="5"/>
  <c r="A11" i="5"/>
  <c r="E12" i="5"/>
  <c r="I13" i="5"/>
  <c r="J14" i="5"/>
  <c r="R15" i="5"/>
  <c r="C17" i="5"/>
  <c r="G18" i="5"/>
  <c r="J19" i="5"/>
  <c r="R20" i="5"/>
  <c r="C22" i="5"/>
  <c r="F23" i="5"/>
  <c r="J24" i="5"/>
  <c r="R25" i="5"/>
  <c r="D27" i="5"/>
  <c r="H28" i="5"/>
  <c r="L29" i="5"/>
  <c r="A31" i="5"/>
  <c r="D32" i="5"/>
  <c r="F33" i="5"/>
  <c r="I34" i="5"/>
  <c r="L35" i="5"/>
  <c r="B37" i="5"/>
  <c r="S37" i="5" s="1"/>
  <c r="E38" i="5"/>
  <c r="I39" i="5"/>
  <c r="L40" i="5"/>
  <c r="B42" i="5"/>
  <c r="S42" i="5" s="1"/>
  <c r="F43" i="5"/>
  <c r="I44" i="5"/>
  <c r="Q45" i="5"/>
  <c r="B47" i="5"/>
  <c r="S47" i="5" s="1"/>
  <c r="E48" i="5"/>
  <c r="I49" i="5"/>
  <c r="J50" i="5"/>
  <c r="R51" i="5"/>
  <c r="D53" i="5"/>
  <c r="G54" i="5"/>
  <c r="K55" i="5"/>
  <c r="R56" i="5"/>
  <c r="D58" i="5"/>
  <c r="G59" i="5"/>
  <c r="K60" i="5"/>
  <c r="C63" i="5"/>
  <c r="G64" i="5"/>
  <c r="L65" i="5"/>
  <c r="B67" i="5"/>
  <c r="S67" i="5" s="1"/>
  <c r="F68" i="5"/>
  <c r="K69" i="5"/>
  <c r="A71" i="5"/>
  <c r="F72" i="5"/>
  <c r="K73" i="5"/>
  <c r="C75" i="5"/>
  <c r="I76" i="5"/>
  <c r="A79" i="5"/>
  <c r="E81" i="5"/>
  <c r="D84" i="5"/>
  <c r="C87" i="5"/>
  <c r="A90" i="5"/>
  <c r="Q92" i="5"/>
  <c r="L95" i="5"/>
  <c r="C99" i="5"/>
  <c r="F102" i="5"/>
  <c r="H105" i="5"/>
  <c r="F110" i="5"/>
  <c r="R115" i="5"/>
  <c r="K123" i="5"/>
  <c r="H155" i="5"/>
  <c r="G189" i="5"/>
  <c r="A9" i="5"/>
  <c r="E30" i="5"/>
  <c r="Q53" i="5"/>
  <c r="L79" i="5"/>
  <c r="C6" i="5"/>
  <c r="F7" i="5"/>
  <c r="I8" i="5"/>
  <c r="Q9" i="5"/>
  <c r="B11" i="5"/>
  <c r="S11" i="5" s="1"/>
  <c r="F12" i="5"/>
  <c r="J13" i="5"/>
  <c r="K14" i="5"/>
  <c r="D17" i="5"/>
  <c r="H18" i="5"/>
  <c r="K19" i="5"/>
  <c r="A21" i="5"/>
  <c r="D22" i="5"/>
  <c r="G23" i="5"/>
  <c r="K24" i="5"/>
  <c r="A26" i="5"/>
  <c r="E27" i="5"/>
  <c r="I28" i="5"/>
  <c r="Q29" i="5"/>
  <c r="B31" i="5"/>
  <c r="S31" i="5" s="1"/>
  <c r="E32" i="5"/>
  <c r="I33" i="5"/>
  <c r="J34" i="5"/>
  <c r="Q35" i="5"/>
  <c r="C37" i="5"/>
  <c r="F38" i="5"/>
  <c r="J39" i="5"/>
  <c r="Q40" i="5"/>
  <c r="C42" i="5"/>
  <c r="G43" i="5"/>
  <c r="J44" i="5"/>
  <c r="R45" i="5"/>
  <c r="C47" i="5"/>
  <c r="F48" i="5"/>
  <c r="J49" i="5"/>
  <c r="K50" i="5"/>
  <c r="A52" i="5"/>
  <c r="E53" i="5"/>
  <c r="H54" i="5"/>
  <c r="L55" i="5"/>
  <c r="A57" i="5"/>
  <c r="E58" i="5"/>
  <c r="H59" i="5"/>
  <c r="L60" i="5"/>
  <c r="A62" i="5"/>
  <c r="D63" i="5"/>
  <c r="H64" i="5"/>
  <c r="Q65" i="5"/>
  <c r="C67" i="5"/>
  <c r="G68" i="5"/>
  <c r="L69" i="5"/>
  <c r="B71" i="5"/>
  <c r="S71" i="5" s="1"/>
  <c r="G72" i="5"/>
  <c r="L73" i="5"/>
  <c r="D75" i="5"/>
  <c r="J76" i="5"/>
  <c r="B79" i="5"/>
  <c r="S79" i="5" s="1"/>
  <c r="I81" i="5"/>
  <c r="E84" i="5"/>
  <c r="D87" i="5"/>
  <c r="B90" i="5"/>
  <c r="S90" i="5" s="1"/>
  <c r="R92" i="5"/>
  <c r="Q95" i="5"/>
  <c r="D99" i="5"/>
  <c r="G102" i="5"/>
  <c r="I105" i="5"/>
  <c r="G110" i="5"/>
  <c r="F116" i="5"/>
  <c r="C124" i="5"/>
  <c r="H157" i="5"/>
  <c r="D191" i="5"/>
  <c r="D232" i="5"/>
  <c r="K27" i="5"/>
  <c r="R59" i="5"/>
  <c r="B103" i="5"/>
  <c r="S103" i="5" s="1"/>
  <c r="D6" i="5"/>
  <c r="G7" i="5"/>
  <c r="J8" i="5"/>
  <c r="R9" i="5"/>
  <c r="C11" i="5"/>
  <c r="G12" i="5"/>
  <c r="K13" i="5"/>
  <c r="R14" i="5"/>
  <c r="A16" i="5"/>
  <c r="E17" i="5"/>
  <c r="I18" i="5"/>
  <c r="L19" i="5"/>
  <c r="B21" i="5"/>
  <c r="S21" i="5" s="1"/>
  <c r="E22" i="5"/>
  <c r="H23" i="5"/>
  <c r="L24" i="5"/>
  <c r="B26" i="5"/>
  <c r="S26" i="5" s="1"/>
  <c r="F27" i="5"/>
  <c r="J33" i="5"/>
  <c r="K34" i="5"/>
  <c r="R35" i="5"/>
  <c r="D37" i="5"/>
  <c r="G38" i="5"/>
  <c r="K39" i="5"/>
  <c r="R40" i="5"/>
  <c r="D42" i="5"/>
  <c r="H43" i="5"/>
  <c r="K44" i="5"/>
  <c r="A46" i="5"/>
  <c r="D47" i="5"/>
  <c r="G48" i="5"/>
  <c r="K49" i="5"/>
  <c r="R50" i="5"/>
  <c r="D52" i="5"/>
  <c r="F53" i="5"/>
  <c r="I54" i="5"/>
  <c r="Q55" i="5"/>
  <c r="B57" i="5"/>
  <c r="S57" i="5" s="1"/>
  <c r="F58" i="5"/>
  <c r="I59" i="5"/>
  <c r="Q60" i="5"/>
  <c r="B62" i="5"/>
  <c r="S62" i="5" s="1"/>
  <c r="E63" i="5"/>
  <c r="I64" i="5"/>
  <c r="R65" i="5"/>
  <c r="D67" i="5"/>
  <c r="H68" i="5"/>
  <c r="Q69" i="5"/>
  <c r="C71" i="5"/>
  <c r="H72" i="5"/>
  <c r="Q73" i="5"/>
  <c r="E75" i="5"/>
  <c r="R76" i="5"/>
  <c r="C79" i="5"/>
  <c r="Q81" i="5"/>
  <c r="F84" i="5"/>
  <c r="E87" i="5"/>
  <c r="C90" i="5"/>
  <c r="A93" i="5"/>
  <c r="D96" i="5"/>
  <c r="E99" i="5"/>
  <c r="H102" i="5"/>
  <c r="R105" i="5"/>
  <c r="I111" i="5"/>
  <c r="G116" i="5"/>
  <c r="E126" i="5"/>
  <c r="R159" i="5"/>
  <c r="H193" i="5"/>
  <c r="I247" i="5"/>
  <c r="H11" i="5"/>
  <c r="H31" i="5"/>
  <c r="E56" i="5"/>
  <c r="Q96" i="5"/>
  <c r="C31" i="5"/>
  <c r="E6" i="5"/>
  <c r="H7" i="5"/>
  <c r="K8" i="5"/>
  <c r="D11" i="5"/>
  <c r="H12" i="5"/>
  <c r="L13" i="5"/>
  <c r="A15" i="5"/>
  <c r="D16" i="5"/>
  <c r="F17" i="5"/>
  <c r="J18" i="5"/>
  <c r="Q19" i="5"/>
  <c r="C21" i="5"/>
  <c r="F22" i="5"/>
  <c r="I23" i="5"/>
  <c r="Q24" i="5"/>
  <c r="C26" i="5"/>
  <c r="G27" i="5"/>
  <c r="K28" i="5"/>
  <c r="A30" i="5"/>
  <c r="D31" i="5"/>
  <c r="G32" i="5"/>
  <c r="K33" i="5"/>
  <c r="R34" i="5"/>
  <c r="A36" i="5"/>
  <c r="E37" i="5"/>
  <c r="H38" i="5"/>
  <c r="L39" i="5"/>
  <c r="A41" i="5"/>
  <c r="E42" i="5"/>
  <c r="I43" i="5"/>
  <c r="L44" i="5"/>
  <c r="B46" i="5"/>
  <c r="S46" i="5" s="1"/>
  <c r="E47" i="5"/>
  <c r="H48" i="5"/>
  <c r="L49" i="5"/>
  <c r="A51" i="5"/>
  <c r="E52" i="5"/>
  <c r="I53" i="5"/>
  <c r="J54" i="5"/>
  <c r="R55" i="5"/>
  <c r="C57" i="5"/>
  <c r="G58" i="5"/>
  <c r="J59" i="5"/>
  <c r="R60" i="5"/>
  <c r="C62" i="5"/>
  <c r="F63" i="5"/>
  <c r="J64" i="5"/>
  <c r="E67" i="5"/>
  <c r="I68" i="5"/>
  <c r="R69" i="5"/>
  <c r="D71" i="5"/>
  <c r="I72" i="5"/>
  <c r="R73" i="5"/>
  <c r="F75" i="5"/>
  <c r="A77" i="5"/>
  <c r="D79" i="5"/>
  <c r="R81" i="5"/>
  <c r="J84" i="5"/>
  <c r="I87" i="5"/>
  <c r="G90" i="5"/>
  <c r="J93" i="5"/>
  <c r="H96" i="5"/>
  <c r="K99" i="5"/>
  <c r="L102" i="5"/>
  <c r="J111" i="5"/>
  <c r="H116" i="5"/>
  <c r="H128" i="5"/>
  <c r="C162" i="5"/>
  <c r="H195" i="5"/>
  <c r="H295" i="5"/>
  <c r="D10" i="5"/>
  <c r="F46" i="5"/>
  <c r="D107" i="5"/>
  <c r="F32" i="5"/>
  <c r="F6" i="5"/>
  <c r="I7" i="5"/>
  <c r="L8" i="5"/>
  <c r="A10" i="5"/>
  <c r="E11" i="5"/>
  <c r="I12" i="5"/>
  <c r="Q13" i="5"/>
  <c r="B15" i="5"/>
  <c r="S15" i="5" s="1"/>
  <c r="E16" i="5"/>
  <c r="I17" i="5"/>
  <c r="K18" i="5"/>
  <c r="R19" i="5"/>
  <c r="D21" i="5"/>
  <c r="G22" i="5"/>
  <c r="J23" i="5"/>
  <c r="R24" i="5"/>
  <c r="D26" i="5"/>
  <c r="H27" i="5"/>
  <c r="L28" i="5"/>
  <c r="B30" i="5"/>
  <c r="S30" i="5" s="1"/>
  <c r="E31" i="5"/>
  <c r="H32" i="5"/>
  <c r="L33" i="5"/>
  <c r="D36" i="5"/>
  <c r="F37" i="5"/>
  <c r="I38" i="5"/>
  <c r="Q39" i="5"/>
  <c r="B41" i="5"/>
  <c r="S41" i="5" s="1"/>
  <c r="F42" i="5"/>
  <c r="J43" i="5"/>
  <c r="Q44" i="5"/>
  <c r="C46" i="5"/>
  <c r="F47" i="5"/>
  <c r="I48" i="5"/>
  <c r="Q49" i="5"/>
  <c r="B51" i="5"/>
  <c r="S51" i="5" s="1"/>
  <c r="F52" i="5"/>
  <c r="J53" i="5"/>
  <c r="K54" i="5"/>
  <c r="D57" i="5"/>
  <c r="H58" i="5"/>
  <c r="K59" i="5"/>
  <c r="A61" i="5"/>
  <c r="D62" i="5"/>
  <c r="G63" i="5"/>
  <c r="K64" i="5"/>
  <c r="A66" i="5"/>
  <c r="F67" i="5"/>
  <c r="J68" i="5"/>
  <c r="A70" i="5"/>
  <c r="E71" i="5"/>
  <c r="J72" i="5"/>
  <c r="G75" i="5"/>
  <c r="B77" i="5"/>
  <c r="S77" i="5" s="1"/>
  <c r="E79" i="5"/>
  <c r="K84" i="5"/>
  <c r="J87" i="5"/>
  <c r="H90" i="5"/>
  <c r="K93" i="5"/>
  <c r="I96" i="5"/>
  <c r="L99" i="5"/>
  <c r="Q102" i="5"/>
  <c r="C106" i="5"/>
  <c r="B112" i="5"/>
  <c r="S112" i="5" s="1"/>
  <c r="F117" i="5"/>
  <c r="L130" i="5"/>
  <c r="A164" i="5"/>
  <c r="G197" i="5"/>
  <c r="K354" i="5"/>
  <c r="L17" i="5"/>
  <c r="L48" i="5"/>
  <c r="J28" i="5"/>
  <c r="G6" i="5"/>
  <c r="J7" i="5"/>
  <c r="Q8" i="5"/>
  <c r="B10" i="5"/>
  <c r="S10" i="5" s="1"/>
  <c r="F11" i="5"/>
  <c r="J12" i="5"/>
  <c r="R13" i="5"/>
  <c r="C15" i="5"/>
  <c r="F16" i="5"/>
  <c r="J17" i="5"/>
  <c r="R18" i="5"/>
  <c r="A20" i="5"/>
  <c r="E21" i="5"/>
  <c r="H22" i="5"/>
  <c r="K23" i="5"/>
  <c r="A25" i="5"/>
  <c r="E26" i="5"/>
  <c r="I27" i="5"/>
  <c r="Q28" i="5"/>
  <c r="C30" i="5"/>
  <c r="F31" i="5"/>
  <c r="I32" i="5"/>
  <c r="Q33" i="5"/>
  <c r="A35" i="5"/>
  <c r="E36" i="5"/>
  <c r="I37" i="5"/>
  <c r="J38" i="5"/>
  <c r="R39" i="5"/>
  <c r="C41" i="5"/>
  <c r="G42" i="5"/>
  <c r="K43" i="5"/>
  <c r="R44" i="5"/>
  <c r="D46" i="5"/>
  <c r="G47" i="5"/>
  <c r="J48" i="5"/>
  <c r="R49" i="5"/>
  <c r="C51" i="5"/>
  <c r="G52" i="5"/>
  <c r="K53" i="5"/>
  <c r="R54" i="5"/>
  <c r="A56" i="5"/>
  <c r="E57" i="5"/>
  <c r="I58" i="5"/>
  <c r="L59" i="5"/>
  <c r="B61" i="5"/>
  <c r="S61" i="5" s="1"/>
  <c r="E62" i="5"/>
  <c r="H63" i="5"/>
  <c r="L64" i="5"/>
  <c r="B66" i="5"/>
  <c r="S66" i="5" s="1"/>
  <c r="G67" i="5"/>
  <c r="K68" i="5"/>
  <c r="B70" i="5"/>
  <c r="S70" i="5" s="1"/>
  <c r="F71" i="5"/>
  <c r="K72" i="5"/>
  <c r="A74" i="5"/>
  <c r="J75" i="5"/>
  <c r="C77" i="5"/>
  <c r="F79" i="5"/>
  <c r="A82" i="5"/>
  <c r="L84" i="5"/>
  <c r="K87" i="5"/>
  <c r="R90" i="5"/>
  <c r="L93" i="5"/>
  <c r="J96" i="5"/>
  <c r="Q99" i="5"/>
  <c r="R102" i="5"/>
  <c r="J106" i="5"/>
  <c r="E112" i="5"/>
  <c r="G117" i="5"/>
  <c r="Q132" i="5"/>
  <c r="Q165" i="5"/>
  <c r="Q199" i="5"/>
  <c r="H706" i="5"/>
  <c r="K715" i="5"/>
  <c r="C701" i="5"/>
  <c r="F690" i="5"/>
  <c r="L677" i="5"/>
  <c r="G667" i="5"/>
  <c r="K653" i="5"/>
  <c r="I642" i="5"/>
  <c r="J631" i="5"/>
  <c r="A622" i="5"/>
  <c r="H612" i="5"/>
  <c r="D599" i="5"/>
  <c r="C590" i="5"/>
  <c r="R580" i="5"/>
  <c r="F570" i="5"/>
  <c r="Q561" i="5"/>
  <c r="J550" i="5"/>
  <c r="E542" i="5"/>
  <c r="J532" i="5"/>
  <c r="L524" i="5"/>
  <c r="J517" i="5"/>
  <c r="E508" i="5"/>
  <c r="Q500" i="5"/>
  <c r="F494" i="5"/>
  <c r="K487" i="5"/>
  <c r="E479" i="5"/>
  <c r="B473" i="5"/>
  <c r="S473" i="5" s="1"/>
  <c r="K464" i="5"/>
  <c r="D457" i="5"/>
  <c r="B451" i="5"/>
  <c r="S451" i="5" s="1"/>
  <c r="K445" i="5"/>
  <c r="Q437" i="5"/>
  <c r="H432" i="5"/>
  <c r="A427" i="5"/>
  <c r="E422" i="5"/>
  <c r="E417" i="5"/>
  <c r="E411" i="5"/>
  <c r="J406" i="5"/>
  <c r="F402" i="5"/>
  <c r="K397" i="5"/>
  <c r="F394" i="5"/>
  <c r="D389" i="5"/>
  <c r="G384" i="5"/>
  <c r="K379" i="5"/>
  <c r="Q375" i="5"/>
  <c r="Q371" i="5"/>
  <c r="C368" i="5"/>
  <c r="E362" i="5"/>
  <c r="L358" i="5"/>
  <c r="I354" i="5"/>
  <c r="D351" i="5"/>
  <c r="Q346" i="5"/>
  <c r="L341" i="5"/>
  <c r="D337" i="5"/>
  <c r="E334" i="5"/>
  <c r="E330" i="5"/>
  <c r="E326" i="5"/>
  <c r="R321" i="5"/>
  <c r="H318" i="5"/>
  <c r="A315" i="5"/>
  <c r="I311" i="5"/>
  <c r="F307" i="5"/>
  <c r="K304" i="5"/>
  <c r="J301" i="5"/>
  <c r="C298" i="5"/>
  <c r="G295" i="5"/>
  <c r="C292" i="5"/>
  <c r="G288" i="5"/>
  <c r="C286" i="5"/>
  <c r="R282" i="5"/>
  <c r="R279" i="5"/>
  <c r="C277" i="5"/>
  <c r="Q273" i="5"/>
  <c r="L270" i="5"/>
  <c r="A268" i="5"/>
  <c r="H265" i="5"/>
  <c r="H262" i="5"/>
  <c r="B259" i="5"/>
  <c r="S259" i="5" s="1"/>
  <c r="C256" i="5"/>
  <c r="R253" i="5"/>
  <c r="A251" i="5"/>
  <c r="H247" i="5"/>
  <c r="J244" i="5"/>
  <c r="D242" i="5"/>
  <c r="G239" i="5"/>
  <c r="I236" i="5"/>
  <c r="F714" i="5"/>
  <c r="R700" i="5"/>
  <c r="E690" i="5"/>
  <c r="G677" i="5"/>
  <c r="K664" i="5"/>
  <c r="F651" i="5"/>
  <c r="L641" i="5"/>
  <c r="D631" i="5"/>
  <c r="R621" i="5"/>
  <c r="L610" i="5"/>
  <c r="J598" i="5"/>
  <c r="D589" i="5"/>
  <c r="K578" i="5"/>
  <c r="C570" i="5"/>
  <c r="G561" i="5"/>
  <c r="I550" i="5"/>
  <c r="D542" i="5"/>
  <c r="I532" i="5"/>
  <c r="K524" i="5"/>
  <c r="G517" i="5"/>
  <c r="A508" i="5"/>
  <c r="L500" i="5"/>
  <c r="E494" i="5"/>
  <c r="B487" i="5"/>
  <c r="S487" i="5" s="1"/>
  <c r="C479" i="5"/>
  <c r="H470" i="5"/>
  <c r="J464" i="5"/>
  <c r="C457" i="5"/>
  <c r="A451" i="5"/>
  <c r="L444" i="5"/>
  <c r="L437" i="5"/>
  <c r="G432" i="5"/>
  <c r="J426" i="5"/>
  <c r="B422" i="5"/>
  <c r="S422" i="5" s="1"/>
  <c r="D417" i="5"/>
  <c r="D411" i="5"/>
  <c r="I406" i="5"/>
  <c r="E402" i="5"/>
  <c r="H397" i="5"/>
  <c r="L393" i="5"/>
  <c r="K388" i="5"/>
  <c r="F384" i="5"/>
  <c r="J379" i="5"/>
  <c r="L375" i="5"/>
  <c r="L371" i="5"/>
  <c r="I367" i="5"/>
  <c r="D362" i="5"/>
  <c r="K358" i="5"/>
  <c r="H354" i="5"/>
  <c r="C351" i="5"/>
  <c r="E346" i="5"/>
  <c r="H341" i="5"/>
  <c r="C337" i="5"/>
  <c r="D334" i="5"/>
  <c r="A330" i="5"/>
  <c r="C326" i="5"/>
  <c r="G321" i="5"/>
  <c r="F318" i="5"/>
  <c r="B311" i="5"/>
  <c r="S311" i="5" s="1"/>
  <c r="E307" i="5"/>
  <c r="J304" i="5"/>
  <c r="I301" i="5"/>
  <c r="B298" i="5"/>
  <c r="S298" i="5" s="1"/>
  <c r="E295" i="5"/>
  <c r="K291" i="5"/>
  <c r="F288" i="5"/>
  <c r="B286" i="5"/>
  <c r="S286" i="5" s="1"/>
  <c r="Q282" i="5"/>
  <c r="L279" i="5"/>
  <c r="B277" i="5"/>
  <c r="S277" i="5" s="1"/>
  <c r="L273" i="5"/>
  <c r="K270" i="5"/>
  <c r="Q267" i="5"/>
  <c r="F265" i="5"/>
  <c r="R261" i="5"/>
  <c r="A259" i="5"/>
  <c r="B256" i="5"/>
  <c r="S256" i="5" s="1"/>
  <c r="Q253" i="5"/>
  <c r="K250" i="5"/>
  <c r="G247" i="5"/>
  <c r="I244" i="5"/>
  <c r="C242" i="5"/>
  <c r="F239" i="5"/>
  <c r="H236" i="5"/>
  <c r="E714" i="5"/>
  <c r="F699" i="5"/>
  <c r="A690" i="5"/>
  <c r="E677" i="5"/>
  <c r="I664" i="5"/>
  <c r="B651" i="5"/>
  <c r="S651" i="5" s="1"/>
  <c r="E641" i="5"/>
  <c r="B631" i="5"/>
  <c r="S631" i="5" s="1"/>
  <c r="L621" i="5"/>
  <c r="J610" i="5"/>
  <c r="I598" i="5"/>
  <c r="A589" i="5"/>
  <c r="F578" i="5"/>
  <c r="B570" i="5"/>
  <c r="S570" i="5" s="1"/>
  <c r="B559" i="5"/>
  <c r="S559" i="5" s="1"/>
  <c r="F549" i="5"/>
  <c r="F541" i="5"/>
  <c r="R531" i="5"/>
  <c r="K523" i="5"/>
  <c r="I514" i="5"/>
  <c r="R507" i="5"/>
  <c r="J500" i="5"/>
  <c r="R492" i="5"/>
  <c r="I486" i="5"/>
  <c r="R478" i="5"/>
  <c r="A470" i="5"/>
  <c r="D463" i="5"/>
  <c r="B457" i="5"/>
  <c r="S457" i="5" s="1"/>
  <c r="E450" i="5"/>
  <c r="I442" i="5"/>
  <c r="R436" i="5"/>
  <c r="F432" i="5"/>
  <c r="E426" i="5"/>
  <c r="C421" i="5"/>
  <c r="E415" i="5"/>
  <c r="C411" i="5"/>
  <c r="H406" i="5"/>
  <c r="D402" i="5"/>
  <c r="G397" i="5"/>
  <c r="A393" i="5"/>
  <c r="J387" i="5"/>
  <c r="R383" i="5"/>
  <c r="G379" i="5"/>
  <c r="J375" i="5"/>
  <c r="H371" i="5"/>
  <c r="H367" i="5"/>
  <c r="C362" i="5"/>
  <c r="J358" i="5"/>
  <c r="G354" i="5"/>
  <c r="B351" i="5"/>
  <c r="S351" i="5" s="1"/>
  <c r="D346" i="5"/>
  <c r="G341" i="5"/>
  <c r="B337" i="5"/>
  <c r="S337" i="5" s="1"/>
  <c r="R333" i="5"/>
  <c r="R329" i="5"/>
  <c r="D325" i="5"/>
  <c r="F321" i="5"/>
  <c r="E318" i="5"/>
  <c r="Q314" i="5"/>
  <c r="A311" i="5"/>
  <c r="D307" i="5"/>
  <c r="I304" i="5"/>
  <c r="H301" i="5"/>
  <c r="R297" i="5"/>
  <c r="C295" i="5"/>
  <c r="J291" i="5"/>
  <c r="E288" i="5"/>
  <c r="G285" i="5"/>
  <c r="L282" i="5"/>
  <c r="J279" i="5"/>
  <c r="E276" i="5"/>
  <c r="A273" i="5"/>
  <c r="I270" i="5"/>
  <c r="L267" i="5"/>
  <c r="K264" i="5"/>
  <c r="H261" i="5"/>
  <c r="R258" i="5"/>
  <c r="A256" i="5"/>
  <c r="B253" i="5"/>
  <c r="S253" i="5" s="1"/>
  <c r="R249" i="5"/>
  <c r="F247" i="5"/>
  <c r="H244" i="5"/>
  <c r="B242" i="5"/>
  <c r="S242" i="5" s="1"/>
  <c r="E239" i="5"/>
  <c r="F236" i="5"/>
  <c r="C713" i="5"/>
  <c r="E699" i="5"/>
  <c r="L688" i="5"/>
  <c r="G676" i="5"/>
  <c r="I662" i="5"/>
  <c r="A650" i="5"/>
  <c r="D641" i="5"/>
  <c r="L630" i="5"/>
  <c r="F619" i="5"/>
  <c r="E610" i="5"/>
  <c r="G598" i="5"/>
  <c r="F587" i="5"/>
  <c r="B578" i="5"/>
  <c r="S578" i="5" s="1"/>
  <c r="A570" i="5"/>
  <c r="A559" i="5"/>
  <c r="A549" i="5"/>
  <c r="D541" i="5"/>
  <c r="Q531" i="5"/>
  <c r="A523" i="5"/>
  <c r="G514" i="5"/>
  <c r="Q507" i="5"/>
  <c r="L499" i="5"/>
  <c r="Q492" i="5"/>
  <c r="F486" i="5"/>
  <c r="L477" i="5"/>
  <c r="L469" i="5"/>
  <c r="C463" i="5"/>
  <c r="A457" i="5"/>
  <c r="R449" i="5"/>
  <c r="G442" i="5"/>
  <c r="Q436" i="5"/>
  <c r="R431" i="5"/>
  <c r="C426" i="5"/>
  <c r="A421" i="5"/>
  <c r="C415" i="5"/>
  <c r="B411" i="5"/>
  <c r="S411" i="5" s="1"/>
  <c r="R405" i="5"/>
  <c r="C402" i="5"/>
  <c r="D397" i="5"/>
  <c r="C392" i="5"/>
  <c r="H387" i="5"/>
  <c r="Q383" i="5"/>
  <c r="F379" i="5"/>
  <c r="H375" i="5"/>
  <c r="F371" i="5"/>
  <c r="E366" i="5"/>
  <c r="A362" i="5"/>
  <c r="I358" i="5"/>
  <c r="F354" i="5"/>
  <c r="R349" i="5"/>
  <c r="D345" i="5"/>
  <c r="F341" i="5"/>
  <c r="A337" i="5"/>
  <c r="E333" i="5"/>
  <c r="L329" i="5"/>
  <c r="C325" i="5"/>
  <c r="E321" i="5"/>
  <c r="R317" i="5"/>
  <c r="L314" i="5"/>
  <c r="F310" i="5"/>
  <c r="C307" i="5"/>
  <c r="Q303" i="5"/>
  <c r="B301" i="5"/>
  <c r="S301" i="5" s="1"/>
  <c r="L297" i="5"/>
  <c r="B295" i="5"/>
  <c r="S295" i="5" s="1"/>
  <c r="E291" i="5"/>
  <c r="D288" i="5"/>
  <c r="F285" i="5"/>
  <c r="K282" i="5"/>
  <c r="I279" i="5"/>
  <c r="D276" i="5"/>
  <c r="R272" i="5"/>
  <c r="E270" i="5"/>
  <c r="H267" i="5"/>
  <c r="J264" i="5"/>
  <c r="G261" i="5"/>
  <c r="Q258" i="5"/>
  <c r="R255" i="5"/>
  <c r="A253" i="5"/>
  <c r="Q249" i="5"/>
  <c r="E247" i="5"/>
  <c r="G244" i="5"/>
  <c r="K241" i="5"/>
  <c r="C239" i="5"/>
  <c r="R235" i="5"/>
  <c r="B713" i="5"/>
  <c r="S713" i="5" s="1"/>
  <c r="D699" i="5"/>
  <c r="I688" i="5"/>
  <c r="F676" i="5"/>
  <c r="E661" i="5"/>
  <c r="R649" i="5"/>
  <c r="Q640" i="5"/>
  <c r="J630" i="5"/>
  <c r="E619" i="5"/>
  <c r="H607" i="5"/>
  <c r="F598" i="5"/>
  <c r="E587" i="5"/>
  <c r="A578" i="5"/>
  <c r="E566" i="5"/>
  <c r="L558" i="5"/>
  <c r="B548" i="5"/>
  <c r="S548" i="5" s="1"/>
  <c r="I539" i="5"/>
  <c r="L531" i="5"/>
  <c r="Q522" i="5"/>
  <c r="C514" i="5"/>
  <c r="B506" i="5"/>
  <c r="S506" i="5" s="1"/>
  <c r="J499" i="5"/>
  <c r="L492" i="5"/>
  <c r="K485" i="5"/>
  <c r="J477" i="5"/>
  <c r="K469" i="5"/>
  <c r="B463" i="5"/>
  <c r="S463" i="5" s="1"/>
  <c r="R456" i="5"/>
  <c r="Q449" i="5"/>
  <c r="F442" i="5"/>
  <c r="G436" i="5"/>
  <c r="F431" i="5"/>
  <c r="R425" i="5"/>
  <c r="L419" i="5"/>
  <c r="A415" i="5"/>
  <c r="A411" i="5"/>
  <c r="L405" i="5"/>
  <c r="Q401" i="5"/>
  <c r="C397" i="5"/>
  <c r="K391" i="5"/>
  <c r="G387" i="5"/>
  <c r="L383" i="5"/>
  <c r="E379" i="5"/>
  <c r="G375" i="5"/>
  <c r="D371" i="5"/>
  <c r="D366" i="5"/>
  <c r="H358" i="5"/>
  <c r="E354" i="5"/>
  <c r="K349" i="5"/>
  <c r="C345" i="5"/>
  <c r="E341" i="5"/>
  <c r="R336" i="5"/>
  <c r="D333" i="5"/>
  <c r="K329" i="5"/>
  <c r="B325" i="5"/>
  <c r="S325" i="5" s="1"/>
  <c r="D321" i="5"/>
  <c r="Q317" i="5"/>
  <c r="H314" i="5"/>
  <c r="E310" i="5"/>
  <c r="B307" i="5"/>
  <c r="S307" i="5" s="1"/>
  <c r="L303" i="5"/>
  <c r="A301" i="5"/>
  <c r="K297" i="5"/>
  <c r="R293" i="5"/>
  <c r="Q290" i="5"/>
  <c r="C288" i="5"/>
  <c r="D285" i="5"/>
  <c r="I282" i="5"/>
  <c r="H279" i="5"/>
  <c r="Q275" i="5"/>
  <c r="L272" i="5"/>
  <c r="D270" i="5"/>
  <c r="F267" i="5"/>
  <c r="C264" i="5"/>
  <c r="F261" i="5"/>
  <c r="L258" i="5"/>
  <c r="Q255" i="5"/>
  <c r="R252" i="5"/>
  <c r="K249" i="5"/>
  <c r="D247" i="5"/>
  <c r="F244" i="5"/>
  <c r="J241" i="5"/>
  <c r="B239" i="5"/>
  <c r="S239" i="5" s="1"/>
  <c r="Q235" i="5"/>
  <c r="R712" i="5"/>
  <c r="C699" i="5"/>
  <c r="L685" i="5"/>
  <c r="B676" i="5"/>
  <c r="S676" i="5" s="1"/>
  <c r="C661" i="5"/>
  <c r="Q649" i="5"/>
  <c r="L640" i="5"/>
  <c r="K629" i="5"/>
  <c r="C619" i="5"/>
  <c r="G607" i="5"/>
  <c r="R597" i="5"/>
  <c r="D587" i="5"/>
  <c r="L577" i="5"/>
  <c r="R565" i="5"/>
  <c r="K558" i="5"/>
  <c r="K547" i="5"/>
  <c r="D539" i="5"/>
  <c r="D531" i="5"/>
  <c r="C521" i="5"/>
  <c r="Q513" i="5"/>
  <c r="A506" i="5"/>
  <c r="G499" i="5"/>
  <c r="I492" i="5"/>
  <c r="J485" i="5"/>
  <c r="I477" i="5"/>
  <c r="J469" i="5"/>
  <c r="R462" i="5"/>
  <c r="Q456" i="5"/>
  <c r="A449" i="5"/>
  <c r="E442" i="5"/>
  <c r="K435" i="5"/>
  <c r="D431" i="5"/>
  <c r="Q425" i="5"/>
  <c r="J419" i="5"/>
  <c r="J414" i="5"/>
  <c r="L410" i="5"/>
  <c r="G405" i="5"/>
  <c r="L400" i="5"/>
  <c r="B397" i="5"/>
  <c r="S397" i="5" s="1"/>
  <c r="J391" i="5"/>
  <c r="D387" i="5"/>
  <c r="K383" i="5"/>
  <c r="D379" i="5"/>
  <c r="Q374" i="5"/>
  <c r="C371" i="5"/>
  <c r="C366" i="5"/>
  <c r="R361" i="5"/>
  <c r="G358" i="5"/>
  <c r="K353" i="5"/>
  <c r="R348" i="5"/>
  <c r="H344" i="5"/>
  <c r="D341" i="5"/>
  <c r="Q336" i="5"/>
  <c r="Q332" i="5"/>
  <c r="H329" i="5"/>
  <c r="R324" i="5"/>
  <c r="C321" i="5"/>
  <c r="L317" i="5"/>
  <c r="G314" i="5"/>
  <c r="D310" i="5"/>
  <c r="L306" i="5"/>
  <c r="K303" i="5"/>
  <c r="R300" i="5"/>
  <c r="J297" i="5"/>
  <c r="L293" i="5"/>
  <c r="L290" i="5"/>
  <c r="B288" i="5"/>
  <c r="S288" i="5" s="1"/>
  <c r="B285" i="5"/>
  <c r="S285" i="5" s="1"/>
  <c r="G282" i="5"/>
  <c r="B279" i="5"/>
  <c r="S279" i="5" s="1"/>
  <c r="L275" i="5"/>
  <c r="K272" i="5"/>
  <c r="C270" i="5"/>
  <c r="E267" i="5"/>
  <c r="B264" i="5"/>
  <c r="S264" i="5" s="1"/>
  <c r="C261" i="5"/>
  <c r="K258" i="5"/>
  <c r="K255" i="5"/>
  <c r="H252" i="5"/>
  <c r="J249" i="5"/>
  <c r="C247" i="5"/>
  <c r="E244" i="5"/>
  <c r="G241" i="5"/>
  <c r="A239" i="5"/>
  <c r="L235" i="5"/>
  <c r="G711" i="5"/>
  <c r="B699" i="5"/>
  <c r="S699" i="5" s="1"/>
  <c r="C685" i="5"/>
  <c r="D671" i="5"/>
  <c r="R660" i="5"/>
  <c r="L649" i="5"/>
  <c r="F640" i="5"/>
  <c r="K628" i="5"/>
  <c r="H616" i="5"/>
  <c r="F606" i="5"/>
  <c r="F595" i="5"/>
  <c r="C587" i="5"/>
  <c r="L575" i="5"/>
  <c r="G565" i="5"/>
  <c r="L557" i="5"/>
  <c r="J547" i="5"/>
  <c r="L538" i="5"/>
  <c r="B531" i="5"/>
  <c r="S531" i="5" s="1"/>
  <c r="B521" i="5"/>
  <c r="S521" i="5" s="1"/>
  <c r="L513" i="5"/>
  <c r="L505" i="5"/>
  <c r="F499" i="5"/>
  <c r="J491" i="5"/>
  <c r="I483" i="5"/>
  <c r="K475" i="5"/>
  <c r="I469" i="5"/>
  <c r="J461" i="5"/>
  <c r="K455" i="5"/>
  <c r="I447" i="5"/>
  <c r="D442" i="5"/>
  <c r="J435" i="5"/>
  <c r="F430" i="5"/>
  <c r="R423" i="5"/>
  <c r="I419" i="5"/>
  <c r="E414" i="5"/>
  <c r="H410" i="5"/>
  <c r="F405" i="5"/>
  <c r="K400" i="5"/>
  <c r="J395" i="5"/>
  <c r="I391" i="5"/>
  <c r="C387" i="5"/>
  <c r="F383" i="5"/>
  <c r="Q378" i="5"/>
  <c r="L374" i="5"/>
  <c r="K369" i="5"/>
  <c r="B366" i="5"/>
  <c r="S366" i="5" s="1"/>
  <c r="Q361" i="5"/>
  <c r="F357" i="5"/>
  <c r="H353" i="5"/>
  <c r="Q348" i="5"/>
  <c r="G344" i="5"/>
  <c r="R340" i="5"/>
  <c r="L336" i="5"/>
  <c r="L332" i="5"/>
  <c r="B328" i="5"/>
  <c r="S328" i="5" s="1"/>
  <c r="E324" i="5"/>
  <c r="B321" i="5"/>
  <c r="S321" i="5" s="1"/>
  <c r="C317" i="5"/>
  <c r="B314" i="5"/>
  <c r="S314" i="5" s="1"/>
  <c r="I309" i="5"/>
  <c r="K306" i="5"/>
  <c r="H303" i="5"/>
  <c r="K300" i="5"/>
  <c r="R296" i="5"/>
  <c r="K293" i="5"/>
  <c r="K290" i="5"/>
  <c r="A288" i="5"/>
  <c r="A285" i="5"/>
  <c r="A282" i="5"/>
  <c r="F278" i="5"/>
  <c r="K275" i="5"/>
  <c r="J272" i="5"/>
  <c r="K269" i="5"/>
  <c r="D267" i="5"/>
  <c r="A264" i="5"/>
  <c r="B261" i="5"/>
  <c r="S261" i="5" s="1"/>
  <c r="D258" i="5"/>
  <c r="J255" i="5"/>
  <c r="G252" i="5"/>
  <c r="I249" i="5"/>
  <c r="L246" i="5"/>
  <c r="D244" i="5"/>
  <c r="F241" i="5"/>
  <c r="R237" i="5"/>
  <c r="K235" i="5"/>
  <c r="B711" i="5"/>
  <c r="S711" i="5" s="1"/>
  <c r="J698" i="5"/>
  <c r="Q684" i="5"/>
  <c r="C671" i="5"/>
  <c r="K659" i="5"/>
  <c r="K649" i="5"/>
  <c r="R637" i="5"/>
  <c r="F628" i="5"/>
  <c r="G616" i="5"/>
  <c r="E606" i="5"/>
  <c r="E595" i="5"/>
  <c r="L586" i="5"/>
  <c r="J575" i="5"/>
  <c r="F565" i="5"/>
  <c r="L555" i="5"/>
  <c r="I547" i="5"/>
  <c r="G538" i="5"/>
  <c r="L530" i="5"/>
  <c r="A521" i="5"/>
  <c r="B513" i="5"/>
  <c r="S513" i="5" s="1"/>
  <c r="J505" i="5"/>
  <c r="E499" i="5"/>
  <c r="F491" i="5"/>
  <c r="E482" i="5"/>
  <c r="J475" i="5"/>
  <c r="H469" i="5"/>
  <c r="I461" i="5"/>
  <c r="B455" i="5"/>
  <c r="S455" i="5" s="1"/>
  <c r="H447" i="5"/>
  <c r="C442" i="5"/>
  <c r="I435" i="5"/>
  <c r="E430" i="5"/>
  <c r="Q423" i="5"/>
  <c r="H419" i="5"/>
  <c r="D414" i="5"/>
  <c r="A410" i="5"/>
  <c r="D405" i="5"/>
  <c r="I400" i="5"/>
  <c r="I395" i="5"/>
  <c r="H391" i="5"/>
  <c r="B387" i="5"/>
  <c r="S387" i="5" s="1"/>
  <c r="D383" i="5"/>
  <c r="I378" i="5"/>
  <c r="B374" i="5"/>
  <c r="S374" i="5" s="1"/>
  <c r="H369" i="5"/>
  <c r="A366" i="5"/>
  <c r="L361" i="5"/>
  <c r="E357" i="5"/>
  <c r="F353" i="5"/>
  <c r="L348" i="5"/>
  <c r="F344" i="5"/>
  <c r="B340" i="5"/>
  <c r="S340" i="5" s="1"/>
  <c r="J336" i="5"/>
  <c r="K332" i="5"/>
  <c r="A328" i="5"/>
  <c r="C324" i="5"/>
  <c r="A321" i="5"/>
  <c r="A317" i="5"/>
  <c r="A313" i="5"/>
  <c r="H309" i="5"/>
  <c r="I306" i="5"/>
  <c r="G303" i="5"/>
  <c r="E300" i="5"/>
  <c r="G296" i="5"/>
  <c r="J293" i="5"/>
  <c r="H290" i="5"/>
  <c r="R287" i="5"/>
  <c r="Q284" i="5"/>
  <c r="E278" i="5"/>
  <c r="J275" i="5"/>
  <c r="I272" i="5"/>
  <c r="J269" i="5"/>
  <c r="G266" i="5"/>
  <c r="R263" i="5"/>
  <c r="A261" i="5"/>
  <c r="C258" i="5"/>
  <c r="I255" i="5"/>
  <c r="F252" i="5"/>
  <c r="D249" i="5"/>
  <c r="G246" i="5"/>
  <c r="B244" i="5"/>
  <c r="S244" i="5" s="1"/>
  <c r="D241" i="5"/>
  <c r="Q237" i="5"/>
  <c r="J235" i="5"/>
  <c r="E710" i="5"/>
  <c r="R696" i="5"/>
  <c r="E683" i="5"/>
  <c r="Q669" i="5"/>
  <c r="J659" i="5"/>
  <c r="G649" i="5"/>
  <c r="Q637" i="5"/>
  <c r="R627" i="5"/>
  <c r="F616" i="5"/>
  <c r="D606" i="5"/>
  <c r="D595" i="5"/>
  <c r="K586" i="5"/>
  <c r="H574" i="5"/>
  <c r="E565" i="5"/>
  <c r="K555" i="5"/>
  <c r="G547" i="5"/>
  <c r="K537" i="5"/>
  <c r="Q527" i="5"/>
  <c r="G519" i="5"/>
  <c r="L512" i="5"/>
  <c r="H505" i="5"/>
  <c r="C499" i="5"/>
  <c r="D491" i="5"/>
  <c r="D482" i="5"/>
  <c r="I475" i="5"/>
  <c r="D469" i="5"/>
  <c r="D461" i="5"/>
  <c r="J454" i="5"/>
  <c r="G447" i="5"/>
  <c r="B442" i="5"/>
  <c r="S442" i="5" s="1"/>
  <c r="H435" i="5"/>
  <c r="C430" i="5"/>
  <c r="K423" i="5"/>
  <c r="G419" i="5"/>
  <c r="C414" i="5"/>
  <c r="F409" i="5"/>
  <c r="B405" i="5"/>
  <c r="S405" i="5" s="1"/>
  <c r="H399" i="5"/>
  <c r="B395" i="5"/>
  <c r="S395" i="5" s="1"/>
  <c r="F391" i="5"/>
  <c r="A387" i="5"/>
  <c r="J382" i="5"/>
  <c r="H378" i="5"/>
  <c r="H373" i="5"/>
  <c r="F369" i="5"/>
  <c r="R365" i="5"/>
  <c r="B361" i="5"/>
  <c r="S361" i="5" s="1"/>
  <c r="A357" i="5"/>
  <c r="Q351" i="5"/>
  <c r="K348" i="5"/>
  <c r="C344" i="5"/>
  <c r="A340" i="5"/>
  <c r="I336" i="5"/>
  <c r="R331" i="5"/>
  <c r="R327" i="5"/>
  <c r="B324" i="5"/>
  <c r="S324" i="5" s="1"/>
  <c r="R320" i="5"/>
  <c r="Q316" i="5"/>
  <c r="R312" i="5"/>
  <c r="G309" i="5"/>
  <c r="H306" i="5"/>
  <c r="F303" i="5"/>
  <c r="D300" i="5"/>
  <c r="F296" i="5"/>
  <c r="I293" i="5"/>
  <c r="G290" i="5"/>
  <c r="Q287" i="5"/>
  <c r="L284" i="5"/>
  <c r="C281" i="5"/>
  <c r="D278" i="5"/>
  <c r="I275" i="5"/>
  <c r="H272" i="5"/>
  <c r="H269" i="5"/>
  <c r="F266" i="5"/>
  <c r="Q263" i="5"/>
  <c r="R260" i="5"/>
  <c r="K257" i="5"/>
  <c r="H254" i="5"/>
  <c r="B252" i="5"/>
  <c r="S252" i="5" s="1"/>
  <c r="C249" i="5"/>
  <c r="F246" i="5"/>
  <c r="A244" i="5"/>
  <c r="J240" i="5"/>
  <c r="L237" i="5"/>
  <c r="A235" i="5"/>
  <c r="C710" i="5"/>
  <c r="G696" i="5"/>
  <c r="C683" i="5"/>
  <c r="L669" i="5"/>
  <c r="D659" i="5"/>
  <c r="D649" i="5"/>
  <c r="E637" i="5"/>
  <c r="H624" i="5"/>
  <c r="F615" i="5"/>
  <c r="C606" i="5"/>
  <c r="A595" i="5"/>
  <c r="J586" i="5"/>
  <c r="G573" i="5"/>
  <c r="C565" i="5"/>
  <c r="J555" i="5"/>
  <c r="J546" i="5"/>
  <c r="F537" i="5"/>
  <c r="L527" i="5"/>
  <c r="D519" i="5"/>
  <c r="H512" i="5"/>
  <c r="G505" i="5"/>
  <c r="C497" i="5"/>
  <c r="B490" i="5"/>
  <c r="S490" i="5" s="1"/>
  <c r="C482" i="5"/>
  <c r="G475" i="5"/>
  <c r="C469" i="5"/>
  <c r="B461" i="5"/>
  <c r="S461" i="5" s="1"/>
  <c r="B453" i="5"/>
  <c r="S453" i="5" s="1"/>
  <c r="B447" i="5"/>
  <c r="S447" i="5" s="1"/>
  <c r="A442" i="5"/>
  <c r="E435" i="5"/>
  <c r="Q428" i="5"/>
  <c r="J423" i="5"/>
  <c r="F419" i="5"/>
  <c r="B414" i="5"/>
  <c r="S414" i="5" s="1"/>
  <c r="E409" i="5"/>
  <c r="A405" i="5"/>
  <c r="F399" i="5"/>
  <c r="Q394" i="5"/>
  <c r="E391" i="5"/>
  <c r="Q386" i="5"/>
  <c r="I382" i="5"/>
  <c r="G378" i="5"/>
  <c r="G373" i="5"/>
  <c r="E369" i="5"/>
  <c r="Q364" i="5"/>
  <c r="A361" i="5"/>
  <c r="K356" i="5"/>
  <c r="L351" i="5"/>
  <c r="F348" i="5"/>
  <c r="A344" i="5"/>
  <c r="Q339" i="5"/>
  <c r="H336" i="5"/>
  <c r="L331" i="5"/>
  <c r="Q327" i="5"/>
  <c r="K323" i="5"/>
  <c r="H320" i="5"/>
  <c r="G316" i="5"/>
  <c r="I312" i="5"/>
  <c r="B309" i="5"/>
  <c r="S309" i="5" s="1"/>
  <c r="F306" i="5"/>
  <c r="D303" i="5"/>
  <c r="F299" i="5"/>
  <c r="E296" i="5"/>
  <c r="H293" i="5"/>
  <c r="F290" i="5"/>
  <c r="L287" i="5"/>
  <c r="K284" i="5"/>
  <c r="B281" i="5"/>
  <c r="S281" i="5" s="1"/>
  <c r="B278" i="5"/>
  <c r="S278" i="5" s="1"/>
  <c r="H275" i="5"/>
  <c r="F272" i="5"/>
  <c r="Q268" i="5"/>
  <c r="A266" i="5"/>
  <c r="L263" i="5"/>
  <c r="Q260" i="5"/>
  <c r="J257" i="5"/>
  <c r="G254" i="5"/>
  <c r="A252" i="5"/>
  <c r="B249" i="5"/>
  <c r="S249" i="5" s="1"/>
  <c r="D246" i="5"/>
  <c r="R243" i="5"/>
  <c r="I240" i="5"/>
  <c r="K237" i="5"/>
  <c r="R234" i="5"/>
  <c r="D707" i="5"/>
  <c r="Q692" i="5"/>
  <c r="B683" i="5"/>
  <c r="S683" i="5" s="1"/>
  <c r="K669" i="5"/>
  <c r="C658" i="5"/>
  <c r="C649" i="5"/>
  <c r="R636" i="5"/>
  <c r="F624" i="5"/>
  <c r="E615" i="5"/>
  <c r="R605" i="5"/>
  <c r="H594" i="5"/>
  <c r="F582" i="5"/>
  <c r="D573" i="5"/>
  <c r="B565" i="5"/>
  <c r="S565" i="5" s="1"/>
  <c r="H554" i="5"/>
  <c r="E546" i="5"/>
  <c r="E537" i="5"/>
  <c r="K527" i="5"/>
  <c r="C519" i="5"/>
  <c r="G512" i="5"/>
  <c r="R504" i="5"/>
  <c r="K496" i="5"/>
  <c r="G488" i="5"/>
  <c r="B482" i="5"/>
  <c r="S482" i="5" s="1"/>
  <c r="F475" i="5"/>
  <c r="B469" i="5"/>
  <c r="S469" i="5" s="1"/>
  <c r="A461" i="5"/>
  <c r="A453" i="5"/>
  <c r="J446" i="5"/>
  <c r="L441" i="5"/>
  <c r="D435" i="5"/>
  <c r="K428" i="5"/>
  <c r="I423" i="5"/>
  <c r="E419" i="5"/>
  <c r="L413" i="5"/>
  <c r="Q408" i="5"/>
  <c r="E403" i="5"/>
  <c r="E399" i="5"/>
  <c r="L394" i="5"/>
  <c r="G390" i="5"/>
  <c r="L386" i="5"/>
  <c r="R381" i="5"/>
  <c r="Q376" i="5"/>
  <c r="F373" i="5"/>
  <c r="D369" i="5"/>
  <c r="L364" i="5"/>
  <c r="Q360" i="5"/>
  <c r="B356" i="5"/>
  <c r="S356" i="5" s="1"/>
  <c r="K351" i="5"/>
  <c r="H347" i="5"/>
  <c r="R343" i="5"/>
  <c r="K339" i="5"/>
  <c r="A335" i="5"/>
  <c r="H331" i="5"/>
  <c r="L327" i="5"/>
  <c r="J323" i="5"/>
  <c r="L319" i="5"/>
  <c r="I315" i="5"/>
  <c r="H312" i="5"/>
  <c r="A309" i="5"/>
  <c r="E306" i="5"/>
  <c r="C303" i="5"/>
  <c r="E299" i="5"/>
  <c r="C296" i="5"/>
  <c r="G293" i="5"/>
  <c r="E290" i="5"/>
  <c r="A287" i="5"/>
  <c r="J283" i="5"/>
  <c r="A281" i="5"/>
  <c r="A278" i="5"/>
  <c r="G275" i="5"/>
  <c r="E272" i="5"/>
  <c r="L268" i="5"/>
  <c r="R265" i="5"/>
  <c r="K263" i="5"/>
  <c r="L260" i="5"/>
  <c r="C257" i="5"/>
  <c r="F254" i="5"/>
  <c r="I251" i="5"/>
  <c r="A249" i="5"/>
  <c r="B246" i="5"/>
  <c r="S246" i="5" s="1"/>
  <c r="R242" i="5"/>
  <c r="H240" i="5"/>
  <c r="J237" i="5"/>
  <c r="L234" i="5"/>
  <c r="C707" i="5"/>
  <c r="I691" i="5"/>
  <c r="R680" i="5"/>
  <c r="G669" i="5"/>
  <c r="K657" i="5"/>
  <c r="A647" i="5"/>
  <c r="Q636" i="5"/>
  <c r="B624" i="5"/>
  <c r="S624" i="5" s="1"/>
  <c r="C614" i="5"/>
  <c r="R604" i="5"/>
  <c r="K593" i="5"/>
  <c r="E582" i="5"/>
  <c r="Q572" i="5"/>
  <c r="R563" i="5"/>
  <c r="G554" i="5"/>
  <c r="A545" i="5"/>
  <c r="F535" i="5"/>
  <c r="I527" i="5"/>
  <c r="F512" i="5"/>
  <c r="R503" i="5"/>
  <c r="C496" i="5"/>
  <c r="F488" i="5"/>
  <c r="R481" i="5"/>
  <c r="E475" i="5"/>
  <c r="R466" i="5"/>
  <c r="I458" i="5"/>
  <c r="Q452" i="5"/>
  <c r="G446" i="5"/>
  <c r="H440" i="5"/>
  <c r="C435" i="5"/>
  <c r="J428" i="5"/>
  <c r="G423" i="5"/>
  <c r="A418" i="5"/>
  <c r="G413" i="5"/>
  <c r="K408" i="5"/>
  <c r="D403" i="5"/>
  <c r="C399" i="5"/>
  <c r="K394" i="5"/>
  <c r="F390" i="5"/>
  <c r="K386" i="5"/>
  <c r="L381" i="5"/>
  <c r="L376" i="5"/>
  <c r="E373" i="5"/>
  <c r="C369" i="5"/>
  <c r="K364" i="5"/>
  <c r="K360" i="5"/>
  <c r="A356" i="5"/>
  <c r="J351" i="5"/>
  <c r="G347" i="5"/>
  <c r="Q343" i="5"/>
  <c r="J339" i="5"/>
  <c r="Q334" i="5"/>
  <c r="B331" i="5"/>
  <c r="S331" i="5" s="1"/>
  <c r="K327" i="5"/>
  <c r="I323" i="5"/>
  <c r="K319" i="5"/>
  <c r="H315" i="5"/>
  <c r="G312" i="5"/>
  <c r="R308" i="5"/>
  <c r="Q305" i="5"/>
  <c r="B303" i="5"/>
  <c r="S303" i="5" s="1"/>
  <c r="D299" i="5"/>
  <c r="B296" i="5"/>
  <c r="S296" i="5" s="1"/>
  <c r="F293" i="5"/>
  <c r="D290" i="5"/>
  <c r="I283" i="5"/>
  <c r="R280" i="5"/>
  <c r="R277" i="5"/>
  <c r="A275" i="5"/>
  <c r="D272" i="5"/>
  <c r="K268" i="5"/>
  <c r="Q265" i="5"/>
  <c r="B263" i="5"/>
  <c r="S263" i="5" s="1"/>
  <c r="G260" i="5"/>
  <c r="B257" i="5"/>
  <c r="S257" i="5" s="1"/>
  <c r="E254" i="5"/>
  <c r="H251" i="5"/>
  <c r="R248" i="5"/>
  <c r="A246" i="5"/>
  <c r="Q242" i="5"/>
  <c r="B240" i="5"/>
  <c r="S240" i="5" s="1"/>
  <c r="I237" i="5"/>
  <c r="K234" i="5"/>
  <c r="B707" i="5"/>
  <c r="S707" i="5" s="1"/>
  <c r="C691" i="5"/>
  <c r="H680" i="5"/>
  <c r="E669" i="5"/>
  <c r="G656" i="5"/>
  <c r="L646" i="5"/>
  <c r="J634" i="5"/>
  <c r="F623" i="5"/>
  <c r="B613" i="5"/>
  <c r="S613" i="5" s="1"/>
  <c r="J603" i="5"/>
  <c r="E593" i="5"/>
  <c r="D582" i="5"/>
  <c r="J571" i="5"/>
  <c r="Q563" i="5"/>
  <c r="A554" i="5"/>
  <c r="H544" i="5"/>
  <c r="L534" i="5"/>
  <c r="H527" i="5"/>
  <c r="Q518" i="5"/>
  <c r="E512" i="5"/>
  <c r="Q503" i="5"/>
  <c r="J495" i="5"/>
  <c r="E488" i="5"/>
  <c r="Q481" i="5"/>
  <c r="G474" i="5"/>
  <c r="I466" i="5"/>
  <c r="H458" i="5"/>
  <c r="L452" i="5"/>
  <c r="E446" i="5"/>
  <c r="F440" i="5"/>
  <c r="Q432" i="5"/>
  <c r="I428" i="5"/>
  <c r="C423" i="5"/>
  <c r="R417" i="5"/>
  <c r="D413" i="5"/>
  <c r="J408" i="5"/>
  <c r="C403" i="5"/>
  <c r="B399" i="5"/>
  <c r="S399" i="5" s="1"/>
  <c r="J394" i="5"/>
  <c r="E390" i="5"/>
  <c r="I386" i="5"/>
  <c r="H381" i="5"/>
  <c r="K376" i="5"/>
  <c r="D373" i="5"/>
  <c r="B369" i="5"/>
  <c r="S369" i="5" s="1"/>
  <c r="H364" i="5"/>
  <c r="J360" i="5"/>
  <c r="K355" i="5"/>
  <c r="H351" i="5"/>
  <c r="F347" i="5"/>
  <c r="L343" i="5"/>
  <c r="I339" i="5"/>
  <c r="L334" i="5"/>
  <c r="A331" i="5"/>
  <c r="J327" i="5"/>
  <c r="F323" i="5"/>
  <c r="D319" i="5"/>
  <c r="G315" i="5"/>
  <c r="F312" i="5"/>
  <c r="Q308" i="5"/>
  <c r="L305" i="5"/>
  <c r="C299" i="5"/>
  <c r="A296" i="5"/>
  <c r="J292" i="5"/>
  <c r="Q289" i="5"/>
  <c r="Q286" i="5"/>
  <c r="G283" i="5"/>
  <c r="Q280" i="5"/>
  <c r="Q277" i="5"/>
  <c r="G274" i="5"/>
  <c r="B271" i="5"/>
  <c r="S271" i="5" s="1"/>
  <c r="J268" i="5"/>
  <c r="L265" i="5"/>
  <c r="A263" i="5"/>
  <c r="F260" i="5"/>
  <c r="A257" i="5"/>
  <c r="D254" i="5"/>
  <c r="G251" i="5"/>
  <c r="L248" i="5"/>
  <c r="I245" i="5"/>
  <c r="L242" i="5"/>
  <c r="A240" i="5"/>
  <c r="H237" i="5"/>
  <c r="I234" i="5"/>
  <c r="A705" i="5"/>
  <c r="B691" i="5"/>
  <c r="S691" i="5" s="1"/>
  <c r="I679" i="5"/>
  <c r="D669" i="5"/>
  <c r="B656" i="5"/>
  <c r="S656" i="5" s="1"/>
  <c r="I646" i="5"/>
  <c r="E634" i="5"/>
  <c r="D623" i="5"/>
  <c r="A613" i="5"/>
  <c r="H603" i="5"/>
  <c r="A592" i="5"/>
  <c r="C582" i="5"/>
  <c r="G571" i="5"/>
  <c r="I563" i="5"/>
  <c r="R553" i="5"/>
  <c r="L542" i="5"/>
  <c r="F534" i="5"/>
  <c r="B526" i="5"/>
  <c r="S526" i="5" s="1"/>
  <c r="L518" i="5"/>
  <c r="R509" i="5"/>
  <c r="F501" i="5"/>
  <c r="C495" i="5"/>
  <c r="R487" i="5"/>
  <c r="L481" i="5"/>
  <c r="E474" i="5"/>
  <c r="C465" i="5"/>
  <c r="B458" i="5"/>
  <c r="S458" i="5" s="1"/>
  <c r="K452" i="5"/>
  <c r="D446" i="5"/>
  <c r="G439" i="5"/>
  <c r="K432" i="5"/>
  <c r="H428" i="5"/>
  <c r="H422" i="5"/>
  <c r="Q417" i="5"/>
  <c r="C413" i="5"/>
  <c r="L407" i="5"/>
  <c r="B403" i="5"/>
  <c r="S403" i="5" s="1"/>
  <c r="I398" i="5"/>
  <c r="I394" i="5"/>
  <c r="R389" i="5"/>
  <c r="E386" i="5"/>
  <c r="A381" i="5"/>
  <c r="J376" i="5"/>
  <c r="C372" i="5"/>
  <c r="I368" i="5"/>
  <c r="A364" i="5"/>
  <c r="C359" i="5"/>
  <c r="Q354" i="5"/>
  <c r="G351" i="5"/>
  <c r="D347" i="5"/>
  <c r="J343" i="5"/>
  <c r="H338" i="5"/>
  <c r="K334" i="5"/>
  <c r="Q330" i="5"/>
  <c r="I327" i="5"/>
  <c r="E323" i="5"/>
  <c r="K318" i="5"/>
  <c r="D315" i="5"/>
  <c r="D312" i="5"/>
  <c r="K308" i="5"/>
  <c r="F305" i="5"/>
  <c r="R301" i="5"/>
  <c r="B299" i="5"/>
  <c r="S299" i="5" s="1"/>
  <c r="R295" i="5"/>
  <c r="I292" i="5"/>
  <c r="L289" i="5"/>
  <c r="F286" i="5"/>
  <c r="F283" i="5"/>
  <c r="L280" i="5"/>
  <c r="L277" i="5"/>
  <c r="F274" i="5"/>
  <c r="A271" i="5"/>
  <c r="I268" i="5"/>
  <c r="K265" i="5"/>
  <c r="Q262" i="5"/>
  <c r="E260" i="5"/>
  <c r="J256" i="5"/>
  <c r="C254" i="5"/>
  <c r="E251" i="5"/>
  <c r="F248" i="5"/>
  <c r="R244" i="5"/>
  <c r="K242" i="5"/>
  <c r="R239" i="5"/>
  <c r="G237" i="5"/>
  <c r="G234" i="5"/>
  <c r="K704" i="5"/>
  <c r="J690" i="5"/>
  <c r="H679" i="5"/>
  <c r="C669" i="5"/>
  <c r="R655" i="5"/>
  <c r="L642" i="5"/>
  <c r="D633" i="5"/>
  <c r="A623" i="5"/>
  <c r="J612" i="5"/>
  <c r="G601" i="5"/>
  <c r="E590" i="5"/>
  <c r="B582" i="5"/>
  <c r="S582" i="5" s="1"/>
  <c r="F571" i="5"/>
  <c r="G563" i="5"/>
  <c r="Q553" i="5"/>
  <c r="K542" i="5"/>
  <c r="E534" i="5"/>
  <c r="A526" i="5"/>
  <c r="C518" i="5"/>
  <c r="Q509" i="5"/>
  <c r="E501" i="5"/>
  <c r="H494" i="5"/>
  <c r="Q487" i="5"/>
  <c r="F480" i="5"/>
  <c r="L473" i="5"/>
  <c r="Q464" i="5"/>
  <c r="J457" i="5"/>
  <c r="G452" i="5"/>
  <c r="R445" i="5"/>
  <c r="F439" i="5"/>
  <c r="J432" i="5"/>
  <c r="G427" i="5"/>
  <c r="G422" i="5"/>
  <c r="K417" i="5"/>
  <c r="B413" i="5"/>
  <c r="S413" i="5" s="1"/>
  <c r="G407" i="5"/>
  <c r="J402" i="5"/>
  <c r="H398" i="5"/>
  <c r="H394" i="5"/>
  <c r="L389" i="5"/>
  <c r="Q385" i="5"/>
  <c r="R380" i="5"/>
  <c r="I376" i="5"/>
  <c r="B372" i="5"/>
  <c r="S372" i="5" s="1"/>
  <c r="H368" i="5"/>
  <c r="R363" i="5"/>
  <c r="B359" i="5"/>
  <c r="S359" i="5" s="1"/>
  <c r="L354" i="5"/>
  <c r="F351" i="5"/>
  <c r="C347" i="5"/>
  <c r="I342" i="5"/>
  <c r="B338" i="5"/>
  <c r="S338" i="5" s="1"/>
  <c r="G334" i="5"/>
  <c r="G330" i="5"/>
  <c r="H327" i="5"/>
  <c r="D323" i="5"/>
  <c r="J318" i="5"/>
  <c r="C315" i="5"/>
  <c r="C312" i="5"/>
  <c r="J308" i="5"/>
  <c r="Q304" i="5"/>
  <c r="L301" i="5"/>
  <c r="A299" i="5"/>
  <c r="Q295" i="5"/>
  <c r="E292" i="5"/>
  <c r="K289" i="5"/>
  <c r="E286" i="5"/>
  <c r="E283" i="5"/>
  <c r="B280" i="5"/>
  <c r="S280" i="5" s="1"/>
  <c r="K277" i="5"/>
  <c r="E274" i="5"/>
  <c r="R270" i="5"/>
  <c r="C268" i="5"/>
  <c r="J265" i="5"/>
  <c r="K262" i="5"/>
  <c r="G259" i="5"/>
  <c r="I256" i="5"/>
  <c r="B254" i="5"/>
  <c r="S254" i="5" s="1"/>
  <c r="D251" i="5"/>
  <c r="E248" i="5"/>
  <c r="Q244" i="5"/>
  <c r="I242" i="5"/>
  <c r="L239" i="5"/>
  <c r="F237" i="5"/>
  <c r="F234" i="5"/>
  <c r="K701" i="5"/>
  <c r="K532" i="5"/>
  <c r="F422" i="5"/>
  <c r="E351" i="5"/>
  <c r="D292" i="5"/>
  <c r="L244" i="5"/>
  <c r="L231" i="5"/>
  <c r="I228" i="5"/>
  <c r="B226" i="5"/>
  <c r="S226" i="5" s="1"/>
  <c r="F223" i="5"/>
  <c r="L220" i="5"/>
  <c r="R217" i="5"/>
  <c r="C215" i="5"/>
  <c r="A212" i="5"/>
  <c r="H209" i="5"/>
  <c r="Q206" i="5"/>
  <c r="I204" i="5"/>
  <c r="D202" i="5"/>
  <c r="L199" i="5"/>
  <c r="F197" i="5"/>
  <c r="D195" i="5"/>
  <c r="G193" i="5"/>
  <c r="C191" i="5"/>
  <c r="A189" i="5"/>
  <c r="Q186" i="5"/>
  <c r="A185" i="5"/>
  <c r="R182" i="5"/>
  <c r="A181" i="5"/>
  <c r="F178" i="5"/>
  <c r="F176" i="5"/>
  <c r="E174" i="5"/>
  <c r="E172" i="5"/>
  <c r="F170" i="5"/>
  <c r="Q167" i="5"/>
  <c r="L165" i="5"/>
  <c r="R163" i="5"/>
  <c r="L161" i="5"/>
  <c r="Q159" i="5"/>
  <c r="G157" i="5"/>
  <c r="D155" i="5"/>
  <c r="F153" i="5"/>
  <c r="D151" i="5"/>
  <c r="E149" i="5"/>
  <c r="R146" i="5"/>
  <c r="B145" i="5"/>
  <c r="S145" i="5" s="1"/>
  <c r="R142" i="5"/>
  <c r="B141" i="5"/>
  <c r="S141" i="5" s="1"/>
  <c r="A139" i="5"/>
  <c r="H136" i="5"/>
  <c r="J134" i="5"/>
  <c r="I132" i="5"/>
  <c r="K130" i="5"/>
  <c r="G128" i="5"/>
  <c r="D126" i="5"/>
  <c r="B124" i="5"/>
  <c r="S124" i="5" s="1"/>
  <c r="D122" i="5"/>
  <c r="C120" i="5"/>
  <c r="E118" i="5"/>
  <c r="Q115" i="5"/>
  <c r="R113" i="5"/>
  <c r="A112" i="5"/>
  <c r="R109" i="5"/>
  <c r="J107" i="5"/>
  <c r="Q105" i="5"/>
  <c r="E104" i="5"/>
  <c r="K102" i="5"/>
  <c r="C101" i="5"/>
  <c r="J99" i="5"/>
  <c r="G96" i="5"/>
  <c r="A95" i="5"/>
  <c r="I93" i="5"/>
  <c r="L91" i="5"/>
  <c r="F90" i="5"/>
  <c r="R88" i="5"/>
  <c r="H87" i="5"/>
  <c r="A86" i="5"/>
  <c r="I84" i="5"/>
  <c r="C83" i="5"/>
  <c r="L81" i="5"/>
  <c r="F80" i="5"/>
  <c r="I77" i="5"/>
  <c r="G690" i="5"/>
  <c r="R525" i="5"/>
  <c r="F417" i="5"/>
  <c r="B347" i="5"/>
  <c r="S347" i="5" s="1"/>
  <c r="H288" i="5"/>
  <c r="H242" i="5"/>
  <c r="K231" i="5"/>
  <c r="H228" i="5"/>
  <c r="A226" i="5"/>
  <c r="D223" i="5"/>
  <c r="K220" i="5"/>
  <c r="Q217" i="5"/>
  <c r="K214" i="5"/>
  <c r="R211" i="5"/>
  <c r="G209" i="5"/>
  <c r="L206" i="5"/>
  <c r="G204" i="5"/>
  <c r="J201" i="5"/>
  <c r="I199" i="5"/>
  <c r="E197" i="5"/>
  <c r="C195" i="5"/>
  <c r="D193" i="5"/>
  <c r="B191" i="5"/>
  <c r="S191" i="5" s="1"/>
  <c r="R188" i="5"/>
  <c r="L186" i="5"/>
  <c r="R184" i="5"/>
  <c r="Q182" i="5"/>
  <c r="I180" i="5"/>
  <c r="E178" i="5"/>
  <c r="E176" i="5"/>
  <c r="D174" i="5"/>
  <c r="C172" i="5"/>
  <c r="J169" i="5"/>
  <c r="L167" i="5"/>
  <c r="K165" i="5"/>
  <c r="Q163" i="5"/>
  <c r="J161" i="5"/>
  <c r="D159" i="5"/>
  <c r="F157" i="5"/>
  <c r="C155" i="5"/>
  <c r="E153" i="5"/>
  <c r="C151" i="5"/>
  <c r="R148" i="5"/>
  <c r="Q146" i="5"/>
  <c r="A145" i="5"/>
  <c r="Q142" i="5"/>
  <c r="A141" i="5"/>
  <c r="R138" i="5"/>
  <c r="G136" i="5"/>
  <c r="I134" i="5"/>
  <c r="H132" i="5"/>
  <c r="H130" i="5"/>
  <c r="F128" i="5"/>
  <c r="C126" i="5"/>
  <c r="A124" i="5"/>
  <c r="C122" i="5"/>
  <c r="B120" i="5"/>
  <c r="S120" i="5" s="1"/>
  <c r="L115" i="5"/>
  <c r="Q113" i="5"/>
  <c r="R111" i="5"/>
  <c r="Q109" i="5"/>
  <c r="I107" i="5"/>
  <c r="L105" i="5"/>
  <c r="D104" i="5"/>
  <c r="J102" i="5"/>
  <c r="B101" i="5"/>
  <c r="S101" i="5" s="1"/>
  <c r="I99" i="5"/>
  <c r="R97" i="5"/>
  <c r="F96" i="5"/>
  <c r="C93" i="5"/>
  <c r="K91" i="5"/>
  <c r="E90" i="5"/>
  <c r="Q88" i="5"/>
  <c r="G87" i="5"/>
  <c r="H84" i="5"/>
  <c r="B83" i="5"/>
  <c r="S83" i="5" s="1"/>
  <c r="K81" i="5"/>
  <c r="E80" i="5"/>
  <c r="R78" i="5"/>
  <c r="D679" i="5"/>
  <c r="B518" i="5"/>
  <c r="S518" i="5" s="1"/>
  <c r="F411" i="5"/>
  <c r="H342" i="5"/>
  <c r="D286" i="5"/>
  <c r="K239" i="5"/>
  <c r="A231" i="5"/>
  <c r="D228" i="5"/>
  <c r="C223" i="5"/>
  <c r="D220" i="5"/>
  <c r="L217" i="5"/>
  <c r="I214" i="5"/>
  <c r="Q211" i="5"/>
  <c r="F209" i="5"/>
  <c r="K206" i="5"/>
  <c r="F204" i="5"/>
  <c r="I201" i="5"/>
  <c r="C199" i="5"/>
  <c r="D197" i="5"/>
  <c r="B195" i="5"/>
  <c r="S195" i="5" s="1"/>
  <c r="B193" i="5"/>
  <c r="S193" i="5" s="1"/>
  <c r="K190" i="5"/>
  <c r="Q188" i="5"/>
  <c r="K186" i="5"/>
  <c r="Q184" i="5"/>
  <c r="K182" i="5"/>
  <c r="C180" i="5"/>
  <c r="D178" i="5"/>
  <c r="D176" i="5"/>
  <c r="C174" i="5"/>
  <c r="B172" i="5"/>
  <c r="S172" i="5" s="1"/>
  <c r="I169" i="5"/>
  <c r="K167" i="5"/>
  <c r="J165" i="5"/>
  <c r="L163" i="5"/>
  <c r="I161" i="5"/>
  <c r="C159" i="5"/>
  <c r="C157" i="5"/>
  <c r="B155" i="5"/>
  <c r="S155" i="5" s="1"/>
  <c r="D153" i="5"/>
  <c r="B151" i="5"/>
  <c r="S151" i="5" s="1"/>
  <c r="Q148" i="5"/>
  <c r="L146" i="5"/>
  <c r="L142" i="5"/>
  <c r="R140" i="5"/>
  <c r="F138" i="5"/>
  <c r="F136" i="5"/>
  <c r="H134" i="5"/>
  <c r="G132" i="5"/>
  <c r="F130" i="5"/>
  <c r="R125" i="5"/>
  <c r="R123" i="5"/>
  <c r="R121" i="5"/>
  <c r="I117" i="5"/>
  <c r="K115" i="5"/>
  <c r="L113" i="5"/>
  <c r="Q111" i="5"/>
  <c r="G109" i="5"/>
  <c r="H107" i="5"/>
  <c r="K105" i="5"/>
  <c r="C104" i="5"/>
  <c r="I102" i="5"/>
  <c r="A101" i="5"/>
  <c r="H99" i="5"/>
  <c r="Q97" i="5"/>
  <c r="E96" i="5"/>
  <c r="R94" i="5"/>
  <c r="B93" i="5"/>
  <c r="S93" i="5" s="1"/>
  <c r="J91" i="5"/>
  <c r="D90" i="5"/>
  <c r="L88" i="5"/>
  <c r="F87" i="5"/>
  <c r="R85" i="5"/>
  <c r="G84" i="5"/>
  <c r="A83" i="5"/>
  <c r="J81" i="5"/>
  <c r="D80" i="5"/>
  <c r="J78" i="5"/>
  <c r="I668" i="5"/>
  <c r="K509" i="5"/>
  <c r="E407" i="5"/>
  <c r="A338" i="5"/>
  <c r="D283" i="5"/>
  <c r="D237" i="5"/>
  <c r="R230" i="5"/>
  <c r="B228" i="5"/>
  <c r="S228" i="5" s="1"/>
  <c r="R225" i="5"/>
  <c r="B223" i="5"/>
  <c r="S223" i="5" s="1"/>
  <c r="C220" i="5"/>
  <c r="L216" i="5"/>
  <c r="H214" i="5"/>
  <c r="K211" i="5"/>
  <c r="D209" i="5"/>
  <c r="J206" i="5"/>
  <c r="C204" i="5"/>
  <c r="H201" i="5"/>
  <c r="B199" i="5"/>
  <c r="S199" i="5" s="1"/>
  <c r="C197" i="5"/>
  <c r="A195" i="5"/>
  <c r="A193" i="5"/>
  <c r="J190" i="5"/>
  <c r="G188" i="5"/>
  <c r="J186" i="5"/>
  <c r="I184" i="5"/>
  <c r="J182" i="5"/>
  <c r="B180" i="5"/>
  <c r="S180" i="5" s="1"/>
  <c r="C178" i="5"/>
  <c r="C176" i="5"/>
  <c r="Q173" i="5"/>
  <c r="A172" i="5"/>
  <c r="H169" i="5"/>
  <c r="J167" i="5"/>
  <c r="I165" i="5"/>
  <c r="H163" i="5"/>
  <c r="H161" i="5"/>
  <c r="B159" i="5"/>
  <c r="S159" i="5" s="1"/>
  <c r="B157" i="5"/>
  <c r="S157" i="5" s="1"/>
  <c r="A155" i="5"/>
  <c r="B153" i="5"/>
  <c r="S153" i="5" s="1"/>
  <c r="I150" i="5"/>
  <c r="I148" i="5"/>
  <c r="K146" i="5"/>
  <c r="R144" i="5"/>
  <c r="K142" i="5"/>
  <c r="Q140" i="5"/>
  <c r="E138" i="5"/>
  <c r="E136" i="5"/>
  <c r="G134" i="5"/>
  <c r="F132" i="5"/>
  <c r="E130" i="5"/>
  <c r="R127" i="5"/>
  <c r="K125" i="5"/>
  <c r="Q123" i="5"/>
  <c r="Q121" i="5"/>
  <c r="R119" i="5"/>
  <c r="H117" i="5"/>
  <c r="J115" i="5"/>
  <c r="I113" i="5"/>
  <c r="K111" i="5"/>
  <c r="F109" i="5"/>
  <c r="E107" i="5"/>
  <c r="J105" i="5"/>
  <c r="Q655" i="5"/>
  <c r="R500" i="5"/>
  <c r="H402" i="5"/>
  <c r="F334" i="5"/>
  <c r="A280" i="5"/>
  <c r="E234" i="5"/>
  <c r="Q230" i="5"/>
  <c r="A228" i="5"/>
  <c r="Q225" i="5"/>
  <c r="A223" i="5"/>
  <c r="L219" i="5"/>
  <c r="K216" i="5"/>
  <c r="G214" i="5"/>
  <c r="J211" i="5"/>
  <c r="C209" i="5"/>
  <c r="H206" i="5"/>
  <c r="J203" i="5"/>
  <c r="G201" i="5"/>
  <c r="A199" i="5"/>
  <c r="B197" i="5"/>
  <c r="S197" i="5" s="1"/>
  <c r="L194" i="5"/>
  <c r="I190" i="5"/>
  <c r="F188" i="5"/>
  <c r="I186" i="5"/>
  <c r="H184" i="5"/>
  <c r="I182" i="5"/>
  <c r="A180" i="5"/>
  <c r="R177" i="5"/>
  <c r="R175" i="5"/>
  <c r="L173" i="5"/>
  <c r="J171" i="5"/>
  <c r="G169" i="5"/>
  <c r="I167" i="5"/>
  <c r="H165" i="5"/>
  <c r="D163" i="5"/>
  <c r="B161" i="5"/>
  <c r="S161" i="5" s="1"/>
  <c r="A159" i="5"/>
  <c r="A157" i="5"/>
  <c r="R154" i="5"/>
  <c r="A153" i="5"/>
  <c r="H150" i="5"/>
  <c r="H148" i="5"/>
  <c r="J146" i="5"/>
  <c r="H144" i="5"/>
  <c r="I142" i="5"/>
  <c r="I140" i="5"/>
  <c r="D138" i="5"/>
  <c r="D136" i="5"/>
  <c r="F134" i="5"/>
  <c r="E132" i="5"/>
  <c r="D130" i="5"/>
  <c r="Q127" i="5"/>
  <c r="J125" i="5"/>
  <c r="L123" i="5"/>
  <c r="L121" i="5"/>
  <c r="Q119" i="5"/>
  <c r="J642" i="5"/>
  <c r="G494" i="5"/>
  <c r="G398" i="5"/>
  <c r="F330" i="5"/>
  <c r="D277" i="5"/>
  <c r="F233" i="5"/>
  <c r="L230" i="5"/>
  <c r="R227" i="5"/>
  <c r="L225" i="5"/>
  <c r="I222" i="5"/>
  <c r="F219" i="5"/>
  <c r="I216" i="5"/>
  <c r="C214" i="5"/>
  <c r="F211" i="5"/>
  <c r="I208" i="5"/>
  <c r="G206" i="5"/>
  <c r="I203" i="5"/>
  <c r="F201" i="5"/>
  <c r="R198" i="5"/>
  <c r="A197" i="5"/>
  <c r="K194" i="5"/>
  <c r="F192" i="5"/>
  <c r="H190" i="5"/>
  <c r="E188" i="5"/>
  <c r="H186" i="5"/>
  <c r="F184" i="5"/>
  <c r="Q181" i="5"/>
  <c r="R179" i="5"/>
  <c r="Q177" i="5"/>
  <c r="Q175" i="5"/>
  <c r="K173" i="5"/>
  <c r="I171" i="5"/>
  <c r="F169" i="5"/>
  <c r="H167" i="5"/>
  <c r="G165" i="5"/>
  <c r="C163" i="5"/>
  <c r="A161" i="5"/>
  <c r="R158" i="5"/>
  <c r="R156" i="5"/>
  <c r="L154" i="5"/>
  <c r="G150" i="5"/>
  <c r="G148" i="5"/>
  <c r="I146" i="5"/>
  <c r="G144" i="5"/>
  <c r="H142" i="5"/>
  <c r="C140" i="5"/>
  <c r="C138" i="5"/>
  <c r="C136" i="5"/>
  <c r="E134" i="5"/>
  <c r="A132" i="5"/>
  <c r="J129" i="5"/>
  <c r="L127" i="5"/>
  <c r="I125" i="5"/>
  <c r="L631" i="5"/>
  <c r="L487" i="5"/>
  <c r="G394" i="5"/>
  <c r="F326" i="5"/>
  <c r="R273" i="5"/>
  <c r="D233" i="5"/>
  <c r="K230" i="5"/>
  <c r="Q227" i="5"/>
  <c r="B225" i="5"/>
  <c r="S225" i="5" s="1"/>
  <c r="H222" i="5"/>
  <c r="E219" i="5"/>
  <c r="H216" i="5"/>
  <c r="B214" i="5"/>
  <c r="S214" i="5" s="1"/>
  <c r="E211" i="5"/>
  <c r="H208" i="5"/>
  <c r="F206" i="5"/>
  <c r="H203" i="5"/>
  <c r="E201" i="5"/>
  <c r="Q198" i="5"/>
  <c r="Q196" i="5"/>
  <c r="J194" i="5"/>
  <c r="E192" i="5"/>
  <c r="G190" i="5"/>
  <c r="D188" i="5"/>
  <c r="G186" i="5"/>
  <c r="E184" i="5"/>
  <c r="L181" i="5"/>
  <c r="Q179" i="5"/>
  <c r="L177" i="5"/>
  <c r="K175" i="5"/>
  <c r="E173" i="5"/>
  <c r="C171" i="5"/>
  <c r="E169" i="5"/>
  <c r="D167" i="5"/>
  <c r="E165" i="5"/>
  <c r="L162" i="5"/>
  <c r="K158" i="5"/>
  <c r="Q156" i="5"/>
  <c r="K154" i="5"/>
  <c r="D152" i="5"/>
  <c r="F150" i="5"/>
  <c r="F148" i="5"/>
  <c r="H146" i="5"/>
  <c r="F144" i="5"/>
  <c r="G142" i="5"/>
  <c r="B140" i="5"/>
  <c r="S140" i="5" s="1"/>
  <c r="R137" i="5"/>
  <c r="B136" i="5"/>
  <c r="S136" i="5" s="1"/>
  <c r="D134" i="5"/>
  <c r="I129" i="5"/>
  <c r="K127" i="5"/>
  <c r="H125" i="5"/>
  <c r="J123" i="5"/>
  <c r="I121" i="5"/>
  <c r="B119" i="5"/>
  <c r="S119" i="5" s="1"/>
  <c r="E117" i="5"/>
  <c r="E115" i="5"/>
  <c r="E113" i="5"/>
  <c r="A111" i="5"/>
  <c r="A109" i="5"/>
  <c r="B107" i="5"/>
  <c r="S107" i="5" s="1"/>
  <c r="G105" i="5"/>
  <c r="R103" i="5"/>
  <c r="E102" i="5"/>
  <c r="J100" i="5"/>
  <c r="B99" i="5"/>
  <c r="S99" i="5" s="1"/>
  <c r="D97" i="5"/>
  <c r="K95" i="5"/>
  <c r="E94" i="5"/>
  <c r="L92" i="5"/>
  <c r="F91" i="5"/>
  <c r="H88" i="5"/>
  <c r="B87" i="5"/>
  <c r="S87" i="5" s="1"/>
  <c r="J85" i="5"/>
  <c r="Q83" i="5"/>
  <c r="G82" i="5"/>
  <c r="B81" i="5"/>
  <c r="S81" i="5" s="1"/>
  <c r="J79" i="5"/>
  <c r="E78" i="5"/>
  <c r="Q76" i="5"/>
  <c r="I75" i="5"/>
  <c r="D74" i="5"/>
  <c r="L622" i="5"/>
  <c r="Q479" i="5"/>
  <c r="K389" i="5"/>
  <c r="Q270" i="5"/>
  <c r="B233" i="5"/>
  <c r="S233" i="5" s="1"/>
  <c r="I230" i="5"/>
  <c r="L227" i="5"/>
  <c r="A225" i="5"/>
  <c r="G222" i="5"/>
  <c r="D219" i="5"/>
  <c r="G216" i="5"/>
  <c r="A214" i="5"/>
  <c r="D211" i="5"/>
  <c r="F208" i="5"/>
  <c r="G205" i="5"/>
  <c r="D203" i="5"/>
  <c r="B201" i="5"/>
  <c r="S201" i="5" s="1"/>
  <c r="L198" i="5"/>
  <c r="I196" i="5"/>
  <c r="D194" i="5"/>
  <c r="D192" i="5"/>
  <c r="F190" i="5"/>
  <c r="C188" i="5"/>
  <c r="F186" i="5"/>
  <c r="D184" i="5"/>
  <c r="K181" i="5"/>
  <c r="L179" i="5"/>
  <c r="K177" i="5"/>
  <c r="J175" i="5"/>
  <c r="D173" i="5"/>
  <c r="B171" i="5"/>
  <c r="S171" i="5" s="1"/>
  <c r="D169" i="5"/>
  <c r="C167" i="5"/>
  <c r="D165" i="5"/>
  <c r="K162" i="5"/>
  <c r="R160" i="5"/>
  <c r="J158" i="5"/>
  <c r="I156" i="5"/>
  <c r="J154" i="5"/>
  <c r="C152" i="5"/>
  <c r="E150" i="5"/>
  <c r="E148" i="5"/>
  <c r="G146" i="5"/>
  <c r="D144" i="5"/>
  <c r="Q141" i="5"/>
  <c r="R139" i="5"/>
  <c r="Q137" i="5"/>
  <c r="A136" i="5"/>
  <c r="C134" i="5"/>
  <c r="R131" i="5"/>
  <c r="H129" i="5"/>
  <c r="J127" i="5"/>
  <c r="G125" i="5"/>
  <c r="H123" i="5"/>
  <c r="H121" i="5"/>
  <c r="A119" i="5"/>
  <c r="D117" i="5"/>
  <c r="D115" i="5"/>
  <c r="D113" i="5"/>
  <c r="R110" i="5"/>
  <c r="R108" i="5"/>
  <c r="A107" i="5"/>
  <c r="F105" i="5"/>
  <c r="Q103" i="5"/>
  <c r="D102" i="5"/>
  <c r="I100" i="5"/>
  <c r="K98" i="5"/>
  <c r="C97" i="5"/>
  <c r="J95" i="5"/>
  <c r="D94" i="5"/>
  <c r="K92" i="5"/>
  <c r="E91" i="5"/>
  <c r="R89" i="5"/>
  <c r="G88" i="5"/>
  <c r="A87" i="5"/>
  <c r="I85" i="5"/>
  <c r="L83" i="5"/>
  <c r="F82" i="5"/>
  <c r="A81" i="5"/>
  <c r="I79" i="5"/>
  <c r="D78" i="5"/>
  <c r="L76" i="5"/>
  <c r="H75" i="5"/>
  <c r="C74" i="5"/>
  <c r="I612" i="5"/>
  <c r="K473" i="5"/>
  <c r="H384" i="5"/>
  <c r="I318" i="5"/>
  <c r="B268" i="5"/>
  <c r="S268" i="5" s="1"/>
  <c r="A233" i="5"/>
  <c r="C230" i="5"/>
  <c r="K227" i="5"/>
  <c r="Q224" i="5"/>
  <c r="J221" i="5"/>
  <c r="C219" i="5"/>
  <c r="F216" i="5"/>
  <c r="J213" i="5"/>
  <c r="C211" i="5"/>
  <c r="E208" i="5"/>
  <c r="F205" i="5"/>
  <c r="C203" i="5"/>
  <c r="R200" i="5"/>
  <c r="K198" i="5"/>
  <c r="H196" i="5"/>
  <c r="C194" i="5"/>
  <c r="C192" i="5"/>
  <c r="C190" i="5"/>
  <c r="B188" i="5"/>
  <c r="S188" i="5" s="1"/>
  <c r="D186" i="5"/>
  <c r="K183" i="5"/>
  <c r="J181" i="5"/>
  <c r="K179" i="5"/>
  <c r="H177" i="5"/>
  <c r="I175" i="5"/>
  <c r="C173" i="5"/>
  <c r="A171" i="5"/>
  <c r="C169" i="5"/>
  <c r="B167" i="5"/>
  <c r="S167" i="5" s="1"/>
  <c r="A165" i="5"/>
  <c r="J162" i="5"/>
  <c r="Q160" i="5"/>
  <c r="I158" i="5"/>
  <c r="G156" i="5"/>
  <c r="R153" i="5"/>
  <c r="B152" i="5"/>
  <c r="S152" i="5" s="1"/>
  <c r="D150" i="5"/>
  <c r="D148" i="5"/>
  <c r="D146" i="5"/>
  <c r="C144" i="5"/>
  <c r="L141" i="5"/>
  <c r="Q139" i="5"/>
  <c r="L137" i="5"/>
  <c r="R135" i="5"/>
  <c r="Q133" i="5"/>
  <c r="H131" i="5"/>
  <c r="G129" i="5"/>
  <c r="D127" i="5"/>
  <c r="F125" i="5"/>
  <c r="D123" i="5"/>
  <c r="R120" i="5"/>
  <c r="R118" i="5"/>
  <c r="C117" i="5"/>
  <c r="A115" i="5"/>
  <c r="C113" i="5"/>
  <c r="Q110" i="5"/>
  <c r="Q108" i="5"/>
  <c r="R106" i="5"/>
  <c r="E105" i="5"/>
  <c r="L103" i="5"/>
  <c r="C102" i="5"/>
  <c r="C100" i="5"/>
  <c r="J98" i="5"/>
  <c r="B97" i="5"/>
  <c r="S97" i="5" s="1"/>
  <c r="I95" i="5"/>
  <c r="C94" i="5"/>
  <c r="J92" i="5"/>
  <c r="D91" i="5"/>
  <c r="Q89" i="5"/>
  <c r="F88" i="5"/>
  <c r="R86" i="5"/>
  <c r="C85" i="5"/>
  <c r="K83" i="5"/>
  <c r="E82" i="5"/>
  <c r="R80" i="5"/>
  <c r="H79" i="5"/>
  <c r="C78" i="5"/>
  <c r="K76" i="5"/>
  <c r="E601" i="5"/>
  <c r="L464" i="5"/>
  <c r="L379" i="5"/>
  <c r="B315" i="5"/>
  <c r="S315" i="5" s="1"/>
  <c r="I265" i="5"/>
  <c r="R232" i="5"/>
  <c r="B230" i="5"/>
  <c r="S230" i="5" s="1"/>
  <c r="J227" i="5"/>
  <c r="L224" i="5"/>
  <c r="I221" i="5"/>
  <c r="B219" i="5"/>
  <c r="S219" i="5" s="1"/>
  <c r="E216" i="5"/>
  <c r="I213" i="5"/>
  <c r="B211" i="5"/>
  <c r="S211" i="5" s="1"/>
  <c r="D208" i="5"/>
  <c r="E205" i="5"/>
  <c r="B203" i="5"/>
  <c r="S203" i="5" s="1"/>
  <c r="Q200" i="5"/>
  <c r="I198" i="5"/>
  <c r="R195" i="5"/>
  <c r="R193" i="5"/>
  <c r="B192" i="5"/>
  <c r="S192" i="5" s="1"/>
  <c r="R189" i="5"/>
  <c r="A188" i="5"/>
  <c r="C186" i="5"/>
  <c r="J183" i="5"/>
  <c r="I181" i="5"/>
  <c r="J179" i="5"/>
  <c r="F177" i="5"/>
  <c r="R174" i="5"/>
  <c r="B173" i="5"/>
  <c r="S173" i="5" s="1"/>
  <c r="R170" i="5"/>
  <c r="B169" i="5"/>
  <c r="S169" i="5" s="1"/>
  <c r="R166" i="5"/>
  <c r="G164" i="5"/>
  <c r="I162" i="5"/>
  <c r="I160" i="5"/>
  <c r="H158" i="5"/>
  <c r="F156" i="5"/>
  <c r="Q153" i="5"/>
  <c r="A152" i="5"/>
  <c r="C150" i="5"/>
  <c r="C148" i="5"/>
  <c r="R145" i="5"/>
  <c r="B144" i="5"/>
  <c r="S144" i="5" s="1"/>
  <c r="K141" i="5"/>
  <c r="L139" i="5"/>
  <c r="K137" i="5"/>
  <c r="Q135" i="5"/>
  <c r="L133" i="5"/>
  <c r="D131" i="5"/>
  <c r="F129" i="5"/>
  <c r="C127" i="5"/>
  <c r="E125" i="5"/>
  <c r="C123" i="5"/>
  <c r="Q120" i="5"/>
  <c r="Q118" i="5"/>
  <c r="B117" i="5"/>
  <c r="S117" i="5" s="1"/>
  <c r="R114" i="5"/>
  <c r="J112" i="5"/>
  <c r="J110" i="5"/>
  <c r="J108" i="5"/>
  <c r="Q106" i="5"/>
  <c r="D105" i="5"/>
  <c r="K103" i="5"/>
  <c r="J101" i="5"/>
  <c r="B100" i="5"/>
  <c r="S100" i="5" s="1"/>
  <c r="I98" i="5"/>
  <c r="A97" i="5"/>
  <c r="H95" i="5"/>
  <c r="B94" i="5"/>
  <c r="S94" i="5" s="1"/>
  <c r="I92" i="5"/>
  <c r="C91" i="5"/>
  <c r="L89" i="5"/>
  <c r="E88" i="5"/>
  <c r="H86" i="5"/>
  <c r="B85" i="5"/>
  <c r="S85" i="5" s="1"/>
  <c r="J83" i="5"/>
  <c r="D82" i="5"/>
  <c r="Q80" i="5"/>
  <c r="G79" i="5"/>
  <c r="B78" i="5"/>
  <c r="S78" i="5" s="1"/>
  <c r="D590" i="5"/>
  <c r="E457" i="5"/>
  <c r="R375" i="5"/>
  <c r="J311" i="5"/>
  <c r="I262" i="5"/>
  <c r="Q232" i="5"/>
  <c r="A230" i="5"/>
  <c r="H227" i="5"/>
  <c r="K224" i="5"/>
  <c r="H221" i="5"/>
  <c r="K218" i="5"/>
  <c r="D216" i="5"/>
  <c r="H213" i="5"/>
  <c r="R210" i="5"/>
  <c r="Q207" i="5"/>
  <c r="D205" i="5"/>
  <c r="A203" i="5"/>
  <c r="I200" i="5"/>
  <c r="H198" i="5"/>
  <c r="Q195" i="5"/>
  <c r="Q193" i="5"/>
  <c r="A192" i="5"/>
  <c r="Q189" i="5"/>
  <c r="R187" i="5"/>
  <c r="R185" i="5"/>
  <c r="I183" i="5"/>
  <c r="H181" i="5"/>
  <c r="I179" i="5"/>
  <c r="E177" i="5"/>
  <c r="Q174" i="5"/>
  <c r="R172" i="5"/>
  <c r="Q170" i="5"/>
  <c r="A169" i="5"/>
  <c r="Q166" i="5"/>
  <c r="F164" i="5"/>
  <c r="H162" i="5"/>
  <c r="H160" i="5"/>
  <c r="G158" i="5"/>
  <c r="E156" i="5"/>
  <c r="L153" i="5"/>
  <c r="R151" i="5"/>
  <c r="R149" i="5"/>
  <c r="B148" i="5"/>
  <c r="S148" i="5" s="1"/>
  <c r="Q145" i="5"/>
  <c r="K143" i="5"/>
  <c r="J141" i="5"/>
  <c r="K139" i="5"/>
  <c r="J137" i="5"/>
  <c r="K135" i="5"/>
  <c r="I133" i="5"/>
  <c r="C131" i="5"/>
  <c r="E129" i="5"/>
  <c r="B127" i="5"/>
  <c r="S127" i="5" s="1"/>
  <c r="C125" i="5"/>
  <c r="J122" i="5"/>
  <c r="I120" i="5"/>
  <c r="L118" i="5"/>
  <c r="A117" i="5"/>
  <c r="Q114" i="5"/>
  <c r="I112" i="5"/>
  <c r="I110" i="5"/>
  <c r="I108" i="5"/>
  <c r="L106" i="5"/>
  <c r="C105" i="5"/>
  <c r="J103" i="5"/>
  <c r="I101" i="5"/>
  <c r="A100" i="5"/>
  <c r="H98" i="5"/>
  <c r="R96" i="5"/>
  <c r="G95" i="5"/>
  <c r="A94" i="5"/>
  <c r="H92" i="5"/>
  <c r="B91" i="5"/>
  <c r="S91" i="5" s="1"/>
  <c r="K89" i="5"/>
  <c r="D88" i="5"/>
  <c r="G86" i="5"/>
  <c r="A85" i="5"/>
  <c r="I83" i="5"/>
  <c r="A582" i="5"/>
  <c r="G451" i="5"/>
  <c r="A372" i="5"/>
  <c r="I308" i="5"/>
  <c r="F259" i="5"/>
  <c r="L232" i="5"/>
  <c r="R229" i="5"/>
  <c r="G227" i="5"/>
  <c r="E224" i="5"/>
  <c r="C221" i="5"/>
  <c r="F218" i="5"/>
  <c r="C216" i="5"/>
  <c r="F213" i="5"/>
  <c r="Q210" i="5"/>
  <c r="L207" i="5"/>
  <c r="C205" i="5"/>
  <c r="R202" i="5"/>
  <c r="H200" i="5"/>
  <c r="G198" i="5"/>
  <c r="L195" i="5"/>
  <c r="L193" i="5"/>
  <c r="R191" i="5"/>
  <c r="L189" i="5"/>
  <c r="Q187" i="5"/>
  <c r="F185" i="5"/>
  <c r="H183" i="5"/>
  <c r="G181" i="5"/>
  <c r="H179" i="5"/>
  <c r="D177" i="5"/>
  <c r="L174" i="5"/>
  <c r="Q172" i="5"/>
  <c r="L170" i="5"/>
  <c r="Q168" i="5"/>
  <c r="E166" i="5"/>
  <c r="E164" i="5"/>
  <c r="G162" i="5"/>
  <c r="G160" i="5"/>
  <c r="E158" i="5"/>
  <c r="R155" i="5"/>
  <c r="K153" i="5"/>
  <c r="Q151" i="5"/>
  <c r="Q149" i="5"/>
  <c r="A148" i="5"/>
  <c r="L145" i="5"/>
  <c r="J143" i="5"/>
  <c r="G141" i="5"/>
  <c r="J139" i="5"/>
  <c r="I137" i="5"/>
  <c r="J135" i="5"/>
  <c r="C133" i="5"/>
  <c r="B131" i="5"/>
  <c r="S131" i="5" s="1"/>
  <c r="D129" i="5"/>
  <c r="A127" i="5"/>
  <c r="B125" i="5"/>
  <c r="S125" i="5" s="1"/>
  <c r="I122" i="5"/>
  <c r="H120" i="5"/>
  <c r="K118" i="5"/>
  <c r="R116" i="5"/>
  <c r="L114" i="5"/>
  <c r="H112" i="5"/>
  <c r="H110" i="5"/>
  <c r="H108" i="5"/>
  <c r="K106" i="5"/>
  <c r="G570" i="5"/>
  <c r="Q445" i="5"/>
  <c r="G368" i="5"/>
  <c r="L304" i="5"/>
  <c r="E256" i="5"/>
  <c r="K232" i="5"/>
  <c r="I229" i="5"/>
  <c r="F227" i="5"/>
  <c r="A224" i="5"/>
  <c r="B221" i="5"/>
  <c r="S221" i="5" s="1"/>
  <c r="E218" i="5"/>
  <c r="B216" i="5"/>
  <c r="S216" i="5" s="1"/>
  <c r="C213" i="5"/>
  <c r="L209" i="5"/>
  <c r="K207" i="5"/>
  <c r="B205" i="5"/>
  <c r="S205" i="5" s="1"/>
  <c r="Q202" i="5"/>
  <c r="F200" i="5"/>
  <c r="J197" i="5"/>
  <c r="K195" i="5"/>
  <c r="K193" i="5"/>
  <c r="K191" i="5"/>
  <c r="K189" i="5"/>
  <c r="L187" i="5"/>
  <c r="E185" i="5"/>
  <c r="D183" i="5"/>
  <c r="F181" i="5"/>
  <c r="A179" i="5"/>
  <c r="Q176" i="5"/>
  <c r="K174" i="5"/>
  <c r="I172" i="5"/>
  <c r="K170" i="5"/>
  <c r="I168" i="5"/>
  <c r="D166" i="5"/>
  <c r="D164" i="5"/>
  <c r="F162" i="5"/>
  <c r="D160" i="5"/>
  <c r="D158" i="5"/>
  <c r="Q155" i="5"/>
  <c r="J153" i="5"/>
  <c r="L151" i="5"/>
  <c r="L149" i="5"/>
  <c r="L147" i="5"/>
  <c r="F145" i="5"/>
  <c r="I143" i="5"/>
  <c r="F141" i="5"/>
  <c r="I139" i="5"/>
  <c r="H137" i="5"/>
  <c r="I135" i="5"/>
  <c r="B133" i="5"/>
  <c r="S133" i="5" s="1"/>
  <c r="A131" i="5"/>
  <c r="C129" i="5"/>
  <c r="Q126" i="5"/>
  <c r="A125" i="5"/>
  <c r="H122" i="5"/>
  <c r="G120" i="5"/>
  <c r="R561" i="5"/>
  <c r="E439" i="5"/>
  <c r="C363" i="5"/>
  <c r="K301" i="5"/>
  <c r="A254" i="5"/>
  <c r="G232" i="5"/>
  <c r="H229" i="5"/>
  <c r="E226" i="5"/>
  <c r="R223" i="5"/>
  <c r="A221" i="5"/>
  <c r="C218" i="5"/>
  <c r="A216" i="5"/>
  <c r="B213" i="5"/>
  <c r="S213" i="5" s="1"/>
  <c r="K209" i="5"/>
  <c r="J207" i="5"/>
  <c r="A205" i="5"/>
  <c r="J202" i="5"/>
  <c r="E200" i="5"/>
  <c r="I197" i="5"/>
  <c r="J195" i="5"/>
  <c r="J193" i="5"/>
  <c r="J191" i="5"/>
  <c r="I189" i="5"/>
  <c r="C187" i="5"/>
  <c r="D185" i="5"/>
  <c r="C183" i="5"/>
  <c r="E181" i="5"/>
  <c r="R178" i="5"/>
  <c r="I176" i="5"/>
  <c r="J174" i="5"/>
  <c r="H172" i="5"/>
  <c r="J170" i="5"/>
  <c r="H168" i="5"/>
  <c r="C166" i="5"/>
  <c r="C164" i="5"/>
  <c r="E162" i="5"/>
  <c r="C160" i="5"/>
  <c r="C158" i="5"/>
  <c r="J155" i="5"/>
  <c r="I153" i="5"/>
  <c r="K151" i="5"/>
  <c r="K149" i="5"/>
  <c r="K147" i="5"/>
  <c r="E145" i="5"/>
  <c r="H143" i="5"/>
  <c r="E141" i="5"/>
  <c r="H139" i="5"/>
  <c r="F137" i="5"/>
  <c r="Q134" i="5"/>
  <c r="A133" i="5"/>
  <c r="R130" i="5"/>
  <c r="R128" i="5"/>
  <c r="L126" i="5"/>
  <c r="G124" i="5"/>
  <c r="G122" i="5"/>
  <c r="L553" i="5"/>
  <c r="I432" i="5"/>
  <c r="Q358" i="5"/>
  <c r="D298" i="5"/>
  <c r="C251" i="5"/>
  <c r="F232" i="5"/>
  <c r="G229" i="5"/>
  <c r="D226" i="5"/>
  <c r="H223" i="5"/>
  <c r="R220" i="5"/>
  <c r="B218" i="5"/>
  <c r="S218" i="5" s="1"/>
  <c r="Q215" i="5"/>
  <c r="A213" i="5"/>
  <c r="J209" i="5"/>
  <c r="A207" i="5"/>
  <c r="R204" i="5"/>
  <c r="F202" i="5"/>
  <c r="D200" i="5"/>
  <c r="H197" i="5"/>
  <c r="I195" i="5"/>
  <c r="I193" i="5"/>
  <c r="I191" i="5"/>
  <c r="H189" i="5"/>
  <c r="B187" i="5"/>
  <c r="S187" i="5" s="1"/>
  <c r="C185" i="5"/>
  <c r="B183" i="5"/>
  <c r="S183" i="5" s="1"/>
  <c r="D181" i="5"/>
  <c r="H178" i="5"/>
  <c r="H176" i="5"/>
  <c r="G174" i="5"/>
  <c r="G172" i="5"/>
  <c r="H170" i="5"/>
  <c r="R165" i="5"/>
  <c r="B164" i="5"/>
  <c r="S164" i="5" s="1"/>
  <c r="D162" i="5"/>
  <c r="B160" i="5"/>
  <c r="S160" i="5" s="1"/>
  <c r="I157" i="5"/>
  <c r="I155" i="5"/>
  <c r="H153" i="5"/>
  <c r="J151" i="5"/>
  <c r="I149" i="5"/>
  <c r="J147" i="5"/>
  <c r="D145" i="5"/>
  <c r="D143" i="5"/>
  <c r="D141" i="5"/>
  <c r="D139" i="5"/>
  <c r="E137" i="5"/>
  <c r="L134" i="5"/>
  <c r="R132" i="5"/>
  <c r="Q130" i="5"/>
  <c r="Q128" i="5"/>
  <c r="K126" i="5"/>
  <c r="F124" i="5"/>
  <c r="F122" i="5"/>
  <c r="J22" i="5"/>
  <c r="E41" i="5"/>
  <c r="E51" i="5"/>
  <c r="J63" i="5"/>
  <c r="H71" i="5"/>
  <c r="R84" i="5"/>
  <c r="R29" i="5"/>
  <c r="H6" i="5"/>
  <c r="K7" i="5"/>
  <c r="R8" i="5"/>
  <c r="C10" i="5"/>
  <c r="G11" i="5"/>
  <c r="K12" i="5"/>
  <c r="D15" i="5"/>
  <c r="G16" i="5"/>
  <c r="K17" i="5"/>
  <c r="D20" i="5"/>
  <c r="F21" i="5"/>
  <c r="I22" i="5"/>
  <c r="L23" i="5"/>
  <c r="B25" i="5"/>
  <c r="S25" i="5" s="1"/>
  <c r="F26" i="5"/>
  <c r="J27" i="5"/>
  <c r="R28" i="5"/>
  <c r="D30" i="5"/>
  <c r="G31" i="5"/>
  <c r="J32" i="5"/>
  <c r="R33" i="5"/>
  <c r="B35" i="5"/>
  <c r="S35" i="5" s="1"/>
  <c r="F36" i="5"/>
  <c r="J37" i="5"/>
  <c r="K38" i="5"/>
  <c r="D41" i="5"/>
  <c r="H42" i="5"/>
  <c r="L43" i="5"/>
  <c r="A45" i="5"/>
  <c r="E46" i="5"/>
  <c r="H47" i="5"/>
  <c r="K48" i="5"/>
  <c r="D51" i="5"/>
  <c r="H52" i="5"/>
  <c r="L53" i="5"/>
  <c r="A55" i="5"/>
  <c r="D56" i="5"/>
  <c r="F57" i="5"/>
  <c r="J58" i="5"/>
  <c r="Q59" i="5"/>
  <c r="C61" i="5"/>
  <c r="F62" i="5"/>
  <c r="I63" i="5"/>
  <c r="Q64" i="5"/>
  <c r="C66" i="5"/>
  <c r="H67" i="5"/>
  <c r="L68" i="5"/>
  <c r="C70" i="5"/>
  <c r="G71" i="5"/>
  <c r="L72" i="5"/>
  <c r="B74" i="5"/>
  <c r="S74" i="5" s="1"/>
  <c r="K75" i="5"/>
  <c r="E77" i="5"/>
  <c r="K79" i="5"/>
  <c r="B82" i="5"/>
  <c r="S82" i="5" s="1"/>
  <c r="Q84" i="5"/>
  <c r="L87" i="5"/>
  <c r="Q93" i="5"/>
  <c r="K96" i="5"/>
  <c r="R99" i="5"/>
  <c r="A103" i="5"/>
  <c r="C107" i="5"/>
  <c r="F112" i="5"/>
  <c r="F118" i="5"/>
  <c r="K134" i="5"/>
  <c r="R167" i="5"/>
  <c r="E202" i="5"/>
  <c r="J542" i="5"/>
  <c r="G108" i="5"/>
  <c r="C110" i="5"/>
  <c r="L111" i="5"/>
  <c r="F113" i="5"/>
  <c r="Q116" i="5"/>
  <c r="G118" i="5"/>
  <c r="A120" i="5"/>
  <c r="K121" i="5"/>
  <c r="I123" i="5"/>
  <c r="D125" i="5"/>
  <c r="R126" i="5"/>
  <c r="I128" i="5"/>
  <c r="G130" i="5"/>
  <c r="D132" i="5"/>
  <c r="R133" i="5"/>
  <c r="L135" i="5"/>
  <c r="G137" i="5"/>
  <c r="B139" i="5"/>
  <c r="S139" i="5" s="1"/>
  <c r="J142" i="5"/>
  <c r="E144" i="5"/>
  <c r="C146" i="5"/>
  <c r="J149" i="5"/>
  <c r="H151" i="5"/>
  <c r="C153" i="5"/>
  <c r="Q154" i="5"/>
  <c r="H156" i="5"/>
  <c r="F158" i="5"/>
  <c r="A160" i="5"/>
  <c r="K161" i="5"/>
  <c r="K163" i="5"/>
  <c r="F165" i="5"/>
  <c r="A167" i="5"/>
  <c r="R168" i="5"/>
  <c r="I170" i="5"/>
  <c r="D172" i="5"/>
  <c r="R173" i="5"/>
  <c r="L175" i="5"/>
  <c r="G177" i="5"/>
  <c r="D179" i="5"/>
  <c r="B181" i="5"/>
  <c r="S181" i="5" s="1"/>
  <c r="L182" i="5"/>
  <c r="G184" i="5"/>
  <c r="E186" i="5"/>
  <c r="J189" i="5"/>
  <c r="H191" i="5"/>
  <c r="C193" i="5"/>
  <c r="R196" i="5"/>
  <c r="J198" i="5"/>
  <c r="G200" i="5"/>
  <c r="G202" i="5"/>
  <c r="H204" i="5"/>
  <c r="I206" i="5"/>
  <c r="G208" i="5"/>
  <c r="A211" i="5"/>
  <c r="D213" i="5"/>
  <c r="R215" i="5"/>
  <c r="E220" i="5"/>
  <c r="R222" i="5"/>
  <c r="I227" i="5"/>
  <c r="J229" i="5"/>
  <c r="E232" i="5"/>
  <c r="H234" i="5"/>
  <c r="J236" i="5"/>
  <c r="D239" i="5"/>
  <c r="I241" i="5"/>
  <c r="C244" i="5"/>
  <c r="C246" i="5"/>
  <c r="Q248" i="5"/>
  <c r="B251" i="5"/>
  <c r="S251" i="5" s="1"/>
  <c r="C253" i="5"/>
  <c r="L255" i="5"/>
  <c r="B258" i="5"/>
  <c r="S258" i="5" s="1"/>
  <c r="H260" i="5"/>
  <c r="L262" i="5"/>
  <c r="G265" i="5"/>
  <c r="G267" i="5"/>
  <c r="L269" i="5"/>
  <c r="G272" i="5"/>
  <c r="R274" i="5"/>
  <c r="J277" i="5"/>
  <c r="K279" i="5"/>
  <c r="H282" i="5"/>
  <c r="R284" i="5"/>
  <c r="B287" i="5"/>
  <c r="S287" i="5" s="1"/>
  <c r="R289" i="5"/>
  <c r="H292" i="5"/>
  <c r="F295" i="5"/>
  <c r="Q297" i="5"/>
  <c r="L300" i="5"/>
  <c r="E303" i="5"/>
  <c r="R305" i="5"/>
  <c r="L308" i="5"/>
  <c r="H311" i="5"/>
  <c r="I314" i="5"/>
  <c r="B317" i="5"/>
  <c r="S317" i="5" s="1"/>
  <c r="Q320" i="5"/>
  <c r="H323" i="5"/>
  <c r="G326" i="5"/>
  <c r="Q329" i="5"/>
  <c r="K336" i="5"/>
  <c r="L339" i="5"/>
  <c r="K343" i="5"/>
  <c r="A347" i="5"/>
  <c r="A350" i="5"/>
  <c r="L353" i="5"/>
  <c r="D357" i="5"/>
  <c r="G364" i="5"/>
  <c r="A368" i="5"/>
  <c r="G371" i="5"/>
  <c r="A375" i="5"/>
  <c r="K378" i="5"/>
  <c r="H382" i="5"/>
  <c r="J386" i="5"/>
  <c r="Q389" i="5"/>
  <c r="E394" i="5"/>
  <c r="F397" i="5"/>
  <c r="Q400" i="5"/>
  <c r="C405" i="5"/>
  <c r="D409" i="5"/>
  <c r="E413" i="5"/>
  <c r="G417" i="5"/>
  <c r="C422" i="5"/>
  <c r="A426" i="5"/>
  <c r="G430" i="5"/>
  <c r="F435" i="5"/>
  <c r="L439" i="5"/>
  <c r="L445" i="5"/>
  <c r="A450" i="5"/>
  <c r="Q455" i="5"/>
  <c r="H461" i="5"/>
  <c r="G467" i="5"/>
  <c r="Q473" i="5"/>
  <c r="G479" i="5"/>
  <c r="G486" i="5"/>
  <c r="K491" i="5"/>
  <c r="D499" i="5"/>
  <c r="D511" i="5"/>
  <c r="A518" i="5"/>
  <c r="G524" i="5"/>
  <c r="H531" i="5"/>
  <c r="F538" i="5"/>
  <c r="H546" i="5"/>
  <c r="D570" i="5"/>
  <c r="E578" i="5"/>
  <c r="A587" i="5"/>
  <c r="L594" i="5"/>
  <c r="I603" i="5"/>
  <c r="C611" i="5"/>
  <c r="G619" i="5"/>
  <c r="G628" i="5"/>
  <c r="L637" i="5"/>
  <c r="G647" i="5"/>
  <c r="F656" i="5"/>
  <c r="H667" i="5"/>
  <c r="H676" i="5"/>
  <c r="A687" i="5"/>
  <c r="L698" i="5"/>
  <c r="B710" i="5"/>
  <c r="S710" i="5" s="1"/>
  <c r="D65" i="5"/>
  <c r="I66" i="5"/>
  <c r="R67" i="5"/>
  <c r="D69" i="5"/>
  <c r="I70" i="5"/>
  <c r="R71" i="5"/>
  <c r="D73" i="5"/>
  <c r="I74" i="5"/>
  <c r="R75" i="5"/>
  <c r="D77" i="5"/>
  <c r="I78" i="5"/>
  <c r="R79" i="5"/>
  <c r="D81" i="5"/>
  <c r="I82" i="5"/>
  <c r="R83" i="5"/>
  <c r="D85" i="5"/>
  <c r="I86" i="5"/>
  <c r="R87" i="5"/>
  <c r="D89" i="5"/>
  <c r="I90" i="5"/>
  <c r="R91" i="5"/>
  <c r="D93" i="5"/>
  <c r="I94" i="5"/>
  <c r="R95" i="5"/>
  <c r="E97" i="5"/>
  <c r="L98" i="5"/>
  <c r="D100" i="5"/>
  <c r="K101" i="5"/>
  <c r="C103" i="5"/>
  <c r="J104" i="5"/>
  <c r="D106" i="5"/>
  <c r="R107" i="5"/>
  <c r="H109" i="5"/>
  <c r="B111" i="5"/>
  <c r="S111" i="5" s="1"/>
  <c r="Q112" i="5"/>
  <c r="G114" i="5"/>
  <c r="A116" i="5"/>
  <c r="J117" i="5"/>
  <c r="D119" i="5"/>
  <c r="A121" i="5"/>
  <c r="Q122" i="5"/>
  <c r="H124" i="5"/>
  <c r="F126" i="5"/>
  <c r="A128" i="5"/>
  <c r="K129" i="5"/>
  <c r="I131" i="5"/>
  <c r="D133" i="5"/>
  <c r="R134" i="5"/>
  <c r="I136" i="5"/>
  <c r="I138" i="5"/>
  <c r="D140" i="5"/>
  <c r="R141" i="5"/>
  <c r="L143" i="5"/>
  <c r="G145" i="5"/>
  <c r="B147" i="5"/>
  <c r="S147" i="5" s="1"/>
  <c r="J150" i="5"/>
  <c r="E152" i="5"/>
  <c r="E154" i="5"/>
  <c r="J157" i="5"/>
  <c r="H159" i="5"/>
  <c r="C161" i="5"/>
  <c r="Q162" i="5"/>
  <c r="H164" i="5"/>
  <c r="F166" i="5"/>
  <c r="A168" i="5"/>
  <c r="Q169" i="5"/>
  <c r="K171" i="5"/>
  <c r="F173" i="5"/>
  <c r="A175" i="5"/>
  <c r="R176" i="5"/>
  <c r="I178" i="5"/>
  <c r="D180" i="5"/>
  <c r="R181" i="5"/>
  <c r="L183" i="5"/>
  <c r="I185" i="5"/>
  <c r="D187" i="5"/>
  <c r="B189" i="5"/>
  <c r="S189" i="5" s="1"/>
  <c r="L190" i="5"/>
  <c r="G192" i="5"/>
  <c r="E194" i="5"/>
  <c r="L197" i="5"/>
  <c r="R199" i="5"/>
  <c r="K201" i="5"/>
  <c r="K203" i="5"/>
  <c r="H205" i="5"/>
  <c r="R207" i="5"/>
  <c r="Q209" i="5"/>
  <c r="H212" i="5"/>
  <c r="L214" i="5"/>
  <c r="Q216" i="5"/>
  <c r="G219" i="5"/>
  <c r="L221" i="5"/>
  <c r="F224" i="5"/>
  <c r="F226" i="5"/>
  <c r="A229" i="5"/>
  <c r="E231" i="5"/>
  <c r="G233" i="5"/>
  <c r="A236" i="5"/>
  <c r="E238" i="5"/>
  <c r="K240" i="5"/>
  <c r="J245" i="5"/>
  <c r="J247" i="5"/>
  <c r="I252" i="5"/>
  <c r="K254" i="5"/>
  <c r="D257" i="5"/>
  <c r="H259" i="5"/>
  <c r="C262" i="5"/>
  <c r="D264" i="5"/>
  <c r="H266" i="5"/>
  <c r="R268" i="5"/>
  <c r="D271" i="5"/>
  <c r="F276" i="5"/>
  <c r="C279" i="5"/>
  <c r="D281" i="5"/>
  <c r="K283" i="5"/>
  <c r="G286" i="5"/>
  <c r="R288" i="5"/>
  <c r="L291" i="5"/>
  <c r="A294" i="5"/>
  <c r="D297" i="5"/>
  <c r="H299" i="5"/>
  <c r="A302" i="5"/>
  <c r="R304" i="5"/>
  <c r="H307" i="5"/>
  <c r="G310" i="5"/>
  <c r="B313" i="5"/>
  <c r="S313" i="5" s="1"/>
  <c r="H316" i="5"/>
  <c r="E319" i="5"/>
  <c r="A322" i="5"/>
  <c r="E325" i="5"/>
  <c r="F328" i="5"/>
  <c r="B335" i="5"/>
  <c r="S335" i="5" s="1"/>
  <c r="I338" i="5"/>
  <c r="Q341" i="5"/>
  <c r="E345" i="5"/>
  <c r="J352" i="5"/>
  <c r="C356" i="5"/>
  <c r="D359" i="5"/>
  <c r="H363" i="5"/>
  <c r="G366" i="5"/>
  <c r="L369" i="5"/>
  <c r="K373" i="5"/>
  <c r="B381" i="5"/>
  <c r="S381" i="5" s="1"/>
  <c r="I384" i="5"/>
  <c r="L388" i="5"/>
  <c r="I392" i="5"/>
  <c r="K395" i="5"/>
  <c r="J399" i="5"/>
  <c r="H403" i="5"/>
  <c r="Q407" i="5"/>
  <c r="G411" i="5"/>
  <c r="A416" i="5"/>
  <c r="R419" i="5"/>
  <c r="R428" i="5"/>
  <c r="E433" i="5"/>
  <c r="B438" i="5"/>
  <c r="S438" i="5" s="1"/>
  <c r="J442" i="5"/>
  <c r="B449" i="5"/>
  <c r="S449" i="5" s="1"/>
  <c r="C453" i="5"/>
  <c r="J458" i="5"/>
  <c r="D465" i="5"/>
  <c r="F471" i="5"/>
  <c r="Q477" i="5"/>
  <c r="J483" i="5"/>
  <c r="C490" i="5"/>
  <c r="E496" i="5"/>
  <c r="E502" i="5"/>
  <c r="D509" i="5"/>
  <c r="K514" i="5"/>
  <c r="J521" i="5"/>
  <c r="R527" i="5"/>
  <c r="G535" i="5"/>
  <c r="A543" i="5"/>
  <c r="K550" i="5"/>
  <c r="C559" i="5"/>
  <c r="C567" i="5"/>
  <c r="Q575" i="5"/>
  <c r="I582" i="5"/>
  <c r="B592" i="5"/>
  <c r="S592" i="5" s="1"/>
  <c r="E599" i="5"/>
  <c r="J607" i="5"/>
  <c r="I616" i="5"/>
  <c r="L634" i="5"/>
  <c r="A643" i="5"/>
  <c r="B654" i="5"/>
  <c r="S654" i="5" s="1"/>
  <c r="D663" i="5"/>
  <c r="K672" i="5"/>
  <c r="F683" i="5"/>
  <c r="B705" i="5"/>
  <c r="S705" i="5" s="1"/>
  <c r="B716" i="5"/>
  <c r="S716" i="5" s="1"/>
  <c r="J82" i="5"/>
  <c r="E85" i="5"/>
  <c r="J86" i="5"/>
  <c r="E89" i="5"/>
  <c r="J90" i="5"/>
  <c r="E93" i="5"/>
  <c r="J94" i="5"/>
  <c r="F97" i="5"/>
  <c r="Q98" i="5"/>
  <c r="E100" i="5"/>
  <c r="L101" i="5"/>
  <c r="D103" i="5"/>
  <c r="Q104" i="5"/>
  <c r="E106" i="5"/>
  <c r="I109" i="5"/>
  <c r="C111" i="5"/>
  <c r="R112" i="5"/>
  <c r="H114" i="5"/>
  <c r="B116" i="5"/>
  <c r="S116" i="5" s="1"/>
  <c r="K117" i="5"/>
  <c r="E119" i="5"/>
  <c r="B121" i="5"/>
  <c r="S121" i="5" s="1"/>
  <c r="R122" i="5"/>
  <c r="I124" i="5"/>
  <c r="G126" i="5"/>
  <c r="B128" i="5"/>
  <c r="S128" i="5" s="1"/>
  <c r="L129" i="5"/>
  <c r="J131" i="5"/>
  <c r="E133" i="5"/>
  <c r="Q136" i="5"/>
  <c r="J138" i="5"/>
  <c r="E140" i="5"/>
  <c r="C142" i="5"/>
  <c r="Q143" i="5"/>
  <c r="H145" i="5"/>
  <c r="C147" i="5"/>
  <c r="A149" i="5"/>
  <c r="K150" i="5"/>
  <c r="F152" i="5"/>
  <c r="F154" i="5"/>
  <c r="A156" i="5"/>
  <c r="K157" i="5"/>
  <c r="I159" i="5"/>
  <c r="D161" i="5"/>
  <c r="R162" i="5"/>
  <c r="I164" i="5"/>
  <c r="G166" i="5"/>
  <c r="B168" i="5"/>
  <c r="S168" i="5" s="1"/>
  <c r="R169" i="5"/>
  <c r="L171" i="5"/>
  <c r="G173" i="5"/>
  <c r="B175" i="5"/>
  <c r="S175" i="5" s="1"/>
  <c r="J178" i="5"/>
  <c r="E180" i="5"/>
  <c r="C182" i="5"/>
  <c r="Q183" i="5"/>
  <c r="J185" i="5"/>
  <c r="H187" i="5"/>
  <c r="C189" i="5"/>
  <c r="Q190" i="5"/>
  <c r="H192" i="5"/>
  <c r="F194" i="5"/>
  <c r="A196" i="5"/>
  <c r="Q197" i="5"/>
  <c r="L201" i="5"/>
  <c r="L203" i="5"/>
  <c r="R205" i="5"/>
  <c r="R209" i="5"/>
  <c r="I212" i="5"/>
  <c r="Q214" i="5"/>
  <c r="H217" i="5"/>
  <c r="H219" i="5"/>
  <c r="Q221" i="5"/>
  <c r="G224" i="5"/>
  <c r="G226" i="5"/>
  <c r="B229" i="5"/>
  <c r="S229" i="5" s="1"/>
  <c r="F231" i="5"/>
  <c r="Q233" i="5"/>
  <c r="B236" i="5"/>
  <c r="S236" i="5" s="1"/>
  <c r="F238" i="5"/>
  <c r="L240" i="5"/>
  <c r="A243" i="5"/>
  <c r="K245" i="5"/>
  <c r="K247" i="5"/>
  <c r="F250" i="5"/>
  <c r="J252" i="5"/>
  <c r="L254" i="5"/>
  <c r="F257" i="5"/>
  <c r="I259" i="5"/>
  <c r="D262" i="5"/>
  <c r="E264" i="5"/>
  <c r="C269" i="5"/>
  <c r="E271" i="5"/>
  <c r="A274" i="5"/>
  <c r="G276" i="5"/>
  <c r="D279" i="5"/>
  <c r="F281" i="5"/>
  <c r="C284" i="5"/>
  <c r="H286" i="5"/>
  <c r="Q291" i="5"/>
  <c r="B294" i="5"/>
  <c r="S294" i="5" s="1"/>
  <c r="F297" i="5"/>
  <c r="I299" i="5"/>
  <c r="H302" i="5"/>
  <c r="I307" i="5"/>
  <c r="H310" i="5"/>
  <c r="C313" i="5"/>
  <c r="I316" i="5"/>
  <c r="F319" i="5"/>
  <c r="K322" i="5"/>
  <c r="K325" i="5"/>
  <c r="G328" i="5"/>
  <c r="A332" i="5"/>
  <c r="C335" i="5"/>
  <c r="K338" i="5"/>
  <c r="R341" i="5"/>
  <c r="Q345" i="5"/>
  <c r="B349" i="5"/>
  <c r="S349" i="5" s="1"/>
  <c r="K352" i="5"/>
  <c r="F356" i="5"/>
  <c r="E359" i="5"/>
  <c r="I363" i="5"/>
  <c r="H366" i="5"/>
  <c r="H370" i="5"/>
  <c r="L373" i="5"/>
  <c r="A377" i="5"/>
  <c r="C381" i="5"/>
  <c r="K384" i="5"/>
  <c r="Q388" i="5"/>
  <c r="J392" i="5"/>
  <c r="I396" i="5"/>
  <c r="C400" i="5"/>
  <c r="I403" i="5"/>
  <c r="R407" i="5"/>
  <c r="H411" i="5"/>
  <c r="B416" i="5"/>
  <c r="S416" i="5" s="1"/>
  <c r="G420" i="5"/>
  <c r="D425" i="5"/>
  <c r="F433" i="5"/>
  <c r="J438" i="5"/>
  <c r="A443" i="5"/>
  <c r="D449" i="5"/>
  <c r="G460" i="5"/>
  <c r="R465" i="5"/>
  <c r="G471" i="5"/>
  <c r="R477" i="5"/>
  <c r="L483" i="5"/>
  <c r="D490" i="5"/>
  <c r="F496" i="5"/>
  <c r="E509" i="5"/>
  <c r="B522" i="5"/>
  <c r="S522" i="5" s="1"/>
  <c r="K535" i="5"/>
  <c r="B543" i="5"/>
  <c r="S543" i="5" s="1"/>
  <c r="F551" i="5"/>
  <c r="E559" i="5"/>
  <c r="E567" i="5"/>
  <c r="R575" i="5"/>
  <c r="Q583" i="5"/>
  <c r="H599" i="5"/>
  <c r="D618" i="5"/>
  <c r="B625" i="5"/>
  <c r="S625" i="5" s="1"/>
  <c r="K635" i="5"/>
  <c r="F644" i="5"/>
  <c r="C654" i="5"/>
  <c r="H663" i="5"/>
  <c r="D674" i="5"/>
  <c r="I684" i="5"/>
  <c r="A694" i="5"/>
  <c r="C705" i="5"/>
  <c r="G716" i="5"/>
  <c r="F77" i="5"/>
  <c r="K78" i="5"/>
  <c r="A80" i="5"/>
  <c r="F81" i="5"/>
  <c r="K82" i="5"/>
  <c r="A84" i="5"/>
  <c r="F85" i="5"/>
  <c r="K86" i="5"/>
  <c r="A88" i="5"/>
  <c r="F89" i="5"/>
  <c r="K90" i="5"/>
  <c r="A92" i="5"/>
  <c r="F93" i="5"/>
  <c r="K94" i="5"/>
  <c r="A96" i="5"/>
  <c r="G97" i="5"/>
  <c r="R98" i="5"/>
  <c r="F100" i="5"/>
  <c r="Q101" i="5"/>
  <c r="E103" i="5"/>
  <c r="R104" i="5"/>
  <c r="G106" i="5"/>
  <c r="A108" i="5"/>
  <c r="J109" i="5"/>
  <c r="D111" i="5"/>
  <c r="I114" i="5"/>
  <c r="C116" i="5"/>
  <c r="L117" i="5"/>
  <c r="H119" i="5"/>
  <c r="E121" i="5"/>
  <c r="Q124" i="5"/>
  <c r="H126" i="5"/>
  <c r="C128" i="5"/>
  <c r="Q129" i="5"/>
  <c r="K131" i="5"/>
  <c r="F133" i="5"/>
  <c r="A135" i="5"/>
  <c r="A137" i="5"/>
  <c r="K138" i="5"/>
  <c r="F140" i="5"/>
  <c r="D142" i="5"/>
  <c r="R143" i="5"/>
  <c r="I145" i="5"/>
  <c r="D147" i="5"/>
  <c r="B149" i="5"/>
  <c r="S149" i="5" s="1"/>
  <c r="L150" i="5"/>
  <c r="I152" i="5"/>
  <c r="G154" i="5"/>
  <c r="B156" i="5"/>
  <c r="S156" i="5" s="1"/>
  <c r="L157" i="5"/>
  <c r="J159" i="5"/>
  <c r="E161" i="5"/>
  <c r="Q164" i="5"/>
  <c r="H166" i="5"/>
  <c r="E168" i="5"/>
  <c r="C170" i="5"/>
  <c r="Q171" i="5"/>
  <c r="H173" i="5"/>
  <c r="C175" i="5"/>
  <c r="A177" i="5"/>
  <c r="K178" i="5"/>
  <c r="F180" i="5"/>
  <c r="D182" i="5"/>
  <c r="A184" i="5"/>
  <c r="K185" i="5"/>
  <c r="I187" i="5"/>
  <c r="D189" i="5"/>
  <c r="R190" i="5"/>
  <c r="I192" i="5"/>
  <c r="G194" i="5"/>
  <c r="B196" i="5"/>
  <c r="S196" i="5" s="1"/>
  <c r="D198" i="5"/>
  <c r="A200" i="5"/>
  <c r="Q201" i="5"/>
  <c r="Q203" i="5"/>
  <c r="C206" i="5"/>
  <c r="A208" i="5"/>
  <c r="D210" i="5"/>
  <c r="J212" i="5"/>
  <c r="R214" i="5"/>
  <c r="I217" i="5"/>
  <c r="I219" i="5"/>
  <c r="R221" i="5"/>
  <c r="H224" i="5"/>
  <c r="I226" i="5"/>
  <c r="C229" i="5"/>
  <c r="G231" i="5"/>
  <c r="B234" i="5"/>
  <c r="S234" i="5" s="1"/>
  <c r="C236" i="5"/>
  <c r="G238" i="5"/>
  <c r="Q240" i="5"/>
  <c r="C243" i="5"/>
  <c r="L245" i="5"/>
  <c r="L247" i="5"/>
  <c r="G250" i="5"/>
  <c r="K252" i="5"/>
  <c r="Q254" i="5"/>
  <c r="G257" i="5"/>
  <c r="K259" i="5"/>
  <c r="E262" i="5"/>
  <c r="F264" i="5"/>
  <c r="A267" i="5"/>
  <c r="D269" i="5"/>
  <c r="F271" i="5"/>
  <c r="B274" i="5"/>
  <c r="S274" i="5" s="1"/>
  <c r="I276" i="5"/>
  <c r="E279" i="5"/>
  <c r="G281" i="5"/>
  <c r="D284" i="5"/>
  <c r="I286" i="5"/>
  <c r="A289" i="5"/>
  <c r="R291" i="5"/>
  <c r="H294" i="5"/>
  <c r="G297" i="5"/>
  <c r="J299" i="5"/>
  <c r="R302" i="5"/>
  <c r="B305" i="5"/>
  <c r="S305" i="5" s="1"/>
  <c r="J307" i="5"/>
  <c r="K310" i="5"/>
  <c r="G313" i="5"/>
  <c r="J316" i="5"/>
  <c r="G319" i="5"/>
  <c r="L322" i="5"/>
  <c r="L325" i="5"/>
  <c r="H328" i="5"/>
  <c r="B332" i="5"/>
  <c r="S332" i="5" s="1"/>
  <c r="F335" i="5"/>
  <c r="L338" i="5"/>
  <c r="C342" i="5"/>
  <c r="R345" i="5"/>
  <c r="C349" i="5"/>
  <c r="L352" i="5"/>
  <c r="G356" i="5"/>
  <c r="J363" i="5"/>
  <c r="I366" i="5"/>
  <c r="Q370" i="5"/>
  <c r="R373" i="5"/>
  <c r="B377" i="5"/>
  <c r="S377" i="5" s="1"/>
  <c r="D381" i="5"/>
  <c r="B385" i="5"/>
  <c r="S385" i="5" s="1"/>
  <c r="R388" i="5"/>
  <c r="K392" i="5"/>
  <c r="K396" i="5"/>
  <c r="F400" i="5"/>
  <c r="J403" i="5"/>
  <c r="K411" i="5"/>
  <c r="F416" i="5"/>
  <c r="H420" i="5"/>
  <c r="E425" i="5"/>
  <c r="A429" i="5"/>
  <c r="K433" i="5"/>
  <c r="A439" i="5"/>
  <c r="Q443" i="5"/>
  <c r="E449" i="5"/>
  <c r="B454" i="5"/>
  <c r="S454" i="5" s="1"/>
  <c r="H460" i="5"/>
  <c r="B466" i="5"/>
  <c r="S466" i="5" s="1"/>
  <c r="I471" i="5"/>
  <c r="E478" i="5"/>
  <c r="R483" i="5"/>
  <c r="E490" i="5"/>
  <c r="G496" i="5"/>
  <c r="D503" i="5"/>
  <c r="F509" i="5"/>
  <c r="G515" i="5"/>
  <c r="F522" i="5"/>
  <c r="B528" i="5"/>
  <c r="S528" i="5" s="1"/>
  <c r="J536" i="5"/>
  <c r="C543" i="5"/>
  <c r="G551" i="5"/>
  <c r="G559" i="5"/>
  <c r="G567" i="5"/>
  <c r="A593" i="5"/>
  <c r="J599" i="5"/>
  <c r="A610" i="5"/>
  <c r="E618" i="5"/>
  <c r="B626" i="5"/>
  <c r="S626" i="5" s="1"/>
  <c r="I636" i="5"/>
  <c r="I644" i="5"/>
  <c r="F654" i="5"/>
  <c r="I663" i="5"/>
  <c r="E674" i="5"/>
  <c r="J684" i="5"/>
  <c r="B694" i="5"/>
  <c r="S694" i="5" s="1"/>
  <c r="L705" i="5"/>
  <c r="L716" i="5"/>
  <c r="L6" i="5"/>
  <c r="B8" i="5"/>
  <c r="S8" i="5" s="1"/>
  <c r="G9" i="5"/>
  <c r="L10" i="5"/>
  <c r="B12" i="5"/>
  <c r="S12" i="5" s="1"/>
  <c r="G13" i="5"/>
  <c r="L14" i="5"/>
  <c r="B16" i="5"/>
  <c r="S16" i="5" s="1"/>
  <c r="G17" i="5"/>
  <c r="L18" i="5"/>
  <c r="B20" i="5"/>
  <c r="S20" i="5" s="1"/>
  <c r="G21" i="5"/>
  <c r="L22" i="5"/>
  <c r="B24" i="5"/>
  <c r="S24" i="5" s="1"/>
  <c r="G25" i="5"/>
  <c r="L26" i="5"/>
  <c r="B28" i="5"/>
  <c r="S28" i="5" s="1"/>
  <c r="G29" i="5"/>
  <c r="L30" i="5"/>
  <c r="B32" i="5"/>
  <c r="S32" i="5" s="1"/>
  <c r="G33" i="5"/>
  <c r="L34" i="5"/>
  <c r="B36" i="5"/>
  <c r="S36" i="5" s="1"/>
  <c r="G37" i="5"/>
  <c r="L38" i="5"/>
  <c r="B40" i="5"/>
  <c r="S40" i="5" s="1"/>
  <c r="G41" i="5"/>
  <c r="L42" i="5"/>
  <c r="B44" i="5"/>
  <c r="S44" i="5" s="1"/>
  <c r="G45" i="5"/>
  <c r="L46" i="5"/>
  <c r="B48" i="5"/>
  <c r="S48" i="5" s="1"/>
  <c r="G49" i="5"/>
  <c r="L50" i="5"/>
  <c r="B52" i="5"/>
  <c r="S52" i="5" s="1"/>
  <c r="G53" i="5"/>
  <c r="L54" i="5"/>
  <c r="B56" i="5"/>
  <c r="S56" i="5" s="1"/>
  <c r="G57" i="5"/>
  <c r="L58" i="5"/>
  <c r="B60" i="5"/>
  <c r="S60" i="5" s="1"/>
  <c r="G61" i="5"/>
  <c r="L62" i="5"/>
  <c r="B64" i="5"/>
  <c r="S64" i="5" s="1"/>
  <c r="G65" i="5"/>
  <c r="L66" i="5"/>
  <c r="B68" i="5"/>
  <c r="S68" i="5" s="1"/>
  <c r="G69" i="5"/>
  <c r="L70" i="5"/>
  <c r="B72" i="5"/>
  <c r="S72" i="5" s="1"/>
  <c r="G73" i="5"/>
  <c r="L74" i="5"/>
  <c r="B76" i="5"/>
  <c r="S76" i="5" s="1"/>
  <c r="G77" i="5"/>
  <c r="L78" i="5"/>
  <c r="B80" i="5"/>
  <c r="S80" i="5" s="1"/>
  <c r="G81" i="5"/>
  <c r="L82" i="5"/>
  <c r="B84" i="5"/>
  <c r="S84" i="5" s="1"/>
  <c r="G85" i="5"/>
  <c r="L86" i="5"/>
  <c r="B88" i="5"/>
  <c r="S88" i="5" s="1"/>
  <c r="G89" i="5"/>
  <c r="L90" i="5"/>
  <c r="B92" i="5"/>
  <c r="S92" i="5" s="1"/>
  <c r="G93" i="5"/>
  <c r="L94" i="5"/>
  <c r="B96" i="5"/>
  <c r="S96" i="5" s="1"/>
  <c r="H97" i="5"/>
  <c r="G100" i="5"/>
  <c r="R101" i="5"/>
  <c r="H103" i="5"/>
  <c r="H106" i="5"/>
  <c r="B108" i="5"/>
  <c r="S108" i="5" s="1"/>
  <c r="K109" i="5"/>
  <c r="E111" i="5"/>
  <c r="A113" i="5"/>
  <c r="J114" i="5"/>
  <c r="D116" i="5"/>
  <c r="Q117" i="5"/>
  <c r="I119" i="5"/>
  <c r="F121" i="5"/>
  <c r="A123" i="5"/>
  <c r="R124" i="5"/>
  <c r="I126" i="5"/>
  <c r="D128" i="5"/>
  <c r="R129" i="5"/>
  <c r="L131" i="5"/>
  <c r="G133" i="5"/>
  <c r="B135" i="5"/>
  <c r="S135" i="5" s="1"/>
  <c r="B137" i="5"/>
  <c r="S137" i="5" s="1"/>
  <c r="L138" i="5"/>
  <c r="G140" i="5"/>
  <c r="E142" i="5"/>
  <c r="J145" i="5"/>
  <c r="H147" i="5"/>
  <c r="C149" i="5"/>
  <c r="Q150" i="5"/>
  <c r="Q152" i="5"/>
  <c r="H154" i="5"/>
  <c r="C156" i="5"/>
  <c r="Q157" i="5"/>
  <c r="K159" i="5"/>
  <c r="F161" i="5"/>
  <c r="A163" i="5"/>
  <c r="R164" i="5"/>
  <c r="I166" i="5"/>
  <c r="F168" i="5"/>
  <c r="D170" i="5"/>
  <c r="R171" i="5"/>
  <c r="I173" i="5"/>
  <c r="D175" i="5"/>
  <c r="B177" i="5"/>
  <c r="S177" i="5" s="1"/>
  <c r="L178" i="5"/>
  <c r="G180" i="5"/>
  <c r="E182" i="5"/>
  <c r="B184" i="5"/>
  <c r="S184" i="5" s="1"/>
  <c r="L185" i="5"/>
  <c r="J187" i="5"/>
  <c r="E189" i="5"/>
  <c r="Q192" i="5"/>
  <c r="H194" i="5"/>
  <c r="D196" i="5"/>
  <c r="E198" i="5"/>
  <c r="B200" i="5"/>
  <c r="S200" i="5" s="1"/>
  <c r="R201" i="5"/>
  <c r="R203" i="5"/>
  <c r="D206" i="5"/>
  <c r="B208" i="5"/>
  <c r="S208" i="5" s="1"/>
  <c r="E210" i="5"/>
  <c r="K212" i="5"/>
  <c r="J217" i="5"/>
  <c r="J219" i="5"/>
  <c r="E222" i="5"/>
  <c r="I224" i="5"/>
  <c r="K226" i="5"/>
  <c r="D229" i="5"/>
  <c r="H231" i="5"/>
  <c r="C234" i="5"/>
  <c r="D236" i="5"/>
  <c r="R238" i="5"/>
  <c r="B241" i="5"/>
  <c r="S241" i="5" s="1"/>
  <c r="D243" i="5"/>
  <c r="Q245" i="5"/>
  <c r="Q247" i="5"/>
  <c r="H250" i="5"/>
  <c r="L252" i="5"/>
  <c r="G255" i="5"/>
  <c r="H257" i="5"/>
  <c r="L259" i="5"/>
  <c r="F262" i="5"/>
  <c r="G264" i="5"/>
  <c r="B267" i="5"/>
  <c r="S267" i="5" s="1"/>
  <c r="F269" i="5"/>
  <c r="B272" i="5"/>
  <c r="S272" i="5" s="1"/>
  <c r="C274" i="5"/>
  <c r="J276" i="5"/>
  <c r="F279" i="5"/>
  <c r="H281" i="5"/>
  <c r="E284" i="5"/>
  <c r="K286" i="5"/>
  <c r="H289" i="5"/>
  <c r="A292" i="5"/>
  <c r="I294" i="5"/>
  <c r="H297" i="5"/>
  <c r="K299" i="5"/>
  <c r="C305" i="5"/>
  <c r="C308" i="5"/>
  <c r="L310" i="5"/>
  <c r="H313" i="5"/>
  <c r="K316" i="5"/>
  <c r="H319" i="5"/>
  <c r="Q322" i="5"/>
  <c r="A326" i="5"/>
  <c r="F329" i="5"/>
  <c r="I332" i="5"/>
  <c r="G335" i="5"/>
  <c r="Q338" i="5"/>
  <c r="D342" i="5"/>
  <c r="A346" i="5"/>
  <c r="D349" i="5"/>
  <c r="C353" i="5"/>
  <c r="I356" i="5"/>
  <c r="A360" i="5"/>
  <c r="K363" i="5"/>
  <c r="J366" i="5"/>
  <c r="A371" i="5"/>
  <c r="A378" i="5"/>
  <c r="E381" i="5"/>
  <c r="C385" i="5"/>
  <c r="L392" i="5"/>
  <c r="G400" i="5"/>
  <c r="Q404" i="5"/>
  <c r="H408" i="5"/>
  <c r="L411" i="5"/>
  <c r="Q416" i="5"/>
  <c r="I420" i="5"/>
  <c r="K425" i="5"/>
  <c r="L429" i="5"/>
  <c r="I434" i="5"/>
  <c r="C439" i="5"/>
  <c r="R443" i="5"/>
  <c r="K449" i="5"/>
  <c r="G454" i="5"/>
  <c r="I460" i="5"/>
  <c r="D466" i="5"/>
  <c r="R472" i="5"/>
  <c r="F478" i="5"/>
  <c r="C484" i="5"/>
  <c r="F490" i="5"/>
  <c r="H496" i="5"/>
  <c r="F503" i="5"/>
  <c r="G509" i="5"/>
  <c r="F516" i="5"/>
  <c r="H522" i="5"/>
  <c r="G528" i="5"/>
  <c r="R536" i="5"/>
  <c r="E543" i="5"/>
  <c r="B553" i="5"/>
  <c r="S553" i="5" s="1"/>
  <c r="H559" i="5"/>
  <c r="R569" i="5"/>
  <c r="H576" i="5"/>
  <c r="A584" i="5"/>
  <c r="C593" i="5"/>
  <c r="A601" i="5"/>
  <c r="C610" i="5"/>
  <c r="H618" i="5"/>
  <c r="L627" i="5"/>
  <c r="J636" i="5"/>
  <c r="L644" i="5"/>
  <c r="H654" i="5"/>
  <c r="F674" i="5"/>
  <c r="K684" i="5"/>
  <c r="K695" i="5"/>
  <c r="J833" i="5"/>
  <c r="E832" i="5"/>
  <c r="J829" i="5"/>
  <c r="E828" i="5"/>
  <c r="J825" i="5"/>
  <c r="E824" i="5"/>
  <c r="J821" i="5"/>
  <c r="E820" i="5"/>
  <c r="J817" i="5"/>
  <c r="E816" i="5"/>
  <c r="J813" i="5"/>
  <c r="E812" i="5"/>
  <c r="J809" i="5"/>
  <c r="E808" i="5"/>
  <c r="J805" i="5"/>
  <c r="E804" i="5"/>
  <c r="J801" i="5"/>
  <c r="E800" i="5"/>
  <c r="J797" i="5"/>
  <c r="E796" i="5"/>
  <c r="J793" i="5"/>
  <c r="E792" i="5"/>
  <c r="J789" i="5"/>
  <c r="E788" i="5"/>
  <c r="J785" i="5"/>
  <c r="E784" i="5"/>
  <c r="J781" i="5"/>
  <c r="E780" i="5"/>
  <c r="J777" i="5"/>
  <c r="E776" i="5"/>
  <c r="J773" i="5"/>
  <c r="E772" i="5"/>
  <c r="J769" i="5"/>
  <c r="E768" i="5"/>
  <c r="J765" i="5"/>
  <c r="E764" i="5"/>
  <c r="J761" i="5"/>
  <c r="E760" i="5"/>
  <c r="J757" i="5"/>
  <c r="E756" i="5"/>
  <c r="J753" i="5"/>
  <c r="E752" i="5"/>
  <c r="J749" i="5"/>
  <c r="E748" i="5"/>
  <c r="J745" i="5"/>
  <c r="E744" i="5"/>
  <c r="J741" i="5"/>
  <c r="E740" i="5"/>
  <c r="J737" i="5"/>
  <c r="E736" i="5"/>
  <c r="J733" i="5"/>
  <c r="E732" i="5"/>
  <c r="J729" i="5"/>
  <c r="E728" i="5"/>
  <c r="J725" i="5"/>
  <c r="E724" i="5"/>
  <c r="R834" i="5"/>
  <c r="I833" i="5"/>
  <c r="D832" i="5"/>
  <c r="R830" i="5"/>
  <c r="I829" i="5"/>
  <c r="D828" i="5"/>
  <c r="R826" i="5"/>
  <c r="I825" i="5"/>
  <c r="D824" i="5"/>
  <c r="R822" i="5"/>
  <c r="I821" i="5"/>
  <c r="D820" i="5"/>
  <c r="R818" i="5"/>
  <c r="I817" i="5"/>
  <c r="D816" i="5"/>
  <c r="R814" i="5"/>
  <c r="I813" i="5"/>
  <c r="D812" i="5"/>
  <c r="R810" i="5"/>
  <c r="I809" i="5"/>
  <c r="D808" i="5"/>
  <c r="R806" i="5"/>
  <c r="I805" i="5"/>
  <c r="D804" i="5"/>
  <c r="R802" i="5"/>
  <c r="I801" i="5"/>
  <c r="D800" i="5"/>
  <c r="R798" i="5"/>
  <c r="I797" i="5"/>
  <c r="D796" i="5"/>
  <c r="R794" i="5"/>
  <c r="I793" i="5"/>
  <c r="D792" i="5"/>
  <c r="R790" i="5"/>
  <c r="I789" i="5"/>
  <c r="D788" i="5"/>
  <c r="R786" i="5"/>
  <c r="I785" i="5"/>
  <c r="D784" i="5"/>
  <c r="R782" i="5"/>
  <c r="I781" i="5"/>
  <c r="D780" i="5"/>
  <c r="R778" i="5"/>
  <c r="I777" i="5"/>
  <c r="D776" i="5"/>
  <c r="R774" i="5"/>
  <c r="I773" i="5"/>
  <c r="D772" i="5"/>
  <c r="R770" i="5"/>
  <c r="I769" i="5"/>
  <c r="D768" i="5"/>
  <c r="R766" i="5"/>
  <c r="I765" i="5"/>
  <c r="D764" i="5"/>
  <c r="R762" i="5"/>
  <c r="I761" i="5"/>
  <c r="D760" i="5"/>
  <c r="R758" i="5"/>
  <c r="I757" i="5"/>
  <c r="D756" i="5"/>
  <c r="R754" i="5"/>
  <c r="I753" i="5"/>
  <c r="D752" i="5"/>
  <c r="R750" i="5"/>
  <c r="I749" i="5"/>
  <c r="D748" i="5"/>
  <c r="R746" i="5"/>
  <c r="I745" i="5"/>
  <c r="D744" i="5"/>
  <c r="R742" i="5"/>
  <c r="I741" i="5"/>
  <c r="D740" i="5"/>
  <c r="R738" i="5"/>
  <c r="I737" i="5"/>
  <c r="D736" i="5"/>
  <c r="R734" i="5"/>
  <c r="I733" i="5"/>
  <c r="D732" i="5"/>
  <c r="R730" i="5"/>
  <c r="I729" i="5"/>
  <c r="D728" i="5"/>
  <c r="R726" i="5"/>
  <c r="I725" i="5"/>
  <c r="D724" i="5"/>
  <c r="R722" i="5"/>
  <c r="Q834" i="5"/>
  <c r="H833" i="5"/>
  <c r="C832" i="5"/>
  <c r="Q830" i="5"/>
  <c r="H829" i="5"/>
  <c r="C828" i="5"/>
  <c r="Q826" i="5"/>
  <c r="H825" i="5"/>
  <c r="C824" i="5"/>
  <c r="Q822" i="5"/>
  <c r="H821" i="5"/>
  <c r="C820" i="5"/>
  <c r="Q818" i="5"/>
  <c r="H817" i="5"/>
  <c r="C816" i="5"/>
  <c r="Q814" i="5"/>
  <c r="H813" i="5"/>
  <c r="C812" i="5"/>
  <c r="Q810" i="5"/>
  <c r="H809" i="5"/>
  <c r="C808" i="5"/>
  <c r="Q806" i="5"/>
  <c r="H805" i="5"/>
  <c r="C804" i="5"/>
  <c r="Q802" i="5"/>
  <c r="H801" i="5"/>
  <c r="C800" i="5"/>
  <c r="Q798" i="5"/>
  <c r="H797" i="5"/>
  <c r="C796" i="5"/>
  <c r="Q794" i="5"/>
  <c r="H793" i="5"/>
  <c r="C792" i="5"/>
  <c r="Q790" i="5"/>
  <c r="H789" i="5"/>
  <c r="C788" i="5"/>
  <c r="Q786" i="5"/>
  <c r="H785" i="5"/>
  <c r="C784" i="5"/>
  <c r="Q782" i="5"/>
  <c r="H781" i="5"/>
  <c r="C780" i="5"/>
  <c r="Q778" i="5"/>
  <c r="H777" i="5"/>
  <c r="C776" i="5"/>
  <c r="Q774" i="5"/>
  <c r="H773" i="5"/>
  <c r="C772" i="5"/>
  <c r="Q770" i="5"/>
  <c r="H769" i="5"/>
  <c r="C768" i="5"/>
  <c r="Q766" i="5"/>
  <c r="H765" i="5"/>
  <c r="C764" i="5"/>
  <c r="Q762" i="5"/>
  <c r="H761" i="5"/>
  <c r="C760" i="5"/>
  <c r="Q758" i="5"/>
  <c r="H757" i="5"/>
  <c r="C756" i="5"/>
  <c r="Q754" i="5"/>
  <c r="H753" i="5"/>
  <c r="C752" i="5"/>
  <c r="Q750" i="5"/>
  <c r="H749" i="5"/>
  <c r="C748" i="5"/>
  <c r="Q746" i="5"/>
  <c r="H745" i="5"/>
  <c r="C744" i="5"/>
  <c r="Q742" i="5"/>
  <c r="H741" i="5"/>
  <c r="C740" i="5"/>
  <c r="Q738" i="5"/>
  <c r="H737" i="5"/>
  <c r="C736" i="5"/>
  <c r="Q734" i="5"/>
  <c r="H733" i="5"/>
  <c r="C732" i="5"/>
  <c r="Q730" i="5"/>
  <c r="H729" i="5"/>
  <c r="C728" i="5"/>
  <c r="Q726" i="5"/>
  <c r="H725" i="5"/>
  <c r="C724" i="5"/>
  <c r="Q722" i="5"/>
  <c r="L834" i="5"/>
  <c r="G833" i="5"/>
  <c r="B832" i="5"/>
  <c r="S832" i="5" s="1"/>
  <c r="L830" i="5"/>
  <c r="G829" i="5"/>
  <c r="B828" i="5"/>
  <c r="S828" i="5" s="1"/>
  <c r="L826" i="5"/>
  <c r="G825" i="5"/>
  <c r="B824" i="5"/>
  <c r="S824" i="5" s="1"/>
  <c r="L822" i="5"/>
  <c r="G821" i="5"/>
  <c r="B820" i="5"/>
  <c r="S820" i="5" s="1"/>
  <c r="L818" i="5"/>
  <c r="G817" i="5"/>
  <c r="B816" i="5"/>
  <c r="S816" i="5" s="1"/>
  <c r="L814" i="5"/>
  <c r="G813" i="5"/>
  <c r="B812" i="5"/>
  <c r="S812" i="5" s="1"/>
  <c r="L810" i="5"/>
  <c r="G809" i="5"/>
  <c r="B808" i="5"/>
  <c r="S808" i="5" s="1"/>
  <c r="L806" i="5"/>
  <c r="G805" i="5"/>
  <c r="B804" i="5"/>
  <c r="S804" i="5" s="1"/>
  <c r="L802" i="5"/>
  <c r="G801" i="5"/>
  <c r="B800" i="5"/>
  <c r="S800" i="5" s="1"/>
  <c r="L798" i="5"/>
  <c r="G797" i="5"/>
  <c r="B796" i="5"/>
  <c r="S796" i="5" s="1"/>
  <c r="L794" i="5"/>
  <c r="G793" i="5"/>
  <c r="B792" i="5"/>
  <c r="S792" i="5" s="1"/>
  <c r="L790" i="5"/>
  <c r="G789" i="5"/>
  <c r="B788" i="5"/>
  <c r="S788" i="5" s="1"/>
  <c r="L786" i="5"/>
  <c r="G785" i="5"/>
  <c r="B784" i="5"/>
  <c r="S784" i="5" s="1"/>
  <c r="L782" i="5"/>
  <c r="G781" i="5"/>
  <c r="B780" i="5"/>
  <c r="S780" i="5" s="1"/>
  <c r="L778" i="5"/>
  <c r="G777" i="5"/>
  <c r="B776" i="5"/>
  <c r="S776" i="5" s="1"/>
  <c r="L774" i="5"/>
  <c r="G773" i="5"/>
  <c r="B772" i="5"/>
  <c r="S772" i="5" s="1"/>
  <c r="L770" i="5"/>
  <c r="G769" i="5"/>
  <c r="B768" i="5"/>
  <c r="S768" i="5" s="1"/>
  <c r="L766" i="5"/>
  <c r="G765" i="5"/>
  <c r="B764" i="5"/>
  <c r="S764" i="5" s="1"/>
  <c r="L762" i="5"/>
  <c r="G761" i="5"/>
  <c r="B760" i="5"/>
  <c r="S760" i="5" s="1"/>
  <c r="L758" i="5"/>
  <c r="G757" i="5"/>
  <c r="B756" i="5"/>
  <c r="S756" i="5" s="1"/>
  <c r="L754" i="5"/>
  <c r="G753" i="5"/>
  <c r="B752" i="5"/>
  <c r="S752" i="5" s="1"/>
  <c r="L750" i="5"/>
  <c r="G749" i="5"/>
  <c r="B748" i="5"/>
  <c r="S748" i="5" s="1"/>
  <c r="L746" i="5"/>
  <c r="G745" i="5"/>
  <c r="B744" i="5"/>
  <c r="S744" i="5" s="1"/>
  <c r="L742" i="5"/>
  <c r="G741" i="5"/>
  <c r="B740" i="5"/>
  <c r="S740" i="5" s="1"/>
  <c r="L738" i="5"/>
  <c r="G737" i="5"/>
  <c r="B736" i="5"/>
  <c r="S736" i="5" s="1"/>
  <c r="L734" i="5"/>
  <c r="G733" i="5"/>
  <c r="B732" i="5"/>
  <c r="S732" i="5" s="1"/>
  <c r="L730" i="5"/>
  <c r="G729" i="5"/>
  <c r="B728" i="5"/>
  <c r="S728" i="5" s="1"/>
  <c r="L726" i="5"/>
  <c r="G725" i="5"/>
  <c r="B724" i="5"/>
  <c r="S724" i="5" s="1"/>
  <c r="L722" i="5"/>
  <c r="K834" i="5"/>
  <c r="F833" i="5"/>
  <c r="A832" i="5"/>
  <c r="K830" i="5"/>
  <c r="F829" i="5"/>
  <c r="A828" i="5"/>
  <c r="K826" i="5"/>
  <c r="F825" i="5"/>
  <c r="A824" i="5"/>
  <c r="K822" i="5"/>
  <c r="F821" i="5"/>
  <c r="A820" i="5"/>
  <c r="K818" i="5"/>
  <c r="F817" i="5"/>
  <c r="A816" i="5"/>
  <c r="K814" i="5"/>
  <c r="F813" i="5"/>
  <c r="A812" i="5"/>
  <c r="K810" i="5"/>
  <c r="F809" i="5"/>
  <c r="A808" i="5"/>
  <c r="K806" i="5"/>
  <c r="F805" i="5"/>
  <c r="A804" i="5"/>
  <c r="K802" i="5"/>
  <c r="F801" i="5"/>
  <c r="A800" i="5"/>
  <c r="K798" i="5"/>
  <c r="F797" i="5"/>
  <c r="A796" i="5"/>
  <c r="K794" i="5"/>
  <c r="F793" i="5"/>
  <c r="A792" i="5"/>
  <c r="K790" i="5"/>
  <c r="F789" i="5"/>
  <c r="A788" i="5"/>
  <c r="K786" i="5"/>
  <c r="F785" i="5"/>
  <c r="A784" i="5"/>
  <c r="K782" i="5"/>
  <c r="F781" i="5"/>
  <c r="A780" i="5"/>
  <c r="K778" i="5"/>
  <c r="F777" i="5"/>
  <c r="A776" i="5"/>
  <c r="K774" i="5"/>
  <c r="F773" i="5"/>
  <c r="A772" i="5"/>
  <c r="K770" i="5"/>
  <c r="F769" i="5"/>
  <c r="A768" i="5"/>
  <c r="K766" i="5"/>
  <c r="F765" i="5"/>
  <c r="A764" i="5"/>
  <c r="K762" i="5"/>
  <c r="F761" i="5"/>
  <c r="A760" i="5"/>
  <c r="K758" i="5"/>
  <c r="F757" i="5"/>
  <c r="A756" i="5"/>
  <c r="K754" i="5"/>
  <c r="F753" i="5"/>
  <c r="A752" i="5"/>
  <c r="K750" i="5"/>
  <c r="F749" i="5"/>
  <c r="A748" i="5"/>
  <c r="K746" i="5"/>
  <c r="F745" i="5"/>
  <c r="A744" i="5"/>
  <c r="K742" i="5"/>
  <c r="F741" i="5"/>
  <c r="A740" i="5"/>
  <c r="K738" i="5"/>
  <c r="F737" i="5"/>
  <c r="A736" i="5"/>
  <c r="K734" i="5"/>
  <c r="F733" i="5"/>
  <c r="A732" i="5"/>
  <c r="K730" i="5"/>
  <c r="F729" i="5"/>
  <c r="A728" i="5"/>
  <c r="K726" i="5"/>
  <c r="F725" i="5"/>
  <c r="A724" i="5"/>
  <c r="K722" i="5"/>
  <c r="J834" i="5"/>
  <c r="E833" i="5"/>
  <c r="J830" i="5"/>
  <c r="E829" i="5"/>
  <c r="J826" i="5"/>
  <c r="E825" i="5"/>
  <c r="J822" i="5"/>
  <c r="E821" i="5"/>
  <c r="J818" i="5"/>
  <c r="E817" i="5"/>
  <c r="J814" i="5"/>
  <c r="E813" i="5"/>
  <c r="J810" i="5"/>
  <c r="E809" i="5"/>
  <c r="J806" i="5"/>
  <c r="E805" i="5"/>
  <c r="J802" i="5"/>
  <c r="E801" i="5"/>
  <c r="J798" i="5"/>
  <c r="E797" i="5"/>
  <c r="J794" i="5"/>
  <c r="E793" i="5"/>
  <c r="J790" i="5"/>
  <c r="E789" i="5"/>
  <c r="J786" i="5"/>
  <c r="E785" i="5"/>
  <c r="J782" i="5"/>
  <c r="E781" i="5"/>
  <c r="J778" i="5"/>
  <c r="E777" i="5"/>
  <c r="J774" i="5"/>
  <c r="E773" i="5"/>
  <c r="J770" i="5"/>
  <c r="E769" i="5"/>
  <c r="J766" i="5"/>
  <c r="E765" i="5"/>
  <c r="J762" i="5"/>
  <c r="E761" i="5"/>
  <c r="J758" i="5"/>
  <c r="E757" i="5"/>
  <c r="J754" i="5"/>
  <c r="E753" i="5"/>
  <c r="J750" i="5"/>
  <c r="E749" i="5"/>
  <c r="J746" i="5"/>
  <c r="E745" i="5"/>
  <c r="J742" i="5"/>
  <c r="E741" i="5"/>
  <c r="J738" i="5"/>
  <c r="E737" i="5"/>
  <c r="J734" i="5"/>
  <c r="E733" i="5"/>
  <c r="J730" i="5"/>
  <c r="E729" i="5"/>
  <c r="J726" i="5"/>
  <c r="E725" i="5"/>
  <c r="J722" i="5"/>
  <c r="I834" i="5"/>
  <c r="D833" i="5"/>
  <c r="R831" i="5"/>
  <c r="I830" i="5"/>
  <c r="D829" i="5"/>
  <c r="R827" i="5"/>
  <c r="I826" i="5"/>
  <c r="D825" i="5"/>
  <c r="R823" i="5"/>
  <c r="I822" i="5"/>
  <c r="D821" i="5"/>
  <c r="R819" i="5"/>
  <c r="I818" i="5"/>
  <c r="D817" i="5"/>
  <c r="R815" i="5"/>
  <c r="I814" i="5"/>
  <c r="D813" i="5"/>
  <c r="R811" i="5"/>
  <c r="I810" i="5"/>
  <c r="D809" i="5"/>
  <c r="R807" i="5"/>
  <c r="I806" i="5"/>
  <c r="D805" i="5"/>
  <c r="R803" i="5"/>
  <c r="I802" i="5"/>
  <c r="D801" i="5"/>
  <c r="R799" i="5"/>
  <c r="I798" i="5"/>
  <c r="D797" i="5"/>
  <c r="R795" i="5"/>
  <c r="I794" i="5"/>
  <c r="D793" i="5"/>
  <c r="R791" i="5"/>
  <c r="I790" i="5"/>
  <c r="D789" i="5"/>
  <c r="R787" i="5"/>
  <c r="I786" i="5"/>
  <c r="D785" i="5"/>
  <c r="R783" i="5"/>
  <c r="I782" i="5"/>
  <c r="D781" i="5"/>
  <c r="R779" i="5"/>
  <c r="I778" i="5"/>
  <c r="D777" i="5"/>
  <c r="R775" i="5"/>
  <c r="I774" i="5"/>
  <c r="D773" i="5"/>
  <c r="R771" i="5"/>
  <c r="I770" i="5"/>
  <c r="D769" i="5"/>
  <c r="R767" i="5"/>
  <c r="I766" i="5"/>
  <c r="D765" i="5"/>
  <c r="R763" i="5"/>
  <c r="I762" i="5"/>
  <c r="D761" i="5"/>
  <c r="R759" i="5"/>
  <c r="I758" i="5"/>
  <c r="D757" i="5"/>
  <c r="R755" i="5"/>
  <c r="I754" i="5"/>
  <c r="D753" i="5"/>
  <c r="R751" i="5"/>
  <c r="I750" i="5"/>
  <c r="D749" i="5"/>
  <c r="R747" i="5"/>
  <c r="I746" i="5"/>
  <c r="D745" i="5"/>
  <c r="R743" i="5"/>
  <c r="I742" i="5"/>
  <c r="D741" i="5"/>
  <c r="R739" i="5"/>
  <c r="I738" i="5"/>
  <c r="D737" i="5"/>
  <c r="R735" i="5"/>
  <c r="I734" i="5"/>
  <c r="D733" i="5"/>
  <c r="R731" i="5"/>
  <c r="I730" i="5"/>
  <c r="D729" i="5"/>
  <c r="R727" i="5"/>
  <c r="I726" i="5"/>
  <c r="D725" i="5"/>
  <c r="R723" i="5"/>
  <c r="I722" i="5"/>
  <c r="H834" i="5"/>
  <c r="C833" i="5"/>
  <c r="Q831" i="5"/>
  <c r="H830" i="5"/>
  <c r="C829" i="5"/>
  <c r="Q827" i="5"/>
  <c r="H826" i="5"/>
  <c r="C825" i="5"/>
  <c r="Q823" i="5"/>
  <c r="H822" i="5"/>
  <c r="C821" i="5"/>
  <c r="Q819" i="5"/>
  <c r="H818" i="5"/>
  <c r="C817" i="5"/>
  <c r="Q815" i="5"/>
  <c r="H814" i="5"/>
  <c r="C813" i="5"/>
  <c r="Q811" i="5"/>
  <c r="H810" i="5"/>
  <c r="C809" i="5"/>
  <c r="Q807" i="5"/>
  <c r="H806" i="5"/>
  <c r="C805" i="5"/>
  <c r="Q803" i="5"/>
  <c r="H802" i="5"/>
  <c r="C801" i="5"/>
  <c r="Q799" i="5"/>
  <c r="H798" i="5"/>
  <c r="C797" i="5"/>
  <c r="Q795" i="5"/>
  <c r="H794" i="5"/>
  <c r="C793" i="5"/>
  <c r="Q791" i="5"/>
  <c r="H790" i="5"/>
  <c r="C789" i="5"/>
  <c r="Q787" i="5"/>
  <c r="H786" i="5"/>
  <c r="C785" i="5"/>
  <c r="Q783" i="5"/>
  <c r="H782" i="5"/>
  <c r="C781" i="5"/>
  <c r="Q779" i="5"/>
  <c r="H778" i="5"/>
  <c r="C777" i="5"/>
  <c r="Q775" i="5"/>
  <c r="H774" i="5"/>
  <c r="C773" i="5"/>
  <c r="Q771" i="5"/>
  <c r="H770" i="5"/>
  <c r="C769" i="5"/>
  <c r="Q767" i="5"/>
  <c r="H766" i="5"/>
  <c r="C765" i="5"/>
  <c r="Q763" i="5"/>
  <c r="H762" i="5"/>
  <c r="C761" i="5"/>
  <c r="Q759" i="5"/>
  <c r="H758" i="5"/>
  <c r="C757" i="5"/>
  <c r="Q755" i="5"/>
  <c r="H754" i="5"/>
  <c r="C753" i="5"/>
  <c r="Q751" i="5"/>
  <c r="H750" i="5"/>
  <c r="C749" i="5"/>
  <c r="Q747" i="5"/>
  <c r="H746" i="5"/>
  <c r="C745" i="5"/>
  <c r="Q743" i="5"/>
  <c r="H742" i="5"/>
  <c r="C741" i="5"/>
  <c r="Q739" i="5"/>
  <c r="H738" i="5"/>
  <c r="C737" i="5"/>
  <c r="Q735" i="5"/>
  <c r="H734" i="5"/>
  <c r="C733" i="5"/>
  <c r="Q731" i="5"/>
  <c r="H730" i="5"/>
  <c r="C729" i="5"/>
  <c r="Q727" i="5"/>
  <c r="H726" i="5"/>
  <c r="C725" i="5"/>
  <c r="Q723" i="5"/>
  <c r="H722" i="5"/>
  <c r="G834" i="5"/>
  <c r="B833" i="5"/>
  <c r="S833" i="5" s="1"/>
  <c r="L831" i="5"/>
  <c r="G830" i="5"/>
  <c r="B829" i="5"/>
  <c r="S829" i="5" s="1"/>
  <c r="L827" i="5"/>
  <c r="G826" i="5"/>
  <c r="B825" i="5"/>
  <c r="S825" i="5" s="1"/>
  <c r="L823" i="5"/>
  <c r="G822" i="5"/>
  <c r="B821" i="5"/>
  <c r="S821" i="5" s="1"/>
  <c r="L819" i="5"/>
  <c r="G818" i="5"/>
  <c r="B817" i="5"/>
  <c r="S817" i="5" s="1"/>
  <c r="L815" i="5"/>
  <c r="G814" i="5"/>
  <c r="B813" i="5"/>
  <c r="S813" i="5" s="1"/>
  <c r="L811" i="5"/>
  <c r="G810" i="5"/>
  <c r="B809" i="5"/>
  <c r="S809" i="5" s="1"/>
  <c r="L807" i="5"/>
  <c r="G806" i="5"/>
  <c r="B805" i="5"/>
  <c r="S805" i="5" s="1"/>
  <c r="L803" i="5"/>
  <c r="G802" i="5"/>
  <c r="B801" i="5"/>
  <c r="S801" i="5" s="1"/>
  <c r="L799" i="5"/>
  <c r="G798" i="5"/>
  <c r="B797" i="5"/>
  <c r="S797" i="5" s="1"/>
  <c r="L795" i="5"/>
  <c r="G794" i="5"/>
  <c r="B793" i="5"/>
  <c r="S793" i="5" s="1"/>
  <c r="L791" i="5"/>
  <c r="G790" i="5"/>
  <c r="B789" i="5"/>
  <c r="S789" i="5" s="1"/>
  <c r="L787" i="5"/>
  <c r="G786" i="5"/>
  <c r="B785" i="5"/>
  <c r="S785" i="5" s="1"/>
  <c r="L783" i="5"/>
  <c r="G782" i="5"/>
  <c r="B781" i="5"/>
  <c r="S781" i="5" s="1"/>
  <c r="L779" i="5"/>
  <c r="G778" i="5"/>
  <c r="B777" i="5"/>
  <c r="S777" i="5" s="1"/>
  <c r="L775" i="5"/>
  <c r="G774" i="5"/>
  <c r="B773" i="5"/>
  <c r="S773" i="5" s="1"/>
  <c r="L771" i="5"/>
  <c r="G770" i="5"/>
  <c r="B769" i="5"/>
  <c r="S769" i="5" s="1"/>
  <c r="L767" i="5"/>
  <c r="G766" i="5"/>
  <c r="B765" i="5"/>
  <c r="S765" i="5" s="1"/>
  <c r="L763" i="5"/>
  <c r="G762" i="5"/>
  <c r="B761" i="5"/>
  <c r="S761" i="5" s="1"/>
  <c r="L759" i="5"/>
  <c r="G758" i="5"/>
  <c r="B757" i="5"/>
  <c r="S757" i="5" s="1"/>
  <c r="L755" i="5"/>
  <c r="G754" i="5"/>
  <c r="B753" i="5"/>
  <c r="S753" i="5" s="1"/>
  <c r="L751" i="5"/>
  <c r="G750" i="5"/>
  <c r="B749" i="5"/>
  <c r="S749" i="5" s="1"/>
  <c r="L747" i="5"/>
  <c r="G746" i="5"/>
  <c r="B745" i="5"/>
  <c r="S745" i="5" s="1"/>
  <c r="L743" i="5"/>
  <c r="G742" i="5"/>
  <c r="B741" i="5"/>
  <c r="S741" i="5" s="1"/>
  <c r="L739" i="5"/>
  <c r="G738" i="5"/>
  <c r="B737" i="5"/>
  <c r="S737" i="5" s="1"/>
  <c r="L735" i="5"/>
  <c r="G734" i="5"/>
  <c r="B733" i="5"/>
  <c r="S733" i="5" s="1"/>
  <c r="L731" i="5"/>
  <c r="G730" i="5"/>
  <c r="B729" i="5"/>
  <c r="S729" i="5" s="1"/>
  <c r="L727" i="5"/>
  <c r="G726" i="5"/>
  <c r="B725" i="5"/>
  <c r="S725" i="5" s="1"/>
  <c r="L723" i="5"/>
  <c r="G722" i="5"/>
  <c r="F834" i="5"/>
  <c r="A833" i="5"/>
  <c r="K831" i="5"/>
  <c r="F830" i="5"/>
  <c r="A829" i="5"/>
  <c r="K827" i="5"/>
  <c r="F826" i="5"/>
  <c r="A825" i="5"/>
  <c r="K823" i="5"/>
  <c r="F822" i="5"/>
  <c r="A821" i="5"/>
  <c r="K819" i="5"/>
  <c r="F818" i="5"/>
  <c r="A817" i="5"/>
  <c r="K815" i="5"/>
  <c r="F814" i="5"/>
  <c r="A813" i="5"/>
  <c r="K811" i="5"/>
  <c r="F810" i="5"/>
  <c r="A809" i="5"/>
  <c r="K807" i="5"/>
  <c r="F806" i="5"/>
  <c r="A805" i="5"/>
  <c r="K803" i="5"/>
  <c r="F802" i="5"/>
  <c r="A801" i="5"/>
  <c r="K799" i="5"/>
  <c r="F798" i="5"/>
  <c r="A797" i="5"/>
  <c r="K795" i="5"/>
  <c r="F794" i="5"/>
  <c r="A793" i="5"/>
  <c r="K791" i="5"/>
  <c r="F790" i="5"/>
  <c r="A789" i="5"/>
  <c r="K787" i="5"/>
  <c r="F786" i="5"/>
  <c r="A785" i="5"/>
  <c r="K783" i="5"/>
  <c r="F782" i="5"/>
  <c r="A781" i="5"/>
  <c r="K779" i="5"/>
  <c r="F778" i="5"/>
  <c r="A777" i="5"/>
  <c r="K775" i="5"/>
  <c r="F774" i="5"/>
  <c r="A773" i="5"/>
  <c r="K771" i="5"/>
  <c r="F770" i="5"/>
  <c r="A769" i="5"/>
  <c r="K767" i="5"/>
  <c r="F766" i="5"/>
  <c r="A765" i="5"/>
  <c r="K763" i="5"/>
  <c r="F762" i="5"/>
  <c r="A761" i="5"/>
  <c r="K759" i="5"/>
  <c r="F758" i="5"/>
  <c r="A757" i="5"/>
  <c r="K755" i="5"/>
  <c r="F754" i="5"/>
  <c r="A753" i="5"/>
  <c r="K751" i="5"/>
  <c r="F750" i="5"/>
  <c r="A749" i="5"/>
  <c r="K747" i="5"/>
  <c r="F746" i="5"/>
  <c r="A745" i="5"/>
  <c r="K743" i="5"/>
  <c r="F742" i="5"/>
  <c r="A741" i="5"/>
  <c r="K739" i="5"/>
  <c r="F738" i="5"/>
  <c r="A737" i="5"/>
  <c r="K735" i="5"/>
  <c r="F734" i="5"/>
  <c r="A733" i="5"/>
  <c r="K731" i="5"/>
  <c r="F730" i="5"/>
  <c r="A729" i="5"/>
  <c r="K727" i="5"/>
  <c r="F726" i="5"/>
  <c r="A725" i="5"/>
  <c r="K723" i="5"/>
  <c r="F722" i="5"/>
  <c r="E834" i="5"/>
  <c r="J831" i="5"/>
  <c r="E830" i="5"/>
  <c r="J827" i="5"/>
  <c r="E826" i="5"/>
  <c r="J823" i="5"/>
  <c r="E822" i="5"/>
  <c r="J819" i="5"/>
  <c r="E818" i="5"/>
  <c r="J815" i="5"/>
  <c r="E814" i="5"/>
  <c r="J811" i="5"/>
  <c r="E810" i="5"/>
  <c r="J807" i="5"/>
  <c r="E806" i="5"/>
  <c r="J803" i="5"/>
  <c r="E802" i="5"/>
  <c r="J799" i="5"/>
  <c r="E798" i="5"/>
  <c r="J795" i="5"/>
  <c r="E794" i="5"/>
  <c r="J791" i="5"/>
  <c r="E790" i="5"/>
  <c r="J787" i="5"/>
  <c r="E786" i="5"/>
  <c r="J783" i="5"/>
  <c r="E782" i="5"/>
  <c r="J779" i="5"/>
  <c r="E778" i="5"/>
  <c r="J775" i="5"/>
  <c r="E774" i="5"/>
  <c r="J771" i="5"/>
  <c r="E770" i="5"/>
  <c r="J767" i="5"/>
  <c r="E766" i="5"/>
  <c r="J763" i="5"/>
  <c r="E762" i="5"/>
  <c r="J759" i="5"/>
  <c r="E758" i="5"/>
  <c r="J755" i="5"/>
  <c r="E754" i="5"/>
  <c r="J751" i="5"/>
  <c r="E750" i="5"/>
  <c r="J747" i="5"/>
  <c r="E746" i="5"/>
  <c r="J743" i="5"/>
  <c r="E742" i="5"/>
  <c r="J739" i="5"/>
  <c r="E738" i="5"/>
  <c r="J735" i="5"/>
  <c r="E734" i="5"/>
  <c r="J731" i="5"/>
  <c r="E730" i="5"/>
  <c r="J727" i="5"/>
  <c r="E726" i="5"/>
  <c r="J723" i="5"/>
  <c r="E722" i="5"/>
  <c r="D834" i="5"/>
  <c r="R832" i="5"/>
  <c r="I831" i="5"/>
  <c r="D830" i="5"/>
  <c r="R828" i="5"/>
  <c r="I827" i="5"/>
  <c r="D826" i="5"/>
  <c r="R824" i="5"/>
  <c r="I823" i="5"/>
  <c r="D822" i="5"/>
  <c r="R820" i="5"/>
  <c r="I819" i="5"/>
  <c r="D818" i="5"/>
  <c r="R816" i="5"/>
  <c r="I815" i="5"/>
  <c r="D814" i="5"/>
  <c r="R812" i="5"/>
  <c r="I811" i="5"/>
  <c r="D810" i="5"/>
  <c r="R808" i="5"/>
  <c r="I807" i="5"/>
  <c r="D806" i="5"/>
  <c r="R804" i="5"/>
  <c r="I803" i="5"/>
  <c r="D802" i="5"/>
  <c r="R800" i="5"/>
  <c r="I799" i="5"/>
  <c r="D798" i="5"/>
  <c r="R796" i="5"/>
  <c r="I795" i="5"/>
  <c r="D794" i="5"/>
  <c r="R792" i="5"/>
  <c r="I791" i="5"/>
  <c r="D790" i="5"/>
  <c r="R788" i="5"/>
  <c r="I787" i="5"/>
  <c r="D786" i="5"/>
  <c r="R784" i="5"/>
  <c r="I783" i="5"/>
  <c r="D782" i="5"/>
  <c r="R780" i="5"/>
  <c r="I779" i="5"/>
  <c r="D778" i="5"/>
  <c r="R776" i="5"/>
  <c r="I775" i="5"/>
  <c r="D774" i="5"/>
  <c r="R772" i="5"/>
  <c r="I771" i="5"/>
  <c r="D770" i="5"/>
  <c r="R768" i="5"/>
  <c r="I767" i="5"/>
  <c r="D766" i="5"/>
  <c r="R764" i="5"/>
  <c r="I763" i="5"/>
  <c r="D762" i="5"/>
  <c r="R760" i="5"/>
  <c r="I759" i="5"/>
  <c r="D758" i="5"/>
  <c r="R756" i="5"/>
  <c r="I755" i="5"/>
  <c r="D754" i="5"/>
  <c r="R752" i="5"/>
  <c r="I751" i="5"/>
  <c r="D750" i="5"/>
  <c r="R748" i="5"/>
  <c r="I747" i="5"/>
  <c r="D746" i="5"/>
  <c r="R744" i="5"/>
  <c r="I743" i="5"/>
  <c r="D742" i="5"/>
  <c r="R740" i="5"/>
  <c r="I739" i="5"/>
  <c r="D738" i="5"/>
  <c r="R736" i="5"/>
  <c r="I735" i="5"/>
  <c r="D734" i="5"/>
  <c r="R732" i="5"/>
  <c r="I731" i="5"/>
  <c r="D730" i="5"/>
  <c r="R728" i="5"/>
  <c r="I727" i="5"/>
  <c r="D726" i="5"/>
  <c r="R724" i="5"/>
  <c r="I723" i="5"/>
  <c r="D722" i="5"/>
  <c r="C834" i="5"/>
  <c r="Q832" i="5"/>
  <c r="H831" i="5"/>
  <c r="C830" i="5"/>
  <c r="Q828" i="5"/>
  <c r="H827" i="5"/>
  <c r="C826" i="5"/>
  <c r="Q824" i="5"/>
  <c r="H823" i="5"/>
  <c r="C822" i="5"/>
  <c r="Q820" i="5"/>
  <c r="H819" i="5"/>
  <c r="C818" i="5"/>
  <c r="Q816" i="5"/>
  <c r="H815" i="5"/>
  <c r="C814" i="5"/>
  <c r="Q812" i="5"/>
  <c r="H811" i="5"/>
  <c r="C810" i="5"/>
  <c r="Q808" i="5"/>
  <c r="H807" i="5"/>
  <c r="C806" i="5"/>
  <c r="Q804" i="5"/>
  <c r="H803" i="5"/>
  <c r="C802" i="5"/>
  <c r="Q800" i="5"/>
  <c r="H799" i="5"/>
  <c r="C798" i="5"/>
  <c r="Q796" i="5"/>
  <c r="H795" i="5"/>
  <c r="C794" i="5"/>
  <c r="Q792" i="5"/>
  <c r="H791" i="5"/>
  <c r="C790" i="5"/>
  <c r="Q788" i="5"/>
  <c r="H787" i="5"/>
  <c r="C786" i="5"/>
  <c r="Q784" i="5"/>
  <c r="H783" i="5"/>
  <c r="C782" i="5"/>
  <c r="Q780" i="5"/>
  <c r="H779" i="5"/>
  <c r="C778" i="5"/>
  <c r="Q776" i="5"/>
  <c r="H775" i="5"/>
  <c r="C774" i="5"/>
  <c r="Q772" i="5"/>
  <c r="H771" i="5"/>
  <c r="C770" i="5"/>
  <c r="Q768" i="5"/>
  <c r="H767" i="5"/>
  <c r="C766" i="5"/>
  <c r="Q764" i="5"/>
  <c r="H763" i="5"/>
  <c r="C762" i="5"/>
  <c r="Q760" i="5"/>
  <c r="H759" i="5"/>
  <c r="C758" i="5"/>
  <c r="Q756" i="5"/>
  <c r="H755" i="5"/>
  <c r="C754" i="5"/>
  <c r="Q752" i="5"/>
  <c r="H751" i="5"/>
  <c r="C750" i="5"/>
  <c r="Q748" i="5"/>
  <c r="H747" i="5"/>
  <c r="C746" i="5"/>
  <c r="Q744" i="5"/>
  <c r="H743" i="5"/>
  <c r="C742" i="5"/>
  <c r="Q740" i="5"/>
  <c r="H739" i="5"/>
  <c r="C738" i="5"/>
  <c r="Q736" i="5"/>
  <c r="H735" i="5"/>
  <c r="C734" i="5"/>
  <c r="Q732" i="5"/>
  <c r="H731" i="5"/>
  <c r="C730" i="5"/>
  <c r="Q728" i="5"/>
  <c r="H727" i="5"/>
  <c r="C726" i="5"/>
  <c r="Q724" i="5"/>
  <c r="H723" i="5"/>
  <c r="C722" i="5"/>
  <c r="B834" i="5"/>
  <c r="S834" i="5" s="1"/>
  <c r="L832" i="5"/>
  <c r="G831" i="5"/>
  <c r="B830" i="5"/>
  <c r="S830" i="5" s="1"/>
  <c r="L828" i="5"/>
  <c r="G827" i="5"/>
  <c r="B826" i="5"/>
  <c r="S826" i="5" s="1"/>
  <c r="L824" i="5"/>
  <c r="G823" i="5"/>
  <c r="B822" i="5"/>
  <c r="S822" i="5" s="1"/>
  <c r="L820" i="5"/>
  <c r="G819" i="5"/>
  <c r="B818" i="5"/>
  <c r="S818" i="5" s="1"/>
  <c r="L816" i="5"/>
  <c r="G815" i="5"/>
  <c r="B814" i="5"/>
  <c r="S814" i="5" s="1"/>
  <c r="L812" i="5"/>
  <c r="G811" i="5"/>
  <c r="B810" i="5"/>
  <c r="S810" i="5" s="1"/>
  <c r="L808" i="5"/>
  <c r="G807" i="5"/>
  <c r="B806" i="5"/>
  <c r="S806" i="5" s="1"/>
  <c r="L804" i="5"/>
  <c r="G803" i="5"/>
  <c r="B802" i="5"/>
  <c r="S802" i="5" s="1"/>
  <c r="L800" i="5"/>
  <c r="G799" i="5"/>
  <c r="B798" i="5"/>
  <c r="S798" i="5" s="1"/>
  <c r="L796" i="5"/>
  <c r="G795" i="5"/>
  <c r="B794" i="5"/>
  <c r="S794" i="5" s="1"/>
  <c r="L792" i="5"/>
  <c r="G791" i="5"/>
  <c r="B790" i="5"/>
  <c r="S790" i="5" s="1"/>
  <c r="L788" i="5"/>
  <c r="G787" i="5"/>
  <c r="B786" i="5"/>
  <c r="S786" i="5" s="1"/>
  <c r="L784" i="5"/>
  <c r="G783" i="5"/>
  <c r="B782" i="5"/>
  <c r="S782" i="5" s="1"/>
  <c r="L780" i="5"/>
  <c r="G779" i="5"/>
  <c r="B778" i="5"/>
  <c r="S778" i="5" s="1"/>
  <c r="L776" i="5"/>
  <c r="G775" i="5"/>
  <c r="B774" i="5"/>
  <c r="S774" i="5" s="1"/>
  <c r="L772" i="5"/>
  <c r="G771" i="5"/>
  <c r="B770" i="5"/>
  <c r="S770" i="5" s="1"/>
  <c r="L768" i="5"/>
  <c r="G767" i="5"/>
  <c r="B766" i="5"/>
  <c r="S766" i="5" s="1"/>
  <c r="L764" i="5"/>
  <c r="G763" i="5"/>
  <c r="B762" i="5"/>
  <c r="S762" i="5" s="1"/>
  <c r="L760" i="5"/>
  <c r="G759" i="5"/>
  <c r="B758" i="5"/>
  <c r="S758" i="5" s="1"/>
  <c r="L756" i="5"/>
  <c r="G755" i="5"/>
  <c r="B754" i="5"/>
  <c r="S754" i="5" s="1"/>
  <c r="L752" i="5"/>
  <c r="G751" i="5"/>
  <c r="B750" i="5"/>
  <c r="S750" i="5" s="1"/>
  <c r="L748" i="5"/>
  <c r="G747" i="5"/>
  <c r="B746" i="5"/>
  <c r="S746" i="5" s="1"/>
  <c r="L744" i="5"/>
  <c r="G743" i="5"/>
  <c r="B742" i="5"/>
  <c r="S742" i="5" s="1"/>
  <c r="L740" i="5"/>
  <c r="G739" i="5"/>
  <c r="B738" i="5"/>
  <c r="S738" i="5" s="1"/>
  <c r="L736" i="5"/>
  <c r="G735" i="5"/>
  <c r="B734" i="5"/>
  <c r="S734" i="5" s="1"/>
  <c r="L732" i="5"/>
  <c r="G731" i="5"/>
  <c r="B730" i="5"/>
  <c r="S730" i="5" s="1"/>
  <c r="L728" i="5"/>
  <c r="G727" i="5"/>
  <c r="B726" i="5"/>
  <c r="S726" i="5" s="1"/>
  <c r="L724" i="5"/>
  <c r="G723" i="5"/>
  <c r="B722" i="5"/>
  <c r="S722" i="5" s="1"/>
  <c r="A834" i="5"/>
  <c r="K832" i="5"/>
  <c r="F831" i="5"/>
  <c r="A830" i="5"/>
  <c r="K828" i="5"/>
  <c r="F827" i="5"/>
  <c r="A826" i="5"/>
  <c r="K824" i="5"/>
  <c r="F823" i="5"/>
  <c r="A822" i="5"/>
  <c r="K820" i="5"/>
  <c r="F819" i="5"/>
  <c r="A818" i="5"/>
  <c r="K816" i="5"/>
  <c r="F815" i="5"/>
  <c r="A814" i="5"/>
  <c r="K812" i="5"/>
  <c r="F811" i="5"/>
  <c r="A810" i="5"/>
  <c r="K808" i="5"/>
  <c r="F807" i="5"/>
  <c r="A806" i="5"/>
  <c r="K804" i="5"/>
  <c r="F803" i="5"/>
  <c r="A802" i="5"/>
  <c r="K800" i="5"/>
  <c r="F799" i="5"/>
  <c r="A798" i="5"/>
  <c r="K796" i="5"/>
  <c r="F795" i="5"/>
  <c r="A794" i="5"/>
  <c r="K792" i="5"/>
  <c r="F791" i="5"/>
  <c r="A790" i="5"/>
  <c r="K788" i="5"/>
  <c r="F787" i="5"/>
  <c r="A786" i="5"/>
  <c r="K784" i="5"/>
  <c r="F783" i="5"/>
  <c r="A782" i="5"/>
  <c r="K780" i="5"/>
  <c r="F779" i="5"/>
  <c r="A778" i="5"/>
  <c r="K776" i="5"/>
  <c r="F775" i="5"/>
  <c r="A774" i="5"/>
  <c r="K772" i="5"/>
  <c r="F771" i="5"/>
  <c r="A770" i="5"/>
  <c r="K768" i="5"/>
  <c r="F767" i="5"/>
  <c r="A766" i="5"/>
  <c r="K764" i="5"/>
  <c r="F763" i="5"/>
  <c r="A762" i="5"/>
  <c r="K760" i="5"/>
  <c r="F759" i="5"/>
  <c r="A758" i="5"/>
  <c r="K756" i="5"/>
  <c r="F755" i="5"/>
  <c r="A754" i="5"/>
  <c r="K752" i="5"/>
  <c r="F751" i="5"/>
  <c r="A750" i="5"/>
  <c r="K748" i="5"/>
  <c r="F747" i="5"/>
  <c r="A746" i="5"/>
  <c r="K744" i="5"/>
  <c r="F743" i="5"/>
  <c r="A742" i="5"/>
  <c r="K740" i="5"/>
  <c r="F739" i="5"/>
  <c r="A738" i="5"/>
  <c r="K736" i="5"/>
  <c r="F735" i="5"/>
  <c r="A734" i="5"/>
  <c r="K732" i="5"/>
  <c r="F731" i="5"/>
  <c r="A730" i="5"/>
  <c r="K728" i="5"/>
  <c r="F727" i="5"/>
  <c r="A726" i="5"/>
  <c r="K724" i="5"/>
  <c r="F723" i="5"/>
  <c r="A722" i="5"/>
  <c r="J832" i="5"/>
  <c r="E831" i="5"/>
  <c r="J828" i="5"/>
  <c r="E827" i="5"/>
  <c r="J824" i="5"/>
  <c r="E823" i="5"/>
  <c r="J820" i="5"/>
  <c r="E819" i="5"/>
  <c r="J816" i="5"/>
  <c r="E815" i="5"/>
  <c r="J812" i="5"/>
  <c r="E811" i="5"/>
  <c r="J808" i="5"/>
  <c r="E807" i="5"/>
  <c r="J804" i="5"/>
  <c r="E803" i="5"/>
  <c r="J800" i="5"/>
  <c r="E799" i="5"/>
  <c r="J796" i="5"/>
  <c r="E795" i="5"/>
  <c r="J792" i="5"/>
  <c r="E791" i="5"/>
  <c r="J788" i="5"/>
  <c r="E787" i="5"/>
  <c r="J784" i="5"/>
  <c r="E783" i="5"/>
  <c r="J780" i="5"/>
  <c r="E779" i="5"/>
  <c r="J776" i="5"/>
  <c r="E775" i="5"/>
  <c r="J772" i="5"/>
  <c r="E771" i="5"/>
  <c r="J768" i="5"/>
  <c r="E767" i="5"/>
  <c r="J764" i="5"/>
  <c r="E763" i="5"/>
  <c r="J760" i="5"/>
  <c r="E759" i="5"/>
  <c r="J756" i="5"/>
  <c r="E755" i="5"/>
  <c r="J752" i="5"/>
  <c r="E751" i="5"/>
  <c r="J748" i="5"/>
  <c r="E747" i="5"/>
  <c r="J744" i="5"/>
  <c r="E743" i="5"/>
  <c r="J740" i="5"/>
  <c r="E739" i="5"/>
  <c r="J736" i="5"/>
  <c r="E735" i="5"/>
  <c r="J732" i="5"/>
  <c r="E731" i="5"/>
  <c r="J728" i="5"/>
  <c r="E727" i="5"/>
  <c r="J724" i="5"/>
  <c r="E723" i="5"/>
  <c r="R833" i="5"/>
  <c r="I832" i="5"/>
  <c r="D831" i="5"/>
  <c r="R829" i="5"/>
  <c r="I828" i="5"/>
  <c r="D827" i="5"/>
  <c r="R825" i="5"/>
  <c r="I824" i="5"/>
  <c r="D823" i="5"/>
  <c r="R821" i="5"/>
  <c r="I820" i="5"/>
  <c r="D819" i="5"/>
  <c r="R817" i="5"/>
  <c r="I816" i="5"/>
  <c r="D815" i="5"/>
  <c r="R813" i="5"/>
  <c r="I812" i="5"/>
  <c r="D811" i="5"/>
  <c r="R809" i="5"/>
  <c r="I808" i="5"/>
  <c r="D807" i="5"/>
  <c r="R805" i="5"/>
  <c r="I804" i="5"/>
  <c r="D803" i="5"/>
  <c r="R801" i="5"/>
  <c r="I800" i="5"/>
  <c r="D799" i="5"/>
  <c r="R797" i="5"/>
  <c r="I796" i="5"/>
  <c r="D795" i="5"/>
  <c r="R793" i="5"/>
  <c r="I792" i="5"/>
  <c r="D791" i="5"/>
  <c r="R789" i="5"/>
  <c r="I788" i="5"/>
  <c r="D787" i="5"/>
  <c r="R785" i="5"/>
  <c r="I784" i="5"/>
  <c r="D783" i="5"/>
  <c r="R781" i="5"/>
  <c r="I780" i="5"/>
  <c r="D779" i="5"/>
  <c r="R777" i="5"/>
  <c r="I776" i="5"/>
  <c r="D775" i="5"/>
  <c r="R773" i="5"/>
  <c r="I772" i="5"/>
  <c r="D771" i="5"/>
  <c r="R769" i="5"/>
  <c r="I768" i="5"/>
  <c r="D767" i="5"/>
  <c r="R765" i="5"/>
  <c r="I764" i="5"/>
  <c r="D763" i="5"/>
  <c r="R761" i="5"/>
  <c r="I760" i="5"/>
  <c r="D759" i="5"/>
  <c r="R757" i="5"/>
  <c r="I756" i="5"/>
  <c r="D755" i="5"/>
  <c r="R753" i="5"/>
  <c r="I752" i="5"/>
  <c r="D751" i="5"/>
  <c r="R749" i="5"/>
  <c r="I748" i="5"/>
  <c r="D747" i="5"/>
  <c r="R745" i="5"/>
  <c r="I744" i="5"/>
  <c r="D743" i="5"/>
  <c r="R741" i="5"/>
  <c r="I740" i="5"/>
  <c r="D739" i="5"/>
  <c r="R737" i="5"/>
  <c r="I736" i="5"/>
  <c r="D735" i="5"/>
  <c r="R733" i="5"/>
  <c r="I732" i="5"/>
  <c r="D731" i="5"/>
  <c r="R729" i="5"/>
  <c r="I728" i="5"/>
  <c r="D727" i="5"/>
  <c r="R725" i="5"/>
  <c r="I724" i="5"/>
  <c r="D723" i="5"/>
  <c r="R721" i="5"/>
  <c r="Q833" i="5"/>
  <c r="H832" i="5"/>
  <c r="C831" i="5"/>
  <c r="Q829" i="5"/>
  <c r="H828" i="5"/>
  <c r="C827" i="5"/>
  <c r="Q825" i="5"/>
  <c r="H824" i="5"/>
  <c r="C823" i="5"/>
  <c r="Q821" i="5"/>
  <c r="H820" i="5"/>
  <c r="C819" i="5"/>
  <c r="Q817" i="5"/>
  <c r="H816" i="5"/>
  <c r="C815" i="5"/>
  <c r="Q813" i="5"/>
  <c r="H812" i="5"/>
  <c r="C811" i="5"/>
  <c r="Q809" i="5"/>
  <c r="H808" i="5"/>
  <c r="C807" i="5"/>
  <c r="Q805" i="5"/>
  <c r="H804" i="5"/>
  <c r="C803" i="5"/>
  <c r="Q801" i="5"/>
  <c r="H800" i="5"/>
  <c r="C799" i="5"/>
  <c r="Q797" i="5"/>
  <c r="H796" i="5"/>
  <c r="C795" i="5"/>
  <c r="Q793" i="5"/>
  <c r="H792" i="5"/>
  <c r="C791" i="5"/>
  <c r="Q789" i="5"/>
  <c r="H788" i="5"/>
  <c r="C787" i="5"/>
  <c r="Q785" i="5"/>
  <c r="H784" i="5"/>
  <c r="C783" i="5"/>
  <c r="Q781" i="5"/>
  <c r="H780" i="5"/>
  <c r="C779" i="5"/>
  <c r="Q777" i="5"/>
  <c r="H776" i="5"/>
  <c r="C775" i="5"/>
  <c r="Q773" i="5"/>
  <c r="H772" i="5"/>
  <c r="C771" i="5"/>
  <c r="Q769" i="5"/>
  <c r="H768" i="5"/>
  <c r="C767" i="5"/>
  <c r="Q765" i="5"/>
  <c r="H764" i="5"/>
  <c r="C763" i="5"/>
  <c r="Q761" i="5"/>
  <c r="H760" i="5"/>
  <c r="C759" i="5"/>
  <c r="Q757" i="5"/>
  <c r="H756" i="5"/>
  <c r="C755" i="5"/>
  <c r="Q753" i="5"/>
  <c r="H752" i="5"/>
  <c r="C751" i="5"/>
  <c r="Q749" i="5"/>
  <c r="H748" i="5"/>
  <c r="C747" i="5"/>
  <c r="Q745" i="5"/>
  <c r="H744" i="5"/>
  <c r="C743" i="5"/>
  <c r="Q741" i="5"/>
  <c r="H740" i="5"/>
  <c r="C739" i="5"/>
  <c r="Q737" i="5"/>
  <c r="H736" i="5"/>
  <c r="C735" i="5"/>
  <c r="Q733" i="5"/>
  <c r="H732" i="5"/>
  <c r="C731" i="5"/>
  <c r="Q729" i="5"/>
  <c r="H728" i="5"/>
  <c r="C727" i="5"/>
  <c r="Q725" i="5"/>
  <c r="H724" i="5"/>
  <c r="C723" i="5"/>
  <c r="Q721" i="5"/>
  <c r="L833" i="5"/>
  <c r="G832" i="5"/>
  <c r="B831" i="5"/>
  <c r="S831" i="5" s="1"/>
  <c r="L829" i="5"/>
  <c r="G828" i="5"/>
  <c r="B827" i="5"/>
  <c r="S827" i="5" s="1"/>
  <c r="L825" i="5"/>
  <c r="G824" i="5"/>
  <c r="B823" i="5"/>
  <c r="S823" i="5" s="1"/>
  <c r="L821" i="5"/>
  <c r="G820" i="5"/>
  <c r="B819" i="5"/>
  <c r="S819" i="5" s="1"/>
  <c r="L817" i="5"/>
  <c r="G816" i="5"/>
  <c r="B815" i="5"/>
  <c r="S815" i="5" s="1"/>
  <c r="L813" i="5"/>
  <c r="G812" i="5"/>
  <c r="B811" i="5"/>
  <c r="S811" i="5" s="1"/>
  <c r="L809" i="5"/>
  <c r="G808" i="5"/>
  <c r="B807" i="5"/>
  <c r="S807" i="5" s="1"/>
  <c r="L805" i="5"/>
  <c r="G804" i="5"/>
  <c r="B803" i="5"/>
  <c r="S803" i="5" s="1"/>
  <c r="L801" i="5"/>
  <c r="G800" i="5"/>
  <c r="B799" i="5"/>
  <c r="S799" i="5" s="1"/>
  <c r="L797" i="5"/>
  <c r="G796" i="5"/>
  <c r="B795" i="5"/>
  <c r="S795" i="5" s="1"/>
  <c r="L793" i="5"/>
  <c r="G792" i="5"/>
  <c r="B791" i="5"/>
  <c r="S791" i="5" s="1"/>
  <c r="L789" i="5"/>
  <c r="G788" i="5"/>
  <c r="B787" i="5"/>
  <c r="S787" i="5" s="1"/>
  <c r="L785" i="5"/>
  <c r="G784" i="5"/>
  <c r="B783" i="5"/>
  <c r="S783" i="5" s="1"/>
  <c r="L781" i="5"/>
  <c r="G780" i="5"/>
  <c r="B779" i="5"/>
  <c r="S779" i="5" s="1"/>
  <c r="L777" i="5"/>
  <c r="G776" i="5"/>
  <c r="B775" i="5"/>
  <c r="S775" i="5" s="1"/>
  <c r="L773" i="5"/>
  <c r="G772" i="5"/>
  <c r="B771" i="5"/>
  <c r="S771" i="5" s="1"/>
  <c r="L769" i="5"/>
  <c r="G768" i="5"/>
  <c r="B767" i="5"/>
  <c r="S767" i="5" s="1"/>
  <c r="L765" i="5"/>
  <c r="G764" i="5"/>
  <c r="B763" i="5"/>
  <c r="S763" i="5" s="1"/>
  <c r="L761" i="5"/>
  <c r="G760" i="5"/>
  <c r="B759" i="5"/>
  <c r="S759" i="5" s="1"/>
  <c r="L757" i="5"/>
  <c r="G756" i="5"/>
  <c r="B755" i="5"/>
  <c r="S755" i="5" s="1"/>
  <c r="L753" i="5"/>
  <c r="G752" i="5"/>
  <c r="B751" i="5"/>
  <c r="S751" i="5" s="1"/>
  <c r="L749" i="5"/>
  <c r="G748" i="5"/>
  <c r="B747" i="5"/>
  <c r="S747" i="5" s="1"/>
  <c r="L745" i="5"/>
  <c r="G744" i="5"/>
  <c r="B743" i="5"/>
  <c r="S743" i="5" s="1"/>
  <c r="L741" i="5"/>
  <c r="G740" i="5"/>
  <c r="B739" i="5"/>
  <c r="S739" i="5" s="1"/>
  <c r="L737" i="5"/>
  <c r="G736" i="5"/>
  <c r="B735" i="5"/>
  <c r="S735" i="5" s="1"/>
  <c r="L733" i="5"/>
  <c r="G732" i="5"/>
  <c r="B731" i="5"/>
  <c r="S731" i="5" s="1"/>
  <c r="L729" i="5"/>
  <c r="G728" i="5"/>
  <c r="B727" i="5"/>
  <c r="S727" i="5" s="1"/>
  <c r="L725" i="5"/>
  <c r="G724" i="5"/>
  <c r="B723" i="5"/>
  <c r="S723" i="5" s="1"/>
  <c r="L721" i="5"/>
  <c r="K833" i="5"/>
  <c r="F832" i="5"/>
  <c r="A831" i="5"/>
  <c r="K829" i="5"/>
  <c r="F828" i="5"/>
  <c r="A827" i="5"/>
  <c r="K825" i="5"/>
  <c r="F824" i="5"/>
  <c r="A823" i="5"/>
  <c r="K821" i="5"/>
  <c r="F820" i="5"/>
  <c r="A819" i="5"/>
  <c r="K817" i="5"/>
  <c r="F816" i="5"/>
  <c r="A815" i="5"/>
  <c r="K813" i="5"/>
  <c r="F812" i="5"/>
  <c r="A811" i="5"/>
  <c r="K809" i="5"/>
  <c r="F808" i="5"/>
  <c r="A807" i="5"/>
  <c r="K805" i="5"/>
  <c r="F804" i="5"/>
  <c r="A803" i="5"/>
  <c r="K801" i="5"/>
  <c r="F800" i="5"/>
  <c r="A799" i="5"/>
  <c r="K797" i="5"/>
  <c r="F796" i="5"/>
  <c r="A795" i="5"/>
  <c r="K793" i="5"/>
  <c r="F792" i="5"/>
  <c r="A791" i="5"/>
  <c r="K789" i="5"/>
  <c r="F788" i="5"/>
  <c r="A787" i="5"/>
  <c r="K785" i="5"/>
  <c r="F784" i="5"/>
  <c r="A783" i="5"/>
  <c r="K781" i="5"/>
  <c r="F780" i="5"/>
  <c r="A779" i="5"/>
  <c r="K777" i="5"/>
  <c r="F776" i="5"/>
  <c r="A775" i="5"/>
  <c r="K773" i="5"/>
  <c r="F772" i="5"/>
  <c r="A771" i="5"/>
  <c r="K769" i="5"/>
  <c r="F768" i="5"/>
  <c r="A767" i="5"/>
  <c r="K765" i="5"/>
  <c r="F764" i="5"/>
  <c r="A763" i="5"/>
  <c r="K761" i="5"/>
  <c r="F760" i="5"/>
  <c r="A759" i="5"/>
  <c r="K757" i="5"/>
  <c r="F756" i="5"/>
  <c r="A755" i="5"/>
  <c r="K753" i="5"/>
  <c r="F752" i="5"/>
  <c r="A751" i="5"/>
  <c r="K749" i="5"/>
  <c r="F748" i="5"/>
  <c r="A747" i="5"/>
  <c r="K745" i="5"/>
  <c r="F744" i="5"/>
  <c r="A743" i="5"/>
  <c r="K741" i="5"/>
  <c r="F740" i="5"/>
  <c r="A739" i="5"/>
  <c r="K737" i="5"/>
  <c r="F736" i="5"/>
  <c r="A735" i="5"/>
  <c r="K733" i="5"/>
  <c r="F732" i="5"/>
  <c r="A731" i="5"/>
  <c r="K729" i="5"/>
  <c r="F728" i="5"/>
  <c r="A727" i="5"/>
  <c r="K725" i="5"/>
  <c r="F724" i="5"/>
  <c r="A723" i="5"/>
  <c r="K721" i="5"/>
  <c r="J721" i="5"/>
  <c r="E720" i="5"/>
  <c r="J717" i="5"/>
  <c r="E716" i="5"/>
  <c r="J713" i="5"/>
  <c r="E712" i="5"/>
  <c r="J709" i="5"/>
  <c r="E708" i="5"/>
  <c r="J705" i="5"/>
  <c r="E704" i="5"/>
  <c r="J701" i="5"/>
  <c r="E700" i="5"/>
  <c r="J697" i="5"/>
  <c r="E696" i="5"/>
  <c r="J693" i="5"/>
  <c r="E692" i="5"/>
  <c r="J689" i="5"/>
  <c r="E688" i="5"/>
  <c r="J685" i="5"/>
  <c r="E684" i="5"/>
  <c r="J681" i="5"/>
  <c r="E680" i="5"/>
  <c r="J677" i="5"/>
  <c r="E676" i="5"/>
  <c r="J673" i="5"/>
  <c r="E672" i="5"/>
  <c r="J669" i="5"/>
  <c r="E668" i="5"/>
  <c r="J665" i="5"/>
  <c r="E664" i="5"/>
  <c r="J661" i="5"/>
  <c r="E660" i="5"/>
  <c r="J657" i="5"/>
  <c r="E656" i="5"/>
  <c r="J653" i="5"/>
  <c r="E652" i="5"/>
  <c r="J649" i="5"/>
  <c r="E648" i="5"/>
  <c r="J645" i="5"/>
  <c r="E644" i="5"/>
  <c r="J641" i="5"/>
  <c r="E640" i="5"/>
  <c r="J637" i="5"/>
  <c r="E636" i="5"/>
  <c r="J633" i="5"/>
  <c r="E632" i="5"/>
  <c r="J629" i="5"/>
  <c r="E628" i="5"/>
  <c r="J625" i="5"/>
  <c r="E624" i="5"/>
  <c r="J621" i="5"/>
  <c r="E620" i="5"/>
  <c r="J617" i="5"/>
  <c r="E616" i="5"/>
  <c r="J613" i="5"/>
  <c r="E612" i="5"/>
  <c r="J609" i="5"/>
  <c r="E608" i="5"/>
  <c r="J605" i="5"/>
  <c r="E604" i="5"/>
  <c r="J601" i="5"/>
  <c r="E600" i="5"/>
  <c r="J597" i="5"/>
  <c r="E596" i="5"/>
  <c r="J593" i="5"/>
  <c r="E592" i="5"/>
  <c r="J589" i="5"/>
  <c r="E588" i="5"/>
  <c r="J585" i="5"/>
  <c r="E584" i="5"/>
  <c r="J581" i="5"/>
  <c r="E580" i="5"/>
  <c r="J577" i="5"/>
  <c r="E576" i="5"/>
  <c r="J573" i="5"/>
  <c r="E572" i="5"/>
  <c r="J569" i="5"/>
  <c r="E568" i="5"/>
  <c r="J565" i="5"/>
  <c r="E564" i="5"/>
  <c r="J561" i="5"/>
  <c r="E560" i="5"/>
  <c r="J557" i="5"/>
  <c r="E556" i="5"/>
  <c r="J553" i="5"/>
  <c r="E552" i="5"/>
  <c r="J549" i="5"/>
  <c r="E548" i="5"/>
  <c r="J545" i="5"/>
  <c r="E544" i="5"/>
  <c r="J541" i="5"/>
  <c r="E540" i="5"/>
  <c r="J537" i="5"/>
  <c r="E536" i="5"/>
  <c r="J533" i="5"/>
  <c r="E532" i="5"/>
  <c r="J529" i="5"/>
  <c r="E528" i="5"/>
  <c r="J525" i="5"/>
  <c r="E524" i="5"/>
  <c r="I721" i="5"/>
  <c r="D720" i="5"/>
  <c r="R718" i="5"/>
  <c r="I717" i="5"/>
  <c r="D716" i="5"/>
  <c r="R714" i="5"/>
  <c r="I713" i="5"/>
  <c r="D712" i="5"/>
  <c r="R710" i="5"/>
  <c r="I709" i="5"/>
  <c r="D708" i="5"/>
  <c r="R706" i="5"/>
  <c r="I705" i="5"/>
  <c r="D704" i="5"/>
  <c r="R702" i="5"/>
  <c r="I701" i="5"/>
  <c r="D700" i="5"/>
  <c r="R698" i="5"/>
  <c r="I697" i="5"/>
  <c r="D696" i="5"/>
  <c r="R694" i="5"/>
  <c r="I693" i="5"/>
  <c r="D692" i="5"/>
  <c r="R690" i="5"/>
  <c r="I689" i="5"/>
  <c r="D688" i="5"/>
  <c r="R686" i="5"/>
  <c r="I685" i="5"/>
  <c r="D684" i="5"/>
  <c r="R682" i="5"/>
  <c r="I681" i="5"/>
  <c r="D680" i="5"/>
  <c r="R678" i="5"/>
  <c r="I677" i="5"/>
  <c r="D676" i="5"/>
  <c r="R674" i="5"/>
  <c r="I673" i="5"/>
  <c r="D672" i="5"/>
  <c r="R670" i="5"/>
  <c r="I669" i="5"/>
  <c r="D668" i="5"/>
  <c r="R666" i="5"/>
  <c r="I665" i="5"/>
  <c r="D664" i="5"/>
  <c r="R662" i="5"/>
  <c r="I661" i="5"/>
  <c r="D660" i="5"/>
  <c r="R658" i="5"/>
  <c r="I657" i="5"/>
  <c r="D656" i="5"/>
  <c r="R654" i="5"/>
  <c r="I653" i="5"/>
  <c r="D652" i="5"/>
  <c r="R650" i="5"/>
  <c r="I649" i="5"/>
  <c r="D648" i="5"/>
  <c r="R646" i="5"/>
  <c r="I645" i="5"/>
  <c r="D644" i="5"/>
  <c r="R642" i="5"/>
  <c r="I641" i="5"/>
  <c r="D640" i="5"/>
  <c r="R638" i="5"/>
  <c r="I637" i="5"/>
  <c r="D636" i="5"/>
  <c r="R634" i="5"/>
  <c r="I633" i="5"/>
  <c r="D632" i="5"/>
  <c r="R630" i="5"/>
  <c r="I629" i="5"/>
  <c r="D628" i="5"/>
  <c r="R626" i="5"/>
  <c r="I625" i="5"/>
  <c r="D624" i="5"/>
  <c r="R622" i="5"/>
  <c r="I621" i="5"/>
  <c r="D620" i="5"/>
  <c r="R618" i="5"/>
  <c r="I617" i="5"/>
  <c r="D616" i="5"/>
  <c r="R614" i="5"/>
  <c r="I613" i="5"/>
  <c r="D612" i="5"/>
  <c r="R610" i="5"/>
  <c r="I609" i="5"/>
  <c r="D608" i="5"/>
  <c r="R606" i="5"/>
  <c r="I605" i="5"/>
  <c r="D604" i="5"/>
  <c r="R602" i="5"/>
  <c r="I601" i="5"/>
  <c r="D600" i="5"/>
  <c r="R598" i="5"/>
  <c r="I597" i="5"/>
  <c r="D596" i="5"/>
  <c r="R594" i="5"/>
  <c r="I593" i="5"/>
  <c r="D592" i="5"/>
  <c r="R590" i="5"/>
  <c r="I589" i="5"/>
  <c r="D588" i="5"/>
  <c r="R586" i="5"/>
  <c r="I585" i="5"/>
  <c r="D584" i="5"/>
  <c r="R582" i="5"/>
  <c r="I581" i="5"/>
  <c r="D580" i="5"/>
  <c r="R578" i="5"/>
  <c r="I577" i="5"/>
  <c r="D576" i="5"/>
  <c r="R574" i="5"/>
  <c r="I573" i="5"/>
  <c r="D572" i="5"/>
  <c r="R570" i="5"/>
  <c r="I569" i="5"/>
  <c r="D568" i="5"/>
  <c r="R566" i="5"/>
  <c r="I565" i="5"/>
  <c r="D564" i="5"/>
  <c r="R562" i="5"/>
  <c r="I561" i="5"/>
  <c r="D560" i="5"/>
  <c r="R558" i="5"/>
  <c r="I557" i="5"/>
  <c r="D556" i="5"/>
  <c r="R554" i="5"/>
  <c r="I553" i="5"/>
  <c r="D552" i="5"/>
  <c r="R550" i="5"/>
  <c r="I549" i="5"/>
  <c r="D548" i="5"/>
  <c r="R546" i="5"/>
  <c r="I545" i="5"/>
  <c r="D544" i="5"/>
  <c r="R542" i="5"/>
  <c r="I541" i="5"/>
  <c r="D540" i="5"/>
  <c r="R538" i="5"/>
  <c r="I537" i="5"/>
  <c r="D536" i="5"/>
  <c r="R534" i="5"/>
  <c r="I533" i="5"/>
  <c r="D532" i="5"/>
  <c r="R530" i="5"/>
  <c r="I529" i="5"/>
  <c r="D528" i="5"/>
  <c r="R526" i="5"/>
  <c r="I525" i="5"/>
  <c r="D524" i="5"/>
  <c r="R522" i="5"/>
  <c r="I521" i="5"/>
  <c r="D520" i="5"/>
  <c r="R518" i="5"/>
  <c r="I517" i="5"/>
  <c r="D516" i="5"/>
  <c r="R514" i="5"/>
  <c r="I513" i="5"/>
  <c r="D512" i="5"/>
  <c r="R510" i="5"/>
  <c r="I509" i="5"/>
  <c r="D508" i="5"/>
  <c r="R506" i="5"/>
  <c r="I505" i="5"/>
  <c r="D504" i="5"/>
  <c r="R502" i="5"/>
  <c r="I501" i="5"/>
  <c r="D500" i="5"/>
  <c r="R498" i="5"/>
  <c r="I497" i="5"/>
  <c r="D496" i="5"/>
  <c r="H721" i="5"/>
  <c r="C720" i="5"/>
  <c r="Q718" i="5"/>
  <c r="H717" i="5"/>
  <c r="C716" i="5"/>
  <c r="Q714" i="5"/>
  <c r="H713" i="5"/>
  <c r="C712" i="5"/>
  <c r="Q710" i="5"/>
  <c r="H709" i="5"/>
  <c r="C708" i="5"/>
  <c r="Q706" i="5"/>
  <c r="H705" i="5"/>
  <c r="C704" i="5"/>
  <c r="Q702" i="5"/>
  <c r="H701" i="5"/>
  <c r="C700" i="5"/>
  <c r="Q698" i="5"/>
  <c r="H697" i="5"/>
  <c r="C696" i="5"/>
  <c r="Q694" i="5"/>
  <c r="H693" i="5"/>
  <c r="C692" i="5"/>
  <c r="Q690" i="5"/>
  <c r="H689" i="5"/>
  <c r="C688" i="5"/>
  <c r="Q686" i="5"/>
  <c r="H685" i="5"/>
  <c r="C684" i="5"/>
  <c r="Q682" i="5"/>
  <c r="H681" i="5"/>
  <c r="C680" i="5"/>
  <c r="Q678" i="5"/>
  <c r="H677" i="5"/>
  <c r="C676" i="5"/>
  <c r="Q674" i="5"/>
  <c r="H673" i="5"/>
  <c r="C672" i="5"/>
  <c r="Q670" i="5"/>
  <c r="H669" i="5"/>
  <c r="C668" i="5"/>
  <c r="Q666" i="5"/>
  <c r="H665" i="5"/>
  <c r="C664" i="5"/>
  <c r="Q662" i="5"/>
  <c r="H661" i="5"/>
  <c r="C660" i="5"/>
  <c r="Q658" i="5"/>
  <c r="H657" i="5"/>
  <c r="C656" i="5"/>
  <c r="Q654" i="5"/>
  <c r="H653" i="5"/>
  <c r="C652" i="5"/>
  <c r="Q650" i="5"/>
  <c r="H649" i="5"/>
  <c r="C648" i="5"/>
  <c r="Q646" i="5"/>
  <c r="H645" i="5"/>
  <c r="C644" i="5"/>
  <c r="Q642" i="5"/>
  <c r="H641" i="5"/>
  <c r="C640" i="5"/>
  <c r="Q638" i="5"/>
  <c r="H637" i="5"/>
  <c r="C636" i="5"/>
  <c r="Q634" i="5"/>
  <c r="H633" i="5"/>
  <c r="C632" i="5"/>
  <c r="Q630" i="5"/>
  <c r="H629" i="5"/>
  <c r="C628" i="5"/>
  <c r="Q626" i="5"/>
  <c r="H625" i="5"/>
  <c r="C624" i="5"/>
  <c r="Q622" i="5"/>
  <c r="H621" i="5"/>
  <c r="C620" i="5"/>
  <c r="Q618" i="5"/>
  <c r="H617" i="5"/>
  <c r="C616" i="5"/>
  <c r="Q614" i="5"/>
  <c r="H613" i="5"/>
  <c r="C612" i="5"/>
  <c r="Q610" i="5"/>
  <c r="H609" i="5"/>
  <c r="C608" i="5"/>
  <c r="Q606" i="5"/>
  <c r="H605" i="5"/>
  <c r="C604" i="5"/>
  <c r="Q602" i="5"/>
  <c r="H601" i="5"/>
  <c r="C600" i="5"/>
  <c r="Q598" i="5"/>
  <c r="H597" i="5"/>
  <c r="C596" i="5"/>
  <c r="Q594" i="5"/>
  <c r="H593" i="5"/>
  <c r="C592" i="5"/>
  <c r="Q590" i="5"/>
  <c r="H589" i="5"/>
  <c r="C588" i="5"/>
  <c r="Q586" i="5"/>
  <c r="H585" i="5"/>
  <c r="C584" i="5"/>
  <c r="Q582" i="5"/>
  <c r="H581" i="5"/>
  <c r="C580" i="5"/>
  <c r="Q578" i="5"/>
  <c r="H577" i="5"/>
  <c r="C576" i="5"/>
  <c r="Q574" i="5"/>
  <c r="H573" i="5"/>
  <c r="C572" i="5"/>
  <c r="Q570" i="5"/>
  <c r="H569" i="5"/>
  <c r="C568" i="5"/>
  <c r="Q566" i="5"/>
  <c r="H565" i="5"/>
  <c r="C564" i="5"/>
  <c r="Q562" i="5"/>
  <c r="H561" i="5"/>
  <c r="C560" i="5"/>
  <c r="Q558" i="5"/>
  <c r="H557" i="5"/>
  <c r="C556" i="5"/>
  <c r="Q554" i="5"/>
  <c r="H553" i="5"/>
  <c r="C552" i="5"/>
  <c r="Q550" i="5"/>
  <c r="H549" i="5"/>
  <c r="C548" i="5"/>
  <c r="Q546" i="5"/>
  <c r="H545" i="5"/>
  <c r="C544" i="5"/>
  <c r="Q542" i="5"/>
  <c r="H541" i="5"/>
  <c r="C540" i="5"/>
  <c r="Q538" i="5"/>
  <c r="H537" i="5"/>
  <c r="C536" i="5"/>
  <c r="Q534" i="5"/>
  <c r="H533" i="5"/>
  <c r="F721" i="5"/>
  <c r="A720" i="5"/>
  <c r="K718" i="5"/>
  <c r="F717" i="5"/>
  <c r="A716" i="5"/>
  <c r="K714" i="5"/>
  <c r="F713" i="5"/>
  <c r="A712" i="5"/>
  <c r="K710" i="5"/>
  <c r="F709" i="5"/>
  <c r="A708" i="5"/>
  <c r="K706" i="5"/>
  <c r="F705" i="5"/>
  <c r="A704" i="5"/>
  <c r="K702" i="5"/>
  <c r="F701" i="5"/>
  <c r="A700" i="5"/>
  <c r="K698" i="5"/>
  <c r="F697" i="5"/>
  <c r="A696" i="5"/>
  <c r="K694" i="5"/>
  <c r="F693" i="5"/>
  <c r="A692" i="5"/>
  <c r="K690" i="5"/>
  <c r="F689" i="5"/>
  <c r="A688" i="5"/>
  <c r="K686" i="5"/>
  <c r="F685" i="5"/>
  <c r="A684" i="5"/>
  <c r="K682" i="5"/>
  <c r="F681" i="5"/>
  <c r="A680" i="5"/>
  <c r="K678" i="5"/>
  <c r="F677" i="5"/>
  <c r="A676" i="5"/>
  <c r="K674" i="5"/>
  <c r="F673" i="5"/>
  <c r="A672" i="5"/>
  <c r="K670" i="5"/>
  <c r="F669" i="5"/>
  <c r="A668" i="5"/>
  <c r="K666" i="5"/>
  <c r="F665" i="5"/>
  <c r="A664" i="5"/>
  <c r="K662" i="5"/>
  <c r="F661" i="5"/>
  <c r="A660" i="5"/>
  <c r="K658" i="5"/>
  <c r="F657" i="5"/>
  <c r="A656" i="5"/>
  <c r="K654" i="5"/>
  <c r="F653" i="5"/>
  <c r="A652" i="5"/>
  <c r="K650" i="5"/>
  <c r="F649" i="5"/>
  <c r="A648" i="5"/>
  <c r="K646" i="5"/>
  <c r="F645" i="5"/>
  <c r="A644" i="5"/>
  <c r="K642" i="5"/>
  <c r="F641" i="5"/>
  <c r="A640" i="5"/>
  <c r="K638" i="5"/>
  <c r="F637" i="5"/>
  <c r="A636" i="5"/>
  <c r="K634" i="5"/>
  <c r="F633" i="5"/>
  <c r="A632" i="5"/>
  <c r="K630" i="5"/>
  <c r="F629" i="5"/>
  <c r="A628" i="5"/>
  <c r="K626" i="5"/>
  <c r="F625" i="5"/>
  <c r="A624" i="5"/>
  <c r="K622" i="5"/>
  <c r="F621" i="5"/>
  <c r="A620" i="5"/>
  <c r="K618" i="5"/>
  <c r="F617" i="5"/>
  <c r="A616" i="5"/>
  <c r="K614" i="5"/>
  <c r="F613" i="5"/>
  <c r="A612" i="5"/>
  <c r="K610" i="5"/>
  <c r="F609" i="5"/>
  <c r="A608" i="5"/>
  <c r="K606" i="5"/>
  <c r="F605" i="5"/>
  <c r="A604" i="5"/>
  <c r="K602" i="5"/>
  <c r="F601" i="5"/>
  <c r="E721" i="5"/>
  <c r="J718" i="5"/>
  <c r="E717" i="5"/>
  <c r="J714" i="5"/>
  <c r="E713" i="5"/>
  <c r="J710" i="5"/>
  <c r="E709" i="5"/>
  <c r="J706" i="5"/>
  <c r="E705" i="5"/>
  <c r="J702" i="5"/>
  <c r="E701" i="5"/>
  <c r="D721" i="5"/>
  <c r="R719" i="5"/>
  <c r="I718" i="5"/>
  <c r="D717" i="5"/>
  <c r="R715" i="5"/>
  <c r="I714" i="5"/>
  <c r="D713" i="5"/>
  <c r="R711" i="5"/>
  <c r="I710" i="5"/>
  <c r="D709" i="5"/>
  <c r="R707" i="5"/>
  <c r="I706" i="5"/>
  <c r="D705" i="5"/>
  <c r="R703" i="5"/>
  <c r="I702" i="5"/>
  <c r="D701" i="5"/>
  <c r="R699" i="5"/>
  <c r="I698" i="5"/>
  <c r="D697" i="5"/>
  <c r="R695" i="5"/>
  <c r="I694" i="5"/>
  <c r="D693" i="5"/>
  <c r="R691" i="5"/>
  <c r="I690" i="5"/>
  <c r="D689" i="5"/>
  <c r="R687" i="5"/>
  <c r="I686" i="5"/>
  <c r="D685" i="5"/>
  <c r="R683" i="5"/>
  <c r="I682" i="5"/>
  <c r="D681" i="5"/>
  <c r="R679" i="5"/>
  <c r="I678" i="5"/>
  <c r="G721" i="5"/>
  <c r="H719" i="5"/>
  <c r="L717" i="5"/>
  <c r="J715" i="5"/>
  <c r="R713" i="5"/>
  <c r="L711" i="5"/>
  <c r="A710" i="5"/>
  <c r="B708" i="5"/>
  <c r="S708" i="5" s="1"/>
  <c r="C706" i="5"/>
  <c r="G704" i="5"/>
  <c r="E702" i="5"/>
  <c r="I700" i="5"/>
  <c r="H698" i="5"/>
  <c r="Q696" i="5"/>
  <c r="C695" i="5"/>
  <c r="C693" i="5"/>
  <c r="H691" i="5"/>
  <c r="Q689" i="5"/>
  <c r="Q687" i="5"/>
  <c r="C686" i="5"/>
  <c r="H684" i="5"/>
  <c r="H682" i="5"/>
  <c r="Q680" i="5"/>
  <c r="C679" i="5"/>
  <c r="D677" i="5"/>
  <c r="J675" i="5"/>
  <c r="A674" i="5"/>
  <c r="G672" i="5"/>
  <c r="I670" i="5"/>
  <c r="F667" i="5"/>
  <c r="L665" i="5"/>
  <c r="R663" i="5"/>
  <c r="E662" i="5"/>
  <c r="K660" i="5"/>
  <c r="B659" i="5"/>
  <c r="S659" i="5" s="1"/>
  <c r="D657" i="5"/>
  <c r="J655" i="5"/>
  <c r="A654" i="5"/>
  <c r="G652" i="5"/>
  <c r="I650" i="5"/>
  <c r="F647" i="5"/>
  <c r="L645" i="5"/>
  <c r="R643" i="5"/>
  <c r="E642" i="5"/>
  <c r="K640" i="5"/>
  <c r="B639" i="5"/>
  <c r="S639" i="5" s="1"/>
  <c r="D637" i="5"/>
  <c r="J635" i="5"/>
  <c r="A634" i="5"/>
  <c r="G632" i="5"/>
  <c r="I630" i="5"/>
  <c r="F627" i="5"/>
  <c r="L625" i="5"/>
  <c r="R623" i="5"/>
  <c r="E622" i="5"/>
  <c r="K620" i="5"/>
  <c r="B619" i="5"/>
  <c r="S619" i="5" s="1"/>
  <c r="D617" i="5"/>
  <c r="J615" i="5"/>
  <c r="A614" i="5"/>
  <c r="G612" i="5"/>
  <c r="I610" i="5"/>
  <c r="F607" i="5"/>
  <c r="L605" i="5"/>
  <c r="R603" i="5"/>
  <c r="E602" i="5"/>
  <c r="K600" i="5"/>
  <c r="C599" i="5"/>
  <c r="G597" i="5"/>
  <c r="R595" i="5"/>
  <c r="F594" i="5"/>
  <c r="Q592" i="5"/>
  <c r="E591" i="5"/>
  <c r="L589" i="5"/>
  <c r="A588" i="5"/>
  <c r="H586" i="5"/>
  <c r="G583" i="5"/>
  <c r="R581" i="5"/>
  <c r="F580" i="5"/>
  <c r="J578" i="5"/>
  <c r="B577" i="5"/>
  <c r="S577" i="5" s="1"/>
  <c r="I575" i="5"/>
  <c r="A574" i="5"/>
  <c r="H572" i="5"/>
  <c r="L570" i="5"/>
  <c r="D569" i="5"/>
  <c r="K567" i="5"/>
  <c r="C566" i="5"/>
  <c r="J564" i="5"/>
  <c r="B563" i="5"/>
  <c r="S563" i="5" s="1"/>
  <c r="F561" i="5"/>
  <c r="Q559" i="5"/>
  <c r="E558" i="5"/>
  <c r="L556" i="5"/>
  <c r="D555" i="5"/>
  <c r="K553" i="5"/>
  <c r="G550" i="5"/>
  <c r="R548" i="5"/>
  <c r="F547" i="5"/>
  <c r="Q545" i="5"/>
  <c r="B544" i="5"/>
  <c r="S544" i="5" s="1"/>
  <c r="I542" i="5"/>
  <c r="A541" i="5"/>
  <c r="H539" i="5"/>
  <c r="G536" i="5"/>
  <c r="K534" i="5"/>
  <c r="C533" i="5"/>
  <c r="K531" i="5"/>
  <c r="D530" i="5"/>
  <c r="L528" i="5"/>
  <c r="E527" i="5"/>
  <c r="Q525" i="5"/>
  <c r="F524" i="5"/>
  <c r="L522" i="5"/>
  <c r="F521" i="5"/>
  <c r="I518" i="5"/>
  <c r="C517" i="5"/>
  <c r="L515" i="5"/>
  <c r="F514" i="5"/>
  <c r="I511" i="5"/>
  <c r="C510" i="5"/>
  <c r="L508" i="5"/>
  <c r="F507" i="5"/>
  <c r="I504" i="5"/>
  <c r="C503" i="5"/>
  <c r="L501" i="5"/>
  <c r="F500" i="5"/>
  <c r="H497" i="5"/>
  <c r="B496" i="5"/>
  <c r="S496" i="5" s="1"/>
  <c r="L494" i="5"/>
  <c r="G493" i="5"/>
  <c r="B492" i="5"/>
  <c r="S492" i="5" s="1"/>
  <c r="L490" i="5"/>
  <c r="G489" i="5"/>
  <c r="B488" i="5"/>
  <c r="S488" i="5" s="1"/>
  <c r="L486" i="5"/>
  <c r="G485" i="5"/>
  <c r="B484" i="5"/>
  <c r="S484" i="5" s="1"/>
  <c r="L482" i="5"/>
  <c r="G481" i="5"/>
  <c r="B480" i="5"/>
  <c r="S480" i="5" s="1"/>
  <c r="L478" i="5"/>
  <c r="G477" i="5"/>
  <c r="B476" i="5"/>
  <c r="S476" i="5" s="1"/>
  <c r="L474" i="5"/>
  <c r="G473" i="5"/>
  <c r="B472" i="5"/>
  <c r="S472" i="5" s="1"/>
  <c r="L470" i="5"/>
  <c r="G469" i="5"/>
  <c r="B468" i="5"/>
  <c r="S468" i="5" s="1"/>
  <c r="L466" i="5"/>
  <c r="G465" i="5"/>
  <c r="B464" i="5"/>
  <c r="S464" i="5" s="1"/>
  <c r="L462" i="5"/>
  <c r="G461" i="5"/>
  <c r="B460" i="5"/>
  <c r="S460" i="5" s="1"/>
  <c r="L458" i="5"/>
  <c r="G457" i="5"/>
  <c r="B456" i="5"/>
  <c r="S456" i="5" s="1"/>
  <c r="C721" i="5"/>
  <c r="G719" i="5"/>
  <c r="K717" i="5"/>
  <c r="I715" i="5"/>
  <c r="Q713" i="5"/>
  <c r="K711" i="5"/>
  <c r="Q707" i="5"/>
  <c r="B706" i="5"/>
  <c r="S706" i="5" s="1"/>
  <c r="F704" i="5"/>
  <c r="D702" i="5"/>
  <c r="H700" i="5"/>
  <c r="G698" i="5"/>
  <c r="L696" i="5"/>
  <c r="B695" i="5"/>
  <c r="S695" i="5" s="1"/>
  <c r="B693" i="5"/>
  <c r="S693" i="5" s="1"/>
  <c r="G691" i="5"/>
  <c r="L689" i="5"/>
  <c r="L687" i="5"/>
  <c r="B686" i="5"/>
  <c r="S686" i="5" s="1"/>
  <c r="G684" i="5"/>
  <c r="G682" i="5"/>
  <c r="L680" i="5"/>
  <c r="B679" i="5"/>
  <c r="S679" i="5" s="1"/>
  <c r="C677" i="5"/>
  <c r="I675" i="5"/>
  <c r="F672" i="5"/>
  <c r="H670" i="5"/>
  <c r="R668" i="5"/>
  <c r="E667" i="5"/>
  <c r="K665" i="5"/>
  <c r="Q663" i="5"/>
  <c r="D662" i="5"/>
  <c r="J660" i="5"/>
  <c r="A659" i="5"/>
  <c r="C657" i="5"/>
  <c r="I655" i="5"/>
  <c r="F652" i="5"/>
  <c r="H650" i="5"/>
  <c r="R648" i="5"/>
  <c r="E647" i="5"/>
  <c r="K645" i="5"/>
  <c r="Q643" i="5"/>
  <c r="D642" i="5"/>
  <c r="J640" i="5"/>
  <c r="A639" i="5"/>
  <c r="C637" i="5"/>
  <c r="I635" i="5"/>
  <c r="F632" i="5"/>
  <c r="H630" i="5"/>
  <c r="R628" i="5"/>
  <c r="E627" i="5"/>
  <c r="K625" i="5"/>
  <c r="Q623" i="5"/>
  <c r="D622" i="5"/>
  <c r="J620" i="5"/>
  <c r="A619" i="5"/>
  <c r="C617" i="5"/>
  <c r="I615" i="5"/>
  <c r="F612" i="5"/>
  <c r="H610" i="5"/>
  <c r="R608" i="5"/>
  <c r="E607" i="5"/>
  <c r="K605" i="5"/>
  <c r="Q603" i="5"/>
  <c r="D602" i="5"/>
  <c r="J600" i="5"/>
  <c r="B599" i="5"/>
  <c r="S599" i="5" s="1"/>
  <c r="F597" i="5"/>
  <c r="Q595" i="5"/>
  <c r="E594" i="5"/>
  <c r="L592" i="5"/>
  <c r="D591" i="5"/>
  <c r="K589" i="5"/>
  <c r="G586" i="5"/>
  <c r="R584" i="5"/>
  <c r="F583" i="5"/>
  <c r="Q581" i="5"/>
  <c r="B580" i="5"/>
  <c r="S580" i="5" s="1"/>
  <c r="I578" i="5"/>
  <c r="A577" i="5"/>
  <c r="H575" i="5"/>
  <c r="G572" i="5"/>
  <c r="K570" i="5"/>
  <c r="C569" i="5"/>
  <c r="J567" i="5"/>
  <c r="B566" i="5"/>
  <c r="S566" i="5" s="1"/>
  <c r="I564" i="5"/>
  <c r="A563" i="5"/>
  <c r="E561" i="5"/>
  <c r="L559" i="5"/>
  <c r="D558" i="5"/>
  <c r="K556" i="5"/>
  <c r="C555" i="5"/>
  <c r="G553" i="5"/>
  <c r="R551" i="5"/>
  <c r="F550" i="5"/>
  <c r="Q548" i="5"/>
  <c r="E547" i="5"/>
  <c r="L545" i="5"/>
  <c r="A544" i="5"/>
  <c r="H542" i="5"/>
  <c r="G539" i="5"/>
  <c r="R537" i="5"/>
  <c r="F536" i="5"/>
  <c r="J534" i="5"/>
  <c r="B533" i="5"/>
  <c r="S533" i="5" s="1"/>
  <c r="J531" i="5"/>
  <c r="C530" i="5"/>
  <c r="K528" i="5"/>
  <c r="D527" i="5"/>
  <c r="L525" i="5"/>
  <c r="C524" i="5"/>
  <c r="K522" i="5"/>
  <c r="E521" i="5"/>
  <c r="R519" i="5"/>
  <c r="H518" i="5"/>
  <c r="B517" i="5"/>
  <c r="S517" i="5" s="1"/>
  <c r="K515" i="5"/>
  <c r="E514" i="5"/>
  <c r="R512" i="5"/>
  <c r="H511" i="5"/>
  <c r="B510" i="5"/>
  <c r="S510" i="5" s="1"/>
  <c r="K508" i="5"/>
  <c r="E507" i="5"/>
  <c r="R505" i="5"/>
  <c r="H504" i="5"/>
  <c r="B503" i="5"/>
  <c r="S503" i="5" s="1"/>
  <c r="K501" i="5"/>
  <c r="E500" i="5"/>
  <c r="Q498" i="5"/>
  <c r="G497" i="5"/>
  <c r="A496" i="5"/>
  <c r="K494" i="5"/>
  <c r="F493" i="5"/>
  <c r="A492" i="5"/>
  <c r="K490" i="5"/>
  <c r="F489" i="5"/>
  <c r="A488" i="5"/>
  <c r="K486" i="5"/>
  <c r="F485" i="5"/>
  <c r="A484" i="5"/>
  <c r="K482" i="5"/>
  <c r="F481" i="5"/>
  <c r="A480" i="5"/>
  <c r="K478" i="5"/>
  <c r="F477" i="5"/>
  <c r="A476" i="5"/>
  <c r="K474" i="5"/>
  <c r="F473" i="5"/>
  <c r="A472" i="5"/>
  <c r="K470" i="5"/>
  <c r="F469" i="5"/>
  <c r="A468" i="5"/>
  <c r="K466" i="5"/>
  <c r="F465" i="5"/>
  <c r="A464" i="5"/>
  <c r="K462" i="5"/>
  <c r="F461" i="5"/>
  <c r="A460" i="5"/>
  <c r="K458" i="5"/>
  <c r="F457" i="5"/>
  <c r="A456" i="5"/>
  <c r="K454" i="5"/>
  <c r="B721" i="5"/>
  <c r="S721" i="5" s="1"/>
  <c r="F719" i="5"/>
  <c r="G717" i="5"/>
  <c r="H715" i="5"/>
  <c r="L713" i="5"/>
  <c r="J711" i="5"/>
  <c r="R709" i="5"/>
  <c r="L707" i="5"/>
  <c r="A706" i="5"/>
  <c r="B704" i="5"/>
  <c r="S704" i="5" s="1"/>
  <c r="C702" i="5"/>
  <c r="G700" i="5"/>
  <c r="F698" i="5"/>
  <c r="K696" i="5"/>
  <c r="A695" i="5"/>
  <c r="A693" i="5"/>
  <c r="F691" i="5"/>
  <c r="K689" i="5"/>
  <c r="K687" i="5"/>
  <c r="A686" i="5"/>
  <c r="F684" i="5"/>
  <c r="F682" i="5"/>
  <c r="K680" i="5"/>
  <c r="A679" i="5"/>
  <c r="B677" i="5"/>
  <c r="S677" i="5" s="1"/>
  <c r="H675" i="5"/>
  <c r="R673" i="5"/>
  <c r="B672" i="5"/>
  <c r="S672" i="5" s="1"/>
  <c r="G670" i="5"/>
  <c r="Q668" i="5"/>
  <c r="D667" i="5"/>
  <c r="G665" i="5"/>
  <c r="L663" i="5"/>
  <c r="C662" i="5"/>
  <c r="I660" i="5"/>
  <c r="L658" i="5"/>
  <c r="B657" i="5"/>
  <c r="S657" i="5" s="1"/>
  <c r="H655" i="5"/>
  <c r="R653" i="5"/>
  <c r="B652" i="5"/>
  <c r="S652" i="5" s="1"/>
  <c r="G650" i="5"/>
  <c r="Q648" i="5"/>
  <c r="D647" i="5"/>
  <c r="G645" i="5"/>
  <c r="L643" i="5"/>
  <c r="C642" i="5"/>
  <c r="I640" i="5"/>
  <c r="L638" i="5"/>
  <c r="B637" i="5"/>
  <c r="S637" i="5" s="1"/>
  <c r="H635" i="5"/>
  <c r="R633" i="5"/>
  <c r="B632" i="5"/>
  <c r="S632" i="5" s="1"/>
  <c r="G630" i="5"/>
  <c r="Q628" i="5"/>
  <c r="D627" i="5"/>
  <c r="G625" i="5"/>
  <c r="L623" i="5"/>
  <c r="C622" i="5"/>
  <c r="I620" i="5"/>
  <c r="L618" i="5"/>
  <c r="B617" i="5"/>
  <c r="S617" i="5" s="1"/>
  <c r="H615" i="5"/>
  <c r="R613" i="5"/>
  <c r="B612" i="5"/>
  <c r="S612" i="5" s="1"/>
  <c r="G610" i="5"/>
  <c r="Q608" i="5"/>
  <c r="D607" i="5"/>
  <c r="G605" i="5"/>
  <c r="L603" i="5"/>
  <c r="C602" i="5"/>
  <c r="I600" i="5"/>
  <c r="A599" i="5"/>
  <c r="E597" i="5"/>
  <c r="L595" i="5"/>
  <c r="D594" i="5"/>
  <c r="K592" i="5"/>
  <c r="C591" i="5"/>
  <c r="G589" i="5"/>
  <c r="R587" i="5"/>
  <c r="F586" i="5"/>
  <c r="Q584" i="5"/>
  <c r="E583" i="5"/>
  <c r="L581" i="5"/>
  <c r="A580" i="5"/>
  <c r="H578" i="5"/>
  <c r="G575" i="5"/>
  <c r="R573" i="5"/>
  <c r="F572" i="5"/>
  <c r="J570" i="5"/>
  <c r="B569" i="5"/>
  <c r="S569" i="5" s="1"/>
  <c r="I567" i="5"/>
  <c r="A566" i="5"/>
  <c r="H564" i="5"/>
  <c r="L562" i="5"/>
  <c r="D561" i="5"/>
  <c r="K559" i="5"/>
  <c r="C558" i="5"/>
  <c r="J556" i="5"/>
  <c r="B555" i="5"/>
  <c r="S555" i="5" s="1"/>
  <c r="F553" i="5"/>
  <c r="Q551" i="5"/>
  <c r="E550" i="5"/>
  <c r="L548" i="5"/>
  <c r="D547" i="5"/>
  <c r="K545" i="5"/>
  <c r="G542" i="5"/>
  <c r="R540" i="5"/>
  <c r="F539" i="5"/>
  <c r="Q537" i="5"/>
  <c r="B536" i="5"/>
  <c r="S536" i="5" s="1"/>
  <c r="I534" i="5"/>
  <c r="A533" i="5"/>
  <c r="I531" i="5"/>
  <c r="B530" i="5"/>
  <c r="S530" i="5" s="1"/>
  <c r="J528" i="5"/>
  <c r="C527" i="5"/>
  <c r="K525" i="5"/>
  <c r="B524" i="5"/>
  <c r="S524" i="5" s="1"/>
  <c r="J522" i="5"/>
  <c r="D521" i="5"/>
  <c r="Q519" i="5"/>
  <c r="G518" i="5"/>
  <c r="A517" i="5"/>
  <c r="J515" i="5"/>
  <c r="D514" i="5"/>
  <c r="Q512" i="5"/>
  <c r="G511" i="5"/>
  <c r="A510" i="5"/>
  <c r="J508" i="5"/>
  <c r="D507" i="5"/>
  <c r="Q505" i="5"/>
  <c r="G504" i="5"/>
  <c r="A503" i="5"/>
  <c r="J501" i="5"/>
  <c r="C500" i="5"/>
  <c r="L498" i="5"/>
  <c r="F497" i="5"/>
  <c r="J494" i="5"/>
  <c r="E493" i="5"/>
  <c r="J490" i="5"/>
  <c r="E489" i="5"/>
  <c r="J486" i="5"/>
  <c r="E485" i="5"/>
  <c r="J482" i="5"/>
  <c r="E481" i="5"/>
  <c r="J478" i="5"/>
  <c r="E477" i="5"/>
  <c r="J474" i="5"/>
  <c r="E473" i="5"/>
  <c r="J470" i="5"/>
  <c r="E469" i="5"/>
  <c r="J466" i="5"/>
  <c r="E465" i="5"/>
  <c r="J462" i="5"/>
  <c r="E461" i="5"/>
  <c r="A721" i="5"/>
  <c r="E719" i="5"/>
  <c r="C717" i="5"/>
  <c r="G715" i="5"/>
  <c r="K713" i="5"/>
  <c r="I711" i="5"/>
  <c r="Q709" i="5"/>
  <c r="K707" i="5"/>
  <c r="Q703" i="5"/>
  <c r="B702" i="5"/>
  <c r="S702" i="5" s="1"/>
  <c r="F700" i="5"/>
  <c r="E698" i="5"/>
  <c r="J696" i="5"/>
  <c r="L694" i="5"/>
  <c r="E691" i="5"/>
  <c r="G689" i="5"/>
  <c r="J687" i="5"/>
  <c r="B684" i="5"/>
  <c r="S684" i="5" s="1"/>
  <c r="E682" i="5"/>
  <c r="J680" i="5"/>
  <c r="L678" i="5"/>
  <c r="A677" i="5"/>
  <c r="G675" i="5"/>
  <c r="Q673" i="5"/>
  <c r="F670" i="5"/>
  <c r="L668" i="5"/>
  <c r="C667" i="5"/>
  <c r="E665" i="5"/>
  <c r="K663" i="5"/>
  <c r="B662" i="5"/>
  <c r="S662" i="5" s="1"/>
  <c r="H660" i="5"/>
  <c r="J658" i="5"/>
  <c r="A657" i="5"/>
  <c r="G655" i="5"/>
  <c r="Q653" i="5"/>
  <c r="F650" i="5"/>
  <c r="L648" i="5"/>
  <c r="C647" i="5"/>
  <c r="E645" i="5"/>
  <c r="K643" i="5"/>
  <c r="B642" i="5"/>
  <c r="S642" i="5" s="1"/>
  <c r="H640" i="5"/>
  <c r="J638" i="5"/>
  <c r="A637" i="5"/>
  <c r="G635" i="5"/>
  <c r="Q633" i="5"/>
  <c r="F630" i="5"/>
  <c r="L628" i="5"/>
  <c r="C627" i="5"/>
  <c r="E625" i="5"/>
  <c r="K623" i="5"/>
  <c r="B622" i="5"/>
  <c r="S622" i="5" s="1"/>
  <c r="H620" i="5"/>
  <c r="J618" i="5"/>
  <c r="A617" i="5"/>
  <c r="G615" i="5"/>
  <c r="Q613" i="5"/>
  <c r="F610" i="5"/>
  <c r="L608" i="5"/>
  <c r="C607" i="5"/>
  <c r="E605" i="5"/>
  <c r="K603" i="5"/>
  <c r="B602" i="5"/>
  <c r="S602" i="5" s="1"/>
  <c r="H600" i="5"/>
  <c r="L598" i="5"/>
  <c r="D597" i="5"/>
  <c r="K595" i="5"/>
  <c r="C594" i="5"/>
  <c r="J592" i="5"/>
  <c r="B591" i="5"/>
  <c r="S591" i="5" s="1"/>
  <c r="F589" i="5"/>
  <c r="Q587" i="5"/>
  <c r="E586" i="5"/>
  <c r="L584" i="5"/>
  <c r="D583" i="5"/>
  <c r="K581" i="5"/>
  <c r="G578" i="5"/>
  <c r="R576" i="5"/>
  <c r="F575" i="5"/>
  <c r="Q573" i="5"/>
  <c r="B572" i="5"/>
  <c r="S572" i="5" s="1"/>
  <c r="I570" i="5"/>
  <c r="A569" i="5"/>
  <c r="H567" i="5"/>
  <c r="G564" i="5"/>
  <c r="K562" i="5"/>
  <c r="C561" i="5"/>
  <c r="J559" i="5"/>
  <c r="B558" i="5"/>
  <c r="S558" i="5" s="1"/>
  <c r="I556" i="5"/>
  <c r="A555" i="5"/>
  <c r="E553" i="5"/>
  <c r="L551" i="5"/>
  <c r="D550" i="5"/>
  <c r="K548" i="5"/>
  <c r="C547" i="5"/>
  <c r="G545" i="5"/>
  <c r="R543" i="5"/>
  <c r="F542" i="5"/>
  <c r="Q540" i="5"/>
  <c r="E539" i="5"/>
  <c r="L537" i="5"/>
  <c r="A536" i="5"/>
  <c r="H534" i="5"/>
  <c r="D719" i="5"/>
  <c r="B717" i="5"/>
  <c r="S717" i="5" s="1"/>
  <c r="F715" i="5"/>
  <c r="G713" i="5"/>
  <c r="H711" i="5"/>
  <c r="L709" i="5"/>
  <c r="J707" i="5"/>
  <c r="R705" i="5"/>
  <c r="L703" i="5"/>
  <c r="A702" i="5"/>
  <c r="B700" i="5"/>
  <c r="S700" i="5" s="1"/>
  <c r="D698" i="5"/>
  <c r="I696" i="5"/>
  <c r="J694" i="5"/>
  <c r="R692" i="5"/>
  <c r="D691" i="5"/>
  <c r="E689" i="5"/>
  <c r="I687" i="5"/>
  <c r="R685" i="5"/>
  <c r="D682" i="5"/>
  <c r="I680" i="5"/>
  <c r="J678" i="5"/>
  <c r="F675" i="5"/>
  <c r="L673" i="5"/>
  <c r="R671" i="5"/>
  <c r="E670" i="5"/>
  <c r="K668" i="5"/>
  <c r="B667" i="5"/>
  <c r="S667" i="5" s="1"/>
  <c r="D665" i="5"/>
  <c r="J663" i="5"/>
  <c r="A662" i="5"/>
  <c r="G660" i="5"/>
  <c r="I658" i="5"/>
  <c r="F655" i="5"/>
  <c r="L653" i="5"/>
  <c r="R651" i="5"/>
  <c r="E650" i="5"/>
  <c r="K648" i="5"/>
  <c r="B647" i="5"/>
  <c r="S647" i="5" s="1"/>
  <c r="D645" i="5"/>
  <c r="J643" i="5"/>
  <c r="A642" i="5"/>
  <c r="G640" i="5"/>
  <c r="I638" i="5"/>
  <c r="F635" i="5"/>
  <c r="L633" i="5"/>
  <c r="R631" i="5"/>
  <c r="E630" i="5"/>
  <c r="L720" i="5"/>
  <c r="A719" i="5"/>
  <c r="R716" i="5"/>
  <c r="C715" i="5"/>
  <c r="A713" i="5"/>
  <c r="E711" i="5"/>
  <c r="C709" i="5"/>
  <c r="G707" i="5"/>
  <c r="K705" i="5"/>
  <c r="I703" i="5"/>
  <c r="Q701" i="5"/>
  <c r="K699" i="5"/>
  <c r="A698" i="5"/>
  <c r="F696" i="5"/>
  <c r="F694" i="5"/>
  <c r="K692" i="5"/>
  <c r="A691" i="5"/>
  <c r="A689" i="5"/>
  <c r="F687" i="5"/>
  <c r="K685" i="5"/>
  <c r="K683" i="5"/>
  <c r="A682" i="5"/>
  <c r="F680" i="5"/>
  <c r="F678" i="5"/>
  <c r="L676" i="5"/>
  <c r="C675" i="5"/>
  <c r="E673" i="5"/>
  <c r="K671" i="5"/>
  <c r="B670" i="5"/>
  <c r="S670" i="5" s="1"/>
  <c r="H668" i="5"/>
  <c r="J666" i="5"/>
  <c r="A665" i="5"/>
  <c r="G663" i="5"/>
  <c r="Q661" i="5"/>
  <c r="F658" i="5"/>
  <c r="L656" i="5"/>
  <c r="C655" i="5"/>
  <c r="E653" i="5"/>
  <c r="K651" i="5"/>
  <c r="B650" i="5"/>
  <c r="S650" i="5" s="1"/>
  <c r="H648" i="5"/>
  <c r="J646" i="5"/>
  <c r="A645" i="5"/>
  <c r="G643" i="5"/>
  <c r="Q641" i="5"/>
  <c r="F638" i="5"/>
  <c r="L636" i="5"/>
  <c r="C635" i="5"/>
  <c r="E633" i="5"/>
  <c r="K631" i="5"/>
  <c r="B630" i="5"/>
  <c r="S630" i="5" s="1"/>
  <c r="H628" i="5"/>
  <c r="J626" i="5"/>
  <c r="A625" i="5"/>
  <c r="G623" i="5"/>
  <c r="Q621" i="5"/>
  <c r="F618" i="5"/>
  <c r="L616" i="5"/>
  <c r="C615" i="5"/>
  <c r="E613" i="5"/>
  <c r="K611" i="5"/>
  <c r="B610" i="5"/>
  <c r="S610" i="5" s="1"/>
  <c r="H608" i="5"/>
  <c r="J606" i="5"/>
  <c r="A605" i="5"/>
  <c r="G603" i="5"/>
  <c r="Q601" i="5"/>
  <c r="A600" i="5"/>
  <c r="H598" i="5"/>
  <c r="G595" i="5"/>
  <c r="R593" i="5"/>
  <c r="F592" i="5"/>
  <c r="J590" i="5"/>
  <c r="B589" i="5"/>
  <c r="S589" i="5" s="1"/>
  <c r="I587" i="5"/>
  <c r="A586" i="5"/>
  <c r="H584" i="5"/>
  <c r="L582" i="5"/>
  <c r="D581" i="5"/>
  <c r="K579" i="5"/>
  <c r="C578" i="5"/>
  <c r="J576" i="5"/>
  <c r="B575" i="5"/>
  <c r="S575" i="5" s="1"/>
  <c r="F573" i="5"/>
  <c r="Q571" i="5"/>
  <c r="E570" i="5"/>
  <c r="L568" i="5"/>
  <c r="D567" i="5"/>
  <c r="K565" i="5"/>
  <c r="G562" i="5"/>
  <c r="R560" i="5"/>
  <c r="F559" i="5"/>
  <c r="Q557" i="5"/>
  <c r="B556" i="5"/>
  <c r="S556" i="5" s="1"/>
  <c r="I554" i="5"/>
  <c r="A553" i="5"/>
  <c r="H551" i="5"/>
  <c r="G548" i="5"/>
  <c r="K546" i="5"/>
  <c r="K720" i="5"/>
  <c r="L718" i="5"/>
  <c r="Q716" i="5"/>
  <c r="B715" i="5"/>
  <c r="S715" i="5" s="1"/>
  <c r="D711" i="5"/>
  <c r="B709" i="5"/>
  <c r="S709" i="5" s="1"/>
  <c r="F707" i="5"/>
  <c r="G705" i="5"/>
  <c r="H703" i="5"/>
  <c r="L701" i="5"/>
  <c r="J699" i="5"/>
  <c r="B696" i="5"/>
  <c r="S696" i="5" s="1"/>
  <c r="E694" i="5"/>
  <c r="J692" i="5"/>
  <c r="L690" i="5"/>
  <c r="E687" i="5"/>
  <c r="G685" i="5"/>
  <c r="J683" i="5"/>
  <c r="B680" i="5"/>
  <c r="S680" i="5" s="1"/>
  <c r="E678" i="5"/>
  <c r="K676" i="5"/>
  <c r="B675" i="5"/>
  <c r="S675" i="5" s="1"/>
  <c r="D673" i="5"/>
  <c r="J671" i="5"/>
  <c r="A670" i="5"/>
  <c r="G668" i="5"/>
  <c r="I666" i="5"/>
  <c r="F663" i="5"/>
  <c r="L661" i="5"/>
  <c r="R659" i="5"/>
  <c r="E658" i="5"/>
  <c r="K656" i="5"/>
  <c r="R720" i="5"/>
  <c r="C718" i="5"/>
  <c r="D715" i="5"/>
  <c r="H712" i="5"/>
  <c r="A709" i="5"/>
  <c r="G706" i="5"/>
  <c r="F703" i="5"/>
  <c r="L700" i="5"/>
  <c r="L697" i="5"/>
  <c r="E695" i="5"/>
  <c r="F692" i="5"/>
  <c r="R689" i="5"/>
  <c r="L686" i="5"/>
  <c r="Q683" i="5"/>
  <c r="E681" i="5"/>
  <c r="G678" i="5"/>
  <c r="C673" i="5"/>
  <c r="B671" i="5"/>
  <c r="S671" i="5" s="1"/>
  <c r="B668" i="5"/>
  <c r="S668" i="5" s="1"/>
  <c r="C663" i="5"/>
  <c r="Q660" i="5"/>
  <c r="A658" i="5"/>
  <c r="K655" i="5"/>
  <c r="A653" i="5"/>
  <c r="A651" i="5"/>
  <c r="F648" i="5"/>
  <c r="B646" i="5"/>
  <c r="S646" i="5" s="1"/>
  <c r="H643" i="5"/>
  <c r="C641" i="5"/>
  <c r="C639" i="5"/>
  <c r="H636" i="5"/>
  <c r="D634" i="5"/>
  <c r="I631" i="5"/>
  <c r="E629" i="5"/>
  <c r="B627" i="5"/>
  <c r="S627" i="5" s="1"/>
  <c r="Q624" i="5"/>
  <c r="J622" i="5"/>
  <c r="G620" i="5"/>
  <c r="C618" i="5"/>
  <c r="L613" i="5"/>
  <c r="H611" i="5"/>
  <c r="E609" i="5"/>
  <c r="B607" i="5"/>
  <c r="S607" i="5" s="1"/>
  <c r="Q604" i="5"/>
  <c r="J602" i="5"/>
  <c r="G600" i="5"/>
  <c r="E598" i="5"/>
  <c r="G596" i="5"/>
  <c r="B594" i="5"/>
  <c r="S594" i="5" s="1"/>
  <c r="B590" i="5"/>
  <c r="S590" i="5" s="1"/>
  <c r="L587" i="5"/>
  <c r="Q585" i="5"/>
  <c r="L583" i="5"/>
  <c r="G581" i="5"/>
  <c r="H579" i="5"/>
  <c r="G577" i="5"/>
  <c r="E575" i="5"/>
  <c r="C573" i="5"/>
  <c r="E571" i="5"/>
  <c r="A567" i="5"/>
  <c r="J562" i="5"/>
  <c r="K560" i="5"/>
  <c r="J558" i="5"/>
  <c r="H556" i="5"/>
  <c r="F554" i="5"/>
  <c r="H552" i="5"/>
  <c r="C550" i="5"/>
  <c r="A548" i="5"/>
  <c r="C546" i="5"/>
  <c r="F544" i="5"/>
  <c r="B542" i="5"/>
  <c r="S542" i="5" s="1"/>
  <c r="B540" i="5"/>
  <c r="S540" i="5" s="1"/>
  <c r="E538" i="5"/>
  <c r="H536" i="5"/>
  <c r="D534" i="5"/>
  <c r="G532" i="5"/>
  <c r="J530" i="5"/>
  <c r="B527" i="5"/>
  <c r="S527" i="5" s="1"/>
  <c r="E525" i="5"/>
  <c r="J523" i="5"/>
  <c r="F520" i="5"/>
  <c r="K518" i="5"/>
  <c r="R516" i="5"/>
  <c r="E515" i="5"/>
  <c r="K513" i="5"/>
  <c r="A512" i="5"/>
  <c r="G510" i="5"/>
  <c r="Q508" i="5"/>
  <c r="A507" i="5"/>
  <c r="F505" i="5"/>
  <c r="L503" i="5"/>
  <c r="C502" i="5"/>
  <c r="I500" i="5"/>
  <c r="K498" i="5"/>
  <c r="B497" i="5"/>
  <c r="S497" i="5" s="1"/>
  <c r="H495" i="5"/>
  <c r="G492" i="5"/>
  <c r="R490" i="5"/>
  <c r="C489" i="5"/>
  <c r="J487" i="5"/>
  <c r="B486" i="5"/>
  <c r="S486" i="5" s="1"/>
  <c r="I484" i="5"/>
  <c r="A483" i="5"/>
  <c r="H481" i="5"/>
  <c r="L479" i="5"/>
  <c r="D478" i="5"/>
  <c r="K476" i="5"/>
  <c r="C475" i="5"/>
  <c r="J473" i="5"/>
  <c r="R471" i="5"/>
  <c r="F470" i="5"/>
  <c r="Q468" i="5"/>
  <c r="E467" i="5"/>
  <c r="L465" i="5"/>
  <c r="D464" i="5"/>
  <c r="H462" i="5"/>
  <c r="G459" i="5"/>
  <c r="H456" i="5"/>
  <c r="A455" i="5"/>
  <c r="J453" i="5"/>
  <c r="E452" i="5"/>
  <c r="J449" i="5"/>
  <c r="E448" i="5"/>
  <c r="J445" i="5"/>
  <c r="E444" i="5"/>
  <c r="J441" i="5"/>
  <c r="E440" i="5"/>
  <c r="J437" i="5"/>
  <c r="E436" i="5"/>
  <c r="J433" i="5"/>
  <c r="E432" i="5"/>
  <c r="J429" i="5"/>
  <c r="E428" i="5"/>
  <c r="J425" i="5"/>
  <c r="E424" i="5"/>
  <c r="J421" i="5"/>
  <c r="E420" i="5"/>
  <c r="J417" i="5"/>
  <c r="E416" i="5"/>
  <c r="J413" i="5"/>
  <c r="E412" i="5"/>
  <c r="J409" i="5"/>
  <c r="E408" i="5"/>
  <c r="J405" i="5"/>
  <c r="E404" i="5"/>
  <c r="J401" i="5"/>
  <c r="E400" i="5"/>
  <c r="J397" i="5"/>
  <c r="E396" i="5"/>
  <c r="J393" i="5"/>
  <c r="E392" i="5"/>
  <c r="J389" i="5"/>
  <c r="E388" i="5"/>
  <c r="J385" i="5"/>
  <c r="E384" i="5"/>
  <c r="J381" i="5"/>
  <c r="E380" i="5"/>
  <c r="J377" i="5"/>
  <c r="E376" i="5"/>
  <c r="J373" i="5"/>
  <c r="E372" i="5"/>
  <c r="J369" i="5"/>
  <c r="E368" i="5"/>
  <c r="J365" i="5"/>
  <c r="E364" i="5"/>
  <c r="J361" i="5"/>
  <c r="E360" i="5"/>
  <c r="J357" i="5"/>
  <c r="E356" i="5"/>
  <c r="J353" i="5"/>
  <c r="E352" i="5"/>
  <c r="J349" i="5"/>
  <c r="E348" i="5"/>
  <c r="J345" i="5"/>
  <c r="E344" i="5"/>
  <c r="J341" i="5"/>
  <c r="E340" i="5"/>
  <c r="J337" i="5"/>
  <c r="E336" i="5"/>
  <c r="J333" i="5"/>
  <c r="E332" i="5"/>
  <c r="J329" i="5"/>
  <c r="Q720" i="5"/>
  <c r="B718" i="5"/>
  <c r="S718" i="5" s="1"/>
  <c r="A715" i="5"/>
  <c r="G712" i="5"/>
  <c r="F706" i="5"/>
  <c r="E703" i="5"/>
  <c r="K700" i="5"/>
  <c r="K697" i="5"/>
  <c r="D695" i="5"/>
  <c r="B692" i="5"/>
  <c r="S692" i="5" s="1"/>
  <c r="C689" i="5"/>
  <c r="J686" i="5"/>
  <c r="L683" i="5"/>
  <c r="C681" i="5"/>
  <c r="D678" i="5"/>
  <c r="R675" i="5"/>
  <c r="B673" i="5"/>
  <c r="S673" i="5" s="1"/>
  <c r="A671" i="5"/>
  <c r="R665" i="5"/>
  <c r="B663" i="5"/>
  <c r="S663" i="5" s="1"/>
  <c r="L660" i="5"/>
  <c r="E655" i="5"/>
  <c r="L650" i="5"/>
  <c r="B648" i="5"/>
  <c r="S648" i="5" s="1"/>
  <c r="A646" i="5"/>
  <c r="F643" i="5"/>
  <c r="B641" i="5"/>
  <c r="S641" i="5" s="1"/>
  <c r="H638" i="5"/>
  <c r="G636" i="5"/>
  <c r="C634" i="5"/>
  <c r="H631" i="5"/>
  <c r="D629" i="5"/>
  <c r="A627" i="5"/>
  <c r="L624" i="5"/>
  <c r="I622" i="5"/>
  <c r="F620" i="5"/>
  <c r="B618" i="5"/>
  <c r="S618" i="5" s="1"/>
  <c r="R615" i="5"/>
  <c r="K613" i="5"/>
  <c r="G611" i="5"/>
  <c r="D609" i="5"/>
  <c r="A607" i="5"/>
  <c r="L604" i="5"/>
  <c r="I602" i="5"/>
  <c r="F600" i="5"/>
  <c r="D598" i="5"/>
  <c r="F596" i="5"/>
  <c r="A594" i="5"/>
  <c r="R591" i="5"/>
  <c r="A590" i="5"/>
  <c r="K587" i="5"/>
  <c r="L585" i="5"/>
  <c r="K583" i="5"/>
  <c r="F581" i="5"/>
  <c r="G579" i="5"/>
  <c r="F577" i="5"/>
  <c r="D575" i="5"/>
  <c r="B573" i="5"/>
  <c r="S573" i="5" s="1"/>
  <c r="D571" i="5"/>
  <c r="R568" i="5"/>
  <c r="L566" i="5"/>
  <c r="R564" i="5"/>
  <c r="I562" i="5"/>
  <c r="J560" i="5"/>
  <c r="I558" i="5"/>
  <c r="G556" i="5"/>
  <c r="E554" i="5"/>
  <c r="G552" i="5"/>
  <c r="B550" i="5"/>
  <c r="S550" i="5" s="1"/>
  <c r="B546" i="5"/>
  <c r="S546" i="5" s="1"/>
  <c r="Q543" i="5"/>
  <c r="A542" i="5"/>
  <c r="A540" i="5"/>
  <c r="D538" i="5"/>
  <c r="C534" i="5"/>
  <c r="F532" i="5"/>
  <c r="I530" i="5"/>
  <c r="R528" i="5"/>
  <c r="A527" i="5"/>
  <c r="D525" i="5"/>
  <c r="I523" i="5"/>
  <c r="R521" i="5"/>
  <c r="E520" i="5"/>
  <c r="J518" i="5"/>
  <c r="Q516" i="5"/>
  <c r="D515" i="5"/>
  <c r="J513" i="5"/>
  <c r="F510" i="5"/>
  <c r="I508" i="5"/>
  <c r="E505" i="5"/>
  <c r="K503" i="5"/>
  <c r="B502" i="5"/>
  <c r="S502" i="5" s="1"/>
  <c r="H500" i="5"/>
  <c r="J498" i="5"/>
  <c r="A497" i="5"/>
  <c r="G495" i="5"/>
  <c r="R493" i="5"/>
  <c r="F492" i="5"/>
  <c r="Q490" i="5"/>
  <c r="B489" i="5"/>
  <c r="S489" i="5" s="1"/>
  <c r="I487" i="5"/>
  <c r="A486" i="5"/>
  <c r="H484" i="5"/>
  <c r="D481" i="5"/>
  <c r="K479" i="5"/>
  <c r="C478" i="5"/>
  <c r="J476" i="5"/>
  <c r="B475" i="5"/>
  <c r="S475" i="5" s="1"/>
  <c r="I473" i="5"/>
  <c r="Q471" i="5"/>
  <c r="E470" i="5"/>
  <c r="L468" i="5"/>
  <c r="D467" i="5"/>
  <c r="K465" i="5"/>
  <c r="C464" i="5"/>
  <c r="G462" i="5"/>
  <c r="R460" i="5"/>
  <c r="F459" i="5"/>
  <c r="R457" i="5"/>
  <c r="G456" i="5"/>
  <c r="I453" i="5"/>
  <c r="D452" i="5"/>
  <c r="R450" i="5"/>
  <c r="I449" i="5"/>
  <c r="D448" i="5"/>
  <c r="R446" i="5"/>
  <c r="I445" i="5"/>
  <c r="D444" i="5"/>
  <c r="R442" i="5"/>
  <c r="I441" i="5"/>
  <c r="D440" i="5"/>
  <c r="R438" i="5"/>
  <c r="I437" i="5"/>
  <c r="D436" i="5"/>
  <c r="R434" i="5"/>
  <c r="I433" i="5"/>
  <c r="D432" i="5"/>
  <c r="R430" i="5"/>
  <c r="I429" i="5"/>
  <c r="D428" i="5"/>
  <c r="R426" i="5"/>
  <c r="I425" i="5"/>
  <c r="D424" i="5"/>
  <c r="R422" i="5"/>
  <c r="I421" i="5"/>
  <c r="D420" i="5"/>
  <c r="R418" i="5"/>
  <c r="I417" i="5"/>
  <c r="D416" i="5"/>
  <c r="R414" i="5"/>
  <c r="I413" i="5"/>
  <c r="D412" i="5"/>
  <c r="R410" i="5"/>
  <c r="I409" i="5"/>
  <c r="D408" i="5"/>
  <c r="R406" i="5"/>
  <c r="I405" i="5"/>
  <c r="D404" i="5"/>
  <c r="R402" i="5"/>
  <c r="I401" i="5"/>
  <c r="D400" i="5"/>
  <c r="R398" i="5"/>
  <c r="I397" i="5"/>
  <c r="D396" i="5"/>
  <c r="R394" i="5"/>
  <c r="I393" i="5"/>
  <c r="D392" i="5"/>
  <c r="R390" i="5"/>
  <c r="I389" i="5"/>
  <c r="D388" i="5"/>
  <c r="R386" i="5"/>
  <c r="I385" i="5"/>
  <c r="D384" i="5"/>
  <c r="R382" i="5"/>
  <c r="I381" i="5"/>
  <c r="D380" i="5"/>
  <c r="R378" i="5"/>
  <c r="I377" i="5"/>
  <c r="D376" i="5"/>
  <c r="R374" i="5"/>
  <c r="I373" i="5"/>
  <c r="D372" i="5"/>
  <c r="R370" i="5"/>
  <c r="I369" i="5"/>
  <c r="D368" i="5"/>
  <c r="R366" i="5"/>
  <c r="I365" i="5"/>
  <c r="D364" i="5"/>
  <c r="R362" i="5"/>
  <c r="I361" i="5"/>
  <c r="D360" i="5"/>
  <c r="R358" i="5"/>
  <c r="I357" i="5"/>
  <c r="D356" i="5"/>
  <c r="R354" i="5"/>
  <c r="I353" i="5"/>
  <c r="D352" i="5"/>
  <c r="R350" i="5"/>
  <c r="I349" i="5"/>
  <c r="D348" i="5"/>
  <c r="R346" i="5"/>
  <c r="I345" i="5"/>
  <c r="D344" i="5"/>
  <c r="R342" i="5"/>
  <c r="I341" i="5"/>
  <c r="D340" i="5"/>
  <c r="R338" i="5"/>
  <c r="I337" i="5"/>
  <c r="D336" i="5"/>
  <c r="R334" i="5"/>
  <c r="I333" i="5"/>
  <c r="D332" i="5"/>
  <c r="R330" i="5"/>
  <c r="I329" i="5"/>
  <c r="D328" i="5"/>
  <c r="R326" i="5"/>
  <c r="I325" i="5"/>
  <c r="D324" i="5"/>
  <c r="R322" i="5"/>
  <c r="I321" i="5"/>
  <c r="D320" i="5"/>
  <c r="R318" i="5"/>
  <c r="I317" i="5"/>
  <c r="D316" i="5"/>
  <c r="R314" i="5"/>
  <c r="I313" i="5"/>
  <c r="J720" i="5"/>
  <c r="A718" i="5"/>
  <c r="L714" i="5"/>
  <c r="F712" i="5"/>
  <c r="R708" i="5"/>
  <c r="E706" i="5"/>
  <c r="D703" i="5"/>
  <c r="J700" i="5"/>
  <c r="G697" i="5"/>
  <c r="H694" i="5"/>
  <c r="B689" i="5"/>
  <c r="S689" i="5" s="1"/>
  <c r="H686" i="5"/>
  <c r="I683" i="5"/>
  <c r="B681" i="5"/>
  <c r="S681" i="5" s="1"/>
  <c r="C678" i="5"/>
  <c r="Q675" i="5"/>
  <c r="A673" i="5"/>
  <c r="L670" i="5"/>
  <c r="R667" i="5"/>
  <c r="Q665" i="5"/>
  <c r="A663" i="5"/>
  <c r="F660" i="5"/>
  <c r="R657" i="5"/>
  <c r="D655" i="5"/>
  <c r="R652" i="5"/>
  <c r="J650" i="5"/>
  <c r="E643" i="5"/>
  <c r="A641" i="5"/>
  <c r="G638" i="5"/>
  <c r="F636" i="5"/>
  <c r="B634" i="5"/>
  <c r="S634" i="5" s="1"/>
  <c r="G631" i="5"/>
  <c r="C629" i="5"/>
  <c r="L626" i="5"/>
  <c r="K624" i="5"/>
  <c r="H622" i="5"/>
  <c r="B620" i="5"/>
  <c r="S620" i="5" s="1"/>
  <c r="A618" i="5"/>
  <c r="Q615" i="5"/>
  <c r="G613" i="5"/>
  <c r="F611" i="5"/>
  <c r="C609" i="5"/>
  <c r="L606" i="5"/>
  <c r="K604" i="5"/>
  <c r="H602" i="5"/>
  <c r="B600" i="5"/>
  <c r="S600" i="5" s="1"/>
  <c r="C598" i="5"/>
  <c r="B596" i="5"/>
  <c r="S596" i="5" s="1"/>
  <c r="Q591" i="5"/>
  <c r="J587" i="5"/>
  <c r="K585" i="5"/>
  <c r="J583" i="5"/>
  <c r="E581" i="5"/>
  <c r="F579" i="5"/>
  <c r="E577" i="5"/>
  <c r="C575" i="5"/>
  <c r="A573" i="5"/>
  <c r="C571" i="5"/>
  <c r="Q568" i="5"/>
  <c r="K566" i="5"/>
  <c r="Q564" i="5"/>
  <c r="H562" i="5"/>
  <c r="I560" i="5"/>
  <c r="H558" i="5"/>
  <c r="F556" i="5"/>
  <c r="D554" i="5"/>
  <c r="F552" i="5"/>
  <c r="A550" i="5"/>
  <c r="R547" i="5"/>
  <c r="A546" i="5"/>
  <c r="L543" i="5"/>
  <c r="C538" i="5"/>
  <c r="R535" i="5"/>
  <c r="B534" i="5"/>
  <c r="S534" i="5" s="1"/>
  <c r="C532" i="5"/>
  <c r="H530" i="5"/>
  <c r="Q528" i="5"/>
  <c r="Q526" i="5"/>
  <c r="C525" i="5"/>
  <c r="H523" i="5"/>
  <c r="Q521" i="5"/>
  <c r="C520" i="5"/>
  <c r="F518" i="5"/>
  <c r="L516" i="5"/>
  <c r="C515" i="5"/>
  <c r="H513" i="5"/>
  <c r="R511" i="5"/>
  <c r="E510" i="5"/>
  <c r="H508" i="5"/>
  <c r="Q506" i="5"/>
  <c r="D505" i="5"/>
  <c r="J503" i="5"/>
  <c r="A502" i="5"/>
  <c r="G500" i="5"/>
  <c r="I498" i="5"/>
  <c r="F495" i="5"/>
  <c r="Q493" i="5"/>
  <c r="E492" i="5"/>
  <c r="I490" i="5"/>
  <c r="A489" i="5"/>
  <c r="H487" i="5"/>
  <c r="G484" i="5"/>
  <c r="R482" i="5"/>
  <c r="C481" i="5"/>
  <c r="J479" i="5"/>
  <c r="B478" i="5"/>
  <c r="S478" i="5" s="1"/>
  <c r="I476" i="5"/>
  <c r="A475" i="5"/>
  <c r="H473" i="5"/>
  <c r="L471" i="5"/>
  <c r="D470" i="5"/>
  <c r="K468" i="5"/>
  <c r="C467" i="5"/>
  <c r="J465" i="5"/>
  <c r="R463" i="5"/>
  <c r="F462" i="5"/>
  <c r="Q460" i="5"/>
  <c r="E459" i="5"/>
  <c r="Q457" i="5"/>
  <c r="F456" i="5"/>
  <c r="R454" i="5"/>
  <c r="H453" i="5"/>
  <c r="C452" i="5"/>
  <c r="Q450" i="5"/>
  <c r="H449" i="5"/>
  <c r="C448" i="5"/>
  <c r="Q446" i="5"/>
  <c r="H445" i="5"/>
  <c r="C444" i="5"/>
  <c r="Q442" i="5"/>
  <c r="H441" i="5"/>
  <c r="C440" i="5"/>
  <c r="Q438" i="5"/>
  <c r="H437" i="5"/>
  <c r="C436" i="5"/>
  <c r="Q434" i="5"/>
  <c r="H433" i="5"/>
  <c r="C432" i="5"/>
  <c r="Q430" i="5"/>
  <c r="H429" i="5"/>
  <c r="C428" i="5"/>
  <c r="Q426" i="5"/>
  <c r="H425" i="5"/>
  <c r="C424" i="5"/>
  <c r="Q422" i="5"/>
  <c r="H421" i="5"/>
  <c r="C420" i="5"/>
  <c r="Q418" i="5"/>
  <c r="H417" i="5"/>
  <c r="C416" i="5"/>
  <c r="Q414" i="5"/>
  <c r="H413" i="5"/>
  <c r="C412" i="5"/>
  <c r="Q410" i="5"/>
  <c r="H409" i="5"/>
  <c r="C408" i="5"/>
  <c r="Q406" i="5"/>
  <c r="H405" i="5"/>
  <c r="C404" i="5"/>
  <c r="Q402" i="5"/>
  <c r="H401" i="5"/>
  <c r="I720" i="5"/>
  <c r="H714" i="5"/>
  <c r="B712" i="5"/>
  <c r="S712" i="5" s="1"/>
  <c r="Q708" i="5"/>
  <c r="D706" i="5"/>
  <c r="C703" i="5"/>
  <c r="Q699" i="5"/>
  <c r="E697" i="5"/>
  <c r="G694" i="5"/>
  <c r="Q691" i="5"/>
  <c r="R688" i="5"/>
  <c r="G686" i="5"/>
  <c r="H683" i="5"/>
  <c r="A681" i="5"/>
  <c r="B678" i="5"/>
  <c r="S678" i="5" s="1"/>
  <c r="L675" i="5"/>
  <c r="J670" i="5"/>
  <c r="Q667" i="5"/>
  <c r="C665" i="5"/>
  <c r="L662" i="5"/>
  <c r="B660" i="5"/>
  <c r="S660" i="5" s="1"/>
  <c r="Q657" i="5"/>
  <c r="B655" i="5"/>
  <c r="S655" i="5" s="1"/>
  <c r="Q652" i="5"/>
  <c r="D650" i="5"/>
  <c r="R647" i="5"/>
  <c r="R645" i="5"/>
  <c r="D643" i="5"/>
  <c r="E638" i="5"/>
  <c r="B636" i="5"/>
  <c r="S636" i="5" s="1"/>
  <c r="K633" i="5"/>
  <c r="F631" i="5"/>
  <c r="B629" i="5"/>
  <c r="S629" i="5" s="1"/>
  <c r="I626" i="5"/>
  <c r="J624" i="5"/>
  <c r="G622" i="5"/>
  <c r="R619" i="5"/>
  <c r="L615" i="5"/>
  <c r="D613" i="5"/>
  <c r="E611" i="5"/>
  <c r="B609" i="5"/>
  <c r="S609" i="5" s="1"/>
  <c r="I606" i="5"/>
  <c r="J604" i="5"/>
  <c r="G602" i="5"/>
  <c r="B598" i="5"/>
  <c r="S598" i="5" s="1"/>
  <c r="A596" i="5"/>
  <c r="Q593" i="5"/>
  <c r="L591" i="5"/>
  <c r="R589" i="5"/>
  <c r="H587" i="5"/>
  <c r="G585" i="5"/>
  <c r="I583" i="5"/>
  <c r="C581" i="5"/>
  <c r="E579" i="5"/>
  <c r="D577" i="5"/>
  <c r="A575" i="5"/>
  <c r="B571" i="5"/>
  <c r="S571" i="5" s="1"/>
  <c r="K568" i="5"/>
  <c r="J566" i="5"/>
  <c r="L564" i="5"/>
  <c r="F562" i="5"/>
  <c r="H560" i="5"/>
  <c r="G558" i="5"/>
  <c r="A556" i="5"/>
  <c r="C554" i="5"/>
  <c r="B552" i="5"/>
  <c r="S552" i="5" s="1"/>
  <c r="R549" i="5"/>
  <c r="Q547" i="5"/>
  <c r="K543" i="5"/>
  <c r="R541" i="5"/>
  <c r="R539" i="5"/>
  <c r="B538" i="5"/>
  <c r="S538" i="5" s="1"/>
  <c r="Q535" i="5"/>
  <c r="A534" i="5"/>
  <c r="B532" i="5"/>
  <c r="S532" i="5" s="1"/>
  <c r="G530" i="5"/>
  <c r="I528" i="5"/>
  <c r="L526" i="5"/>
  <c r="B525" i="5"/>
  <c r="S525" i="5" s="1"/>
  <c r="G523" i="5"/>
  <c r="L521" i="5"/>
  <c r="B520" i="5"/>
  <c r="S520" i="5" s="1"/>
  <c r="E518" i="5"/>
  <c r="K516" i="5"/>
  <c r="B515" i="5"/>
  <c r="S515" i="5" s="1"/>
  <c r="G513" i="5"/>
  <c r="Q511" i="5"/>
  <c r="D510" i="5"/>
  <c r="G508" i="5"/>
  <c r="L506" i="5"/>
  <c r="C505" i="5"/>
  <c r="I503" i="5"/>
  <c r="B500" i="5"/>
  <c r="S500" i="5" s="1"/>
  <c r="H498" i="5"/>
  <c r="R496" i="5"/>
  <c r="E495" i="5"/>
  <c r="L493" i="5"/>
  <c r="D492" i="5"/>
  <c r="H490" i="5"/>
  <c r="G487" i="5"/>
  <c r="R485" i="5"/>
  <c r="F484" i="5"/>
  <c r="Q482" i="5"/>
  <c r="B481" i="5"/>
  <c r="S481" i="5" s="1"/>
  <c r="I479" i="5"/>
  <c r="A478" i="5"/>
  <c r="H476" i="5"/>
  <c r="D473" i="5"/>
  <c r="K471" i="5"/>
  <c r="C470" i="5"/>
  <c r="J468" i="5"/>
  <c r="B467" i="5"/>
  <c r="S467" i="5" s="1"/>
  <c r="I465" i="5"/>
  <c r="Q463" i="5"/>
  <c r="E462" i="5"/>
  <c r="L460" i="5"/>
  <c r="D459" i="5"/>
  <c r="L457" i="5"/>
  <c r="E456" i="5"/>
  <c r="Q454" i="5"/>
  <c r="G453" i="5"/>
  <c r="B452" i="5"/>
  <c r="S452" i="5" s="1"/>
  <c r="L450" i="5"/>
  <c r="G449" i="5"/>
  <c r="B448" i="5"/>
  <c r="S448" i="5" s="1"/>
  <c r="L446" i="5"/>
  <c r="G445" i="5"/>
  <c r="B444" i="5"/>
  <c r="S444" i="5" s="1"/>
  <c r="L442" i="5"/>
  <c r="G441" i="5"/>
  <c r="B440" i="5"/>
  <c r="S440" i="5" s="1"/>
  <c r="L438" i="5"/>
  <c r="G437" i="5"/>
  <c r="B436" i="5"/>
  <c r="S436" i="5" s="1"/>
  <c r="L434" i="5"/>
  <c r="G433" i="5"/>
  <c r="B432" i="5"/>
  <c r="S432" i="5" s="1"/>
  <c r="L430" i="5"/>
  <c r="G429" i="5"/>
  <c r="B428" i="5"/>
  <c r="S428" i="5" s="1"/>
  <c r="L426" i="5"/>
  <c r="G425" i="5"/>
  <c r="H720" i="5"/>
  <c r="R717" i="5"/>
  <c r="G714" i="5"/>
  <c r="Q711" i="5"/>
  <c r="L708" i="5"/>
  <c r="Q705" i="5"/>
  <c r="B703" i="5"/>
  <c r="S703" i="5" s="1"/>
  <c r="L699" i="5"/>
  <c r="C697" i="5"/>
  <c r="D694" i="5"/>
  <c r="L691" i="5"/>
  <c r="Q688" i="5"/>
  <c r="F686" i="5"/>
  <c r="G683" i="5"/>
  <c r="A678" i="5"/>
  <c r="K675" i="5"/>
  <c r="R672" i="5"/>
  <c r="D670" i="5"/>
  <c r="L667" i="5"/>
  <c r="B665" i="5"/>
  <c r="S665" i="5" s="1"/>
  <c r="J662" i="5"/>
  <c r="Q659" i="5"/>
  <c r="L657" i="5"/>
  <c r="A655" i="5"/>
  <c r="L652" i="5"/>
  <c r="C650" i="5"/>
  <c r="Q647" i="5"/>
  <c r="Q645" i="5"/>
  <c r="C643" i="5"/>
  <c r="R640" i="5"/>
  <c r="D638" i="5"/>
  <c r="G633" i="5"/>
  <c r="E631" i="5"/>
  <c r="A629" i="5"/>
  <c r="H626" i="5"/>
  <c r="I624" i="5"/>
  <c r="F622" i="5"/>
  <c r="Q619" i="5"/>
  <c r="R617" i="5"/>
  <c r="K615" i="5"/>
  <c r="C613" i="5"/>
  <c r="D611" i="5"/>
  <c r="A609" i="5"/>
  <c r="H606" i="5"/>
  <c r="I604" i="5"/>
  <c r="F602" i="5"/>
  <c r="R599" i="5"/>
  <c r="A598" i="5"/>
  <c r="L593" i="5"/>
  <c r="K591" i="5"/>
  <c r="Q589" i="5"/>
  <c r="G587" i="5"/>
  <c r="F585" i="5"/>
  <c r="H583" i="5"/>
  <c r="B581" i="5"/>
  <c r="S581" i="5" s="1"/>
  <c r="D579" i="5"/>
  <c r="C577" i="5"/>
  <c r="L574" i="5"/>
  <c r="R572" i="5"/>
  <c r="A571" i="5"/>
  <c r="J568" i="5"/>
  <c r="I566" i="5"/>
  <c r="K564" i="5"/>
  <c r="E562" i="5"/>
  <c r="G560" i="5"/>
  <c r="F558" i="5"/>
  <c r="B554" i="5"/>
  <c r="S554" i="5" s="1"/>
  <c r="A552" i="5"/>
  <c r="Q549" i="5"/>
  <c r="L547" i="5"/>
  <c r="R545" i="5"/>
  <c r="J543" i="5"/>
  <c r="Q541" i="5"/>
  <c r="Q539" i="5"/>
  <c r="A538" i="5"/>
  <c r="L535" i="5"/>
  <c r="A532" i="5"/>
  <c r="F530" i="5"/>
  <c r="H528" i="5"/>
  <c r="K526" i="5"/>
  <c r="A525" i="5"/>
  <c r="F523" i="5"/>
  <c r="K521" i="5"/>
  <c r="A520" i="5"/>
  <c r="D518" i="5"/>
  <c r="J516" i="5"/>
  <c r="A515" i="5"/>
  <c r="F513" i="5"/>
  <c r="L511" i="5"/>
  <c r="F508" i="5"/>
  <c r="K506" i="5"/>
  <c r="B505" i="5"/>
  <c r="S505" i="5" s="1"/>
  <c r="H503" i="5"/>
  <c r="R501" i="5"/>
  <c r="A500" i="5"/>
  <c r="G498" i="5"/>
  <c r="Q496" i="5"/>
  <c r="D495" i="5"/>
  <c r="K493" i="5"/>
  <c r="C492" i="5"/>
  <c r="G490" i="5"/>
  <c r="R488" i="5"/>
  <c r="F487" i="5"/>
  <c r="Q485" i="5"/>
  <c r="E484" i="5"/>
  <c r="I482" i="5"/>
  <c r="A481" i="5"/>
  <c r="H479" i="5"/>
  <c r="G476" i="5"/>
  <c r="R474" i="5"/>
  <c r="C473" i="5"/>
  <c r="J471" i="5"/>
  <c r="B470" i="5"/>
  <c r="S470" i="5" s="1"/>
  <c r="I468" i="5"/>
  <c r="A467" i="5"/>
  <c r="H465" i="5"/>
  <c r="L463" i="5"/>
  <c r="D462" i="5"/>
  <c r="K460" i="5"/>
  <c r="C459" i="5"/>
  <c r="K457" i="5"/>
  <c r="D456" i="5"/>
  <c r="L454" i="5"/>
  <c r="F453" i="5"/>
  <c r="A452" i="5"/>
  <c r="K450" i="5"/>
  <c r="F449" i="5"/>
  <c r="A448" i="5"/>
  <c r="K446" i="5"/>
  <c r="F445" i="5"/>
  <c r="A444" i="5"/>
  <c r="K442" i="5"/>
  <c r="F441" i="5"/>
  <c r="A440" i="5"/>
  <c r="K438" i="5"/>
  <c r="F437" i="5"/>
  <c r="G720" i="5"/>
  <c r="J716" i="5"/>
  <c r="Q712" i="5"/>
  <c r="K708" i="5"/>
  <c r="R704" i="5"/>
  <c r="B701" i="5"/>
  <c r="S701" i="5" s="1"/>
  <c r="B697" i="5"/>
  <c r="S697" i="5" s="1"/>
  <c r="Q693" i="5"/>
  <c r="D690" i="5"/>
  <c r="E686" i="5"/>
  <c r="A683" i="5"/>
  <c r="G679" i="5"/>
  <c r="E675" i="5"/>
  <c r="H672" i="5"/>
  <c r="B669" i="5"/>
  <c r="S669" i="5" s="1"/>
  <c r="R664" i="5"/>
  <c r="R661" i="5"/>
  <c r="H658" i="5"/>
  <c r="L654" i="5"/>
  <c r="L651" i="5"/>
  <c r="B649" i="5"/>
  <c r="S649" i="5" s="1"/>
  <c r="C645" i="5"/>
  <c r="H642" i="5"/>
  <c r="H639" i="5"/>
  <c r="R635" i="5"/>
  <c r="R632" i="5"/>
  <c r="R629" i="5"/>
  <c r="G626" i="5"/>
  <c r="J623" i="5"/>
  <c r="A621" i="5"/>
  <c r="Q617" i="5"/>
  <c r="L614" i="5"/>
  <c r="R611" i="5"/>
  <c r="K608" i="5"/>
  <c r="B606" i="5"/>
  <c r="S606" i="5" s="1"/>
  <c r="D603" i="5"/>
  <c r="Q599" i="5"/>
  <c r="C597" i="5"/>
  <c r="K594" i="5"/>
  <c r="J591" i="5"/>
  <c r="R588" i="5"/>
  <c r="D586" i="5"/>
  <c r="C583" i="5"/>
  <c r="K580" i="5"/>
  <c r="K574" i="5"/>
  <c r="A572" i="5"/>
  <c r="L569" i="5"/>
  <c r="H566" i="5"/>
  <c r="L563" i="5"/>
  <c r="B561" i="5"/>
  <c r="S561" i="5" s="1"/>
  <c r="A558" i="5"/>
  <c r="I555" i="5"/>
  <c r="Q552" i="5"/>
  <c r="L549" i="5"/>
  <c r="B547" i="5"/>
  <c r="S547" i="5" s="1"/>
  <c r="K544" i="5"/>
  <c r="L541" i="5"/>
  <c r="C539" i="5"/>
  <c r="Q536" i="5"/>
  <c r="R533" i="5"/>
  <c r="G531" i="5"/>
  <c r="E529" i="5"/>
  <c r="J526" i="5"/>
  <c r="J524" i="5"/>
  <c r="E522" i="5"/>
  <c r="L519" i="5"/>
  <c r="Q517" i="5"/>
  <c r="Q515" i="5"/>
  <c r="E513" i="5"/>
  <c r="C511" i="5"/>
  <c r="C509" i="5"/>
  <c r="J506" i="5"/>
  <c r="K504" i="5"/>
  <c r="H502" i="5"/>
  <c r="A498" i="5"/>
  <c r="Q495" i="5"/>
  <c r="J493" i="5"/>
  <c r="I491" i="5"/>
  <c r="K489" i="5"/>
  <c r="E487" i="5"/>
  <c r="D485" i="5"/>
  <c r="F483" i="5"/>
  <c r="B479" i="5"/>
  <c r="S479" i="5" s="1"/>
  <c r="A477" i="5"/>
  <c r="Q474" i="5"/>
  <c r="L472" i="5"/>
  <c r="R470" i="5"/>
  <c r="H468" i="5"/>
  <c r="G466" i="5"/>
  <c r="I464" i="5"/>
  <c r="C462" i="5"/>
  <c r="E460" i="5"/>
  <c r="E458" i="5"/>
  <c r="C456" i="5"/>
  <c r="E454" i="5"/>
  <c r="J452" i="5"/>
  <c r="J450" i="5"/>
  <c r="E447" i="5"/>
  <c r="E445" i="5"/>
  <c r="J443" i="5"/>
  <c r="E438" i="5"/>
  <c r="J436" i="5"/>
  <c r="A435" i="5"/>
  <c r="C433" i="5"/>
  <c r="I431" i="5"/>
  <c r="F428" i="5"/>
  <c r="H426" i="5"/>
  <c r="R424" i="5"/>
  <c r="F423" i="5"/>
  <c r="Q421" i="5"/>
  <c r="B420" i="5"/>
  <c r="S420" i="5" s="1"/>
  <c r="I418" i="5"/>
  <c r="A417" i="5"/>
  <c r="H415" i="5"/>
  <c r="G412" i="5"/>
  <c r="K410" i="5"/>
  <c r="C409" i="5"/>
  <c r="J407" i="5"/>
  <c r="B406" i="5"/>
  <c r="S406" i="5" s="1"/>
  <c r="I404" i="5"/>
  <c r="A403" i="5"/>
  <c r="E401" i="5"/>
  <c r="Q399" i="5"/>
  <c r="F398" i="5"/>
  <c r="R396" i="5"/>
  <c r="G395" i="5"/>
  <c r="H392" i="5"/>
  <c r="A391" i="5"/>
  <c r="G389" i="5"/>
  <c r="H386" i="5"/>
  <c r="A385" i="5"/>
  <c r="I383" i="5"/>
  <c r="B382" i="5"/>
  <c r="S382" i="5" s="1"/>
  <c r="J380" i="5"/>
  <c r="C379" i="5"/>
  <c r="K377" i="5"/>
  <c r="B376" i="5"/>
  <c r="S376" i="5" s="1"/>
  <c r="J374" i="5"/>
  <c r="C373" i="5"/>
  <c r="K371" i="5"/>
  <c r="D370" i="5"/>
  <c r="L368" i="5"/>
  <c r="E367" i="5"/>
  <c r="Q365" i="5"/>
  <c r="F364" i="5"/>
  <c r="L362" i="5"/>
  <c r="E361" i="5"/>
  <c r="Q359" i="5"/>
  <c r="F358" i="5"/>
  <c r="R356" i="5"/>
  <c r="G355" i="5"/>
  <c r="H352" i="5"/>
  <c r="A351" i="5"/>
  <c r="G349" i="5"/>
  <c r="H346" i="5"/>
  <c r="A345" i="5"/>
  <c r="I343" i="5"/>
  <c r="B342" i="5"/>
  <c r="S342" i="5" s="1"/>
  <c r="J340" i="5"/>
  <c r="C339" i="5"/>
  <c r="K337" i="5"/>
  <c r="B336" i="5"/>
  <c r="S336" i="5" s="1"/>
  <c r="J334" i="5"/>
  <c r="C333" i="5"/>
  <c r="K331" i="5"/>
  <c r="D330" i="5"/>
  <c r="L328" i="5"/>
  <c r="F327" i="5"/>
  <c r="I324" i="5"/>
  <c r="C323" i="5"/>
  <c r="L321" i="5"/>
  <c r="F320" i="5"/>
  <c r="H317" i="5"/>
  <c r="B316" i="5"/>
  <c r="S316" i="5" s="1"/>
  <c r="K314" i="5"/>
  <c r="E313" i="5"/>
  <c r="J310" i="5"/>
  <c r="E309" i="5"/>
  <c r="J306" i="5"/>
  <c r="E305" i="5"/>
  <c r="J302" i="5"/>
  <c r="E301" i="5"/>
  <c r="J298" i="5"/>
  <c r="E297" i="5"/>
  <c r="J294" i="5"/>
  <c r="E293" i="5"/>
  <c r="J290" i="5"/>
  <c r="E289" i="5"/>
  <c r="J286" i="5"/>
  <c r="E285" i="5"/>
  <c r="J282" i="5"/>
  <c r="E281" i="5"/>
  <c r="J278" i="5"/>
  <c r="E277" i="5"/>
  <c r="J274" i="5"/>
  <c r="E273" i="5"/>
  <c r="J270" i="5"/>
  <c r="E269" i="5"/>
  <c r="J266" i="5"/>
  <c r="E265" i="5"/>
  <c r="J262" i="5"/>
  <c r="E261" i="5"/>
  <c r="J258" i="5"/>
  <c r="E257" i="5"/>
  <c r="J254" i="5"/>
  <c r="E253" i="5"/>
  <c r="J250" i="5"/>
  <c r="E249" i="5"/>
  <c r="J246" i="5"/>
  <c r="E245" i="5"/>
  <c r="J242" i="5"/>
  <c r="E241" i="5"/>
  <c r="J238" i="5"/>
  <c r="E237" i="5"/>
  <c r="J234" i="5"/>
  <c r="E233" i="5"/>
  <c r="J230" i="5"/>
  <c r="E229" i="5"/>
  <c r="J226" i="5"/>
  <c r="E225" i="5"/>
  <c r="J222" i="5"/>
  <c r="E221" i="5"/>
  <c r="J218" i="5"/>
  <c r="E217" i="5"/>
  <c r="J214" i="5"/>
  <c r="E213" i="5"/>
  <c r="J210" i="5"/>
  <c r="E209" i="5"/>
  <c r="F720" i="5"/>
  <c r="I716" i="5"/>
  <c r="L712" i="5"/>
  <c r="J708" i="5"/>
  <c r="Q704" i="5"/>
  <c r="A701" i="5"/>
  <c r="A697" i="5"/>
  <c r="L693" i="5"/>
  <c r="C690" i="5"/>
  <c r="D686" i="5"/>
  <c r="L682" i="5"/>
  <c r="F679" i="5"/>
  <c r="D675" i="5"/>
  <c r="Q671" i="5"/>
  <c r="A669" i="5"/>
  <c r="Q664" i="5"/>
  <c r="K661" i="5"/>
  <c r="G658" i="5"/>
  <c r="J654" i="5"/>
  <c r="J651" i="5"/>
  <c r="A649" i="5"/>
  <c r="B645" i="5"/>
  <c r="S645" i="5" s="1"/>
  <c r="G642" i="5"/>
  <c r="G639" i="5"/>
  <c r="Q635" i="5"/>
  <c r="Q632" i="5"/>
  <c r="Q629" i="5"/>
  <c r="F626" i="5"/>
  <c r="I623" i="5"/>
  <c r="L617" i="5"/>
  <c r="J614" i="5"/>
  <c r="Q611" i="5"/>
  <c r="J608" i="5"/>
  <c r="A606" i="5"/>
  <c r="C603" i="5"/>
  <c r="L599" i="5"/>
  <c r="B597" i="5"/>
  <c r="S597" i="5" s="1"/>
  <c r="J594" i="5"/>
  <c r="I591" i="5"/>
  <c r="Q588" i="5"/>
  <c r="C586" i="5"/>
  <c r="B583" i="5"/>
  <c r="S583" i="5" s="1"/>
  <c r="J580" i="5"/>
  <c r="R577" i="5"/>
  <c r="J574" i="5"/>
  <c r="K569" i="5"/>
  <c r="G566" i="5"/>
  <c r="K563" i="5"/>
  <c r="A561" i="5"/>
  <c r="H555" i="5"/>
  <c r="L552" i="5"/>
  <c r="K549" i="5"/>
  <c r="A547" i="5"/>
  <c r="J544" i="5"/>
  <c r="K541" i="5"/>
  <c r="B539" i="5"/>
  <c r="S539" i="5" s="1"/>
  <c r="L536" i="5"/>
  <c r="Q533" i="5"/>
  <c r="F531" i="5"/>
  <c r="D529" i="5"/>
  <c r="I526" i="5"/>
  <c r="I524" i="5"/>
  <c r="D522" i="5"/>
  <c r="K519" i="5"/>
  <c r="L517" i="5"/>
  <c r="I515" i="5"/>
  <c r="D513" i="5"/>
  <c r="B511" i="5"/>
  <c r="S511" i="5" s="1"/>
  <c r="B509" i="5"/>
  <c r="S509" i="5" s="1"/>
  <c r="I506" i="5"/>
  <c r="J504" i="5"/>
  <c r="G502" i="5"/>
  <c r="R499" i="5"/>
  <c r="L495" i="5"/>
  <c r="I493" i="5"/>
  <c r="H491" i="5"/>
  <c r="J489" i="5"/>
  <c r="D487" i="5"/>
  <c r="C485" i="5"/>
  <c r="E483" i="5"/>
  <c r="R480" i="5"/>
  <c r="A479" i="5"/>
  <c r="I474" i="5"/>
  <c r="K472" i="5"/>
  <c r="Q470" i="5"/>
  <c r="G468" i="5"/>
  <c r="F466" i="5"/>
  <c r="H464" i="5"/>
  <c r="B462" i="5"/>
  <c r="S462" i="5" s="1"/>
  <c r="D460" i="5"/>
  <c r="D458" i="5"/>
  <c r="D454" i="5"/>
  <c r="I452" i="5"/>
  <c r="I450" i="5"/>
  <c r="R448" i="5"/>
  <c r="D447" i="5"/>
  <c r="D445" i="5"/>
  <c r="I443" i="5"/>
  <c r="R441" i="5"/>
  <c r="R439" i="5"/>
  <c r="D438" i="5"/>
  <c r="I436" i="5"/>
  <c r="K434" i="5"/>
  <c r="B433" i="5"/>
  <c r="S433" i="5" s="1"/>
  <c r="H431" i="5"/>
  <c r="R429" i="5"/>
  <c r="A428" i="5"/>
  <c r="G426" i="5"/>
  <c r="Q424" i="5"/>
  <c r="E423" i="5"/>
  <c r="L421" i="5"/>
  <c r="A420" i="5"/>
  <c r="H418" i="5"/>
  <c r="G415" i="5"/>
  <c r="R413" i="5"/>
  <c r="F412" i="5"/>
  <c r="J410" i="5"/>
  <c r="B409" i="5"/>
  <c r="S409" i="5" s="1"/>
  <c r="I407" i="5"/>
  <c r="A406" i="5"/>
  <c r="H404" i="5"/>
  <c r="L402" i="5"/>
  <c r="D401" i="5"/>
  <c r="L399" i="5"/>
  <c r="E398" i="5"/>
  <c r="Q396" i="5"/>
  <c r="F395" i="5"/>
  <c r="R393" i="5"/>
  <c r="G392" i="5"/>
  <c r="Q390" i="5"/>
  <c r="F389" i="5"/>
  <c r="R387" i="5"/>
  <c r="G386" i="5"/>
  <c r="H383" i="5"/>
  <c r="A382" i="5"/>
  <c r="I380" i="5"/>
  <c r="B379" i="5"/>
  <c r="S379" i="5" s="1"/>
  <c r="H377" i="5"/>
  <c r="A376" i="5"/>
  <c r="I374" i="5"/>
  <c r="B373" i="5"/>
  <c r="S373" i="5" s="1"/>
  <c r="J371" i="5"/>
  <c r="C370" i="5"/>
  <c r="K368" i="5"/>
  <c r="D367" i="5"/>
  <c r="L365" i="5"/>
  <c r="C364" i="5"/>
  <c r="K362" i="5"/>
  <c r="D361" i="5"/>
  <c r="L359" i="5"/>
  <c r="E358" i="5"/>
  <c r="Q356" i="5"/>
  <c r="F355" i="5"/>
  <c r="R353" i="5"/>
  <c r="G352" i="5"/>
  <c r="Q350" i="5"/>
  <c r="F349" i="5"/>
  <c r="R347" i="5"/>
  <c r="G346" i="5"/>
  <c r="H343" i="5"/>
  <c r="A342" i="5"/>
  <c r="I340" i="5"/>
  <c r="B339" i="5"/>
  <c r="S339" i="5" s="1"/>
  <c r="H337" i="5"/>
  <c r="A336" i="5"/>
  <c r="I334" i="5"/>
  <c r="B333" i="5"/>
  <c r="S333" i="5" s="1"/>
  <c r="J331" i="5"/>
  <c r="C330" i="5"/>
  <c r="K328" i="5"/>
  <c r="E327" i="5"/>
  <c r="R325" i="5"/>
  <c r="H324" i="5"/>
  <c r="B323" i="5"/>
  <c r="S323" i="5" s="1"/>
  <c r="K321" i="5"/>
  <c r="E320" i="5"/>
  <c r="Q318" i="5"/>
  <c r="G317" i="5"/>
  <c r="A316" i="5"/>
  <c r="J314" i="5"/>
  <c r="D313" i="5"/>
  <c r="R311" i="5"/>
  <c r="I310" i="5"/>
  <c r="D309" i="5"/>
  <c r="B720" i="5"/>
  <c r="S720" i="5" s="1"/>
  <c r="H716" i="5"/>
  <c r="K712" i="5"/>
  <c r="I708" i="5"/>
  <c r="L704" i="5"/>
  <c r="K693" i="5"/>
  <c r="B690" i="5"/>
  <c r="S690" i="5" s="1"/>
  <c r="Q685" i="5"/>
  <c r="J682" i="5"/>
  <c r="E679" i="5"/>
  <c r="A675" i="5"/>
  <c r="L671" i="5"/>
  <c r="J668" i="5"/>
  <c r="L664" i="5"/>
  <c r="G661" i="5"/>
  <c r="D658" i="5"/>
  <c r="I654" i="5"/>
  <c r="I651" i="5"/>
  <c r="J648" i="5"/>
  <c r="F642" i="5"/>
  <c r="F639" i="5"/>
  <c r="L635" i="5"/>
  <c r="L632" i="5"/>
  <c r="L629" i="5"/>
  <c r="E626" i="5"/>
  <c r="H623" i="5"/>
  <c r="R620" i="5"/>
  <c r="K617" i="5"/>
  <c r="I614" i="5"/>
  <c r="L611" i="5"/>
  <c r="I608" i="5"/>
  <c r="B603" i="5"/>
  <c r="S603" i="5" s="1"/>
  <c r="K599" i="5"/>
  <c r="A597" i="5"/>
  <c r="I594" i="5"/>
  <c r="H591" i="5"/>
  <c r="L588" i="5"/>
  <c r="B586" i="5"/>
  <c r="S586" i="5" s="1"/>
  <c r="A583" i="5"/>
  <c r="I580" i="5"/>
  <c r="Q577" i="5"/>
  <c r="I574" i="5"/>
  <c r="R571" i="5"/>
  <c r="G569" i="5"/>
  <c r="F566" i="5"/>
  <c r="J563" i="5"/>
  <c r="R557" i="5"/>
  <c r="G555" i="5"/>
  <c r="K552" i="5"/>
  <c r="G549" i="5"/>
  <c r="L546" i="5"/>
  <c r="I544" i="5"/>
  <c r="G541" i="5"/>
  <c r="A539" i="5"/>
  <c r="K536" i="5"/>
  <c r="L533" i="5"/>
  <c r="E531" i="5"/>
  <c r="C529" i="5"/>
  <c r="H526" i="5"/>
  <c r="H524" i="5"/>
  <c r="C522" i="5"/>
  <c r="J519" i="5"/>
  <c r="K517" i="5"/>
  <c r="H515" i="5"/>
  <c r="C513" i="5"/>
  <c r="A511" i="5"/>
  <c r="A509" i="5"/>
  <c r="H506" i="5"/>
  <c r="F504" i="5"/>
  <c r="F502" i="5"/>
  <c r="Q499" i="5"/>
  <c r="R497" i="5"/>
  <c r="K495" i="5"/>
  <c r="H493" i="5"/>
  <c r="G491" i="5"/>
  <c r="I489" i="5"/>
  <c r="C487" i="5"/>
  <c r="B485" i="5"/>
  <c r="S485" i="5" s="1"/>
  <c r="D483" i="5"/>
  <c r="Q480" i="5"/>
  <c r="R476" i="5"/>
  <c r="H474" i="5"/>
  <c r="J472" i="5"/>
  <c r="I470" i="5"/>
  <c r="F468" i="5"/>
  <c r="E466" i="5"/>
  <c r="G464" i="5"/>
  <c r="A462" i="5"/>
  <c r="C460" i="5"/>
  <c r="C458" i="5"/>
  <c r="R455" i="5"/>
  <c r="C454" i="5"/>
  <c r="H452" i="5"/>
  <c r="H450" i="5"/>
  <c r="Q448" i="5"/>
  <c r="C447" i="5"/>
  <c r="C445" i="5"/>
  <c r="H443" i="5"/>
  <c r="Q441" i="5"/>
  <c r="Q439" i="5"/>
  <c r="C438" i="5"/>
  <c r="H436" i="5"/>
  <c r="J434" i="5"/>
  <c r="A433" i="5"/>
  <c r="G431" i="5"/>
  <c r="Q429" i="5"/>
  <c r="F426" i="5"/>
  <c r="L424" i="5"/>
  <c r="D423" i="5"/>
  <c r="K421" i="5"/>
  <c r="G418" i="5"/>
  <c r="R416" i="5"/>
  <c r="F415" i="5"/>
  <c r="Q413" i="5"/>
  <c r="B412" i="5"/>
  <c r="S412" i="5" s="1"/>
  <c r="I410" i="5"/>
  <c r="A409" i="5"/>
  <c r="H407" i="5"/>
  <c r="G404" i="5"/>
  <c r="K402" i="5"/>
  <c r="C401" i="5"/>
  <c r="K399" i="5"/>
  <c r="D398" i="5"/>
  <c r="L396" i="5"/>
  <c r="E395" i="5"/>
  <c r="Q393" i="5"/>
  <c r="F392" i="5"/>
  <c r="L390" i="5"/>
  <c r="E389" i="5"/>
  <c r="Q387" i="5"/>
  <c r="F386" i="5"/>
  <c r="R384" i="5"/>
  <c r="G383" i="5"/>
  <c r="H380" i="5"/>
  <c r="A379" i="5"/>
  <c r="G377" i="5"/>
  <c r="H374" i="5"/>
  <c r="A373" i="5"/>
  <c r="I371" i="5"/>
  <c r="B370" i="5"/>
  <c r="S370" i="5" s="1"/>
  <c r="J368" i="5"/>
  <c r="C367" i="5"/>
  <c r="K365" i="5"/>
  <c r="B364" i="5"/>
  <c r="S364" i="5" s="1"/>
  <c r="J362" i="5"/>
  <c r="C361" i="5"/>
  <c r="K359" i="5"/>
  <c r="D358" i="5"/>
  <c r="L356" i="5"/>
  <c r="E355" i="5"/>
  <c r="Q353" i="5"/>
  <c r="F352" i="5"/>
  <c r="L350" i="5"/>
  <c r="E349" i="5"/>
  <c r="Q347" i="5"/>
  <c r="F346" i="5"/>
  <c r="R344" i="5"/>
  <c r="G343" i="5"/>
  <c r="H340" i="5"/>
  <c r="A339" i="5"/>
  <c r="G337" i="5"/>
  <c r="H334" i="5"/>
  <c r="A333" i="5"/>
  <c r="I331" i="5"/>
  <c r="B330" i="5"/>
  <c r="S330" i="5" s="1"/>
  <c r="J328" i="5"/>
  <c r="D327" i="5"/>
  <c r="Q325" i="5"/>
  <c r="G324" i="5"/>
  <c r="A323" i="5"/>
  <c r="J321" i="5"/>
  <c r="C320" i="5"/>
  <c r="L719" i="5"/>
  <c r="F716" i="5"/>
  <c r="I712" i="5"/>
  <c r="G708" i="5"/>
  <c r="J704" i="5"/>
  <c r="Q700" i="5"/>
  <c r="H696" i="5"/>
  <c r="E693" i="5"/>
  <c r="E685" i="5"/>
  <c r="B682" i="5"/>
  <c r="S682" i="5" s="1"/>
  <c r="H678" i="5"/>
  <c r="J674" i="5"/>
  <c r="H671" i="5"/>
  <c r="F668" i="5"/>
  <c r="J664" i="5"/>
  <c r="D661" i="5"/>
  <c r="B658" i="5"/>
  <c r="S658" i="5" s="1"/>
  <c r="G654" i="5"/>
  <c r="G651" i="5"/>
  <c r="G648" i="5"/>
  <c r="Q644" i="5"/>
  <c r="R641" i="5"/>
  <c r="D639" i="5"/>
  <c r="E635" i="5"/>
  <c r="J632" i="5"/>
  <c r="G629" i="5"/>
  <c r="C626" i="5"/>
  <c r="E623" i="5"/>
  <c r="L620" i="5"/>
  <c r="E617" i="5"/>
  <c r="G614" i="5"/>
  <c r="I611" i="5"/>
  <c r="F608" i="5"/>
  <c r="Q605" i="5"/>
  <c r="L602" i="5"/>
  <c r="I599" i="5"/>
  <c r="Q596" i="5"/>
  <c r="G594" i="5"/>
  <c r="F591" i="5"/>
  <c r="J588" i="5"/>
  <c r="R585" i="5"/>
  <c r="J582" i="5"/>
  <c r="G580" i="5"/>
  <c r="K577" i="5"/>
  <c r="G574" i="5"/>
  <c r="K571" i="5"/>
  <c r="E569" i="5"/>
  <c r="D566" i="5"/>
  <c r="H563" i="5"/>
  <c r="L560" i="5"/>
  <c r="K557" i="5"/>
  <c r="E555" i="5"/>
  <c r="I552" i="5"/>
  <c r="E549" i="5"/>
  <c r="I546" i="5"/>
  <c r="G544" i="5"/>
  <c r="E541" i="5"/>
  <c r="K538" i="5"/>
  <c r="I536" i="5"/>
  <c r="G533" i="5"/>
  <c r="C531" i="5"/>
  <c r="A529" i="5"/>
  <c r="F526" i="5"/>
  <c r="A524" i="5"/>
  <c r="A522" i="5"/>
  <c r="H519" i="5"/>
  <c r="H517" i="5"/>
  <c r="F515" i="5"/>
  <c r="A513" i="5"/>
  <c r="Q510" i="5"/>
  <c r="R508" i="5"/>
  <c r="F506" i="5"/>
  <c r="C504" i="5"/>
  <c r="D502" i="5"/>
  <c r="K499" i="5"/>
  <c r="L497" i="5"/>
  <c r="I495" i="5"/>
  <c r="C493" i="5"/>
  <c r="E491" i="5"/>
  <c r="D489" i="5"/>
  <c r="A487" i="5"/>
  <c r="B483" i="5"/>
  <c r="S483" i="5" s="1"/>
  <c r="K480" i="5"/>
  <c r="Q478" i="5"/>
  <c r="L476" i="5"/>
  <c r="F474" i="5"/>
  <c r="H472" i="5"/>
  <c r="G470" i="5"/>
  <c r="D468" i="5"/>
  <c r="C466" i="5"/>
  <c r="E464" i="5"/>
  <c r="R461" i="5"/>
  <c r="Q459" i="5"/>
  <c r="A458" i="5"/>
  <c r="L455" i="5"/>
  <c r="A454" i="5"/>
  <c r="F452" i="5"/>
  <c r="F450" i="5"/>
  <c r="K448" i="5"/>
  <c r="A447" i="5"/>
  <c r="A445" i="5"/>
  <c r="F443" i="5"/>
  <c r="K441" i="5"/>
  <c r="K439" i="5"/>
  <c r="A438" i="5"/>
  <c r="F436" i="5"/>
  <c r="H434" i="5"/>
  <c r="R432" i="5"/>
  <c r="E431" i="5"/>
  <c r="K429" i="5"/>
  <c r="Q427" i="5"/>
  <c r="D426" i="5"/>
  <c r="J424" i="5"/>
  <c r="B423" i="5"/>
  <c r="S423" i="5" s="1"/>
  <c r="F421" i="5"/>
  <c r="Q419" i="5"/>
  <c r="E418" i="5"/>
  <c r="L416" i="5"/>
  <c r="D415" i="5"/>
  <c r="K413" i="5"/>
  <c r="G410" i="5"/>
  <c r="R408" i="5"/>
  <c r="F407" i="5"/>
  <c r="Q405" i="5"/>
  <c r="B404" i="5"/>
  <c r="S404" i="5" s="1"/>
  <c r="I402" i="5"/>
  <c r="A401" i="5"/>
  <c r="I399" i="5"/>
  <c r="B398" i="5"/>
  <c r="S398" i="5" s="1"/>
  <c r="J396" i="5"/>
  <c r="C395" i="5"/>
  <c r="K393" i="5"/>
  <c r="B392" i="5"/>
  <c r="S392" i="5" s="1"/>
  <c r="J390" i="5"/>
  <c r="C389" i="5"/>
  <c r="K387" i="5"/>
  <c r="D386" i="5"/>
  <c r="L384" i="5"/>
  <c r="E383" i="5"/>
  <c r="Q381" i="5"/>
  <c r="F380" i="5"/>
  <c r="L378" i="5"/>
  <c r="E377" i="5"/>
  <c r="J719" i="5"/>
  <c r="Q715" i="5"/>
  <c r="F711" i="5"/>
  <c r="I707" i="5"/>
  <c r="H704" i="5"/>
  <c r="H699" i="5"/>
  <c r="L692" i="5"/>
  <c r="K688" i="5"/>
  <c r="B685" i="5"/>
  <c r="S685" i="5" s="1"/>
  <c r="Q681" i="5"/>
  <c r="R677" i="5"/>
  <c r="H674" i="5"/>
  <c r="F671" i="5"/>
  <c r="J667" i="5"/>
  <c r="H664" i="5"/>
  <c r="B661" i="5"/>
  <c r="S661" i="5" s="1"/>
  <c r="G657" i="5"/>
  <c r="E654" i="5"/>
  <c r="E651" i="5"/>
  <c r="K647" i="5"/>
  <c r="K644" i="5"/>
  <c r="K641" i="5"/>
  <c r="B638" i="5"/>
  <c r="S638" i="5" s="1"/>
  <c r="B635" i="5"/>
  <c r="S635" i="5" s="1"/>
  <c r="H632" i="5"/>
  <c r="J628" i="5"/>
  <c r="A626" i="5"/>
  <c r="C623" i="5"/>
  <c r="K619" i="5"/>
  <c r="R616" i="5"/>
  <c r="E614" i="5"/>
  <c r="B611" i="5"/>
  <c r="S611" i="5" s="1"/>
  <c r="C605" i="5"/>
  <c r="G599" i="5"/>
  <c r="K596" i="5"/>
  <c r="G593" i="5"/>
  <c r="L590" i="5"/>
  <c r="H588" i="5"/>
  <c r="D585" i="5"/>
  <c r="H582" i="5"/>
  <c r="Q579" i="5"/>
  <c r="L576" i="5"/>
  <c r="E574" i="5"/>
  <c r="I571" i="5"/>
  <c r="H568" i="5"/>
  <c r="Q565" i="5"/>
  <c r="F563" i="5"/>
  <c r="B560" i="5"/>
  <c r="S560" i="5" s="1"/>
  <c r="F557" i="5"/>
  <c r="K554" i="5"/>
  <c r="J551" i="5"/>
  <c r="C549" i="5"/>
  <c r="G546" i="5"/>
  <c r="H543" i="5"/>
  <c r="C541" i="5"/>
  <c r="I538" i="5"/>
  <c r="J535" i="5"/>
  <c r="E533" i="5"/>
  <c r="A531" i="5"/>
  <c r="F528" i="5"/>
  <c r="D526" i="5"/>
  <c r="R523" i="5"/>
  <c r="H521" i="5"/>
  <c r="F519" i="5"/>
  <c r="F517" i="5"/>
  <c r="Q514" i="5"/>
  <c r="K512" i="5"/>
  <c r="K510" i="5"/>
  <c r="C508" i="5"/>
  <c r="D506" i="5"/>
  <c r="A504" i="5"/>
  <c r="H501" i="5"/>
  <c r="I499" i="5"/>
  <c r="J497" i="5"/>
  <c r="B495" i="5"/>
  <c r="S495" i="5" s="1"/>
  <c r="A493" i="5"/>
  <c r="C491" i="5"/>
  <c r="L488" i="5"/>
  <c r="R486" i="5"/>
  <c r="Q484" i="5"/>
  <c r="G482" i="5"/>
  <c r="I480" i="5"/>
  <c r="H478" i="5"/>
  <c r="E476" i="5"/>
  <c r="D474" i="5"/>
  <c r="F472" i="5"/>
  <c r="R467" i="5"/>
  <c r="A466" i="5"/>
  <c r="J463" i="5"/>
  <c r="L461" i="5"/>
  <c r="K459" i="5"/>
  <c r="I457" i="5"/>
  <c r="J455" i="5"/>
  <c r="R453" i="5"/>
  <c r="R451" i="5"/>
  <c r="D450" i="5"/>
  <c r="I448" i="5"/>
  <c r="I446" i="5"/>
  <c r="R444" i="5"/>
  <c r="D443" i="5"/>
  <c r="D441" i="5"/>
  <c r="I439" i="5"/>
  <c r="R437" i="5"/>
  <c r="F434" i="5"/>
  <c r="L432" i="5"/>
  <c r="C431" i="5"/>
  <c r="E429" i="5"/>
  <c r="K427" i="5"/>
  <c r="B426" i="5"/>
  <c r="S426" i="5" s="1"/>
  <c r="H424" i="5"/>
  <c r="L422" i="5"/>
  <c r="D421" i="5"/>
  <c r="K419" i="5"/>
  <c r="C418" i="5"/>
  <c r="J416" i="5"/>
  <c r="B415" i="5"/>
  <c r="S415" i="5" s="1"/>
  <c r="F413" i="5"/>
  <c r="Q411" i="5"/>
  <c r="E410" i="5"/>
  <c r="L408" i="5"/>
  <c r="D407" i="5"/>
  <c r="K405" i="5"/>
  <c r="G402" i="5"/>
  <c r="R400" i="5"/>
  <c r="G399" i="5"/>
  <c r="H396" i="5"/>
  <c r="A395" i="5"/>
  <c r="G393" i="5"/>
  <c r="H390" i="5"/>
  <c r="A389" i="5"/>
  <c r="I387" i="5"/>
  <c r="B386" i="5"/>
  <c r="S386" i="5" s="1"/>
  <c r="J384" i="5"/>
  <c r="C383" i="5"/>
  <c r="K381" i="5"/>
  <c r="B380" i="5"/>
  <c r="S380" i="5" s="1"/>
  <c r="J378" i="5"/>
  <c r="C377" i="5"/>
  <c r="K375" i="5"/>
  <c r="D374" i="5"/>
  <c r="L372" i="5"/>
  <c r="E371" i="5"/>
  <c r="Q369" i="5"/>
  <c r="F368" i="5"/>
  <c r="L366" i="5"/>
  <c r="E365" i="5"/>
  <c r="Q363" i="5"/>
  <c r="F362" i="5"/>
  <c r="R360" i="5"/>
  <c r="G359" i="5"/>
  <c r="H356" i="5"/>
  <c r="A355" i="5"/>
  <c r="G353" i="5"/>
  <c r="H350" i="5"/>
  <c r="A349" i="5"/>
  <c r="I347" i="5"/>
  <c r="B346" i="5"/>
  <c r="S346" i="5" s="1"/>
  <c r="J344" i="5"/>
  <c r="C343" i="5"/>
  <c r="K341" i="5"/>
  <c r="I719" i="5"/>
  <c r="L715" i="5"/>
  <c r="C711" i="5"/>
  <c r="H707" i="5"/>
  <c r="K703" i="5"/>
  <c r="G699" i="5"/>
  <c r="Q695" i="5"/>
  <c r="I692" i="5"/>
  <c r="J688" i="5"/>
  <c r="A685" i="5"/>
  <c r="L681" i="5"/>
  <c r="Q677" i="5"/>
  <c r="G674" i="5"/>
  <c r="E671" i="5"/>
  <c r="I667" i="5"/>
  <c r="G664" i="5"/>
  <c r="A661" i="5"/>
  <c r="E657" i="5"/>
  <c r="D654" i="5"/>
  <c r="D651" i="5"/>
  <c r="J647" i="5"/>
  <c r="J644" i="5"/>
  <c r="G641" i="5"/>
  <c r="A638" i="5"/>
  <c r="A635" i="5"/>
  <c r="Q631" i="5"/>
  <c r="I628" i="5"/>
  <c r="B623" i="5"/>
  <c r="S623" i="5" s="1"/>
  <c r="J619" i="5"/>
  <c r="Q616" i="5"/>
  <c r="D614" i="5"/>
  <c r="A611" i="5"/>
  <c r="R607" i="5"/>
  <c r="B605" i="5"/>
  <c r="S605" i="5" s="1"/>
  <c r="R601" i="5"/>
  <c r="F599" i="5"/>
  <c r="J596" i="5"/>
  <c r="F593" i="5"/>
  <c r="K590" i="5"/>
  <c r="G588" i="5"/>
  <c r="C585" i="5"/>
  <c r="G582" i="5"/>
  <c r="L579" i="5"/>
  <c r="K576" i="5"/>
  <c r="D574" i="5"/>
  <c r="H571" i="5"/>
  <c r="G568" i="5"/>
  <c r="L565" i="5"/>
  <c r="E563" i="5"/>
  <c r="A560" i="5"/>
  <c r="E557" i="5"/>
  <c r="J554" i="5"/>
  <c r="I551" i="5"/>
  <c r="B549" i="5"/>
  <c r="S549" i="5" s="1"/>
  <c r="F546" i="5"/>
  <c r="G543" i="5"/>
  <c r="B541" i="5"/>
  <c r="S541" i="5" s="1"/>
  <c r="H538" i="5"/>
  <c r="I535" i="5"/>
  <c r="D533" i="5"/>
  <c r="Q530" i="5"/>
  <c r="C528" i="5"/>
  <c r="C526" i="5"/>
  <c r="Q523" i="5"/>
  <c r="G521" i="5"/>
  <c r="E519" i="5"/>
  <c r="E517" i="5"/>
  <c r="L514" i="5"/>
  <c r="J512" i="5"/>
  <c r="J510" i="5"/>
  <c r="B508" i="5"/>
  <c r="S508" i="5" s="1"/>
  <c r="C506" i="5"/>
  <c r="G501" i="5"/>
  <c r="H499" i="5"/>
  <c r="E497" i="5"/>
  <c r="A495" i="5"/>
  <c r="B491" i="5"/>
  <c r="S491" i="5" s="1"/>
  <c r="K488" i="5"/>
  <c r="Q486" i="5"/>
  <c r="L484" i="5"/>
  <c r="F482" i="5"/>
  <c r="H480" i="5"/>
  <c r="G478" i="5"/>
  <c r="D476" i="5"/>
  <c r="C474" i="5"/>
  <c r="E472" i="5"/>
  <c r="R469" i="5"/>
  <c r="Q467" i="5"/>
  <c r="I463" i="5"/>
  <c r="K461" i="5"/>
  <c r="J459" i="5"/>
  <c r="H457" i="5"/>
  <c r="I455" i="5"/>
  <c r="Q453" i="5"/>
  <c r="Q451" i="5"/>
  <c r="C450" i="5"/>
  <c r="H448" i="5"/>
  <c r="H446" i="5"/>
  <c r="Q444" i="5"/>
  <c r="C443" i="5"/>
  <c r="C441" i="5"/>
  <c r="H439" i="5"/>
  <c r="Q719" i="5"/>
  <c r="D714" i="5"/>
  <c r="K709" i="5"/>
  <c r="A703" i="5"/>
  <c r="C698" i="5"/>
  <c r="H692" i="5"/>
  <c r="H687" i="5"/>
  <c r="C682" i="5"/>
  <c r="R676" i="5"/>
  <c r="J672" i="5"/>
  <c r="A667" i="5"/>
  <c r="H662" i="5"/>
  <c r="R656" i="5"/>
  <c r="B653" i="5"/>
  <c r="S653" i="5" s="1"/>
  <c r="I648" i="5"/>
  <c r="B644" i="5"/>
  <c r="S644" i="5" s="1"/>
  <c r="J639" i="5"/>
  <c r="I634" i="5"/>
  <c r="D630" i="5"/>
  <c r="R625" i="5"/>
  <c r="K621" i="5"/>
  <c r="G617" i="5"/>
  <c r="K609" i="5"/>
  <c r="H604" i="5"/>
  <c r="I596" i="5"/>
  <c r="R592" i="5"/>
  <c r="K588" i="5"/>
  <c r="I584" i="5"/>
  <c r="Q580" i="5"/>
  <c r="G576" i="5"/>
  <c r="L572" i="5"/>
  <c r="F568" i="5"/>
  <c r="A565" i="5"/>
  <c r="Q560" i="5"/>
  <c r="J548" i="5"/>
  <c r="L540" i="5"/>
  <c r="D537" i="5"/>
  <c r="K533" i="5"/>
  <c r="G527" i="5"/>
  <c r="E523" i="5"/>
  <c r="J520" i="5"/>
  <c r="D517" i="5"/>
  <c r="B514" i="5"/>
  <c r="S514" i="5" s="1"/>
  <c r="L507" i="5"/>
  <c r="Q504" i="5"/>
  <c r="D501" i="5"/>
  <c r="E498" i="5"/>
  <c r="H492" i="5"/>
  <c r="H489" i="5"/>
  <c r="E486" i="5"/>
  <c r="H483" i="5"/>
  <c r="E480" i="5"/>
  <c r="H477" i="5"/>
  <c r="B474" i="5"/>
  <c r="S474" i="5" s="1"/>
  <c r="E471" i="5"/>
  <c r="E468" i="5"/>
  <c r="B465" i="5"/>
  <c r="S465" i="5" s="1"/>
  <c r="Q462" i="5"/>
  <c r="B459" i="5"/>
  <c r="S459" i="5" s="1"/>
  <c r="L456" i="5"/>
  <c r="L453" i="5"/>
  <c r="F451" i="5"/>
  <c r="L448" i="5"/>
  <c r="C446" i="5"/>
  <c r="L443" i="5"/>
  <c r="I438" i="5"/>
  <c r="A436" i="5"/>
  <c r="A434" i="5"/>
  <c r="Q431" i="5"/>
  <c r="F429" i="5"/>
  <c r="F427" i="5"/>
  <c r="C425" i="5"/>
  <c r="A423" i="5"/>
  <c r="R420" i="5"/>
  <c r="A419" i="5"/>
  <c r="K416" i="5"/>
  <c r="I414" i="5"/>
  <c r="K412" i="5"/>
  <c r="F410" i="5"/>
  <c r="G408" i="5"/>
  <c r="F406" i="5"/>
  <c r="A404" i="5"/>
  <c r="B402" i="5"/>
  <c r="S402" i="5" s="1"/>
  <c r="B400" i="5"/>
  <c r="S400" i="5" s="1"/>
  <c r="A398" i="5"/>
  <c r="A396" i="5"/>
  <c r="D394" i="5"/>
  <c r="A392" i="5"/>
  <c r="C390" i="5"/>
  <c r="F388" i="5"/>
  <c r="C386" i="5"/>
  <c r="C384" i="5"/>
  <c r="F382" i="5"/>
  <c r="C380" i="5"/>
  <c r="E378" i="5"/>
  <c r="H376" i="5"/>
  <c r="G374" i="5"/>
  <c r="J372" i="5"/>
  <c r="L370" i="5"/>
  <c r="A369" i="5"/>
  <c r="B367" i="5"/>
  <c r="S367" i="5" s="1"/>
  <c r="C365" i="5"/>
  <c r="G363" i="5"/>
  <c r="K361" i="5"/>
  <c r="J359" i="5"/>
  <c r="Q357" i="5"/>
  <c r="D354" i="5"/>
  <c r="C352" i="5"/>
  <c r="F350" i="5"/>
  <c r="J348" i="5"/>
  <c r="L346" i="5"/>
  <c r="Q344" i="5"/>
  <c r="A343" i="5"/>
  <c r="C341" i="5"/>
  <c r="H339" i="5"/>
  <c r="Q337" i="5"/>
  <c r="Q335" i="5"/>
  <c r="C334" i="5"/>
  <c r="H332" i="5"/>
  <c r="K330" i="5"/>
  <c r="A329" i="5"/>
  <c r="G327" i="5"/>
  <c r="J325" i="5"/>
  <c r="F322" i="5"/>
  <c r="L320" i="5"/>
  <c r="C319" i="5"/>
  <c r="J317" i="5"/>
  <c r="R315" i="5"/>
  <c r="F314" i="5"/>
  <c r="Q312" i="5"/>
  <c r="F311" i="5"/>
  <c r="R309" i="5"/>
  <c r="G308" i="5"/>
  <c r="A307" i="5"/>
  <c r="J305" i="5"/>
  <c r="D304" i="5"/>
  <c r="Q302" i="5"/>
  <c r="G301" i="5"/>
  <c r="A300" i="5"/>
  <c r="I298" i="5"/>
  <c r="C297" i="5"/>
  <c r="L295" i="5"/>
  <c r="F294" i="5"/>
  <c r="I291" i="5"/>
  <c r="C290" i="5"/>
  <c r="L288" i="5"/>
  <c r="F287" i="5"/>
  <c r="I284" i="5"/>
  <c r="C283" i="5"/>
  <c r="L281" i="5"/>
  <c r="F280" i="5"/>
  <c r="I277" i="5"/>
  <c r="C276" i="5"/>
  <c r="L274" i="5"/>
  <c r="F273" i="5"/>
  <c r="R271" i="5"/>
  <c r="H270" i="5"/>
  <c r="B269" i="5"/>
  <c r="S269" i="5" s="1"/>
  <c r="K267" i="5"/>
  <c r="E266" i="5"/>
  <c r="R264" i="5"/>
  <c r="H263" i="5"/>
  <c r="B262" i="5"/>
  <c r="S262" i="5" s="1"/>
  <c r="K260" i="5"/>
  <c r="E259" i="5"/>
  <c r="R257" i="5"/>
  <c r="H256" i="5"/>
  <c r="B255" i="5"/>
  <c r="S255" i="5" s="1"/>
  <c r="K253" i="5"/>
  <c r="E252" i="5"/>
  <c r="R250" i="5"/>
  <c r="H249" i="5"/>
  <c r="B248" i="5"/>
  <c r="S248" i="5" s="1"/>
  <c r="K246" i="5"/>
  <c r="D245" i="5"/>
  <c r="Q243" i="5"/>
  <c r="G242" i="5"/>
  <c r="A241" i="5"/>
  <c r="J239" i="5"/>
  <c r="D238" i="5"/>
  <c r="Q236" i="5"/>
  <c r="G235" i="5"/>
  <c r="A234" i="5"/>
  <c r="J232" i="5"/>
  <c r="D231" i="5"/>
  <c r="Q229" i="5"/>
  <c r="G228" i="5"/>
  <c r="A227" i="5"/>
  <c r="J225" i="5"/>
  <c r="D224" i="5"/>
  <c r="Q222" i="5"/>
  <c r="G221" i="5"/>
  <c r="A220" i="5"/>
  <c r="I218" i="5"/>
  <c r="C217" i="5"/>
  <c r="L215" i="5"/>
  <c r="F214" i="5"/>
  <c r="I211" i="5"/>
  <c r="C210" i="5"/>
  <c r="L208" i="5"/>
  <c r="G207" i="5"/>
  <c r="B206" i="5"/>
  <c r="S206" i="5" s="1"/>
  <c r="L204" i="5"/>
  <c r="G203" i="5"/>
  <c r="B202" i="5"/>
  <c r="S202" i="5" s="1"/>
  <c r="L200" i="5"/>
  <c r="G199" i="5"/>
  <c r="B198" i="5"/>
  <c r="S198" i="5" s="1"/>
  <c r="L196" i="5"/>
  <c r="G195" i="5"/>
  <c r="B194" i="5"/>
  <c r="S194" i="5" s="1"/>
  <c r="L192" i="5"/>
  <c r="G191" i="5"/>
  <c r="B190" i="5"/>
  <c r="S190" i="5" s="1"/>
  <c r="L188" i="5"/>
  <c r="G187" i="5"/>
  <c r="B186" i="5"/>
  <c r="S186" i="5" s="1"/>
  <c r="L184" i="5"/>
  <c r="G183" i="5"/>
  <c r="B182" i="5"/>
  <c r="S182" i="5" s="1"/>
  <c r="L180" i="5"/>
  <c r="G179" i="5"/>
  <c r="B178" i="5"/>
  <c r="S178" i="5" s="1"/>
  <c r="L176" i="5"/>
  <c r="G175" i="5"/>
  <c r="B174" i="5"/>
  <c r="S174" i="5" s="1"/>
  <c r="L172" i="5"/>
  <c r="G171" i="5"/>
  <c r="B170" i="5"/>
  <c r="S170" i="5" s="1"/>
  <c r="L168" i="5"/>
  <c r="G167" i="5"/>
  <c r="B166" i="5"/>
  <c r="S166" i="5" s="1"/>
  <c r="L164" i="5"/>
  <c r="G163" i="5"/>
  <c r="B162" i="5"/>
  <c r="S162" i="5" s="1"/>
  <c r="L160" i="5"/>
  <c r="G159" i="5"/>
  <c r="B158" i="5"/>
  <c r="S158" i="5" s="1"/>
  <c r="L156" i="5"/>
  <c r="G155" i="5"/>
  <c r="B154" i="5"/>
  <c r="S154" i="5" s="1"/>
  <c r="L152" i="5"/>
  <c r="G151" i="5"/>
  <c r="B150" i="5"/>
  <c r="S150" i="5" s="1"/>
  <c r="L148" i="5"/>
  <c r="G147" i="5"/>
  <c r="B146" i="5"/>
  <c r="S146" i="5" s="1"/>
  <c r="L144" i="5"/>
  <c r="G143" i="5"/>
  <c r="B142" i="5"/>
  <c r="S142" i="5" s="1"/>
  <c r="L140" i="5"/>
  <c r="G139" i="5"/>
  <c r="B138" i="5"/>
  <c r="S138" i="5" s="1"/>
  <c r="L136" i="5"/>
  <c r="G135" i="5"/>
  <c r="B134" i="5"/>
  <c r="S134" i="5" s="1"/>
  <c r="L132" i="5"/>
  <c r="G131" i="5"/>
  <c r="B130" i="5"/>
  <c r="S130" i="5" s="1"/>
  <c r="L128" i="5"/>
  <c r="G127" i="5"/>
  <c r="B126" i="5"/>
  <c r="S126" i="5" s="1"/>
  <c r="L124" i="5"/>
  <c r="G123" i="5"/>
  <c r="B122" i="5"/>
  <c r="S122" i="5" s="1"/>
  <c r="L120" i="5"/>
  <c r="G119" i="5"/>
  <c r="B118" i="5"/>
  <c r="S118" i="5" s="1"/>
  <c r="L116" i="5"/>
  <c r="G115" i="5"/>
  <c r="B114" i="5"/>
  <c r="S114" i="5" s="1"/>
  <c r="L112" i="5"/>
  <c r="G111" i="5"/>
  <c r="B110" i="5"/>
  <c r="S110" i="5" s="1"/>
  <c r="L108" i="5"/>
  <c r="G107" i="5"/>
  <c r="B106" i="5"/>
  <c r="S106" i="5" s="1"/>
  <c r="L104" i="5"/>
  <c r="G103" i="5"/>
  <c r="B102" i="5"/>
  <c r="S102" i="5" s="1"/>
  <c r="L100" i="5"/>
  <c r="G99" i="5"/>
  <c r="B98" i="5"/>
  <c r="S98" i="5" s="1"/>
  <c r="L96" i="5"/>
  <c r="K719" i="5"/>
  <c r="C714" i="5"/>
  <c r="G709" i="5"/>
  <c r="L702" i="5"/>
  <c r="B698" i="5"/>
  <c r="S698" i="5" s="1"/>
  <c r="G692" i="5"/>
  <c r="G687" i="5"/>
  <c r="R681" i="5"/>
  <c r="Q676" i="5"/>
  <c r="I672" i="5"/>
  <c r="L666" i="5"/>
  <c r="G662" i="5"/>
  <c r="Q656" i="5"/>
  <c r="K652" i="5"/>
  <c r="L647" i="5"/>
  <c r="I639" i="5"/>
  <c r="H634" i="5"/>
  <c r="C630" i="5"/>
  <c r="Q625" i="5"/>
  <c r="G621" i="5"/>
  <c r="R612" i="5"/>
  <c r="G609" i="5"/>
  <c r="G604" i="5"/>
  <c r="R600" i="5"/>
  <c r="H596" i="5"/>
  <c r="I592" i="5"/>
  <c r="I588" i="5"/>
  <c r="G584" i="5"/>
  <c r="L580" i="5"/>
  <c r="F576" i="5"/>
  <c r="K572" i="5"/>
  <c r="B568" i="5"/>
  <c r="S568" i="5" s="1"/>
  <c r="F564" i="5"/>
  <c r="F560" i="5"/>
  <c r="R556" i="5"/>
  <c r="R552" i="5"/>
  <c r="I548" i="5"/>
  <c r="R544" i="5"/>
  <c r="K540" i="5"/>
  <c r="C537" i="5"/>
  <c r="F533" i="5"/>
  <c r="R529" i="5"/>
  <c r="F527" i="5"/>
  <c r="D523" i="5"/>
  <c r="I520" i="5"/>
  <c r="A514" i="5"/>
  <c r="L510" i="5"/>
  <c r="K507" i="5"/>
  <c r="L504" i="5"/>
  <c r="C501" i="5"/>
  <c r="D498" i="5"/>
  <c r="R494" i="5"/>
  <c r="R491" i="5"/>
  <c r="Q488" i="5"/>
  <c r="D486" i="5"/>
  <c r="G483" i="5"/>
  <c r="D480" i="5"/>
  <c r="D477" i="5"/>
  <c r="A474" i="5"/>
  <c r="D471" i="5"/>
  <c r="C468" i="5"/>
  <c r="A465" i="5"/>
  <c r="I462" i="5"/>
  <c r="A459" i="5"/>
  <c r="K456" i="5"/>
  <c r="K453" i="5"/>
  <c r="E451" i="5"/>
  <c r="J448" i="5"/>
  <c r="B446" i="5"/>
  <c r="S446" i="5" s="1"/>
  <c r="K443" i="5"/>
  <c r="R440" i="5"/>
  <c r="H438" i="5"/>
  <c r="R435" i="5"/>
  <c r="L431" i="5"/>
  <c r="D429" i="5"/>
  <c r="E427" i="5"/>
  <c r="B425" i="5"/>
  <c r="S425" i="5" s="1"/>
  <c r="K422" i="5"/>
  <c r="Q420" i="5"/>
  <c r="L418" i="5"/>
  <c r="I416" i="5"/>
  <c r="H414" i="5"/>
  <c r="J412" i="5"/>
  <c r="D410" i="5"/>
  <c r="F408" i="5"/>
  <c r="E406" i="5"/>
  <c r="R403" i="5"/>
  <c r="A402" i="5"/>
  <c r="A400" i="5"/>
  <c r="R397" i="5"/>
  <c r="C394" i="5"/>
  <c r="R391" i="5"/>
  <c r="B390" i="5"/>
  <c r="S390" i="5" s="1"/>
  <c r="C388" i="5"/>
  <c r="A386" i="5"/>
  <c r="B384" i="5"/>
  <c r="S384" i="5" s="1"/>
  <c r="E382" i="5"/>
  <c r="A380" i="5"/>
  <c r="D378" i="5"/>
  <c r="G376" i="5"/>
  <c r="F374" i="5"/>
  <c r="I372" i="5"/>
  <c r="K370" i="5"/>
  <c r="A367" i="5"/>
  <c r="B365" i="5"/>
  <c r="S365" i="5" s="1"/>
  <c r="F363" i="5"/>
  <c r="H361" i="5"/>
  <c r="I359" i="5"/>
  <c r="L357" i="5"/>
  <c r="R355" i="5"/>
  <c r="C354" i="5"/>
  <c r="B352" i="5"/>
  <c r="S352" i="5" s="1"/>
  <c r="E350" i="5"/>
  <c r="I348" i="5"/>
  <c r="K346" i="5"/>
  <c r="L344" i="5"/>
  <c r="Q342" i="5"/>
  <c r="B341" i="5"/>
  <c r="S341" i="5" s="1"/>
  <c r="G339" i="5"/>
  <c r="L337" i="5"/>
  <c r="L335" i="5"/>
  <c r="B334" i="5"/>
  <c r="S334" i="5" s="1"/>
  <c r="G332" i="5"/>
  <c r="J330" i="5"/>
  <c r="C327" i="5"/>
  <c r="H325" i="5"/>
  <c r="R323" i="5"/>
  <c r="E322" i="5"/>
  <c r="K320" i="5"/>
  <c r="B319" i="5"/>
  <c r="S319" i="5" s="1"/>
  <c r="F317" i="5"/>
  <c r="Q315" i="5"/>
  <c r="E314" i="5"/>
  <c r="L312" i="5"/>
  <c r="E311" i="5"/>
  <c r="Q309" i="5"/>
  <c r="F308" i="5"/>
  <c r="I305" i="5"/>
  <c r="C304" i="5"/>
  <c r="L302" i="5"/>
  <c r="F301" i="5"/>
  <c r="R299" i="5"/>
  <c r="H298" i="5"/>
  <c r="B297" i="5"/>
  <c r="S297" i="5" s="1"/>
  <c r="K295" i="5"/>
  <c r="E294" i="5"/>
  <c r="R292" i="5"/>
  <c r="H291" i="5"/>
  <c r="B290" i="5"/>
  <c r="S290" i="5" s="1"/>
  <c r="K288" i="5"/>
  <c r="E287" i="5"/>
  <c r="R285" i="5"/>
  <c r="H284" i="5"/>
  <c r="B283" i="5"/>
  <c r="S283" i="5" s="1"/>
  <c r="K281" i="5"/>
  <c r="E280" i="5"/>
  <c r="R278" i="5"/>
  <c r="H277" i="5"/>
  <c r="B276" i="5"/>
  <c r="S276" i="5" s="1"/>
  <c r="K274" i="5"/>
  <c r="D273" i="5"/>
  <c r="Q271" i="5"/>
  <c r="G270" i="5"/>
  <c r="A269" i="5"/>
  <c r="J267" i="5"/>
  <c r="D266" i="5"/>
  <c r="Q264" i="5"/>
  <c r="G263" i="5"/>
  <c r="A262" i="5"/>
  <c r="J260" i="5"/>
  <c r="D259" i="5"/>
  <c r="Q257" i="5"/>
  <c r="G256" i="5"/>
  <c r="A255" i="5"/>
  <c r="J253" i="5"/>
  <c r="D252" i="5"/>
  <c r="Q250" i="5"/>
  <c r="G249" i="5"/>
  <c r="A248" i="5"/>
  <c r="I246" i="5"/>
  <c r="C245" i="5"/>
  <c r="L243" i="5"/>
  <c r="F242" i="5"/>
  <c r="I239" i="5"/>
  <c r="C238" i="5"/>
  <c r="L236" i="5"/>
  <c r="F235" i="5"/>
  <c r="I232" i="5"/>
  <c r="C231" i="5"/>
  <c r="L229" i="5"/>
  <c r="F228" i="5"/>
  <c r="I225" i="5"/>
  <c r="C224" i="5"/>
  <c r="L222" i="5"/>
  <c r="F221" i="5"/>
  <c r="R219" i="5"/>
  <c r="H218" i="5"/>
  <c r="B217" i="5"/>
  <c r="S217" i="5" s="1"/>
  <c r="K215" i="5"/>
  <c r="E214" i="5"/>
  <c r="R212" i="5"/>
  <c r="H211" i="5"/>
  <c r="B210" i="5"/>
  <c r="S210" i="5" s="1"/>
  <c r="K208" i="5"/>
  <c r="F207" i="5"/>
  <c r="A206" i="5"/>
  <c r="K204" i="5"/>
  <c r="F203" i="5"/>
  <c r="A202" i="5"/>
  <c r="K200" i="5"/>
  <c r="F199" i="5"/>
  <c r="A198" i="5"/>
  <c r="K196" i="5"/>
  <c r="F195" i="5"/>
  <c r="A194" i="5"/>
  <c r="K192" i="5"/>
  <c r="F191" i="5"/>
  <c r="A190" i="5"/>
  <c r="K188" i="5"/>
  <c r="F187" i="5"/>
  <c r="A186" i="5"/>
  <c r="K184" i="5"/>
  <c r="F183" i="5"/>
  <c r="A182" i="5"/>
  <c r="K180" i="5"/>
  <c r="F179" i="5"/>
  <c r="A178" i="5"/>
  <c r="K176" i="5"/>
  <c r="F175" i="5"/>
  <c r="A174" i="5"/>
  <c r="K172" i="5"/>
  <c r="F171" i="5"/>
  <c r="A170" i="5"/>
  <c r="K168" i="5"/>
  <c r="F167" i="5"/>
  <c r="A166" i="5"/>
  <c r="K164" i="5"/>
  <c r="F163" i="5"/>
  <c r="A162" i="5"/>
  <c r="K160" i="5"/>
  <c r="F159" i="5"/>
  <c r="A158" i="5"/>
  <c r="K156" i="5"/>
  <c r="F155" i="5"/>
  <c r="A154" i="5"/>
  <c r="K152" i="5"/>
  <c r="F151" i="5"/>
  <c r="A150" i="5"/>
  <c r="K148" i="5"/>
  <c r="F147" i="5"/>
  <c r="A146" i="5"/>
  <c r="K144" i="5"/>
  <c r="F143" i="5"/>
  <c r="A142" i="5"/>
  <c r="K140" i="5"/>
  <c r="F139" i="5"/>
  <c r="A138" i="5"/>
  <c r="K136" i="5"/>
  <c r="F135" i="5"/>
  <c r="A134" i="5"/>
  <c r="K132" i="5"/>
  <c r="F131" i="5"/>
  <c r="A130" i="5"/>
  <c r="K128" i="5"/>
  <c r="F127" i="5"/>
  <c r="A126" i="5"/>
  <c r="K124" i="5"/>
  <c r="F123" i="5"/>
  <c r="A122" i="5"/>
  <c r="K120" i="5"/>
  <c r="F119" i="5"/>
  <c r="A118" i="5"/>
  <c r="K116" i="5"/>
  <c r="F115" i="5"/>
  <c r="A114" i="5"/>
  <c r="K112" i="5"/>
  <c r="F111" i="5"/>
  <c r="A110" i="5"/>
  <c r="K108" i="5"/>
  <c r="F107" i="5"/>
  <c r="A106" i="5"/>
  <c r="K104" i="5"/>
  <c r="F103" i="5"/>
  <c r="A102" i="5"/>
  <c r="K100" i="5"/>
  <c r="F99" i="5"/>
  <c r="A98" i="5"/>
  <c r="C719" i="5"/>
  <c r="B714" i="5"/>
  <c r="S714" i="5" s="1"/>
  <c r="H708" i="5"/>
  <c r="H702" i="5"/>
  <c r="R697" i="5"/>
  <c r="K691" i="5"/>
  <c r="D687" i="5"/>
  <c r="K681" i="5"/>
  <c r="J676" i="5"/>
  <c r="I671" i="5"/>
  <c r="H666" i="5"/>
  <c r="F662" i="5"/>
  <c r="J656" i="5"/>
  <c r="J652" i="5"/>
  <c r="I647" i="5"/>
  <c r="I643" i="5"/>
  <c r="E639" i="5"/>
  <c r="G634" i="5"/>
  <c r="A630" i="5"/>
  <c r="D625" i="5"/>
  <c r="E621" i="5"/>
  <c r="K616" i="5"/>
  <c r="Q612" i="5"/>
  <c r="G608" i="5"/>
  <c r="F604" i="5"/>
  <c r="Q600" i="5"/>
  <c r="J595" i="5"/>
  <c r="H592" i="5"/>
  <c r="F588" i="5"/>
  <c r="F584" i="5"/>
  <c r="H580" i="5"/>
  <c r="B576" i="5"/>
  <c r="S576" i="5" s="1"/>
  <c r="J572" i="5"/>
  <c r="A568" i="5"/>
  <c r="B564" i="5"/>
  <c r="S564" i="5" s="1"/>
  <c r="Q556" i="5"/>
  <c r="J552" i="5"/>
  <c r="H548" i="5"/>
  <c r="Q544" i="5"/>
  <c r="J540" i="5"/>
  <c r="B537" i="5"/>
  <c r="S537" i="5" s="1"/>
  <c r="R532" i="5"/>
  <c r="Q529" i="5"/>
  <c r="G526" i="5"/>
  <c r="C523" i="5"/>
  <c r="H520" i="5"/>
  <c r="I516" i="5"/>
  <c r="I510" i="5"/>
  <c r="J507" i="5"/>
  <c r="E504" i="5"/>
  <c r="B501" i="5"/>
  <c r="S501" i="5" s="1"/>
  <c r="C498" i="5"/>
  <c r="Q494" i="5"/>
  <c r="Q491" i="5"/>
  <c r="J488" i="5"/>
  <c r="C486" i="5"/>
  <c r="C483" i="5"/>
  <c r="C480" i="5"/>
  <c r="C477" i="5"/>
  <c r="C471" i="5"/>
  <c r="L467" i="5"/>
  <c r="J456" i="5"/>
  <c r="E453" i="5"/>
  <c r="D451" i="5"/>
  <c r="G448" i="5"/>
  <c r="A446" i="5"/>
  <c r="G443" i="5"/>
  <c r="Q440" i="5"/>
  <c r="G438" i="5"/>
  <c r="Q435" i="5"/>
  <c r="R433" i="5"/>
  <c r="K431" i="5"/>
  <c r="C429" i="5"/>
  <c r="D427" i="5"/>
  <c r="A425" i="5"/>
  <c r="J422" i="5"/>
  <c r="L420" i="5"/>
  <c r="K418" i="5"/>
  <c r="H416" i="5"/>
  <c r="G414" i="5"/>
  <c r="I412" i="5"/>
  <c r="C410" i="5"/>
  <c r="B408" i="5"/>
  <c r="S408" i="5" s="1"/>
  <c r="D406" i="5"/>
  <c r="Q403" i="5"/>
  <c r="Q397" i="5"/>
  <c r="R395" i="5"/>
  <c r="B394" i="5"/>
  <c r="S394" i="5" s="1"/>
  <c r="Q391" i="5"/>
  <c r="A390" i="5"/>
  <c r="B388" i="5"/>
  <c r="S388" i="5" s="1"/>
  <c r="A384" i="5"/>
  <c r="D382" i="5"/>
  <c r="C378" i="5"/>
  <c r="F376" i="5"/>
  <c r="E374" i="5"/>
  <c r="H372" i="5"/>
  <c r="J370" i="5"/>
  <c r="R368" i="5"/>
  <c r="Q366" i="5"/>
  <c r="A365" i="5"/>
  <c r="E363" i="5"/>
  <c r="G361" i="5"/>
  <c r="H359" i="5"/>
  <c r="K357" i="5"/>
  <c r="Q355" i="5"/>
  <c r="B354" i="5"/>
  <c r="S354" i="5" s="1"/>
  <c r="A352" i="5"/>
  <c r="D350" i="5"/>
  <c r="H348" i="5"/>
  <c r="J346" i="5"/>
  <c r="K344" i="5"/>
  <c r="L342" i="5"/>
  <c r="A341" i="5"/>
  <c r="F339" i="5"/>
  <c r="F337" i="5"/>
  <c r="K335" i="5"/>
  <c r="A334" i="5"/>
  <c r="F332" i="5"/>
  <c r="I330" i="5"/>
  <c r="R328" i="5"/>
  <c r="B327" i="5"/>
  <c r="S327" i="5" s="1"/>
  <c r="G325" i="5"/>
  <c r="Q323" i="5"/>
  <c r="D322" i="5"/>
  <c r="J320" i="5"/>
  <c r="A319" i="5"/>
  <c r="E317" i="5"/>
  <c r="L315" i="5"/>
  <c r="D314" i="5"/>
  <c r="K312" i="5"/>
  <c r="D311" i="5"/>
  <c r="L309" i="5"/>
  <c r="E308" i="5"/>
  <c r="R306" i="5"/>
  <c r="H305" i="5"/>
  <c r="B304" i="5"/>
  <c r="S304" i="5" s="1"/>
  <c r="K302" i="5"/>
  <c r="D301" i="5"/>
  <c r="Q299" i="5"/>
  <c r="G298" i="5"/>
  <c r="A297" i="5"/>
  <c r="J295" i="5"/>
  <c r="D294" i="5"/>
  <c r="Q292" i="5"/>
  <c r="G291" i="5"/>
  <c r="A290" i="5"/>
  <c r="J288" i="5"/>
  <c r="D287" i="5"/>
  <c r="Q285" i="5"/>
  <c r="G284" i="5"/>
  <c r="A283" i="5"/>
  <c r="J281" i="5"/>
  <c r="D280" i="5"/>
  <c r="Q278" i="5"/>
  <c r="G277" i="5"/>
  <c r="A276" i="5"/>
  <c r="I274" i="5"/>
  <c r="C273" i="5"/>
  <c r="L271" i="5"/>
  <c r="F270" i="5"/>
  <c r="I267" i="5"/>
  <c r="C266" i="5"/>
  <c r="L264" i="5"/>
  <c r="F263" i="5"/>
  <c r="I260" i="5"/>
  <c r="C259" i="5"/>
  <c r="L257" i="5"/>
  <c r="F256" i="5"/>
  <c r="I253" i="5"/>
  <c r="C252" i="5"/>
  <c r="L250" i="5"/>
  <c r="F249" i="5"/>
  <c r="R247" i="5"/>
  <c r="H246" i="5"/>
  <c r="B245" i="5"/>
  <c r="S245" i="5" s="1"/>
  <c r="K243" i="5"/>
  <c r="E242" i="5"/>
  <c r="R240" i="5"/>
  <c r="H239" i="5"/>
  <c r="B238" i="5"/>
  <c r="S238" i="5" s="1"/>
  <c r="K236" i="5"/>
  <c r="E235" i="5"/>
  <c r="R233" i="5"/>
  <c r="H232" i="5"/>
  <c r="B231" i="5"/>
  <c r="S231" i="5" s="1"/>
  <c r="K229" i="5"/>
  <c r="E228" i="5"/>
  <c r="R226" i="5"/>
  <c r="H225" i="5"/>
  <c r="B224" i="5"/>
  <c r="S224" i="5" s="1"/>
  <c r="K222" i="5"/>
  <c r="D221" i="5"/>
  <c r="Q219" i="5"/>
  <c r="G218" i="5"/>
  <c r="A217" i="5"/>
  <c r="J215" i="5"/>
  <c r="D214" i="5"/>
  <c r="Q212" i="5"/>
  <c r="G211" i="5"/>
  <c r="A210" i="5"/>
  <c r="J208" i="5"/>
  <c r="E207" i="5"/>
  <c r="J204" i="5"/>
  <c r="E203" i="5"/>
  <c r="J200" i="5"/>
  <c r="E199" i="5"/>
  <c r="J196" i="5"/>
  <c r="E195" i="5"/>
  <c r="J192" i="5"/>
  <c r="E191" i="5"/>
  <c r="J188" i="5"/>
  <c r="E187" i="5"/>
  <c r="J184" i="5"/>
  <c r="E183" i="5"/>
  <c r="J180" i="5"/>
  <c r="E179" i="5"/>
  <c r="J176" i="5"/>
  <c r="E175" i="5"/>
  <c r="J172" i="5"/>
  <c r="E171" i="5"/>
  <c r="J168" i="5"/>
  <c r="E167" i="5"/>
  <c r="J164" i="5"/>
  <c r="E163" i="5"/>
  <c r="J160" i="5"/>
  <c r="E159" i="5"/>
  <c r="J156" i="5"/>
  <c r="E155" i="5"/>
  <c r="J152" i="5"/>
  <c r="E151" i="5"/>
  <c r="J148" i="5"/>
  <c r="E147" i="5"/>
  <c r="J144" i="5"/>
  <c r="E143" i="5"/>
  <c r="J140" i="5"/>
  <c r="E139" i="5"/>
  <c r="J136" i="5"/>
  <c r="E135" i="5"/>
  <c r="J132" i="5"/>
  <c r="E131" i="5"/>
  <c r="J128" i="5"/>
  <c r="E127" i="5"/>
  <c r="J124" i="5"/>
  <c r="E123" i="5"/>
  <c r="J120" i="5"/>
  <c r="B719" i="5"/>
  <c r="S719" i="5" s="1"/>
  <c r="A714" i="5"/>
  <c r="F708" i="5"/>
  <c r="G702" i="5"/>
  <c r="Q697" i="5"/>
  <c r="J691" i="5"/>
  <c r="C687" i="5"/>
  <c r="G681" i="5"/>
  <c r="I676" i="5"/>
  <c r="G671" i="5"/>
  <c r="G666" i="5"/>
  <c r="I656" i="5"/>
  <c r="I652" i="5"/>
  <c r="H647" i="5"/>
  <c r="B643" i="5"/>
  <c r="S643" i="5" s="1"/>
  <c r="C638" i="5"/>
  <c r="F634" i="5"/>
  <c r="C625" i="5"/>
  <c r="D621" i="5"/>
  <c r="J616" i="5"/>
  <c r="L612" i="5"/>
  <c r="B608" i="5"/>
  <c r="S608" i="5" s="1"/>
  <c r="B604" i="5"/>
  <c r="S604" i="5" s="1"/>
  <c r="L600" i="5"/>
  <c r="I595" i="5"/>
  <c r="G592" i="5"/>
  <c r="B588" i="5"/>
  <c r="S588" i="5" s="1"/>
  <c r="B584" i="5"/>
  <c r="S584" i="5" s="1"/>
  <c r="R579" i="5"/>
  <c r="A576" i="5"/>
  <c r="I572" i="5"/>
  <c r="A564" i="5"/>
  <c r="R559" i="5"/>
  <c r="R555" i="5"/>
  <c r="K551" i="5"/>
  <c r="F548" i="5"/>
  <c r="L544" i="5"/>
  <c r="I540" i="5"/>
  <c r="A537" i="5"/>
  <c r="Q532" i="5"/>
  <c r="L529" i="5"/>
  <c r="E526" i="5"/>
  <c r="B523" i="5"/>
  <c r="S523" i="5" s="1"/>
  <c r="G520" i="5"/>
  <c r="H516" i="5"/>
  <c r="R513" i="5"/>
  <c r="H510" i="5"/>
  <c r="I507" i="5"/>
  <c r="B504" i="5"/>
  <c r="S504" i="5" s="1"/>
  <c r="A501" i="5"/>
  <c r="B498" i="5"/>
  <c r="S498" i="5" s="1"/>
  <c r="I494" i="5"/>
  <c r="L491" i="5"/>
  <c r="I488" i="5"/>
  <c r="L485" i="5"/>
  <c r="H482" i="5"/>
  <c r="R479" i="5"/>
  <c r="B477" i="5"/>
  <c r="S477" i="5" s="1"/>
  <c r="R473" i="5"/>
  <c r="B471" i="5"/>
  <c r="S471" i="5" s="1"/>
  <c r="K467" i="5"/>
  <c r="R464" i="5"/>
  <c r="Q461" i="5"/>
  <c r="R458" i="5"/>
  <c r="I456" i="5"/>
  <c r="D453" i="5"/>
  <c r="C451" i="5"/>
  <c r="F448" i="5"/>
  <c r="E443" i="5"/>
  <c r="L440" i="5"/>
  <c r="F438" i="5"/>
  <c r="L435" i="5"/>
  <c r="Q433" i="5"/>
  <c r="J431" i="5"/>
  <c r="B429" i="5"/>
  <c r="S429" i="5" s="1"/>
  <c r="C427" i="5"/>
  <c r="I422" i="5"/>
  <c r="K420" i="5"/>
  <c r="J418" i="5"/>
  <c r="G416" i="5"/>
  <c r="F414" i="5"/>
  <c r="H412" i="5"/>
  <c r="B410" i="5"/>
  <c r="S410" i="5" s="1"/>
  <c r="A408" i="5"/>
  <c r="C406" i="5"/>
  <c r="L403" i="5"/>
  <c r="R401" i="5"/>
  <c r="R399" i="5"/>
  <c r="L397" i="5"/>
  <c r="Q395" i="5"/>
  <c r="A394" i="5"/>
  <c r="L391" i="5"/>
  <c r="A388" i="5"/>
  <c r="R385" i="5"/>
  <c r="C382" i="5"/>
  <c r="R379" i="5"/>
  <c r="B378" i="5"/>
  <c r="S378" i="5" s="1"/>
  <c r="C376" i="5"/>
  <c r="C374" i="5"/>
  <c r="G372" i="5"/>
  <c r="I370" i="5"/>
  <c r="Q368" i="5"/>
  <c r="K366" i="5"/>
  <c r="D363" i="5"/>
  <c r="F361" i="5"/>
  <c r="F359" i="5"/>
  <c r="H357" i="5"/>
  <c r="L355" i="5"/>
  <c r="A354" i="5"/>
  <c r="R351" i="5"/>
  <c r="C350" i="5"/>
  <c r="G348" i="5"/>
  <c r="I346" i="5"/>
  <c r="I344" i="5"/>
  <c r="K342" i="5"/>
  <c r="E339" i="5"/>
  <c r="E337" i="5"/>
  <c r="J335" i="5"/>
  <c r="C332" i="5"/>
  <c r="H330" i="5"/>
  <c r="Q328" i="5"/>
  <c r="A327" i="5"/>
  <c r="F325" i="5"/>
  <c r="L323" i="5"/>
  <c r="C322" i="5"/>
  <c r="I320" i="5"/>
  <c r="L318" i="5"/>
  <c r="D317" i="5"/>
  <c r="K315" i="5"/>
  <c r="C314" i="5"/>
  <c r="J312" i="5"/>
  <c r="C311" i="5"/>
  <c r="K309" i="5"/>
  <c r="D308" i="5"/>
  <c r="Q306" i="5"/>
  <c r="G305" i="5"/>
  <c r="A304" i="5"/>
  <c r="I302" i="5"/>
  <c r="C301" i="5"/>
  <c r="L299" i="5"/>
  <c r="F298" i="5"/>
  <c r="I295" i="5"/>
  <c r="C294" i="5"/>
  <c r="L292" i="5"/>
  <c r="F291" i="5"/>
  <c r="I288" i="5"/>
  <c r="C287" i="5"/>
  <c r="L285" i="5"/>
  <c r="F284" i="5"/>
  <c r="I281" i="5"/>
  <c r="C280" i="5"/>
  <c r="L278" i="5"/>
  <c r="F277" i="5"/>
  <c r="R275" i="5"/>
  <c r="H274" i="5"/>
  <c r="B273" i="5"/>
  <c r="S273" i="5" s="1"/>
  <c r="K271" i="5"/>
  <c r="D718" i="5"/>
  <c r="J712" i="5"/>
  <c r="A707" i="5"/>
  <c r="G701" i="5"/>
  <c r="J695" i="5"/>
  <c r="H690" i="5"/>
  <c r="Q679" i="5"/>
  <c r="L674" i="5"/>
  <c r="R669" i="5"/>
  <c r="B666" i="5"/>
  <c r="S666" i="5" s="1"/>
  <c r="L659" i="5"/>
  <c r="C651" i="5"/>
  <c r="H646" i="5"/>
  <c r="K637" i="5"/>
  <c r="A633" i="5"/>
  <c r="B628" i="5"/>
  <c r="S628" i="5" s="1"/>
  <c r="G624" i="5"/>
  <c r="I619" i="5"/>
  <c r="B616" i="5"/>
  <c r="S616" i="5" s="1"/>
  <c r="J611" i="5"/>
  <c r="I607" i="5"/>
  <c r="F603" i="5"/>
  <c r="K598" i="5"/>
  <c r="C595" i="5"/>
  <c r="I590" i="5"/>
  <c r="B587" i="5"/>
  <c r="S587" i="5" s="1"/>
  <c r="K582" i="5"/>
  <c r="A579" i="5"/>
  <c r="K575" i="5"/>
  <c r="H570" i="5"/>
  <c r="F567" i="5"/>
  <c r="D563" i="5"/>
  <c r="D559" i="5"/>
  <c r="F555" i="5"/>
  <c r="C551" i="5"/>
  <c r="H547" i="5"/>
  <c r="D543" i="5"/>
  <c r="K539" i="5"/>
  <c r="H535" i="5"/>
  <c r="H532" i="5"/>
  <c r="B529" i="5"/>
  <c r="S529" i="5" s="1"/>
  <c r="H525" i="5"/>
  <c r="G522" i="5"/>
  <c r="B519" i="5"/>
  <c r="S519" i="5" s="1"/>
  <c r="B516" i="5"/>
  <c r="S516" i="5" s="1"/>
  <c r="I512" i="5"/>
  <c r="J509" i="5"/>
  <c r="G506" i="5"/>
  <c r="E503" i="5"/>
  <c r="K500" i="5"/>
  <c r="L496" i="5"/>
  <c r="D494" i="5"/>
  <c r="A491" i="5"/>
  <c r="D488" i="5"/>
  <c r="A485" i="5"/>
  <c r="A482" i="5"/>
  <c r="D479" i="5"/>
  <c r="Q475" i="5"/>
  <c r="A473" i="5"/>
  <c r="Q469" i="5"/>
  <c r="F467" i="5"/>
  <c r="F464" i="5"/>
  <c r="C461" i="5"/>
  <c r="G458" i="5"/>
  <c r="F455" i="5"/>
  <c r="R452" i="5"/>
  <c r="B450" i="5"/>
  <c r="S450" i="5" s="1"/>
  <c r="K447" i="5"/>
  <c r="B445" i="5"/>
  <c r="S445" i="5" s="1"/>
  <c r="H442" i="5"/>
  <c r="G440" i="5"/>
  <c r="K437" i="5"/>
  <c r="G435" i="5"/>
  <c r="D433" i="5"/>
  <c r="K430" i="5"/>
  <c r="L428" i="5"/>
  <c r="I426" i="5"/>
  <c r="B424" i="5"/>
  <c r="S424" i="5" s="1"/>
  <c r="D422" i="5"/>
  <c r="F420" i="5"/>
  <c r="R415" i="5"/>
  <c r="A414" i="5"/>
  <c r="J411" i="5"/>
  <c r="L409" i="5"/>
  <c r="K407" i="5"/>
  <c r="E405" i="5"/>
  <c r="G403" i="5"/>
  <c r="F401" i="5"/>
  <c r="D399" i="5"/>
  <c r="E397" i="5"/>
  <c r="H395" i="5"/>
  <c r="D393" i="5"/>
  <c r="G391" i="5"/>
  <c r="H389" i="5"/>
  <c r="F387" i="5"/>
  <c r="G385" i="5"/>
  <c r="J383" i="5"/>
  <c r="F381" i="5"/>
  <c r="I379" i="5"/>
  <c r="L377" i="5"/>
  <c r="I375" i="5"/>
  <c r="Q373" i="5"/>
  <c r="A370" i="5"/>
  <c r="B368" i="5"/>
  <c r="S368" i="5" s="1"/>
  <c r="F366" i="5"/>
  <c r="J364" i="5"/>
  <c r="I362" i="5"/>
  <c r="L360" i="5"/>
  <c r="A359" i="5"/>
  <c r="C357" i="5"/>
  <c r="D355" i="5"/>
  <c r="E353" i="5"/>
  <c r="I351" i="5"/>
  <c r="Q349" i="5"/>
  <c r="L347" i="5"/>
  <c r="B344" i="5"/>
  <c r="S344" i="5" s="1"/>
  <c r="F342" i="5"/>
  <c r="G340" i="5"/>
  <c r="J338" i="5"/>
  <c r="E335" i="5"/>
  <c r="H333" i="5"/>
  <c r="Q331" i="5"/>
  <c r="E328" i="5"/>
  <c r="J326" i="5"/>
  <c r="A325" i="5"/>
  <c r="G323" i="5"/>
  <c r="Q321" i="5"/>
  <c r="G318" i="5"/>
  <c r="R316" i="5"/>
  <c r="F315" i="5"/>
  <c r="Q313" i="5"/>
  <c r="E312" i="5"/>
  <c r="Q310" i="5"/>
  <c r="F309" i="5"/>
  <c r="Q307" i="5"/>
  <c r="G306" i="5"/>
  <c r="A305" i="5"/>
  <c r="J303" i="5"/>
  <c r="D302" i="5"/>
  <c r="Q300" i="5"/>
  <c r="G299" i="5"/>
  <c r="A298" i="5"/>
  <c r="J296" i="5"/>
  <c r="D295" i="5"/>
  <c r="Q293" i="5"/>
  <c r="G292" i="5"/>
  <c r="A291" i="5"/>
  <c r="J289" i="5"/>
  <c r="E715" i="5"/>
  <c r="D710" i="5"/>
  <c r="I704" i="5"/>
  <c r="A699" i="5"/>
  <c r="R693" i="5"/>
  <c r="F688" i="5"/>
  <c r="D683" i="5"/>
  <c r="K677" i="5"/>
  <c r="Q672" i="5"/>
  <c r="K667" i="5"/>
  <c r="E663" i="5"/>
  <c r="C659" i="5"/>
  <c r="G653" i="5"/>
  <c r="E649" i="5"/>
  <c r="H644" i="5"/>
  <c r="Q639" i="5"/>
  <c r="D635" i="5"/>
  <c r="A631" i="5"/>
  <c r="G627" i="5"/>
  <c r="G618" i="5"/>
  <c r="B614" i="5"/>
  <c r="S614" i="5" s="1"/>
  <c r="R609" i="5"/>
  <c r="D605" i="5"/>
  <c r="C601" i="5"/>
  <c r="K597" i="5"/>
  <c r="B593" i="5"/>
  <c r="S593" i="5" s="1"/>
  <c r="C589" i="5"/>
  <c r="A585" i="5"/>
  <c r="A581" i="5"/>
  <c r="Q576" i="5"/>
  <c r="E573" i="5"/>
  <c r="Q569" i="5"/>
  <c r="D565" i="5"/>
  <c r="L561" i="5"/>
  <c r="C557" i="5"/>
  <c r="D553" i="5"/>
  <c r="D549" i="5"/>
  <c r="C545" i="5"/>
  <c r="C542" i="5"/>
  <c r="G537" i="5"/>
  <c r="G534" i="5"/>
  <c r="K530" i="5"/>
  <c r="J527" i="5"/>
  <c r="Q520" i="5"/>
  <c r="R517" i="5"/>
  <c r="H514" i="5"/>
  <c r="F511" i="5"/>
  <c r="A505" i="5"/>
  <c r="Q501" i="5"/>
  <c r="B499" i="5"/>
  <c r="S499" i="5" s="1"/>
  <c r="R495" i="5"/>
  <c r="K492" i="5"/>
  <c r="R489" i="5"/>
  <c r="H486" i="5"/>
  <c r="K483" i="5"/>
  <c r="J480" i="5"/>
  <c r="K477" i="5"/>
  <c r="D475" i="5"/>
  <c r="H471" i="5"/>
  <c r="A469" i="5"/>
  <c r="Q465" i="5"/>
  <c r="A463" i="5"/>
  <c r="L459" i="5"/>
  <c r="F454" i="5"/>
  <c r="I451" i="5"/>
  <c r="C449" i="5"/>
  <c r="F446" i="5"/>
  <c r="E441" i="5"/>
  <c r="B439" i="5"/>
  <c r="S439" i="5" s="1"/>
  <c r="L436" i="5"/>
  <c r="D434" i="5"/>
  <c r="A432" i="5"/>
  <c r="B430" i="5"/>
  <c r="S430" i="5" s="1"/>
  <c r="I427" i="5"/>
  <c r="F425" i="5"/>
  <c r="H423" i="5"/>
  <c r="B421" i="5"/>
  <c r="S421" i="5" s="1"/>
  <c r="D419" i="5"/>
  <c r="C417" i="5"/>
  <c r="L414" i="5"/>
  <c r="R412" i="5"/>
  <c r="H718" i="5"/>
  <c r="A711" i="5"/>
  <c r="J703" i="5"/>
  <c r="I695" i="5"/>
  <c r="H688" i="5"/>
  <c r="G680" i="5"/>
  <c r="C674" i="5"/>
  <c r="F666" i="5"/>
  <c r="I659" i="5"/>
  <c r="D653" i="5"/>
  <c r="G646" i="5"/>
  <c r="B640" i="5"/>
  <c r="S640" i="5" s="1"/>
  <c r="C633" i="5"/>
  <c r="K627" i="5"/>
  <c r="C621" i="5"/>
  <c r="D615" i="5"/>
  <c r="Q609" i="5"/>
  <c r="E603" i="5"/>
  <c r="Q597" i="5"/>
  <c r="G591" i="5"/>
  <c r="I586" i="5"/>
  <c r="J579" i="5"/>
  <c r="F574" i="5"/>
  <c r="F569" i="5"/>
  <c r="C563" i="5"/>
  <c r="G557" i="5"/>
  <c r="E551" i="5"/>
  <c r="D546" i="5"/>
  <c r="H540" i="5"/>
  <c r="E535" i="5"/>
  <c r="E530" i="5"/>
  <c r="G525" i="5"/>
  <c r="E516" i="5"/>
  <c r="C512" i="5"/>
  <c r="H507" i="5"/>
  <c r="Q502" i="5"/>
  <c r="A499" i="5"/>
  <c r="C494" i="5"/>
  <c r="A490" i="5"/>
  <c r="I485" i="5"/>
  <c r="K481" i="5"/>
  <c r="Q476" i="5"/>
  <c r="Q472" i="5"/>
  <c r="K463" i="5"/>
  <c r="F460" i="5"/>
  <c r="H455" i="5"/>
  <c r="K444" i="5"/>
  <c r="B441" i="5"/>
  <c r="S441" i="5" s="1"/>
  <c r="E437" i="5"/>
  <c r="G434" i="5"/>
  <c r="B431" i="5"/>
  <c r="S431" i="5" s="1"/>
  <c r="G428" i="5"/>
  <c r="K424" i="5"/>
  <c r="A422" i="5"/>
  <c r="C419" i="5"/>
  <c r="Q415" i="5"/>
  <c r="A413" i="5"/>
  <c r="C407" i="5"/>
  <c r="L404" i="5"/>
  <c r="L401" i="5"/>
  <c r="A399" i="5"/>
  <c r="G396" i="5"/>
  <c r="H393" i="5"/>
  <c r="D391" i="5"/>
  <c r="J388" i="5"/>
  <c r="L385" i="5"/>
  <c r="B383" i="5"/>
  <c r="S383" i="5" s="1"/>
  <c r="Q380" i="5"/>
  <c r="F375" i="5"/>
  <c r="G370" i="5"/>
  <c r="R367" i="5"/>
  <c r="H365" i="5"/>
  <c r="B363" i="5"/>
  <c r="S363" i="5" s="1"/>
  <c r="I360" i="5"/>
  <c r="C358" i="5"/>
  <c r="J355" i="5"/>
  <c r="B353" i="5"/>
  <c r="S353" i="5" s="1"/>
  <c r="K350" i="5"/>
  <c r="C348" i="5"/>
  <c r="L345" i="5"/>
  <c r="F343" i="5"/>
  <c r="Q340" i="5"/>
  <c r="G338" i="5"/>
  <c r="G336" i="5"/>
  <c r="Q333" i="5"/>
  <c r="G331" i="5"/>
  <c r="E329" i="5"/>
  <c r="Q326" i="5"/>
  <c r="Q324" i="5"/>
  <c r="J322" i="5"/>
  <c r="G320" i="5"/>
  <c r="D318" i="5"/>
  <c r="F316" i="5"/>
  <c r="A314" i="5"/>
  <c r="B312" i="5"/>
  <c r="S312" i="5" s="1"/>
  <c r="C310" i="5"/>
  <c r="B308" i="5"/>
  <c r="S308" i="5" s="1"/>
  <c r="D306" i="5"/>
  <c r="H304" i="5"/>
  <c r="G302" i="5"/>
  <c r="J300" i="5"/>
  <c r="R298" i="5"/>
  <c r="Q296" i="5"/>
  <c r="A295" i="5"/>
  <c r="D293" i="5"/>
  <c r="D291" i="5"/>
  <c r="G289" i="5"/>
  <c r="K287" i="5"/>
  <c r="A286" i="5"/>
  <c r="B284" i="5"/>
  <c r="S284" i="5" s="1"/>
  <c r="F282" i="5"/>
  <c r="K280" i="5"/>
  <c r="A279" i="5"/>
  <c r="A277" i="5"/>
  <c r="F275" i="5"/>
  <c r="K273" i="5"/>
  <c r="A272" i="5"/>
  <c r="B270" i="5"/>
  <c r="S270" i="5" s="1"/>
  <c r="H268" i="5"/>
  <c r="R266" i="5"/>
  <c r="D265" i="5"/>
  <c r="J263" i="5"/>
  <c r="Q261" i="5"/>
  <c r="D260" i="5"/>
  <c r="I258" i="5"/>
  <c r="F255" i="5"/>
  <c r="L253" i="5"/>
  <c r="R251" i="5"/>
  <c r="E250" i="5"/>
  <c r="K248" i="5"/>
  <c r="B247" i="5"/>
  <c r="S247" i="5" s="1"/>
  <c r="H245" i="5"/>
  <c r="J243" i="5"/>
  <c r="A242" i="5"/>
  <c r="G240" i="5"/>
  <c r="Q238" i="5"/>
  <c r="C237" i="5"/>
  <c r="I235" i="5"/>
  <c r="L233" i="5"/>
  <c r="C232" i="5"/>
  <c r="H230" i="5"/>
  <c r="R228" i="5"/>
  <c r="E227" i="5"/>
  <c r="K225" i="5"/>
  <c r="Q223" i="5"/>
  <c r="D222" i="5"/>
  <c r="J220" i="5"/>
  <c r="A219" i="5"/>
  <c r="G217" i="5"/>
  <c r="I215" i="5"/>
  <c r="F212" i="5"/>
  <c r="L210" i="5"/>
  <c r="B209" i="5"/>
  <c r="S209" i="5" s="1"/>
  <c r="I207" i="5"/>
  <c r="Q205" i="5"/>
  <c r="E204" i="5"/>
  <c r="L202" i="5"/>
  <c r="D201" i="5"/>
  <c r="K199" i="5"/>
  <c r="C198" i="5"/>
  <c r="G196" i="5"/>
  <c r="R194" i="5"/>
  <c r="F193" i="5"/>
  <c r="Q191" i="5"/>
  <c r="E190" i="5"/>
  <c r="I188" i="5"/>
  <c r="A187" i="5"/>
  <c r="H185" i="5"/>
  <c r="G182" i="5"/>
  <c r="R180" i="5"/>
  <c r="C179" i="5"/>
  <c r="J177" i="5"/>
  <c r="B176" i="5"/>
  <c r="S176" i="5" s="1"/>
  <c r="I174" i="5"/>
  <c r="A173" i="5"/>
  <c r="H171" i="5"/>
  <c r="L169" i="5"/>
  <c r="D168" i="5"/>
  <c r="K166" i="5"/>
  <c r="C165" i="5"/>
  <c r="J163" i="5"/>
  <c r="R161" i="5"/>
  <c r="F160" i="5"/>
  <c r="Q158" i="5"/>
  <c r="E157" i="5"/>
  <c r="L155" i="5"/>
  <c r="D154" i="5"/>
  <c r="H152" i="5"/>
  <c r="G149" i="5"/>
  <c r="R147" i="5"/>
  <c r="F146" i="5"/>
  <c r="Q144" i="5"/>
  <c r="B143" i="5"/>
  <c r="S143" i="5" s="1"/>
  <c r="I141" i="5"/>
  <c r="A140" i="5"/>
  <c r="H138" i="5"/>
  <c r="D135" i="5"/>
  <c r="K133" i="5"/>
  <c r="C132" i="5"/>
  <c r="J130" i="5"/>
  <c r="B129" i="5"/>
  <c r="S129" i="5" s="1"/>
  <c r="I127" i="5"/>
  <c r="Q125" i="5"/>
  <c r="E124" i="5"/>
  <c r="L122" i="5"/>
  <c r="D121" i="5"/>
  <c r="K119" i="5"/>
  <c r="D118" i="5"/>
  <c r="J116" i="5"/>
  <c r="C115" i="5"/>
  <c r="K113" i="5"/>
  <c r="D112" i="5"/>
  <c r="L110" i="5"/>
  <c r="E109" i="5"/>
  <c r="Q107" i="5"/>
  <c r="F106" i="5"/>
  <c r="G718" i="5"/>
  <c r="L710" i="5"/>
  <c r="G703" i="5"/>
  <c r="H695" i="5"/>
  <c r="G688" i="5"/>
  <c r="B674" i="5"/>
  <c r="S674" i="5" s="1"/>
  <c r="E666" i="5"/>
  <c r="H659" i="5"/>
  <c r="C653" i="5"/>
  <c r="F646" i="5"/>
  <c r="R639" i="5"/>
  <c r="B633" i="5"/>
  <c r="S633" i="5" s="1"/>
  <c r="J627" i="5"/>
  <c r="B621" i="5"/>
  <c r="S621" i="5" s="1"/>
  <c r="B615" i="5"/>
  <c r="S615" i="5" s="1"/>
  <c r="L609" i="5"/>
  <c r="A603" i="5"/>
  <c r="L597" i="5"/>
  <c r="A591" i="5"/>
  <c r="I579" i="5"/>
  <c r="C574" i="5"/>
  <c r="I568" i="5"/>
  <c r="D562" i="5"/>
  <c r="D557" i="5"/>
  <c r="D551" i="5"/>
  <c r="F545" i="5"/>
  <c r="G540" i="5"/>
  <c r="D535" i="5"/>
  <c r="A530" i="5"/>
  <c r="F525" i="5"/>
  <c r="R520" i="5"/>
  <c r="C516" i="5"/>
  <c r="B512" i="5"/>
  <c r="S512" i="5" s="1"/>
  <c r="G507" i="5"/>
  <c r="L502" i="5"/>
  <c r="F498" i="5"/>
  <c r="B494" i="5"/>
  <c r="S494" i="5" s="1"/>
  <c r="H485" i="5"/>
  <c r="J481" i="5"/>
  <c r="F476" i="5"/>
  <c r="I472" i="5"/>
  <c r="R468" i="5"/>
  <c r="H463" i="5"/>
  <c r="R459" i="5"/>
  <c r="G455" i="5"/>
  <c r="L451" i="5"/>
  <c r="R447" i="5"/>
  <c r="J444" i="5"/>
  <c r="A441" i="5"/>
  <c r="D437" i="5"/>
  <c r="E434" i="5"/>
  <c r="A431" i="5"/>
  <c r="R427" i="5"/>
  <c r="I424" i="5"/>
  <c r="B419" i="5"/>
  <c r="S419" i="5" s="1"/>
  <c r="L415" i="5"/>
  <c r="R409" i="5"/>
  <c r="B407" i="5"/>
  <c r="S407" i="5" s="1"/>
  <c r="K404" i="5"/>
  <c r="K401" i="5"/>
  <c r="Q398" i="5"/>
  <c r="F396" i="5"/>
  <c r="F393" i="5"/>
  <c r="C391" i="5"/>
  <c r="I388" i="5"/>
  <c r="K385" i="5"/>
  <c r="A383" i="5"/>
  <c r="L380" i="5"/>
  <c r="R377" i="5"/>
  <c r="E375" i="5"/>
  <c r="R372" i="5"/>
  <c r="F370" i="5"/>
  <c r="Q367" i="5"/>
  <c r="G365" i="5"/>
  <c r="A363" i="5"/>
  <c r="H360" i="5"/>
  <c r="B358" i="5"/>
  <c r="S358" i="5" s="1"/>
  <c r="I355" i="5"/>
  <c r="A353" i="5"/>
  <c r="J350" i="5"/>
  <c r="B348" i="5"/>
  <c r="S348" i="5" s="1"/>
  <c r="K345" i="5"/>
  <c r="E343" i="5"/>
  <c r="L340" i="5"/>
  <c r="F338" i="5"/>
  <c r="F336" i="5"/>
  <c r="L333" i="5"/>
  <c r="F331" i="5"/>
  <c r="D329" i="5"/>
  <c r="L326" i="5"/>
  <c r="L324" i="5"/>
  <c r="I322" i="5"/>
  <c r="B320" i="5"/>
  <c r="S320" i="5" s="1"/>
  <c r="C318" i="5"/>
  <c r="E316" i="5"/>
  <c r="A312" i="5"/>
  <c r="B310" i="5"/>
  <c r="S310" i="5" s="1"/>
  <c r="A308" i="5"/>
  <c r="C306" i="5"/>
  <c r="G304" i="5"/>
  <c r="F302" i="5"/>
  <c r="I300" i="5"/>
  <c r="Q298" i="5"/>
  <c r="L296" i="5"/>
  <c r="C293" i="5"/>
  <c r="C291" i="5"/>
  <c r="F289" i="5"/>
  <c r="J287" i="5"/>
  <c r="K285" i="5"/>
  <c r="A284" i="5"/>
  <c r="E282" i="5"/>
  <c r="J280" i="5"/>
  <c r="K278" i="5"/>
  <c r="E275" i="5"/>
  <c r="J273" i="5"/>
  <c r="J271" i="5"/>
  <c r="A270" i="5"/>
  <c r="G268" i="5"/>
  <c r="Q266" i="5"/>
  <c r="C265" i="5"/>
  <c r="I263" i="5"/>
  <c r="L261" i="5"/>
  <c r="C260" i="5"/>
  <c r="H258" i="5"/>
  <c r="R256" i="5"/>
  <c r="E255" i="5"/>
  <c r="H253" i="5"/>
  <c r="Q251" i="5"/>
  <c r="D250" i="5"/>
  <c r="J248" i="5"/>
  <c r="A247" i="5"/>
  <c r="G245" i="5"/>
  <c r="I243" i="5"/>
  <c r="F240" i="5"/>
  <c r="L238" i="5"/>
  <c r="B237" i="5"/>
  <c r="S237" i="5" s="1"/>
  <c r="H235" i="5"/>
  <c r="K233" i="5"/>
  <c r="B232" i="5"/>
  <c r="S232" i="5" s="1"/>
  <c r="G230" i="5"/>
  <c r="Q228" i="5"/>
  <c r="D227" i="5"/>
  <c r="G225" i="5"/>
  <c r="L223" i="5"/>
  <c r="C222" i="5"/>
  <c r="I220" i="5"/>
  <c r="F217" i="5"/>
  <c r="H215" i="5"/>
  <c r="R213" i="5"/>
  <c r="E212" i="5"/>
  <c r="K210" i="5"/>
  <c r="A209" i="5"/>
  <c r="H207" i="5"/>
  <c r="L205" i="5"/>
  <c r="D204" i="5"/>
  <c r="K202" i="5"/>
  <c r="C201" i="5"/>
  <c r="J199" i="5"/>
  <c r="R197" i="5"/>
  <c r="F196" i="5"/>
  <c r="Q194" i="5"/>
  <c r="E193" i="5"/>
  <c r="L191" i="5"/>
  <c r="D190" i="5"/>
  <c r="H188" i="5"/>
  <c r="G185" i="5"/>
  <c r="R183" i="5"/>
  <c r="F182" i="5"/>
  <c r="Q180" i="5"/>
  <c r="B179" i="5"/>
  <c r="S179" i="5" s="1"/>
  <c r="I177" i="5"/>
  <c r="A176" i="5"/>
  <c r="H174" i="5"/>
  <c r="D171" i="5"/>
  <c r="K169" i="5"/>
  <c r="C168" i="5"/>
  <c r="J166" i="5"/>
  <c r="B165" i="5"/>
  <c r="S165" i="5" s="1"/>
  <c r="I163" i="5"/>
  <c r="Q161" i="5"/>
  <c r="E160" i="5"/>
  <c r="L158" i="5"/>
  <c r="D157" i="5"/>
  <c r="K155" i="5"/>
  <c r="C154" i="5"/>
  <c r="G152" i="5"/>
  <c r="R150" i="5"/>
  <c r="F149" i="5"/>
  <c r="Q147" i="5"/>
  <c r="E146" i="5"/>
  <c r="I144" i="5"/>
  <c r="A143" i="5"/>
  <c r="H141" i="5"/>
  <c r="G138" i="5"/>
  <c r="R136" i="5"/>
  <c r="C135" i="5"/>
  <c r="J133" i="5"/>
  <c r="B132" i="5"/>
  <c r="S132" i="5" s="1"/>
  <c r="I130" i="5"/>
  <c r="A129" i="5"/>
  <c r="H127" i="5"/>
  <c r="L125" i="5"/>
  <c r="D124" i="5"/>
  <c r="K122" i="5"/>
  <c r="C121" i="5"/>
  <c r="J119" i="5"/>
  <c r="C118" i="5"/>
  <c r="I116" i="5"/>
  <c r="B115" i="5"/>
  <c r="S115" i="5" s="1"/>
  <c r="J113" i="5"/>
  <c r="C112" i="5"/>
  <c r="K110" i="5"/>
  <c r="D109" i="5"/>
  <c r="L107" i="5"/>
  <c r="F718" i="5"/>
  <c r="H710" i="5"/>
  <c r="F702" i="5"/>
  <c r="G695" i="5"/>
  <c r="B688" i="5"/>
  <c r="S688" i="5" s="1"/>
  <c r="L679" i="5"/>
  <c r="K673" i="5"/>
  <c r="D666" i="5"/>
  <c r="G659" i="5"/>
  <c r="H652" i="5"/>
  <c r="E646" i="5"/>
  <c r="L639" i="5"/>
  <c r="I627" i="5"/>
  <c r="Q620" i="5"/>
  <c r="A615" i="5"/>
  <c r="Q607" i="5"/>
  <c r="A602" i="5"/>
  <c r="R596" i="5"/>
  <c r="H590" i="5"/>
  <c r="E585" i="5"/>
  <c r="C579" i="5"/>
  <c r="B574" i="5"/>
  <c r="S574" i="5" s="1"/>
  <c r="R567" i="5"/>
  <c r="C562" i="5"/>
  <c r="B557" i="5"/>
  <c r="S557" i="5" s="1"/>
  <c r="B551" i="5"/>
  <c r="S551" i="5" s="1"/>
  <c r="E545" i="5"/>
  <c r="F540" i="5"/>
  <c r="C535" i="5"/>
  <c r="K529" i="5"/>
  <c r="L520" i="5"/>
  <c r="A516" i="5"/>
  <c r="K511" i="5"/>
  <c r="C507" i="5"/>
  <c r="K502" i="5"/>
  <c r="Q497" i="5"/>
  <c r="A494" i="5"/>
  <c r="Q489" i="5"/>
  <c r="R484" i="5"/>
  <c r="I481" i="5"/>
  <c r="C476" i="5"/>
  <c r="G472" i="5"/>
  <c r="J467" i="5"/>
  <c r="G463" i="5"/>
  <c r="I459" i="5"/>
  <c r="E455" i="5"/>
  <c r="K451" i="5"/>
  <c r="Q447" i="5"/>
  <c r="I444" i="5"/>
  <c r="K440" i="5"/>
  <c r="C437" i="5"/>
  <c r="C434" i="5"/>
  <c r="J430" i="5"/>
  <c r="L427" i="5"/>
  <c r="G424" i="5"/>
  <c r="R421" i="5"/>
  <c r="F418" i="5"/>
  <c r="K415" i="5"/>
  <c r="Q412" i="5"/>
  <c r="Q409" i="5"/>
  <c r="A407" i="5"/>
  <c r="J404" i="5"/>
  <c r="G401" i="5"/>
  <c r="L398" i="5"/>
  <c r="C396" i="5"/>
  <c r="E393" i="5"/>
  <c r="B391" i="5"/>
  <c r="S391" i="5" s="1"/>
  <c r="H388" i="5"/>
  <c r="H385" i="5"/>
  <c r="Q382" i="5"/>
  <c r="K380" i="5"/>
  <c r="Q377" i="5"/>
  <c r="D375" i="5"/>
  <c r="Q372" i="5"/>
  <c r="E370" i="5"/>
  <c r="L367" i="5"/>
  <c r="F365" i="5"/>
  <c r="Q362" i="5"/>
  <c r="G360" i="5"/>
  <c r="A358" i="5"/>
  <c r="H355" i="5"/>
  <c r="I350" i="5"/>
  <c r="A348" i="5"/>
  <c r="H345" i="5"/>
  <c r="D343" i="5"/>
  <c r="K340" i="5"/>
  <c r="E338" i="5"/>
  <c r="C336" i="5"/>
  <c r="K333" i="5"/>
  <c r="E331" i="5"/>
  <c r="C329" i="5"/>
  <c r="K326" i="5"/>
  <c r="K324" i="5"/>
  <c r="H322" i="5"/>
  <c r="A320" i="5"/>
  <c r="B318" i="5"/>
  <c r="S318" i="5" s="1"/>
  <c r="C316" i="5"/>
  <c r="R313" i="5"/>
  <c r="Q311" i="5"/>
  <c r="A310" i="5"/>
  <c r="R307" i="5"/>
  <c r="B306" i="5"/>
  <c r="S306" i="5" s="1"/>
  <c r="F304" i="5"/>
  <c r="E302" i="5"/>
  <c r="H300" i="5"/>
  <c r="L298" i="5"/>
  <c r="K296" i="5"/>
  <c r="R294" i="5"/>
  <c r="B293" i="5"/>
  <c r="S293" i="5" s="1"/>
  <c r="B291" i="5"/>
  <c r="S291" i="5" s="1"/>
  <c r="D289" i="5"/>
  <c r="I287" i="5"/>
  <c r="J285" i="5"/>
  <c r="R283" i="5"/>
  <c r="D282" i="5"/>
  <c r="I280" i="5"/>
  <c r="I278" i="5"/>
  <c r="R276" i="5"/>
  <c r="D275" i="5"/>
  <c r="I273" i="5"/>
  <c r="I271" i="5"/>
  <c r="F268" i="5"/>
  <c r="L266" i="5"/>
  <c r="B265" i="5"/>
  <c r="S265" i="5" s="1"/>
  <c r="E263" i="5"/>
  <c r="K261" i="5"/>
  <c r="B260" i="5"/>
  <c r="S260" i="5" s="1"/>
  <c r="G258" i="5"/>
  <c r="Q256" i="5"/>
  <c r="D255" i="5"/>
  <c r="G253" i="5"/>
  <c r="L251" i="5"/>
  <c r="C250" i="5"/>
  <c r="I248" i="5"/>
  <c r="F245" i="5"/>
  <c r="H243" i="5"/>
  <c r="R241" i="5"/>
  <c r="E240" i="5"/>
  <c r="K238" i="5"/>
  <c r="A237" i="5"/>
  <c r="D235" i="5"/>
  <c r="J233" i="5"/>
  <c r="A232" i="5"/>
  <c r="F230" i="5"/>
  <c r="L228" i="5"/>
  <c r="C227" i="5"/>
  <c r="F225" i="5"/>
  <c r="K223" i="5"/>
  <c r="B222" i="5"/>
  <c r="S222" i="5" s="1"/>
  <c r="H220" i="5"/>
  <c r="R218" i="5"/>
  <c r="D217" i="5"/>
  <c r="G215" i="5"/>
  <c r="Q213" i="5"/>
  <c r="D212" i="5"/>
  <c r="I210" i="5"/>
  <c r="D207" i="5"/>
  <c r="K205" i="5"/>
  <c r="E718" i="5"/>
  <c r="G710" i="5"/>
  <c r="F695" i="5"/>
  <c r="K679" i="5"/>
  <c r="G673" i="5"/>
  <c r="C666" i="5"/>
  <c r="F659" i="5"/>
  <c r="Q651" i="5"/>
  <c r="D646" i="5"/>
  <c r="K639" i="5"/>
  <c r="K632" i="5"/>
  <c r="H627" i="5"/>
  <c r="L619" i="5"/>
  <c r="H614" i="5"/>
  <c r="L607" i="5"/>
  <c r="L601" i="5"/>
  <c r="L596" i="5"/>
  <c r="G590" i="5"/>
  <c r="B585" i="5"/>
  <c r="S585" i="5" s="1"/>
  <c r="B579" i="5"/>
  <c r="S579" i="5" s="1"/>
  <c r="L573" i="5"/>
  <c r="Q567" i="5"/>
  <c r="B562" i="5"/>
  <c r="S562" i="5" s="1"/>
  <c r="A557" i="5"/>
  <c r="A551" i="5"/>
  <c r="D545" i="5"/>
  <c r="L539" i="5"/>
  <c r="B535" i="5"/>
  <c r="S535" i="5" s="1"/>
  <c r="H529" i="5"/>
  <c r="R524" i="5"/>
  <c r="K520" i="5"/>
  <c r="J511" i="5"/>
  <c r="B507" i="5"/>
  <c r="S507" i="5" s="1"/>
  <c r="J502" i="5"/>
  <c r="K497" i="5"/>
  <c r="D493" i="5"/>
  <c r="L489" i="5"/>
  <c r="K484" i="5"/>
  <c r="L480" i="5"/>
  <c r="R475" i="5"/>
  <c r="D472" i="5"/>
  <c r="I467" i="5"/>
  <c r="F463" i="5"/>
  <c r="H459" i="5"/>
  <c r="D455" i="5"/>
  <c r="J451" i="5"/>
  <c r="L447" i="5"/>
  <c r="H444" i="5"/>
  <c r="J440" i="5"/>
  <c r="B437" i="5"/>
  <c r="S437" i="5" s="1"/>
  <c r="B434" i="5"/>
  <c r="S434" i="5" s="1"/>
  <c r="I430" i="5"/>
  <c r="J427" i="5"/>
  <c r="F424" i="5"/>
  <c r="G421" i="5"/>
  <c r="D418" i="5"/>
  <c r="J415" i="5"/>
  <c r="L412" i="5"/>
  <c r="K409" i="5"/>
  <c r="L406" i="5"/>
  <c r="F404" i="5"/>
  <c r="B401" i="5"/>
  <c r="S401" i="5" s="1"/>
  <c r="K398" i="5"/>
  <c r="B396" i="5"/>
  <c r="S396" i="5" s="1"/>
  <c r="C393" i="5"/>
  <c r="K390" i="5"/>
  <c r="G388" i="5"/>
  <c r="F385" i="5"/>
  <c r="L382" i="5"/>
  <c r="G380" i="5"/>
  <c r="F377" i="5"/>
  <c r="C375" i="5"/>
  <c r="K372" i="5"/>
  <c r="K367" i="5"/>
  <c r="D365" i="5"/>
  <c r="H362" i="5"/>
  <c r="F360" i="5"/>
  <c r="R357" i="5"/>
  <c r="C355" i="5"/>
  <c r="R352" i="5"/>
  <c r="G350" i="5"/>
  <c r="K347" i="5"/>
  <c r="G345" i="5"/>
  <c r="B343" i="5"/>
  <c r="S343" i="5" s="1"/>
  <c r="F340" i="5"/>
  <c r="D338" i="5"/>
  <c r="R335" i="5"/>
  <c r="G333" i="5"/>
  <c r="D331" i="5"/>
  <c r="B329" i="5"/>
  <c r="S329" i="5" s="1"/>
  <c r="I326" i="5"/>
  <c r="J324" i="5"/>
  <c r="G322" i="5"/>
  <c r="R319" i="5"/>
  <c r="A318" i="5"/>
  <c r="L313" i="5"/>
  <c r="L311" i="5"/>
  <c r="L307" i="5"/>
  <c r="A306" i="5"/>
  <c r="E304" i="5"/>
  <c r="C302" i="5"/>
  <c r="G300" i="5"/>
  <c r="K298" i="5"/>
  <c r="I296" i="5"/>
  <c r="Q294" i="5"/>
  <c r="A293" i="5"/>
  <c r="C289" i="5"/>
  <c r="H287" i="5"/>
  <c r="I285" i="5"/>
  <c r="Q283" i="5"/>
  <c r="C282" i="5"/>
  <c r="H280" i="5"/>
  <c r="H278" i="5"/>
  <c r="Q276" i="5"/>
  <c r="C275" i="5"/>
  <c r="H273" i="5"/>
  <c r="H271" i="5"/>
  <c r="R269" i="5"/>
  <c r="E268" i="5"/>
  <c r="K266" i="5"/>
  <c r="A265" i="5"/>
  <c r="D263" i="5"/>
  <c r="J261" i="5"/>
  <c r="A260" i="5"/>
  <c r="F258" i="5"/>
  <c r="L256" i="5"/>
  <c r="C255" i="5"/>
  <c r="F253" i="5"/>
  <c r="K251" i="5"/>
  <c r="B250" i="5"/>
  <c r="S250" i="5" s="1"/>
  <c r="H248" i="5"/>
  <c r="R246" i="5"/>
  <c r="A245" i="5"/>
  <c r="G243" i="5"/>
  <c r="Q241" i="5"/>
  <c r="D240" i="5"/>
  <c r="I238" i="5"/>
  <c r="C235" i="5"/>
  <c r="I233" i="5"/>
  <c r="R231" i="5"/>
  <c r="E230" i="5"/>
  <c r="K228" i="5"/>
  <c r="B227" i="5"/>
  <c r="S227" i="5" s="1"/>
  <c r="D225" i="5"/>
  <c r="J223" i="5"/>
  <c r="A222" i="5"/>
  <c r="G220" i="5"/>
  <c r="Q218" i="5"/>
  <c r="F215" i="5"/>
  <c r="L213" i="5"/>
  <c r="C212" i="5"/>
  <c r="H210" i="5"/>
  <c r="R208" i="5"/>
  <c r="C207" i="5"/>
  <c r="J205" i="5"/>
  <c r="B204" i="5"/>
  <c r="S204" i="5" s="1"/>
  <c r="I202" i="5"/>
  <c r="A201" i="5"/>
  <c r="H199" i="5"/>
  <c r="Q717" i="5"/>
  <c r="F710" i="5"/>
  <c r="R701" i="5"/>
  <c r="C694" i="5"/>
  <c r="B687" i="5"/>
  <c r="S687" i="5" s="1"/>
  <c r="J679" i="5"/>
  <c r="L672" i="5"/>
  <c r="A666" i="5"/>
  <c r="E659" i="5"/>
  <c r="H651" i="5"/>
  <c r="C646" i="5"/>
  <c r="I632" i="5"/>
  <c r="D626" i="5"/>
  <c r="H619" i="5"/>
  <c r="F614" i="5"/>
  <c r="K607" i="5"/>
  <c r="K601" i="5"/>
  <c r="H595" i="5"/>
  <c r="F590" i="5"/>
  <c r="K584" i="5"/>
  <c r="L578" i="5"/>
  <c r="K573" i="5"/>
  <c r="L567" i="5"/>
  <c r="A562" i="5"/>
  <c r="Q555" i="5"/>
  <c r="L550" i="5"/>
  <c r="B545" i="5"/>
  <c r="S545" i="5" s="1"/>
  <c r="J539" i="5"/>
  <c r="A535" i="5"/>
  <c r="G529" i="5"/>
  <c r="Q524" i="5"/>
  <c r="I519" i="5"/>
  <c r="R515" i="5"/>
  <c r="E511" i="5"/>
  <c r="E506" i="5"/>
  <c r="I502" i="5"/>
  <c r="D497" i="5"/>
  <c r="B493" i="5"/>
  <c r="S493" i="5" s="1"/>
  <c r="H488" i="5"/>
  <c r="J484" i="5"/>
  <c r="G480" i="5"/>
  <c r="L475" i="5"/>
  <c r="C472" i="5"/>
  <c r="H467" i="5"/>
  <c r="E463" i="5"/>
  <c r="Q458" i="5"/>
  <c r="C455" i="5"/>
  <c r="H451" i="5"/>
  <c r="J447" i="5"/>
  <c r="G444" i="5"/>
  <c r="I440" i="5"/>
  <c r="A437" i="5"/>
  <c r="L433" i="5"/>
  <c r="H430" i="5"/>
  <c r="H427" i="5"/>
  <c r="A424" i="5"/>
  <c r="E421" i="5"/>
  <c r="B418" i="5"/>
  <c r="S418" i="5" s="1"/>
  <c r="I415" i="5"/>
  <c r="A412" i="5"/>
  <c r="G409" i="5"/>
  <c r="K406" i="5"/>
  <c r="K403" i="5"/>
  <c r="J398" i="5"/>
  <c r="L395" i="5"/>
  <c r="B393" i="5"/>
  <c r="S393" i="5" s="1"/>
  <c r="I390" i="5"/>
  <c r="L387" i="5"/>
  <c r="E385" i="5"/>
  <c r="K382" i="5"/>
  <c r="Q379" i="5"/>
  <c r="D377" i="5"/>
  <c r="B375" i="5"/>
  <c r="S375" i="5" s="1"/>
  <c r="F372" i="5"/>
  <c r="R369" i="5"/>
  <c r="J367" i="5"/>
  <c r="R364" i="5"/>
  <c r="G362" i="5"/>
  <c r="C360" i="5"/>
  <c r="G357" i="5"/>
  <c r="B355" i="5"/>
  <c r="S355" i="5" s="1"/>
  <c r="Q352" i="5"/>
  <c r="B350" i="5"/>
  <c r="S350" i="5" s="1"/>
  <c r="J347" i="5"/>
  <c r="F345" i="5"/>
  <c r="J342" i="5"/>
  <c r="C340" i="5"/>
  <c r="C338" i="5"/>
  <c r="I335" i="5"/>
  <c r="F333" i="5"/>
  <c r="C331" i="5"/>
  <c r="I328" i="5"/>
  <c r="H326" i="5"/>
  <c r="F324" i="5"/>
  <c r="B322" i="5"/>
  <c r="S322" i="5" s="1"/>
  <c r="Q319" i="5"/>
  <c r="J315" i="5"/>
  <c r="K313" i="5"/>
  <c r="K311" i="5"/>
  <c r="J309" i="5"/>
  <c r="K307" i="5"/>
  <c r="R303" i="5"/>
  <c r="B302" i="5"/>
  <c r="S302" i="5" s="1"/>
  <c r="F300" i="5"/>
  <c r="E298" i="5"/>
  <c r="H296" i="5"/>
  <c r="L294" i="5"/>
  <c r="K292" i="5"/>
  <c r="R290" i="5"/>
  <c r="B289" i="5"/>
  <c r="S289" i="5" s="1"/>
  <c r="G287" i="5"/>
  <c r="H285" i="5"/>
  <c r="L283" i="5"/>
  <c r="B282" i="5"/>
  <c r="S282" i="5" s="1"/>
  <c r="G280" i="5"/>
  <c r="G278" i="5"/>
  <c r="L276" i="5"/>
  <c r="B275" i="5"/>
  <c r="S275" i="5" s="1"/>
  <c r="G273" i="5"/>
  <c r="G271" i="5"/>
  <c r="Q269" i="5"/>
  <c r="D268" i="5"/>
  <c r="I266" i="5"/>
  <c r="C263" i="5"/>
  <c r="I261" i="5"/>
  <c r="R259" i="5"/>
  <c r="E258" i="5"/>
  <c r="K256" i="5"/>
  <c r="R254" i="5"/>
  <c r="D253" i="5"/>
  <c r="J251" i="5"/>
  <c r="A250" i="5"/>
  <c r="G248" i="5"/>
  <c r="Q246" i="5"/>
  <c r="F243" i="5"/>
  <c r="L241" i="5"/>
  <c r="C240" i="5"/>
  <c r="H238" i="5"/>
  <c r="R236" i="5"/>
  <c r="B235" i="5"/>
  <c r="S235" i="5" s="1"/>
  <c r="H233" i="5"/>
  <c r="Q231" i="5"/>
  <c r="D230" i="5"/>
  <c r="J228" i="5"/>
  <c r="Q226" i="5"/>
  <c r="C225" i="5"/>
  <c r="I223" i="5"/>
  <c r="F220" i="5"/>
  <c r="L218" i="5"/>
  <c r="R216" i="5"/>
  <c r="E215" i="5"/>
  <c r="K213" i="5"/>
  <c r="B212" i="5"/>
  <c r="S212" i="5" s="1"/>
  <c r="G210" i="5"/>
  <c r="Q208" i="5"/>
  <c r="B207" i="5"/>
  <c r="S207" i="5" s="1"/>
  <c r="I205" i="5"/>
  <c r="A204" i="5"/>
  <c r="H202" i="5"/>
  <c r="D199" i="5"/>
  <c r="K197" i="5"/>
  <c r="C196" i="5"/>
  <c r="K716" i="5"/>
  <c r="E707" i="5"/>
  <c r="I699" i="5"/>
  <c r="G693" i="5"/>
  <c r="R684" i="5"/>
  <c r="C670" i="5"/>
  <c r="B664" i="5"/>
  <c r="S664" i="5" s="1"/>
  <c r="H656" i="5"/>
  <c r="G644" i="5"/>
  <c r="G637" i="5"/>
  <c r="C631" i="5"/>
  <c r="R624" i="5"/>
  <c r="D619" i="5"/>
  <c r="K612" i="5"/>
  <c r="G606" i="5"/>
  <c r="B601" i="5"/>
  <c r="S601" i="5" s="1"/>
  <c r="B595" i="5"/>
  <c r="S595" i="5" s="1"/>
  <c r="E589" i="5"/>
  <c r="R583" i="5"/>
  <c r="D578" i="5"/>
  <c r="L571" i="5"/>
  <c r="B567" i="5"/>
  <c r="S567" i="5" s="1"/>
  <c r="K561" i="5"/>
  <c r="L554" i="5"/>
  <c r="H550" i="5"/>
  <c r="F543" i="5"/>
  <c r="J538" i="5"/>
  <c r="L532" i="5"/>
  <c r="A528" i="5"/>
  <c r="L523" i="5"/>
  <c r="A519" i="5"/>
  <c r="J514" i="5"/>
  <c r="L509" i="5"/>
  <c r="K505" i="5"/>
  <c r="I496" i="5"/>
  <c r="J492" i="5"/>
  <c r="C488" i="5"/>
  <c r="Q483" i="5"/>
  <c r="F479" i="5"/>
  <c r="H475" i="5"/>
  <c r="A471" i="5"/>
  <c r="Q466" i="5"/>
  <c r="F458" i="5"/>
  <c r="H454" i="5"/>
  <c r="G450" i="5"/>
  <c r="F447" i="5"/>
  <c r="B443" i="5"/>
  <c r="S443" i="5" s="1"/>
  <c r="J439" i="5"/>
  <c r="K436" i="5"/>
  <c r="D430" i="5"/>
  <c r="K426" i="5"/>
  <c r="L423" i="5"/>
  <c r="J420" i="5"/>
  <c r="L417" i="5"/>
  <c r="K414" i="5"/>
  <c r="I411" i="5"/>
  <c r="G406" i="5"/>
  <c r="F403" i="5"/>
  <c r="J400" i="5"/>
  <c r="C398" i="5"/>
  <c r="D395" i="5"/>
  <c r="Q392" i="5"/>
  <c r="D390" i="5"/>
  <c r="E387" i="5"/>
  <c r="Q384" i="5"/>
  <c r="G382" i="5"/>
  <c r="H379" i="5"/>
  <c r="R376" i="5"/>
  <c r="K374" i="5"/>
  <c r="R371" i="5"/>
  <c r="G369" i="5"/>
  <c r="F367" i="5"/>
  <c r="I364" i="5"/>
  <c r="B362" i="5"/>
  <c r="S362" i="5" s="1"/>
  <c r="R359" i="5"/>
  <c r="B357" i="5"/>
  <c r="S357" i="5" s="1"/>
  <c r="J354" i="5"/>
  <c r="I352" i="5"/>
  <c r="L349" i="5"/>
  <c r="E347" i="5"/>
  <c r="B345" i="5"/>
  <c r="S345" i="5" s="1"/>
  <c r="E342" i="5"/>
  <c r="R339" i="5"/>
  <c r="R337" i="5"/>
  <c r="D335" i="5"/>
  <c r="R332" i="5"/>
  <c r="L330" i="5"/>
  <c r="C328" i="5"/>
  <c r="D326" i="5"/>
  <c r="A324" i="5"/>
  <c r="H321" i="5"/>
  <c r="I319" i="5"/>
  <c r="K317" i="5"/>
  <c r="E315" i="5"/>
  <c r="F313" i="5"/>
  <c r="G311" i="5"/>
  <c r="C309" i="5"/>
  <c r="G307" i="5"/>
  <c r="K305" i="5"/>
  <c r="I303" i="5"/>
  <c r="Q301" i="5"/>
  <c r="B300" i="5"/>
  <c r="S300" i="5" s="1"/>
  <c r="D296" i="5"/>
  <c r="G294" i="5"/>
  <c r="F292" i="5"/>
  <c r="I290" i="5"/>
  <c r="Q288" i="5"/>
  <c r="R286" i="5"/>
  <c r="C285" i="5"/>
  <c r="H283" i="5"/>
  <c r="Q281" i="5"/>
  <c r="Q279" i="5"/>
  <c r="C278" i="5"/>
  <c r="H276" i="5"/>
  <c r="Q274" i="5"/>
  <c r="Q272" i="5"/>
  <c r="C271" i="5"/>
  <c r="I269" i="5"/>
  <c r="R267" i="5"/>
  <c r="B266" i="5"/>
  <c r="S266" i="5" s="1"/>
  <c r="H264" i="5"/>
  <c r="R262" i="5"/>
  <c r="D261" i="5"/>
  <c r="J259" i="5"/>
  <c r="A258" i="5"/>
  <c r="D256" i="5"/>
  <c r="I254" i="5"/>
  <c r="F251" i="5"/>
  <c r="L249" i="5"/>
  <c r="C248" i="5"/>
  <c r="E246" i="5"/>
  <c r="K244" i="5"/>
  <c r="B243" i="5"/>
  <c r="S243" i="5" s="1"/>
  <c r="H241" i="5"/>
  <c r="Q239" i="5"/>
  <c r="A238" i="5"/>
  <c r="G236" i="5"/>
  <c r="Q234" i="5"/>
  <c r="C233" i="5"/>
  <c r="I231" i="5"/>
  <c r="C228" i="5"/>
  <c r="H226" i="5"/>
  <c r="R224" i="5"/>
  <c r="E223" i="5"/>
  <c r="K221" i="5"/>
  <c r="B220" i="5"/>
  <c r="S220" i="5" s="1"/>
  <c r="D218" i="5"/>
  <c r="J216" i="5"/>
  <c r="A215" i="5"/>
  <c r="G213" i="5"/>
  <c r="L211" i="5"/>
  <c r="Q6" i="5"/>
  <c r="C8" i="5"/>
  <c r="H9" i="5"/>
  <c r="Q10" i="5"/>
  <c r="C12" i="5"/>
  <c r="H13" i="5"/>
  <c r="Q14" i="5"/>
  <c r="C16" i="5"/>
  <c r="H17" i="5"/>
  <c r="Q18" i="5"/>
  <c r="C20" i="5"/>
  <c r="H21" i="5"/>
  <c r="Q22" i="5"/>
  <c r="C24" i="5"/>
  <c r="H25" i="5"/>
  <c r="Q26" i="5"/>
  <c r="C28" i="5"/>
  <c r="H29" i="5"/>
  <c r="Q30" i="5"/>
  <c r="C32" i="5"/>
  <c r="H33" i="5"/>
  <c r="Q34" i="5"/>
  <c r="C36" i="5"/>
  <c r="H37" i="5"/>
  <c r="Q38" i="5"/>
  <c r="C40" i="5"/>
  <c r="H41" i="5"/>
  <c r="Q42" i="5"/>
  <c r="C44" i="5"/>
  <c r="H45" i="5"/>
  <c r="Q46" i="5"/>
  <c r="C48" i="5"/>
  <c r="H49" i="5"/>
  <c r="Q50" i="5"/>
  <c r="C52" i="5"/>
  <c r="H53" i="5"/>
  <c r="Q54" i="5"/>
  <c r="C56" i="5"/>
  <c r="H57" i="5"/>
  <c r="Q58" i="5"/>
  <c r="C60" i="5"/>
  <c r="H61" i="5"/>
  <c r="Q62" i="5"/>
  <c r="C64" i="5"/>
  <c r="H65" i="5"/>
  <c r="Q66" i="5"/>
  <c r="C68" i="5"/>
  <c r="H69" i="5"/>
  <c r="Q70" i="5"/>
  <c r="C72" i="5"/>
  <c r="H73" i="5"/>
  <c r="Q74" i="5"/>
  <c r="C76" i="5"/>
  <c r="H77" i="5"/>
  <c r="Q78" i="5"/>
  <c r="C80" i="5"/>
  <c r="H81" i="5"/>
  <c r="Q82" i="5"/>
  <c r="C84" i="5"/>
  <c r="H85" i="5"/>
  <c r="Q86" i="5"/>
  <c r="C88" i="5"/>
  <c r="H89" i="5"/>
  <c r="Q90" i="5"/>
  <c r="C92" i="5"/>
  <c r="H93" i="5"/>
  <c r="Q94" i="5"/>
  <c r="C96" i="5"/>
  <c r="I97" i="5"/>
  <c r="A99" i="5"/>
  <c r="H100" i="5"/>
  <c r="I103" i="5"/>
  <c r="A105" i="5"/>
  <c r="I106" i="5"/>
  <c r="C108" i="5"/>
  <c r="L109" i="5"/>
  <c r="H111" i="5"/>
  <c r="B113" i="5"/>
  <c r="S113" i="5" s="1"/>
  <c r="K114" i="5"/>
  <c r="E116" i="5"/>
  <c r="R117" i="5"/>
  <c r="L119" i="5"/>
  <c r="G121" i="5"/>
  <c r="B123" i="5"/>
  <c r="S123" i="5" s="1"/>
  <c r="J126" i="5"/>
  <c r="E128" i="5"/>
  <c r="C130" i="5"/>
  <c r="Q131" i="5"/>
  <c r="H133" i="5"/>
  <c r="H135" i="5"/>
  <c r="C137" i="5"/>
  <c r="Q138" i="5"/>
  <c r="H140" i="5"/>
  <c r="F142" i="5"/>
  <c r="A144" i="5"/>
  <c r="K145" i="5"/>
  <c r="I147" i="5"/>
  <c r="D149" i="5"/>
  <c r="A151" i="5"/>
  <c r="R152" i="5"/>
  <c r="I154" i="5"/>
  <c r="D156" i="5"/>
  <c r="R157" i="5"/>
  <c r="L159" i="5"/>
  <c r="G161" i="5"/>
  <c r="B163" i="5"/>
  <c r="S163" i="5" s="1"/>
  <c r="L166" i="5"/>
  <c r="G168" i="5"/>
  <c r="E170" i="5"/>
  <c r="J173" i="5"/>
  <c r="H175" i="5"/>
  <c r="C177" i="5"/>
  <c r="Q178" i="5"/>
  <c r="H180" i="5"/>
  <c r="H182" i="5"/>
  <c r="C184" i="5"/>
  <c r="Q185" i="5"/>
  <c r="K187" i="5"/>
  <c r="F189" i="5"/>
  <c r="A191" i="5"/>
  <c r="R192" i="5"/>
  <c r="I194" i="5"/>
  <c r="E196" i="5"/>
  <c r="F198" i="5"/>
  <c r="C200" i="5"/>
  <c r="C202" i="5"/>
  <c r="E206" i="5"/>
  <c r="C208" i="5"/>
  <c r="F210" i="5"/>
  <c r="L212" i="5"/>
  <c r="B215" i="5"/>
  <c r="S215" i="5" s="1"/>
  <c r="K217" i="5"/>
  <c r="K219" i="5"/>
  <c r="F222" i="5"/>
  <c r="J224" i="5"/>
  <c r="L226" i="5"/>
  <c r="F229" i="5"/>
  <c r="J231" i="5"/>
  <c r="D234" i="5"/>
  <c r="E236" i="5"/>
  <c r="C241" i="5"/>
  <c r="E243" i="5"/>
  <c r="R245" i="5"/>
  <c r="D248" i="5"/>
  <c r="I250" i="5"/>
  <c r="Q252" i="5"/>
  <c r="H255" i="5"/>
  <c r="I257" i="5"/>
  <c r="Q259" i="5"/>
  <c r="G262" i="5"/>
  <c r="I264" i="5"/>
  <c r="C267" i="5"/>
  <c r="G269" i="5"/>
  <c r="C272" i="5"/>
  <c r="D274" i="5"/>
  <c r="K276" i="5"/>
  <c r="G279" i="5"/>
  <c r="R281" i="5"/>
  <c r="J284" i="5"/>
  <c r="L286" i="5"/>
  <c r="I289" i="5"/>
  <c r="B292" i="5"/>
  <c r="S292" i="5" s="1"/>
  <c r="K294" i="5"/>
  <c r="I297" i="5"/>
  <c r="C300" i="5"/>
  <c r="A303" i="5"/>
  <c r="D305" i="5"/>
  <c r="H308" i="5"/>
  <c r="R310" i="5"/>
  <c r="J313" i="5"/>
  <c r="L316" i="5"/>
  <c r="J319" i="5"/>
  <c r="B326" i="5"/>
  <c r="S326" i="5" s="1"/>
  <c r="G329" i="5"/>
  <c r="J332" i="5"/>
  <c r="H335" i="5"/>
  <c r="D339" i="5"/>
  <c r="G342" i="5"/>
  <c r="C346" i="5"/>
  <c r="H349" i="5"/>
  <c r="D353" i="5"/>
  <c r="J356" i="5"/>
  <c r="B360" i="5"/>
  <c r="S360" i="5" s="1"/>
  <c r="L363" i="5"/>
  <c r="G367" i="5"/>
  <c r="B371" i="5"/>
  <c r="S371" i="5" s="1"/>
  <c r="A374" i="5"/>
  <c r="F378" i="5"/>
  <c r="G381" i="5"/>
  <c r="D385" i="5"/>
  <c r="B389" i="5"/>
  <c r="S389" i="5" s="1"/>
  <c r="R392" i="5"/>
  <c r="A397" i="5"/>
  <c r="H400" i="5"/>
  <c r="R404" i="5"/>
  <c r="I408" i="5"/>
  <c r="R411" i="5"/>
  <c r="B417" i="5"/>
  <c r="S417" i="5" s="1"/>
  <c r="L425" i="5"/>
  <c r="A430" i="5"/>
  <c r="B435" i="5"/>
  <c r="S435" i="5" s="1"/>
  <c r="D439" i="5"/>
  <c r="F444" i="5"/>
  <c r="L449" i="5"/>
  <c r="I454" i="5"/>
  <c r="J460" i="5"/>
  <c r="H466" i="5"/>
  <c r="I478" i="5"/>
  <c r="D484" i="5"/>
  <c r="J496" i="5"/>
  <c r="G503" i="5"/>
  <c r="H509" i="5"/>
  <c r="G516" i="5"/>
  <c r="I522" i="5"/>
  <c r="F529" i="5"/>
  <c r="I543" i="5"/>
  <c r="C553" i="5"/>
  <c r="I559" i="5"/>
  <c r="I576" i="5"/>
  <c r="J584" i="5"/>
  <c r="D593" i="5"/>
  <c r="D601" i="5"/>
  <c r="D610" i="5"/>
  <c r="I618" i="5"/>
  <c r="Q627" i="5"/>
  <c r="K636" i="5"/>
  <c r="R644" i="5"/>
  <c r="L655" i="5"/>
  <c r="F664" i="5"/>
  <c r="I674" i="5"/>
  <c r="L684" i="5"/>
  <c r="L695" i="5"/>
  <c r="L706" i="5"/>
  <c r="A71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0100-000001000000}">
      <text>
        <r>
          <rPr>
            <sz val="11"/>
            <color theme="1"/>
            <rFont val="Calibri"/>
            <family val="2"/>
            <scheme val="minor"/>
          </rPr>
          <t>======
ID#AAABrJhFxys
Christopher Herrin    (2025-09-15 02:31:32)
Conditional formatting is applied to column "T", and is based upon tolerances for seamed and seamless (must select one in the dropdown), nominal thickness in column F, and the UT Reading in column T.   If the readings are outside of toleralce, they will flag red.
Vessels:
Plate: the lesser of 6% or.01"
Pipe: 12.5%
Piping: 12.5%</t>
        </r>
      </text>
    </comment>
  </commentList>
  <extLst>
    <ext xmlns:r="http://schemas.openxmlformats.org/officeDocument/2006/relationships" uri="GoogleSheetsCustomDataVersion2">
      <go:sheetsCustomData xmlns:go="http://customooxmlschemas.google.com/" r:id="rId1" roundtripDataSignature="AMtx7mjRRat9fesPpNI/l86l43pUBCxDa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0200-000001000000}">
      <text>
        <r>
          <rPr>
            <sz val="11"/>
            <color theme="1"/>
            <rFont val="Calibri"/>
            <family val="2"/>
            <scheme val="minor"/>
          </rPr>
          <t>======
ID#AAABrJhFxyw
Christopher Herrin    (2025-09-15 02:31:32)
Conditional formatting is applied to column "T", and is based upon tolerances for seamless pipe, nominal thickness in column F, and the UT Reading in column T.   If the readings are outside of toleralce, they will flag red.
Vessels:
Plate: the lesser of 6% or.01"
Pipe: 12.5%
Piping: 12.5%</t>
        </r>
      </text>
    </comment>
  </commentList>
  <extLst>
    <ext xmlns:r="http://schemas.openxmlformats.org/officeDocument/2006/relationships" uri="GoogleSheetsCustomDataVersion2">
      <go:sheetsCustomData xmlns:go="http://customooxmlschemas.google.com/" r:id="rId1" roundtripDataSignature="AMtx7mhm/JqzN2N1Z4J+DOvbjqdtGEnEPg=="/>
    </ext>
  </extLst>
</comments>
</file>

<file path=xl/sharedStrings.xml><?xml version="1.0" encoding="utf-8"?>
<sst xmlns="http://schemas.openxmlformats.org/spreadsheetml/2006/main" count="6158" uniqueCount="581">
  <si>
    <t>UT SHEET INSTRUCTIONS</t>
  </si>
  <si>
    <t>Cells within the form that are highlighted yellow are the technician's responsibility to fill in.  If reports are submitted with blank yellow cells will be marked as incomplete for technicians to fix.  In instances where the procedure require less than 4 readings the UT Readings cell maybe left blank as long as it is in compliance with applicable procedures.</t>
  </si>
  <si>
    <t>Cells within the form that are highlighted red within the UT Reading cells as a result of an inspection are considered to either be outside of production tolerance.  These readings shall be accompanied with a field verification and associated comment within the adjacent comment cell.</t>
  </si>
  <si>
    <t>If there is a previous reading, is outside of .020" target corrosion window. These readings shall be accompanied with a field verification and associated comment within the adjacent comment cell.</t>
  </si>
  <si>
    <t>Cells within the form that are highlighted blue within the UT Reading cells as a result of an inspection are considered to be in excess of a 25% growth limit.  These readings shall be accompanied with a field verification and associated comment within the adjacent comment cell.</t>
  </si>
  <si>
    <t>The "Install Date" fields have been added to technician responsiblilities.  For vessels you will use the manufacture date.  If you only have the year of manufacturing use the date Jan. 1 of that year.  For piping please talk with operations on an estimated start up date for the plant itself and once again if you only have a year utilize Jan. 1 of that year.</t>
  </si>
  <si>
    <t>The "NDE" fields have been added to the technician's responsibilities.  Largely this will be left as "UT" desgination, but in some instances (largely small bore piping that is insulated) this fieldmay be designated as RT for CMLs that are being captured through radiographic methods.</t>
  </si>
  <si>
    <t>Long Weld Neck Nozzles</t>
  </si>
  <si>
    <t>OD Column</t>
  </si>
  <si>
    <t>Please provide the true OD for the nozzle in the OD column.</t>
  </si>
  <si>
    <t>Comments Column</t>
  </si>
  <si>
    <t>Please provide LWN indicating that it is a long weld neck, as well as the nominal pipe size, and flange rating.</t>
  </si>
  <si>
    <t>Example</t>
  </si>
  <si>
    <t>LWN 4" #300</t>
  </si>
  <si>
    <t>Client:</t>
  </si>
  <si>
    <t xml:space="preserve">Location: </t>
  </si>
  <si>
    <t xml:space="preserve">Facility: </t>
  </si>
  <si>
    <t xml:space="preserve">Date: </t>
  </si>
  <si>
    <t>Vessels R.15</t>
  </si>
  <si>
    <t>Vessel Name:</t>
  </si>
  <si>
    <t xml:space="preserve">Description: </t>
  </si>
  <si>
    <t>P&amp;ID Page</t>
  </si>
  <si>
    <t>Technician:</t>
  </si>
  <si>
    <t>Carbon or Stainless</t>
  </si>
  <si>
    <t>Seam:</t>
  </si>
  <si>
    <t>Seamed</t>
  </si>
  <si>
    <t>CML</t>
  </si>
  <si>
    <t>CML Location</t>
  </si>
  <si>
    <t>Component Type</t>
  </si>
  <si>
    <t>Component</t>
  </si>
  <si>
    <t>OD</t>
  </si>
  <si>
    <t>Nom.</t>
  </si>
  <si>
    <t>C.A.</t>
  </si>
  <si>
    <t>T-Min</t>
  </si>
  <si>
    <t>Mat. Spec.</t>
  </si>
  <si>
    <t>Pressure</t>
  </si>
  <si>
    <t>Temp.</t>
  </si>
  <si>
    <t>J.E.</t>
  </si>
  <si>
    <t>Access</t>
  </si>
  <si>
    <t>Insulation</t>
  </si>
  <si>
    <t>Install Date</t>
  </si>
  <si>
    <t>Status</t>
  </si>
  <si>
    <t>NDE</t>
  </si>
  <si>
    <t>Previous Reading</t>
  </si>
  <si>
    <t>UT Reading</t>
  </si>
  <si>
    <t>Comments</t>
  </si>
  <si>
    <t>Active</t>
  </si>
  <si>
    <t>UT</t>
  </si>
  <si>
    <t xml:space="preserve">Client: </t>
  </si>
  <si>
    <t>Piping R.15</t>
  </si>
  <si>
    <t>Pipe Circuit Name:</t>
  </si>
  <si>
    <t>Default</t>
  </si>
  <si>
    <t>Mat. Grade</t>
  </si>
  <si>
    <t>Prev. Reading</t>
  </si>
  <si>
    <t>NPS</t>
  </si>
  <si>
    <t>Piping</t>
  </si>
  <si>
    <t>Straight Pipe</t>
  </si>
  <si>
    <t>1/8"</t>
  </si>
  <si>
    <t>1/4"</t>
  </si>
  <si>
    <t>3/8"</t>
  </si>
  <si>
    <t>1/2"</t>
  </si>
  <si>
    <t>3/4"</t>
  </si>
  <si>
    <t>1"</t>
  </si>
  <si>
    <t>1.25"</t>
  </si>
  <si>
    <t>1.5"</t>
  </si>
  <si>
    <t>-</t>
  </si>
  <si>
    <t>2"</t>
  </si>
  <si>
    <t>2.5"</t>
  </si>
  <si>
    <t>3"</t>
  </si>
  <si>
    <t>3.5"</t>
  </si>
  <si>
    <t>4"</t>
  </si>
  <si>
    <t>5"</t>
  </si>
  <si>
    <t>6"</t>
  </si>
  <si>
    <t>8"</t>
  </si>
  <si>
    <t>Elbow</t>
  </si>
  <si>
    <t>10"</t>
  </si>
  <si>
    <t>12"</t>
  </si>
  <si>
    <t>14"</t>
  </si>
  <si>
    <t>16"</t>
  </si>
  <si>
    <t>18"</t>
  </si>
  <si>
    <t>20"</t>
  </si>
  <si>
    <t>22"</t>
  </si>
  <si>
    <t>24"</t>
  </si>
  <si>
    <t>26"</t>
  </si>
  <si>
    <t>28"</t>
  </si>
  <si>
    <t>30"</t>
  </si>
  <si>
    <t>32"</t>
  </si>
  <si>
    <t>34"</t>
  </si>
  <si>
    <t>36"</t>
  </si>
  <si>
    <t>42"</t>
  </si>
  <si>
    <t>CL 150# LWN</t>
  </si>
  <si>
    <t>Barrel O.D.</t>
  </si>
  <si>
    <t>Neck Thickness</t>
  </si>
  <si>
    <t>Ellipsoidal Head</t>
  </si>
  <si>
    <t>Nozzle</t>
  </si>
  <si>
    <t>Shell</t>
  </si>
  <si>
    <t>Shell Tubes</t>
  </si>
  <si>
    <t>ODs</t>
  </si>
  <si>
    <t>Size</t>
  </si>
  <si>
    <t>LWN</t>
  </si>
  <si>
    <t>HB</t>
  </si>
  <si>
    <t>F</t>
  </si>
  <si>
    <t>V 1</t>
  </si>
  <si>
    <t>V 2</t>
  </si>
  <si>
    <t>V 3</t>
  </si>
  <si>
    <t>Top Head</t>
  </si>
  <si>
    <t>Nozzle 1</t>
  </si>
  <si>
    <t>Tube 1</t>
  </si>
  <si>
    <t>½</t>
  </si>
  <si>
    <t>Bottom Head</t>
  </si>
  <si>
    <t>Nozzle 2</t>
  </si>
  <si>
    <t>Shell 1</t>
  </si>
  <si>
    <t>Tube 2</t>
  </si>
  <si>
    <t>¾</t>
  </si>
  <si>
    <t>North Head</t>
  </si>
  <si>
    <t>Nozzle 3</t>
  </si>
  <si>
    <t>Shell 1 Top</t>
  </si>
  <si>
    <t>Tube 3</t>
  </si>
  <si>
    <t>South Head</t>
  </si>
  <si>
    <t>Nozzle 4</t>
  </si>
  <si>
    <t>Shell 1 Bot</t>
  </si>
  <si>
    <t>Tube 4</t>
  </si>
  <si>
    <t>1¼</t>
  </si>
  <si>
    <t>East Head</t>
  </si>
  <si>
    <t>Nozzle 5</t>
  </si>
  <si>
    <t>Shell 1 North</t>
  </si>
  <si>
    <t>Tube 5</t>
  </si>
  <si>
    <t>1½</t>
  </si>
  <si>
    <t>West Head</t>
  </si>
  <si>
    <t>Nozzle 6</t>
  </si>
  <si>
    <t>Shell 1 South</t>
  </si>
  <si>
    <t>Tube 6</t>
  </si>
  <si>
    <t>Sump Head</t>
  </si>
  <si>
    <t>Nozzle 7</t>
  </si>
  <si>
    <t xml:space="preserve">Shell 1 East </t>
  </si>
  <si>
    <t>Tube 7</t>
  </si>
  <si>
    <t>2½</t>
  </si>
  <si>
    <t>Top Head (SS)</t>
  </si>
  <si>
    <t>Nozzle 8</t>
  </si>
  <si>
    <t>Shell 1 West</t>
  </si>
  <si>
    <t>Tube 8</t>
  </si>
  <si>
    <t>Bottom Head (SS)</t>
  </si>
  <si>
    <t>Nozzle 9</t>
  </si>
  <si>
    <t>Shell 1 Mid</t>
  </si>
  <si>
    <t>Tube 9</t>
  </si>
  <si>
    <t>3½</t>
  </si>
  <si>
    <t>North Head (SS)</t>
  </si>
  <si>
    <t>Nozzle 10</t>
  </si>
  <si>
    <t>Shell 2</t>
  </si>
  <si>
    <t>Tube 10</t>
  </si>
  <si>
    <t>South Head (SS)</t>
  </si>
  <si>
    <t>Nozzle 11</t>
  </si>
  <si>
    <t>Shell 2 Top</t>
  </si>
  <si>
    <t>Tube 11</t>
  </si>
  <si>
    <t>East Head (SS)</t>
  </si>
  <si>
    <t>Nozzle 12</t>
  </si>
  <si>
    <t>Shell 2 Bot</t>
  </si>
  <si>
    <t>Tube 12</t>
  </si>
  <si>
    <t>West Head (SS)</t>
  </si>
  <si>
    <t>Nozzle 13</t>
  </si>
  <si>
    <t>Shell 2 North</t>
  </si>
  <si>
    <t>Tube 13</t>
  </si>
  <si>
    <t>Top Head (TS)</t>
  </si>
  <si>
    <t>Nozzle 14</t>
  </si>
  <si>
    <t>Shell 2 South</t>
  </si>
  <si>
    <t>Tube 14</t>
  </si>
  <si>
    <t>Bottom Head (TS)</t>
  </si>
  <si>
    <t>Nozzle 15</t>
  </si>
  <si>
    <t xml:space="preserve">Shell 2 East </t>
  </si>
  <si>
    <t>Tube 15</t>
  </si>
  <si>
    <t>North Head (TS)</t>
  </si>
  <si>
    <t>Nozzle 16</t>
  </si>
  <si>
    <t>Shell 2 West</t>
  </si>
  <si>
    <t>Tube 16</t>
  </si>
  <si>
    <t>South Head (TS)</t>
  </si>
  <si>
    <t>Nozzle 17</t>
  </si>
  <si>
    <t>Shell 2 Mid</t>
  </si>
  <si>
    <t>Tube 17</t>
  </si>
  <si>
    <t>East Head (TS)</t>
  </si>
  <si>
    <t>Nozzle 18</t>
  </si>
  <si>
    <t>Shell 3</t>
  </si>
  <si>
    <t>Tube 18</t>
  </si>
  <si>
    <t>West Head (TS)</t>
  </si>
  <si>
    <t>Nozzle 19</t>
  </si>
  <si>
    <t>Shell 3 Top</t>
  </si>
  <si>
    <t>Tube 19</t>
  </si>
  <si>
    <t>Hemispherical Head</t>
  </si>
  <si>
    <t>Nozzle 20</t>
  </si>
  <si>
    <t>Shell 3 Bot</t>
  </si>
  <si>
    <t>Tube 20</t>
  </si>
  <si>
    <t>Nozzle 1 (SS)</t>
  </si>
  <si>
    <t>Shell 3 North</t>
  </si>
  <si>
    <t>Tube 21</t>
  </si>
  <si>
    <t>CL 300# LWN</t>
  </si>
  <si>
    <t xml:space="preserve"> Nozzle 2 (SS)</t>
  </si>
  <si>
    <t>Shell 3 South</t>
  </si>
  <si>
    <t>Tube 22</t>
  </si>
  <si>
    <t xml:space="preserve"> Nozzle 3 (SS)</t>
  </si>
  <si>
    <t xml:space="preserve">Shell 3 East </t>
  </si>
  <si>
    <t>Tube 23</t>
  </si>
  <si>
    <t xml:space="preserve"> Nozzle 4 (SS)</t>
  </si>
  <si>
    <t>Shell 3 West</t>
  </si>
  <si>
    <t>Tube 24</t>
  </si>
  <si>
    <t xml:space="preserve"> Nozzle 5 (SS)</t>
  </si>
  <si>
    <t>Shell 3 Mid</t>
  </si>
  <si>
    <t>Tube 25</t>
  </si>
  <si>
    <t xml:space="preserve"> Nozzle 6 (SS)</t>
  </si>
  <si>
    <t>Shell 4</t>
  </si>
  <si>
    <t>Tube 26</t>
  </si>
  <si>
    <t xml:space="preserve"> Nozzle 7 (SS)</t>
  </si>
  <si>
    <t>Shell 4 Top</t>
  </si>
  <si>
    <t>Tube 27</t>
  </si>
  <si>
    <t>Flat Head</t>
  </si>
  <si>
    <t xml:space="preserve"> Nozzle 8 (SS)</t>
  </si>
  <si>
    <t>Shell 4 Bot</t>
  </si>
  <si>
    <t>Tube 28</t>
  </si>
  <si>
    <t xml:space="preserve"> Nozzle 9 (SS)</t>
  </si>
  <si>
    <t>Shell 4 North</t>
  </si>
  <si>
    <t>Tube 29</t>
  </si>
  <si>
    <t xml:space="preserve"> Nozzle 10 (SS)</t>
  </si>
  <si>
    <t>Shell 4 South</t>
  </si>
  <si>
    <t>Tube 30</t>
  </si>
  <si>
    <t xml:space="preserve"> Nozzle 11 (SS)</t>
  </si>
  <si>
    <t xml:space="preserve">Shell 4 East </t>
  </si>
  <si>
    <t>Tube 31</t>
  </si>
  <si>
    <t xml:space="preserve"> Nozzle 12 (SS)</t>
  </si>
  <si>
    <t>Shell 4 West</t>
  </si>
  <si>
    <t>Tube 32</t>
  </si>
  <si>
    <t xml:space="preserve"> Nozzle 13 (SS)</t>
  </si>
  <si>
    <t>Shell 4 Mid</t>
  </si>
  <si>
    <t>Tube 33</t>
  </si>
  <si>
    <t xml:space="preserve"> Nozzle 14 (SS)</t>
  </si>
  <si>
    <t>Shell 5</t>
  </si>
  <si>
    <t>Tube 34</t>
  </si>
  <si>
    <t xml:space="preserve"> Nozzle 15 (SS)</t>
  </si>
  <si>
    <t>Shell 5 Top</t>
  </si>
  <si>
    <t>Tube 35</t>
  </si>
  <si>
    <t>Torispherical Head</t>
  </si>
  <si>
    <t xml:space="preserve"> Nozzle 16 (SS)</t>
  </si>
  <si>
    <t>Shell 5 Bot</t>
  </si>
  <si>
    <t>Tube 36</t>
  </si>
  <si>
    <t xml:space="preserve"> Nozzle 17 (SS)</t>
  </si>
  <si>
    <t>Shell 5 North</t>
  </si>
  <si>
    <t>Tube 37</t>
  </si>
  <si>
    <t xml:space="preserve"> Nozzle 18 (SS)</t>
  </si>
  <si>
    <t>Shell 5 South</t>
  </si>
  <si>
    <t>Tube 38</t>
  </si>
  <si>
    <t xml:space="preserve"> Nozzle 19 (SS)</t>
  </si>
  <si>
    <t xml:space="preserve">Shell 5 East </t>
  </si>
  <si>
    <t>Tube 39</t>
  </si>
  <si>
    <t>Reducer</t>
  </si>
  <si>
    <t xml:space="preserve"> Nozzle 20 (SS)</t>
  </si>
  <si>
    <t>Shell 5 West</t>
  </si>
  <si>
    <t>Tube 40</t>
  </si>
  <si>
    <t>Nozzle 1 (TS)</t>
  </si>
  <si>
    <t>Shell 5 Mid</t>
  </si>
  <si>
    <t>Tube 41</t>
  </si>
  <si>
    <t xml:space="preserve"> Nozzle 2 (TS)</t>
  </si>
  <si>
    <t>Shell 6</t>
  </si>
  <si>
    <t>Tube 42</t>
  </si>
  <si>
    <t xml:space="preserve"> Nozzle 3 (TS)</t>
  </si>
  <si>
    <t>Shell 6 Top</t>
  </si>
  <si>
    <t>Tube 43</t>
  </si>
  <si>
    <t xml:space="preserve"> Nozzle 4 (TS)</t>
  </si>
  <si>
    <t>Shell 6 Bot</t>
  </si>
  <si>
    <t>Tube 44</t>
  </si>
  <si>
    <t>CL 400# LWN</t>
  </si>
  <si>
    <t xml:space="preserve"> Nozzle 5 (TS)</t>
  </si>
  <si>
    <t>Shell 6 North</t>
  </si>
  <si>
    <t>Tube 45</t>
  </si>
  <si>
    <t xml:space="preserve"> Nozzle 6 (TS)</t>
  </si>
  <si>
    <t>Shell 6 South</t>
  </si>
  <si>
    <t>Tube 46</t>
  </si>
  <si>
    <t xml:space="preserve"> Nozzle 7 (TS)</t>
  </si>
  <si>
    <t xml:space="preserve">Shell 6 East </t>
  </si>
  <si>
    <t>Tube 47</t>
  </si>
  <si>
    <t xml:space="preserve"> Nozzle 8 (TS)</t>
  </si>
  <si>
    <t>Shell 6 West</t>
  </si>
  <si>
    <t>Tube 48</t>
  </si>
  <si>
    <t xml:space="preserve"> Nozzle 9 (TS)</t>
  </si>
  <si>
    <t>Shell 6 Mid</t>
  </si>
  <si>
    <t>Tube 49</t>
  </si>
  <si>
    <t>Tee</t>
  </si>
  <si>
    <t xml:space="preserve"> Nozzle 10 (TS)</t>
  </si>
  <si>
    <t>Shell 7</t>
  </si>
  <si>
    <t>Tube 50</t>
  </si>
  <si>
    <t xml:space="preserve"> Nozzle 11 (TS)</t>
  </si>
  <si>
    <t>Shell 7 Top</t>
  </si>
  <si>
    <t xml:space="preserve"> Nozzle 12 (TS)</t>
  </si>
  <si>
    <t>Shell 7 Bot</t>
  </si>
  <si>
    <t xml:space="preserve"> Nozzle 13 (TS)</t>
  </si>
  <si>
    <t>Shell 7 North</t>
  </si>
  <si>
    <t xml:space="preserve"> Nozzle 14 (TS)</t>
  </si>
  <si>
    <t>Shell 7 South</t>
  </si>
  <si>
    <t>Cap</t>
  </si>
  <si>
    <t xml:space="preserve"> Nozzle 15 (TS)</t>
  </si>
  <si>
    <t xml:space="preserve">Shell 7 East </t>
  </si>
  <si>
    <t>Header Box</t>
  </si>
  <si>
    <t xml:space="preserve"> Nozzle 16 (TS)</t>
  </si>
  <si>
    <t>Shell 7 West</t>
  </si>
  <si>
    <t>N-TOPPLATE</t>
  </si>
  <si>
    <t xml:space="preserve"> Nozzle 17 (TS)</t>
  </si>
  <si>
    <t>Shell 7 Mid</t>
  </si>
  <si>
    <t>S-TOPPLATE</t>
  </si>
  <si>
    <t xml:space="preserve"> Nozzle 18 (TS)</t>
  </si>
  <si>
    <t>Shell 8</t>
  </si>
  <si>
    <t>E-TOPPLATE</t>
  </si>
  <si>
    <t xml:space="preserve"> Nozzle 19 (TS)</t>
  </si>
  <si>
    <t>Shell 8 Top</t>
  </si>
  <si>
    <t>W-TOPPLATE</t>
  </si>
  <si>
    <t xml:space="preserve"> Nozzle 20 (TS)</t>
  </si>
  <si>
    <t>Shell 8 Bot</t>
  </si>
  <si>
    <t>NE-TOPPLATE</t>
  </si>
  <si>
    <t>Shell 8 North</t>
  </si>
  <si>
    <t>NW-TOPPLATE</t>
  </si>
  <si>
    <t>Shell 8 South</t>
  </si>
  <si>
    <t>SE-TOPPLATE</t>
  </si>
  <si>
    <t xml:space="preserve">Shell 8 East </t>
  </si>
  <si>
    <t>SW-TOPPLATE</t>
  </si>
  <si>
    <t>Shell 8 West</t>
  </si>
  <si>
    <t>WN-TOPPLATE</t>
  </si>
  <si>
    <t>Shell 8 Mid</t>
  </si>
  <si>
    <t>WS-TOPPLATE</t>
  </si>
  <si>
    <t>Shell 9</t>
  </si>
  <si>
    <t>ES-TOPPLATE</t>
  </si>
  <si>
    <t>Shell 9 Top</t>
  </si>
  <si>
    <t>CL 600# LWN</t>
  </si>
  <si>
    <t>EN-TOPPLATE</t>
  </si>
  <si>
    <t>Shell 9 Bot</t>
  </si>
  <si>
    <t>N-BTMPLATE</t>
  </si>
  <si>
    <t>Shell 9 North</t>
  </si>
  <si>
    <t>S-BTMPLATE</t>
  </si>
  <si>
    <t>Shell 9 South</t>
  </si>
  <si>
    <t>E-BTMPLATE</t>
  </si>
  <si>
    <t xml:space="preserve">Shell 9 East </t>
  </si>
  <si>
    <t>W-BTMPLATE</t>
  </si>
  <si>
    <t>Shell 9 West</t>
  </si>
  <si>
    <t>NE-BTMPLATE</t>
  </si>
  <si>
    <t>Shell 9 Mid</t>
  </si>
  <si>
    <t>NW-BTMPLATE</t>
  </si>
  <si>
    <t>Shell 10</t>
  </si>
  <si>
    <t>SE-BTMPLATE</t>
  </si>
  <si>
    <t>Shell 10 Top</t>
  </si>
  <si>
    <t>SW-BTMPLATE</t>
  </si>
  <si>
    <t>Shell 10 Bot</t>
  </si>
  <si>
    <t>WN-BTMPLATE</t>
  </si>
  <si>
    <t>Shell 10 North</t>
  </si>
  <si>
    <t>WS-BTMPLATE</t>
  </si>
  <si>
    <t>Shell 10 South</t>
  </si>
  <si>
    <t>ES-BTMPLATE</t>
  </si>
  <si>
    <t xml:space="preserve">Shell 10 East </t>
  </si>
  <si>
    <t>EN-BTMPLATE</t>
  </si>
  <si>
    <t>Shell 10 West</t>
  </si>
  <si>
    <t>N-ENDPLATE</t>
  </si>
  <si>
    <t>Shell 10 Mid</t>
  </si>
  <si>
    <t>S-ENDPLATE</t>
  </si>
  <si>
    <t xml:space="preserve"> Shell 1 (SS)</t>
  </si>
  <si>
    <t>E-ENDPLATE</t>
  </si>
  <si>
    <t xml:space="preserve"> Shell 1 Top (SS)</t>
  </si>
  <si>
    <t>W-ENDPLATE</t>
  </si>
  <si>
    <t xml:space="preserve"> Shell 1 Bot (SS)</t>
  </si>
  <si>
    <t>NE-ENDPLATE</t>
  </si>
  <si>
    <t xml:space="preserve"> Shell 1 North (SS)</t>
  </si>
  <si>
    <t>NW-ENDPLATE</t>
  </si>
  <si>
    <t xml:space="preserve"> Shell 1 South (SS)</t>
  </si>
  <si>
    <t>SE-ENDPLATE</t>
  </si>
  <si>
    <t xml:space="preserve"> Shell 1 East  (SS)</t>
  </si>
  <si>
    <t>SW-ENDPLATE</t>
  </si>
  <si>
    <t xml:space="preserve"> Shell 1 West (SS)</t>
  </si>
  <si>
    <t>WN-ENDPLATE</t>
  </si>
  <si>
    <t xml:space="preserve"> Shell 1 Mid (SS)</t>
  </si>
  <si>
    <t>WS-ENDPLATE</t>
  </si>
  <si>
    <t xml:space="preserve"> Shell 2 (SS)</t>
  </si>
  <si>
    <t>CL 900# LWN</t>
  </si>
  <si>
    <t>ES-ENDPLATE</t>
  </si>
  <si>
    <t xml:space="preserve"> Shell 2 Top (SS)</t>
  </si>
  <si>
    <t>EN-ENDPLATE</t>
  </si>
  <si>
    <t xml:space="preserve"> Shell 2 Bot (SS)</t>
  </si>
  <si>
    <t>WN-PLUGSHEET</t>
  </si>
  <si>
    <t xml:space="preserve"> Shell 2 North (SS)</t>
  </si>
  <si>
    <t>WS-PLUGSHEET</t>
  </si>
  <si>
    <t xml:space="preserve"> Shell 2 South (SS)</t>
  </si>
  <si>
    <t>ES-PLUGSHEET</t>
  </si>
  <si>
    <t xml:space="preserve"> Shell 2 East  (SS)</t>
  </si>
  <si>
    <t>EN-PLUGSHEET</t>
  </si>
  <si>
    <t xml:space="preserve"> Shell 2 West (SS)</t>
  </si>
  <si>
    <t xml:space="preserve"> Shell 2 Mid (SS)</t>
  </si>
  <si>
    <t xml:space="preserve"> Shell 3 (SS)</t>
  </si>
  <si>
    <t xml:space="preserve"> Shell 3 Top (SS)</t>
  </si>
  <si>
    <t xml:space="preserve"> Shell 3 Bot (SS)</t>
  </si>
  <si>
    <t xml:space="preserve"> Shell 3 North (SS)</t>
  </si>
  <si>
    <t xml:space="preserve"> Shell 3 South (SS)</t>
  </si>
  <si>
    <t xml:space="preserve"> Shell 3 East  (SS)</t>
  </si>
  <si>
    <t xml:space="preserve"> Shell 3 West (SS)</t>
  </si>
  <si>
    <t xml:space="preserve"> Shell 3 Mid (SS)</t>
  </si>
  <si>
    <t xml:space="preserve"> Shell 4 (SS)</t>
  </si>
  <si>
    <t xml:space="preserve"> Shell 4 Top (SS)</t>
  </si>
  <si>
    <t xml:space="preserve"> Shell 4 Bot (SS)</t>
  </si>
  <si>
    <t xml:space="preserve"> Shell 4 North (SS)</t>
  </si>
  <si>
    <t xml:space="preserve"> Shell 4 South (SS)</t>
  </si>
  <si>
    <t xml:space="preserve"> Shell 4 East  (SS)</t>
  </si>
  <si>
    <t xml:space="preserve"> Shell 4 West (SS)</t>
  </si>
  <si>
    <t>CL 1500# LWN</t>
  </si>
  <si>
    <t xml:space="preserve"> Shell 4 Mid (SS)</t>
  </si>
  <si>
    <t xml:space="preserve"> Shell 5 (SS)</t>
  </si>
  <si>
    <t xml:space="preserve"> Shell 5 Top (SS)</t>
  </si>
  <si>
    <t xml:space="preserve"> Shell 5 Bot (SS)</t>
  </si>
  <si>
    <t xml:space="preserve"> Shell 5 North (SS)</t>
  </si>
  <si>
    <t xml:space="preserve"> Shell 5 South (SS)</t>
  </si>
  <si>
    <t xml:space="preserve"> Shell 5 East  (SS)</t>
  </si>
  <si>
    <t xml:space="preserve"> Shell 5 West (SS)</t>
  </si>
  <si>
    <t xml:space="preserve"> Shell 5 Mid (SS)</t>
  </si>
  <si>
    <t xml:space="preserve"> Shell 6 (SS)</t>
  </si>
  <si>
    <t xml:space="preserve"> Shell 6 Top (SS)</t>
  </si>
  <si>
    <t>10, 10S</t>
  </si>
  <si>
    <t xml:space="preserve"> Shell 6 Bot (SS)</t>
  </si>
  <si>
    <t>40, STD, 40S</t>
  </si>
  <si>
    <t xml:space="preserve"> Shell 6 North (SS)</t>
  </si>
  <si>
    <t>80, XS, 80S</t>
  </si>
  <si>
    <t xml:space="preserve"> Shell 6 South (SS)</t>
  </si>
  <si>
    <t xml:space="preserve"> Shell 6 East  (SS)</t>
  </si>
  <si>
    <t xml:space="preserve"> Shell 6 West (SS)</t>
  </si>
  <si>
    <t xml:space="preserve"> Shell 6 Mid (SS)</t>
  </si>
  <si>
    <t xml:space="preserve"> Shell 7 (SS)</t>
  </si>
  <si>
    <t xml:space="preserve"> Shell 7 Top (SS)</t>
  </si>
  <si>
    <t xml:space="preserve"> Shell 7 Bot (SS)</t>
  </si>
  <si>
    <t xml:space="preserve"> Shell 7 North (SS)</t>
  </si>
  <si>
    <t xml:space="preserve"> Shell 7 South (SS)</t>
  </si>
  <si>
    <t>CL 2500# LWN</t>
  </si>
  <si>
    <t xml:space="preserve"> Shell 7 East  (SS)</t>
  </si>
  <si>
    <t xml:space="preserve"> Shell 7 West (SS)</t>
  </si>
  <si>
    <t>XX</t>
  </si>
  <si>
    <t xml:space="preserve"> Shell 7 Mid (SS)</t>
  </si>
  <si>
    <t xml:space="preserve"> Shell 8 (SS)</t>
  </si>
  <si>
    <t xml:space="preserve"> Shell 8 Top (SS)</t>
  </si>
  <si>
    <t xml:space="preserve"> Shell 8 Bot (SS)</t>
  </si>
  <si>
    <t xml:space="preserve"> Shell 8 North (SS)</t>
  </si>
  <si>
    <t xml:space="preserve"> Shell 8 South (SS)</t>
  </si>
  <si>
    <t xml:space="preserve"> Shell 8 East  (SS)</t>
  </si>
  <si>
    <t xml:space="preserve"> Shell 8 West (SS)</t>
  </si>
  <si>
    <t xml:space="preserve"> Shell 8 Mid (SS)</t>
  </si>
  <si>
    <t xml:space="preserve"> Shell 9 (SS)</t>
  </si>
  <si>
    <t xml:space="preserve"> Shell 9 Top (SS)</t>
  </si>
  <si>
    <t>1 1/4"</t>
  </si>
  <si>
    <t xml:space="preserve"> Shell 9 Bot (SS)</t>
  </si>
  <si>
    <t xml:space="preserve"> Shell 9 North (SS)</t>
  </si>
  <si>
    <t xml:space="preserve"> Shell 9 South (SS)</t>
  </si>
  <si>
    <t xml:space="preserve"> Shell 9 East  (SS)</t>
  </si>
  <si>
    <t xml:space="preserve"> Shell 9 West (SS)</t>
  </si>
  <si>
    <t>1 1/2"</t>
  </si>
  <si>
    <t xml:space="preserve"> Shell 9 Mid (SS)</t>
  </si>
  <si>
    <t xml:space="preserve"> Shell 10 (SS)</t>
  </si>
  <si>
    <t xml:space="preserve"> Shell 10 Top (SS)</t>
  </si>
  <si>
    <t xml:space="preserve"> Shell 10 Bot (SS)</t>
  </si>
  <si>
    <t xml:space="preserve"> Shell 10 North (SS)</t>
  </si>
  <si>
    <t xml:space="preserve"> Shell 10 South (SS)</t>
  </si>
  <si>
    <t xml:space="preserve"> Shell 10 East  (SS)</t>
  </si>
  <si>
    <t xml:space="preserve"> Shell 10 West (SS)</t>
  </si>
  <si>
    <t xml:space="preserve"> Shell 10 Mid (SS)</t>
  </si>
  <si>
    <t xml:space="preserve"> Shell 1 (TS)</t>
  </si>
  <si>
    <t>2 1/2"</t>
  </si>
  <si>
    <t xml:space="preserve"> Shell 1 Top (TS)</t>
  </si>
  <si>
    <t xml:space="preserve"> Shell 1 Bot (TS)</t>
  </si>
  <si>
    <t xml:space="preserve"> Shell 1 North (TS)</t>
  </si>
  <si>
    <t xml:space="preserve"> Shell 1 South (TS)</t>
  </si>
  <si>
    <t xml:space="preserve"> Shell 1 East  (TS)</t>
  </si>
  <si>
    <t xml:space="preserve"> Shell 1 West (TS)</t>
  </si>
  <si>
    <t xml:space="preserve"> Shell 1 Mid (TS)</t>
  </si>
  <si>
    <t xml:space="preserve"> Shell 2 (TS)</t>
  </si>
  <si>
    <t xml:space="preserve"> Shell 2 Top (TS)</t>
  </si>
  <si>
    <t xml:space="preserve"> Shell 2 Bot (TS)</t>
  </si>
  <si>
    <t>3 1/2"</t>
  </si>
  <si>
    <t xml:space="preserve"> Shell 2 North (TS)</t>
  </si>
  <si>
    <t xml:space="preserve"> Shell 2 South (TS)</t>
  </si>
  <si>
    <t xml:space="preserve"> Shell 2 East  (TS)</t>
  </si>
  <si>
    <t xml:space="preserve"> Shell 2 West (TS)</t>
  </si>
  <si>
    <t xml:space="preserve"> Shell 2 Mid (TS)</t>
  </si>
  <si>
    <t xml:space="preserve"> Shell 3 (TS)</t>
  </si>
  <si>
    <t xml:space="preserve"> Shell 3 Top (TS)</t>
  </si>
  <si>
    <t xml:space="preserve"> Shell 3 Bot (TS)</t>
  </si>
  <si>
    <t xml:space="preserve"> Shell 3 North (TS)</t>
  </si>
  <si>
    <t xml:space="preserve"> Shell 3 South (TS)</t>
  </si>
  <si>
    <t>4 1/2"</t>
  </si>
  <si>
    <t>STD, 40S</t>
  </si>
  <si>
    <t xml:space="preserve"> Shell 3 East  (TS)</t>
  </si>
  <si>
    <t>XS, 80S</t>
  </si>
  <si>
    <t xml:space="preserve"> Shell 3 West (TS)</t>
  </si>
  <si>
    <t xml:space="preserve"> Shell 3 Mid (TS)</t>
  </si>
  <si>
    <t xml:space="preserve"> Shell 4 (TS)</t>
  </si>
  <si>
    <t xml:space="preserve"> Shell 4 Top (TS)</t>
  </si>
  <si>
    <t xml:space="preserve"> Shell 4 Bot (TS)</t>
  </si>
  <si>
    <t xml:space="preserve"> Shell 4 North (TS)</t>
  </si>
  <si>
    <t xml:space="preserve"> Shell 4 South (TS)</t>
  </si>
  <si>
    <t xml:space="preserve"> Shell 4 East  (TS)</t>
  </si>
  <si>
    <t xml:space="preserve"> Shell 4 West (TS)</t>
  </si>
  <si>
    <t xml:space="preserve"> Shell 4 Mid (TS)</t>
  </si>
  <si>
    <t xml:space="preserve"> Shell 5 (TS)</t>
  </si>
  <si>
    <t xml:space="preserve"> Shell 5 Top (TS)</t>
  </si>
  <si>
    <t xml:space="preserve"> Shell 5 Bot (TS)</t>
  </si>
  <si>
    <t xml:space="preserve"> Shell 5 North (TS)</t>
  </si>
  <si>
    <t xml:space="preserve"> Shell 5 South (TS)</t>
  </si>
  <si>
    <t xml:space="preserve"> Shell 5 East  (TS)</t>
  </si>
  <si>
    <t xml:space="preserve"> Shell 5 West (TS)</t>
  </si>
  <si>
    <t xml:space="preserve"> Shell 5 Mid (TS)</t>
  </si>
  <si>
    <t xml:space="preserve"> Shell 6 (TS)</t>
  </si>
  <si>
    <t xml:space="preserve"> Shell 6 Top (TS)</t>
  </si>
  <si>
    <t xml:space="preserve"> Shell 6 Bot (TS)</t>
  </si>
  <si>
    <t xml:space="preserve"> Shell 6 North (TS)</t>
  </si>
  <si>
    <t xml:space="preserve"> Shell 6 South (TS)</t>
  </si>
  <si>
    <t xml:space="preserve"> Shell 6 East  (TS)</t>
  </si>
  <si>
    <t xml:space="preserve"> Shell 6 West (TS)</t>
  </si>
  <si>
    <t xml:space="preserve"> Shell 6 Mid (TS)</t>
  </si>
  <si>
    <t xml:space="preserve"> Shell 7 (TS)</t>
  </si>
  <si>
    <t xml:space="preserve"> Shell 7 Top (TS)</t>
  </si>
  <si>
    <t>60, XS, 80S</t>
  </si>
  <si>
    <t xml:space="preserve"> Shell 7 Bot (TS)</t>
  </si>
  <si>
    <t xml:space="preserve"> Shell 7 North (TS)</t>
  </si>
  <si>
    <t xml:space="preserve"> Shell 7 South (TS)</t>
  </si>
  <si>
    <t xml:space="preserve"> Shell 7 East  (TS)</t>
  </si>
  <si>
    <t>140, XX</t>
  </si>
  <si>
    <t xml:space="preserve"> Shell 7 West (TS)</t>
  </si>
  <si>
    <t xml:space="preserve"> Shell 7 Mid (TS)</t>
  </si>
  <si>
    <t xml:space="preserve"> Shell 8 (TS)</t>
  </si>
  <si>
    <t xml:space="preserve"> Shell 8 Top (TS)</t>
  </si>
  <si>
    <t xml:space="preserve"> Shell 8 Bot (TS)</t>
  </si>
  <si>
    <t xml:space="preserve"> Shell 8 North (TS)</t>
  </si>
  <si>
    <t xml:space="preserve"> Shell 8 South (TS)</t>
  </si>
  <si>
    <t xml:space="preserve"> Shell 8 East  (TS)</t>
  </si>
  <si>
    <t xml:space="preserve"> Shell 8 West (TS)</t>
  </si>
  <si>
    <t xml:space="preserve"> Shell 8 Mid (TS)</t>
  </si>
  <si>
    <t xml:space="preserve"> Shell 9 (TS)</t>
  </si>
  <si>
    <t>120, XX</t>
  </si>
  <si>
    <t xml:space="preserve"> Shell 9 Top (TS)</t>
  </si>
  <si>
    <t xml:space="preserve"> Shell 9 Bot (TS)</t>
  </si>
  <si>
    <t xml:space="preserve"> Shell 9 North (TS)</t>
  </si>
  <si>
    <t>10S</t>
  </si>
  <si>
    <t xml:space="preserve"> Shell 9 South (TS)</t>
  </si>
  <si>
    <t xml:space="preserve"> Shell 9 East  (TS)</t>
  </si>
  <si>
    <t xml:space="preserve"> Shell 9 West (TS)</t>
  </si>
  <si>
    <t>30, STD, 40S</t>
  </si>
  <si>
    <t xml:space="preserve"> Shell 9 Mid (TS)</t>
  </si>
  <si>
    <t xml:space="preserve"> Shell 10 (TS)</t>
  </si>
  <si>
    <t xml:space="preserve"> Shell 10 Top (TS)</t>
  </si>
  <si>
    <t xml:space="preserve"> Shell 10 Bot (TS)</t>
  </si>
  <si>
    <t xml:space="preserve"> Shell 10 North (TS)</t>
  </si>
  <si>
    <t xml:space="preserve"> Shell 10 South (TS)</t>
  </si>
  <si>
    <t xml:space="preserve"> Shell 10 East  (TS)</t>
  </si>
  <si>
    <t xml:space="preserve"> Shell 10 West (TS)</t>
  </si>
  <si>
    <t xml:space="preserve"> Shell 10 Mid (TS)</t>
  </si>
  <si>
    <t>40, XS, 80S</t>
  </si>
  <si>
    <t>20, STD, 40S</t>
  </si>
  <si>
    <t>30, XS, 80S</t>
  </si>
  <si>
    <t>20, XS, 80S</t>
  </si>
  <si>
    <t>48"</t>
  </si>
  <si>
    <t>First Insp Date</t>
  </si>
  <si>
    <t>First UT Reading</t>
  </si>
  <si>
    <t>Last Insp Date</t>
  </si>
  <si>
    <t>Last UT Reading</t>
  </si>
  <si>
    <t>Inspection Notes</t>
  </si>
  <si>
    <t>Inspected By</t>
  </si>
  <si>
    <t>KINETIC MIDSTREAM</t>
  </si>
  <si>
    <t>ARTESIA NM</t>
  </si>
  <si>
    <t>KINGS LANDING</t>
  </si>
  <si>
    <t>Carbon</t>
  </si>
  <si>
    <t>Top</t>
  </si>
  <si>
    <t>No</t>
  </si>
  <si>
    <t>Bottom</t>
  </si>
  <si>
    <t>Carlos Santollo</t>
  </si>
  <si>
    <t>Ground</t>
  </si>
  <si>
    <t>East</t>
  </si>
  <si>
    <t>West</t>
  </si>
  <si>
    <t>South</t>
  </si>
  <si>
    <t>North</t>
  </si>
  <si>
    <t>K1GP-PID-1201</t>
  </si>
  <si>
    <t>Amine-034</t>
  </si>
  <si>
    <t>F-1202 To Open Drain</t>
  </si>
  <si>
    <t>Outside Radius</t>
  </si>
  <si>
    <t>A234</t>
  </si>
  <si>
    <t>WPB</t>
  </si>
  <si>
    <t>A106</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</si>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</sst>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0.0"/>
  </numFmts>
  <fonts count="15" x14ac:knownFonts="1">
    <font>
      <sz val="11"/>
      <color theme="1"/>
      <name val="Calibri"/>
      <scheme val="minor"/>
    </font>
    <font>
      <b/>
      <u/>
      <sz val="36"/>
      <color theme="1"/>
      <name val="Calibri"/>
      <family val="2"/>
    </font>
    <font>
      <sz val="11"/>
      <name val="Calibri"/>
      <family val="2"/>
    </font>
    <font>
      <sz val="11"/>
      <color theme="1"/>
      <name val="Calibri"/>
      <family val="2"/>
    </font>
    <font>
      <sz val="11"/>
      <color rgb="FF7030A0"/>
      <name val="Calibri"/>
      <family val="2"/>
    </font>
    <font>
      <b/>
      <sz val="11"/>
      <color theme="1"/>
      <name val="Calibri"/>
      <family val="2"/>
    </font>
    <font>
      <sz val="28"/>
      <color theme="1"/>
      <name val="Calibri"/>
      <family val="2"/>
    </font>
    <font>
      <b/>
      <sz val="10"/>
      <color theme="1"/>
      <name val="Calibri"/>
      <family val="2"/>
    </font>
    <font>
      <b/>
      <sz val="9"/>
      <color theme="1"/>
      <name val="Calibri"/>
      <family val="2"/>
    </font>
    <font>
      <b/>
      <sz val="11"/>
      <color theme="0"/>
      <name val="Calibri"/>
      <family val="2"/>
    </font>
    <font>
      <sz val="10"/>
      <color theme="1"/>
      <name val="Calibri"/>
      <family val="2"/>
    </font>
    <font>
      <b/>
      <u/>
      <sz val="24"/>
      <color theme="1"/>
      <name val="Calibri"/>
      <family val="2"/>
    </font>
    <font>
      <sz val="11"/>
      <color rgb="FF000000"/>
      <name val="Calibri"/>
      <family val="2"/>
    </font>
    <font>
      <sz val="11"/>
      <color theme="1"/>
      <name val="Calibri"/>
      <family val="2"/>
      <scheme val="minor"/>
    </font>
    <font>
      <sz val="11"/>
      <color rgb="FF494949"/>
      <name val="Arial"/>
      <family val="2"/>
    </font>
  </fonts>
  <fills count="18">
    <fill>
      <patternFill patternType="none"/>
    </fill>
    <fill>
      <patternFill patternType="gray125"/>
    </fill>
    <fill>
      <patternFill patternType="solid">
        <fgColor rgb="FFFFFF00"/>
        <bgColor rgb="FFFFFF00"/>
      </patternFill>
    </fill>
    <fill>
      <patternFill patternType="solid">
        <fgColor rgb="FFFF0000"/>
        <bgColor rgb="FFFF0000"/>
      </patternFill>
    </fill>
    <fill>
      <patternFill patternType="solid">
        <fgColor rgb="FF7030A0"/>
        <bgColor rgb="FF7030A0"/>
      </patternFill>
    </fill>
    <fill>
      <patternFill patternType="solid">
        <fgColor rgb="FF77C8ED"/>
        <bgColor rgb="FF77C8ED"/>
      </patternFill>
    </fill>
    <fill>
      <patternFill patternType="solid">
        <fgColor rgb="FFD8D8D8"/>
        <bgColor rgb="FFD8D8D8"/>
      </patternFill>
    </fill>
    <fill>
      <patternFill patternType="solid">
        <fgColor rgb="FFC5E0B3"/>
        <bgColor rgb="FFC5E0B3"/>
      </patternFill>
    </fill>
    <fill>
      <patternFill patternType="solid">
        <fgColor theme="0"/>
        <bgColor theme="0"/>
      </patternFill>
    </fill>
    <fill>
      <patternFill patternType="solid">
        <fgColor theme="4"/>
        <bgColor theme="4"/>
      </patternFill>
    </fill>
    <fill>
      <patternFill patternType="solid">
        <fgColor rgb="FFB4C6E7"/>
        <bgColor rgb="FFB4C6E7"/>
      </patternFill>
    </fill>
    <fill>
      <patternFill patternType="solid">
        <fgColor rgb="FF92D050"/>
        <bgColor rgb="FF92D050"/>
      </patternFill>
    </fill>
    <fill>
      <patternFill patternType="solid">
        <fgColor rgb="FF00B0F0"/>
        <bgColor rgb="FF00B0F0"/>
      </patternFill>
    </fill>
    <fill>
      <patternFill patternType="solid">
        <fgColor rgb="FFFFC000"/>
        <bgColor rgb="FFFFC000"/>
      </patternFill>
    </fill>
    <fill>
      <patternFill patternType="solid">
        <fgColor rgb="FFC00000"/>
        <bgColor rgb="FFC00000"/>
      </patternFill>
    </fill>
    <fill>
      <patternFill patternType="solid">
        <fgColor rgb="FFD9E2F3"/>
        <bgColor rgb="FFD9E2F3"/>
      </patternFill>
    </fill>
    <fill>
      <patternFill patternType="solid">
        <fgColor rgb="FFFFFFFF"/>
        <bgColor rgb="FFFFFFFF"/>
      </patternFill>
    </fill>
    <fill>
      <patternFill patternType="solid">
        <fgColor rgb="FFFFFF00"/>
        <bgColor indexed="64"/>
      </patternFill>
    </fill>
  </fills>
  <borders count="4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8EAADB"/>
      </left>
      <right/>
      <top style="thin">
        <color rgb="FF8EAADB"/>
      </top>
      <bottom/>
      <diagonal/>
    </border>
    <border>
      <left style="thin">
        <color rgb="FF8EAADB"/>
      </left>
      <right/>
      <top style="thin">
        <color rgb="FF8EAADB"/>
      </top>
      <bottom style="thin">
        <color rgb="FF8EAADB"/>
      </bottom>
      <diagonal/>
    </border>
    <border>
      <left/>
      <right/>
      <top style="thin">
        <color rgb="FF8EAADB"/>
      </top>
      <bottom/>
      <diagonal/>
    </border>
    <border>
      <left/>
      <right/>
      <top style="thin">
        <color rgb="FF8EAADB"/>
      </top>
      <bottom/>
      <diagonal/>
    </border>
    <border>
      <left/>
      <right/>
      <top style="thin">
        <color rgb="FF8EAADB"/>
      </top>
      <bottom style="thin">
        <color rgb="FF8EAADB"/>
      </bottom>
      <diagonal/>
    </border>
    <border>
      <left/>
      <right style="thin">
        <color rgb="FF8EAADB"/>
      </right>
      <top style="thin">
        <color rgb="FF8EAADB"/>
      </top>
      <bottom/>
      <diagonal/>
    </border>
    <border>
      <left/>
      <right style="thin">
        <color rgb="FF8EAADB"/>
      </right>
      <top style="thin">
        <color rgb="FF8EAADB"/>
      </top>
      <bottom/>
      <diagonal/>
    </border>
    <border>
      <left/>
      <right style="thin">
        <color rgb="FF8EAADB"/>
      </right>
      <top style="thin">
        <color rgb="FF8EAADB"/>
      </top>
      <bottom style="thin">
        <color rgb="FF8EAADB"/>
      </bottom>
      <diagonal/>
    </border>
    <border>
      <left style="thin">
        <color rgb="FF8EAADB"/>
      </left>
      <right/>
      <top style="thin">
        <color rgb="FF8EAADB"/>
      </top>
      <bottom/>
      <diagonal/>
    </border>
    <border>
      <left/>
      <right/>
      <top/>
      <bottom/>
      <diagonal/>
    </border>
    <border>
      <left style="thin">
        <color rgb="FF8EAADB"/>
      </left>
      <right/>
      <top style="thin">
        <color rgb="FF8EAADB"/>
      </top>
      <bottom style="thin">
        <color rgb="FF8EAADB"/>
      </bottom>
      <diagonal/>
    </border>
    <border>
      <left/>
      <right/>
      <top style="thin">
        <color rgb="FF8EAADB"/>
      </top>
      <bottom style="thin">
        <color rgb="FF8EAADB"/>
      </bottom>
      <diagonal/>
    </border>
    <border>
      <left/>
      <right style="thin">
        <color rgb="FF8EAADB"/>
      </right>
      <top style="thin">
        <color rgb="FF8EAADB"/>
      </top>
      <bottom style="thin">
        <color rgb="FF8EAADB"/>
      </bottom>
      <diagonal/>
    </border>
    <border>
      <left style="thin">
        <color rgb="FF000000"/>
      </left>
      <right style="thin">
        <color rgb="FF8EAADB"/>
      </right>
      <top style="thin">
        <color rgb="FF000000"/>
      </top>
      <bottom style="thin">
        <color rgb="FF8EAADB"/>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1">
    <xf numFmtId="0" fontId="0" fillId="0" borderId="0" xfId="0"/>
    <xf numFmtId="0" fontId="3" fillId="0" borderId="0" xfId="0" applyFont="1" applyAlignment="1">
      <alignment wrapText="1"/>
    </xf>
    <xf numFmtId="0" fontId="5" fillId="0" borderId="15" xfId="0" applyFont="1" applyBorder="1"/>
    <xf numFmtId="0" fontId="5" fillId="2" borderId="15" xfId="0" applyFont="1" applyFill="1" applyBorder="1" applyAlignment="1">
      <alignment horizontal="center"/>
    </xf>
    <xf numFmtId="0" fontId="5" fillId="0" borderId="2" xfId="0" applyFont="1" applyBorder="1"/>
    <xf numFmtId="0" fontId="5" fillId="0" borderId="6" xfId="0" applyFont="1" applyBorder="1"/>
    <xf numFmtId="14" fontId="3" fillId="0" borderId="0" xfId="0" applyNumberFormat="1" applyFont="1" applyAlignment="1">
      <alignment horizontal="center" vertical="center"/>
    </xf>
    <xf numFmtId="0" fontId="3" fillId="0" borderId="0" xfId="0" applyFont="1" applyAlignment="1">
      <alignment horizontal="center" vertical="center"/>
    </xf>
    <xf numFmtId="0" fontId="8" fillId="0" borderId="1" xfId="0" applyFont="1" applyBorder="1"/>
    <xf numFmtId="14" fontId="3" fillId="0" borderId="0" xfId="0" applyNumberFormat="1" applyFont="1"/>
    <xf numFmtId="0" fontId="5" fillId="6" borderId="15" xfId="0" applyFont="1" applyFill="1" applyBorder="1" applyAlignment="1">
      <alignment horizontal="center" vertical="center" wrapText="1"/>
    </xf>
    <xf numFmtId="0" fontId="5" fillId="6" borderId="15" xfId="0" applyFont="1" applyFill="1" applyBorder="1" applyAlignment="1">
      <alignment horizontal="left" vertical="center" wrapText="1"/>
    </xf>
    <xf numFmtId="0" fontId="5" fillId="6" borderId="22" xfId="0" applyFont="1" applyFill="1" applyBorder="1" applyAlignment="1">
      <alignment horizontal="center" vertical="center" wrapText="1"/>
    </xf>
    <xf numFmtId="14" fontId="7" fillId="6" borderId="22" xfId="0" applyNumberFormat="1" applyFont="1" applyFill="1" applyBorder="1" applyAlignment="1">
      <alignment horizontal="center" vertical="center" wrapText="1"/>
    </xf>
    <xf numFmtId="0" fontId="5" fillId="6" borderId="23" xfId="0" applyFont="1" applyFill="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9" fillId="0" borderId="0" xfId="0" applyFont="1" applyAlignment="1">
      <alignment horizontal="left" vertical="center" wrapText="1"/>
    </xf>
    <xf numFmtId="0" fontId="3" fillId="8" borderId="15" xfId="0" applyFont="1" applyFill="1" applyBorder="1" applyAlignment="1">
      <alignment horizontal="center" vertical="center"/>
    </xf>
    <xf numFmtId="0" fontId="3" fillId="2" borderId="15" xfId="0" applyFont="1" applyFill="1" applyBorder="1" applyAlignment="1">
      <alignment horizontal="center" vertical="center"/>
    </xf>
    <xf numFmtId="164" fontId="3" fillId="2" borderId="15" xfId="0" applyNumberFormat="1" applyFont="1" applyFill="1" applyBorder="1" applyAlignment="1">
      <alignment horizontal="center" vertical="center"/>
    </xf>
    <xf numFmtId="0" fontId="3" fillId="0" borderId="15" xfId="0" applyFont="1" applyBorder="1" applyAlignment="1">
      <alignment horizontal="center" vertical="center"/>
    </xf>
    <xf numFmtId="165" fontId="3" fillId="0" borderId="15" xfId="0" applyNumberFormat="1" applyFont="1" applyBorder="1" applyAlignment="1">
      <alignment horizontal="center" vertical="center"/>
    </xf>
    <xf numFmtId="14" fontId="3" fillId="2" borderId="15" xfId="0" applyNumberFormat="1" applyFont="1" applyFill="1" applyBorder="1" applyAlignment="1">
      <alignment horizontal="center" vertical="center"/>
    </xf>
    <xf numFmtId="0" fontId="3" fillId="0" borderId="1" xfId="0" applyFont="1" applyBorder="1" applyAlignment="1">
      <alignment horizontal="center" vertical="center"/>
    </xf>
    <xf numFmtId="0" fontId="3" fillId="2" borderId="15" xfId="0" applyFont="1" applyFill="1" applyBorder="1" applyAlignment="1">
      <alignment horizontal="center"/>
    </xf>
    <xf numFmtId="0" fontId="3" fillId="0" borderId="3" xfId="0" applyFont="1" applyBorder="1" applyAlignment="1">
      <alignment horizontal="center" vertical="center"/>
    </xf>
    <xf numFmtId="0" fontId="3" fillId="0" borderId="0" xfId="0" applyFont="1" applyAlignment="1">
      <alignment horizontal="left"/>
    </xf>
    <xf numFmtId="0" fontId="3" fillId="0" borderId="0" xfId="0" applyFont="1"/>
    <xf numFmtId="0" fontId="3" fillId="0" borderId="10" xfId="0" applyFont="1" applyBorder="1" applyAlignment="1">
      <alignment horizontal="center" vertical="center"/>
    </xf>
    <xf numFmtId="22" fontId="3" fillId="0" borderId="0" xfId="0" applyNumberFormat="1" applyFont="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3" fillId="0" borderId="8" xfId="0" applyFont="1" applyBorder="1" applyAlignment="1">
      <alignment horizontal="left" vertical="center"/>
    </xf>
    <xf numFmtId="0" fontId="3" fillId="0" borderId="8" xfId="0" applyFont="1" applyBorder="1" applyAlignment="1">
      <alignment horizontal="left"/>
    </xf>
    <xf numFmtId="2" fontId="5" fillId="0" borderId="1" xfId="0" applyNumberFormat="1" applyFont="1" applyBorder="1" applyAlignment="1">
      <alignment horizontal="right"/>
    </xf>
    <xf numFmtId="0" fontId="5" fillId="0" borderId="2" xfId="0" applyFont="1" applyBorder="1" applyAlignment="1">
      <alignment horizontal="center" vertical="center"/>
    </xf>
    <xf numFmtId="0" fontId="3" fillId="0" borderId="0" xfId="0" applyFont="1" applyAlignment="1">
      <alignment vertical="center"/>
    </xf>
    <xf numFmtId="0" fontId="8" fillId="0" borderId="4" xfId="0" applyFont="1" applyBorder="1"/>
    <xf numFmtId="2" fontId="7" fillId="6" borderId="15" xfId="0" applyNumberFormat="1" applyFont="1" applyFill="1" applyBorder="1" applyAlignment="1">
      <alignment horizontal="center" vertical="center" wrapText="1"/>
    </xf>
    <xf numFmtId="0" fontId="7" fillId="6" borderId="15" xfId="0" applyFont="1" applyFill="1" applyBorder="1" applyAlignment="1">
      <alignment horizontal="center" vertical="center" wrapText="1"/>
    </xf>
    <xf numFmtId="0" fontId="7" fillId="6" borderId="22" xfId="0" applyFont="1" applyFill="1" applyBorder="1" applyAlignment="1">
      <alignment horizontal="center" vertical="center" wrapText="1"/>
    </xf>
    <xf numFmtId="0" fontId="7" fillId="6" borderId="29" xfId="0" applyFont="1" applyFill="1" applyBorder="1" applyAlignment="1">
      <alignment horizontal="center" vertical="center" wrapText="1"/>
    </xf>
    <xf numFmtId="0" fontId="7" fillId="6" borderId="24" xfId="0" applyFont="1" applyFill="1" applyBorder="1" applyAlignment="1">
      <alignment horizontal="center" vertical="center" wrapText="1"/>
    </xf>
    <xf numFmtId="0" fontId="10" fillId="0" borderId="0" xfId="0" applyFont="1" applyAlignment="1">
      <alignment vertical="center" wrapText="1"/>
    </xf>
    <xf numFmtId="0" fontId="3" fillId="8" borderId="15" xfId="0" applyFont="1" applyFill="1" applyBorder="1" applyAlignment="1">
      <alignment horizontal="center"/>
    </xf>
    <xf numFmtId="0" fontId="3" fillId="0" borderId="15" xfId="0" applyFont="1" applyBorder="1" applyAlignment="1">
      <alignment horizontal="center"/>
    </xf>
    <xf numFmtId="0" fontId="3" fillId="0" borderId="1" xfId="0" applyFont="1" applyBorder="1" applyAlignment="1">
      <alignment horizontal="center" vertical="center" wrapText="1"/>
    </xf>
    <xf numFmtId="0" fontId="3" fillId="0" borderId="3" xfId="0" applyFont="1" applyBorder="1"/>
    <xf numFmtId="0" fontId="3" fillId="0" borderId="30" xfId="0" quotePrefix="1" applyFont="1" applyBorder="1" applyAlignment="1">
      <alignment horizontal="center" vertical="center"/>
    </xf>
    <xf numFmtId="164" fontId="3" fillId="0" borderId="9" xfId="0" applyNumberFormat="1" applyFont="1" applyBorder="1" applyAlignment="1">
      <alignment horizontal="center" vertical="center"/>
    </xf>
    <xf numFmtId="0" fontId="3" fillId="0" borderId="15" xfId="0" applyFont="1" applyBorder="1" applyAlignment="1">
      <alignment vertical="center"/>
    </xf>
    <xf numFmtId="0" fontId="3" fillId="0" borderId="15" xfId="0" quotePrefix="1" applyFont="1" applyBorder="1" applyAlignment="1">
      <alignment horizontal="center" vertical="center"/>
    </xf>
    <xf numFmtId="2"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0" fontId="3" fillId="0" borderId="3" xfId="0" applyFont="1" applyBorder="1" applyAlignment="1">
      <alignment horizontal="center" vertical="center" wrapText="1"/>
    </xf>
    <xf numFmtId="165"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0" fontId="3" fillId="2" borderId="22" xfId="0" applyFont="1" applyFill="1" applyBorder="1" applyAlignment="1">
      <alignment horizontal="center" vertical="center"/>
    </xf>
    <xf numFmtId="0" fontId="3" fillId="8" borderId="31" xfId="0" applyFont="1" applyFill="1" applyBorder="1" applyAlignment="1">
      <alignment horizontal="center" vertical="center"/>
    </xf>
    <xf numFmtId="0" fontId="3" fillId="0" borderId="32" xfId="0" applyFont="1" applyBorder="1" applyAlignment="1">
      <alignment horizontal="center" vertical="center"/>
    </xf>
    <xf numFmtId="0" fontId="3" fillId="2" borderId="31" xfId="0" applyFont="1" applyFill="1" applyBorder="1" applyAlignment="1">
      <alignment horizontal="center" vertical="center"/>
    </xf>
    <xf numFmtId="165" fontId="3" fillId="0" borderId="32" xfId="0" applyNumberFormat="1" applyFont="1" applyBorder="1" applyAlignment="1">
      <alignment horizontal="center" vertical="center"/>
    </xf>
    <xf numFmtId="2" fontId="3" fillId="0" borderId="0" xfId="0" applyNumberFormat="1" applyFont="1" applyAlignment="1">
      <alignment horizontal="center" vertical="center"/>
    </xf>
    <xf numFmtId="164" fontId="3" fillId="0" borderId="0" xfId="0" applyNumberFormat="1" applyFont="1" applyAlignment="1">
      <alignment vertical="center"/>
    </xf>
    <xf numFmtId="165" fontId="3" fillId="0" borderId="0" xfId="0" applyNumberFormat="1" applyFont="1" applyAlignment="1">
      <alignment horizontal="center" vertical="center"/>
    </xf>
    <xf numFmtId="0" fontId="3" fillId="0" borderId="0" xfId="0" applyFont="1" applyAlignment="1">
      <alignment horizontal="right" vertical="center"/>
    </xf>
    <xf numFmtId="0" fontId="3" fillId="0" borderId="30" xfId="0" quotePrefix="1" applyFont="1" applyBorder="1" applyAlignment="1">
      <alignment horizontal="right"/>
    </xf>
    <xf numFmtId="0" fontId="3" fillId="0" borderId="15" xfId="0" quotePrefix="1" applyFont="1" applyBorder="1" applyAlignment="1">
      <alignment horizontal="right"/>
    </xf>
    <xf numFmtId="0" fontId="3" fillId="0" borderId="15" xfId="0" applyFont="1" applyBorder="1" applyAlignment="1">
      <alignment horizontal="right"/>
    </xf>
    <xf numFmtId="0" fontId="3" fillId="0" borderId="15" xfId="0" applyFont="1" applyBorder="1" applyAlignment="1">
      <alignment horizontal="center" vertical="center" wrapText="1"/>
    </xf>
    <xf numFmtId="164" fontId="9" fillId="9" borderId="33" xfId="0" applyNumberFormat="1" applyFont="1" applyFill="1" applyBorder="1"/>
    <xf numFmtId="164" fontId="3" fillId="10" borderId="33" xfId="0" applyNumberFormat="1" applyFont="1" applyFill="1" applyBorder="1"/>
    <xf numFmtId="2" fontId="3" fillId="10" borderId="33" xfId="0" applyNumberFormat="1" applyFont="1" applyFill="1" applyBorder="1"/>
    <xf numFmtId="165" fontId="3" fillId="10" borderId="33" xfId="0" applyNumberFormat="1" applyFont="1" applyFill="1" applyBorder="1"/>
    <xf numFmtId="1" fontId="3" fillId="10" borderId="33" xfId="0" applyNumberFormat="1" applyFont="1" applyFill="1" applyBorder="1"/>
    <xf numFmtId="1" fontId="3" fillId="10" borderId="34" xfId="0" applyNumberFormat="1" applyFont="1" applyFill="1" applyBorder="1"/>
    <xf numFmtId="0" fontId="3" fillId="6"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11" borderId="15" xfId="0" applyFont="1" applyFill="1" applyBorder="1" applyAlignment="1">
      <alignment horizontal="center" vertical="center" wrapText="1"/>
    </xf>
    <xf numFmtId="0" fontId="3" fillId="12" borderId="15" xfId="0" applyFont="1" applyFill="1" applyBorder="1" applyAlignment="1">
      <alignment horizontal="center" vertical="center" wrapText="1"/>
    </xf>
    <xf numFmtId="0" fontId="3" fillId="13" borderId="15" xfId="0" applyFont="1" applyFill="1" applyBorder="1" applyAlignment="1">
      <alignment horizontal="center" vertical="center" wrapText="1"/>
    </xf>
    <xf numFmtId="0" fontId="3" fillId="14" borderId="15" xfId="0" applyFont="1" applyFill="1" applyBorder="1" applyAlignment="1">
      <alignment horizontal="center" vertical="center" wrapText="1"/>
    </xf>
    <xf numFmtId="0" fontId="12" fillId="13" borderId="15" xfId="0" applyFont="1" applyFill="1" applyBorder="1" applyAlignment="1">
      <alignment horizontal="center"/>
    </xf>
    <xf numFmtId="0" fontId="12" fillId="14" borderId="15" xfId="0" applyFont="1" applyFill="1" applyBorder="1" applyAlignment="1">
      <alignment horizontal="center"/>
    </xf>
    <xf numFmtId="0" fontId="12" fillId="0" borderId="15" xfId="0" applyFont="1" applyBorder="1" applyAlignment="1">
      <alignment horizontal="center"/>
    </xf>
    <xf numFmtId="0" fontId="13" fillId="0" borderId="0" xfId="0" applyFont="1"/>
    <xf numFmtId="0" fontId="9" fillId="9" borderId="35" xfId="0" applyFont="1" applyFill="1" applyBorder="1"/>
    <xf numFmtId="0" fontId="3" fillId="15" borderId="35" xfId="0" applyFont="1" applyFill="1" applyBorder="1"/>
    <xf numFmtId="0" fontId="3" fillId="0" borderId="36" xfId="0" applyFont="1" applyBorder="1"/>
    <xf numFmtId="0" fontId="3" fillId="8" borderId="35" xfId="0" applyFont="1" applyFill="1" applyBorder="1"/>
    <xf numFmtId="0" fontId="3" fillId="15" borderId="37" xfId="0" applyFont="1" applyFill="1" applyBorder="1"/>
    <xf numFmtId="0" fontId="9" fillId="9" borderId="38" xfId="0" applyFont="1" applyFill="1" applyBorder="1"/>
    <xf numFmtId="0" fontId="3" fillId="15" borderId="38" xfId="0" applyFont="1" applyFill="1" applyBorder="1"/>
    <xf numFmtId="0" fontId="3" fillId="0" borderId="39" xfId="0" applyFont="1" applyBorder="1"/>
    <xf numFmtId="0" fontId="3" fillId="15" borderId="40" xfId="0" applyFont="1" applyFill="1" applyBorder="1"/>
    <xf numFmtId="164" fontId="3" fillId="0" borderId="41" xfId="0" applyNumberFormat="1" applyFont="1" applyBorder="1"/>
    <xf numFmtId="12" fontId="14" fillId="16" borderId="42" xfId="0" applyNumberFormat="1" applyFont="1" applyFill="1" applyBorder="1" applyAlignment="1">
      <alignment vertical="center" wrapText="1"/>
    </xf>
    <xf numFmtId="0" fontId="14" fillId="16" borderId="42" xfId="0" applyFont="1" applyFill="1" applyBorder="1" applyAlignment="1">
      <alignment vertical="center" wrapText="1"/>
    </xf>
    <xf numFmtId="16" fontId="3" fillId="0" borderId="0" xfId="0" applyNumberFormat="1" applyFont="1"/>
    <xf numFmtId="164" fontId="3" fillId="0" borderId="0" xfId="0" applyNumberFormat="1" applyFont="1"/>
    <xf numFmtId="164" fontId="3" fillId="0" borderId="43" xfId="0" applyNumberFormat="1" applyFont="1" applyBorder="1"/>
    <xf numFmtId="0" fontId="3" fillId="0" borderId="44" xfId="0" applyFont="1" applyBorder="1"/>
    <xf numFmtId="0" fontId="3" fillId="0" borderId="45" xfId="0" applyFont="1" applyBorder="1"/>
    <xf numFmtId="2" fontId="3" fillId="0" borderId="0" xfId="0" applyNumberFormat="1" applyFont="1"/>
    <xf numFmtId="0" fontId="9" fillId="9" borderId="46" xfId="0" applyFont="1" applyFill="1" applyBorder="1" applyAlignment="1">
      <alignment horizontal="left"/>
    </xf>
    <xf numFmtId="164" fontId="3" fillId="15" borderId="33" xfId="0" applyNumberFormat="1" applyFont="1" applyFill="1" applyBorder="1"/>
    <xf numFmtId="164" fontId="3" fillId="15" borderId="34" xfId="0" applyNumberFormat="1" applyFont="1" applyFill="1" applyBorder="1"/>
    <xf numFmtId="0" fontId="5" fillId="0" borderId="15" xfId="0" applyFont="1" applyBorder="1" applyAlignment="1">
      <alignment vertical="center"/>
    </xf>
    <xf numFmtId="0" fontId="5" fillId="0" borderId="15" xfId="0" applyFont="1" applyBorder="1" applyAlignment="1">
      <alignment horizontal="center" vertical="center"/>
    </xf>
    <xf numFmtId="0" fontId="3" fillId="0" borderId="7" xfId="0" applyFont="1" applyBorder="1" applyAlignment="1">
      <alignment vertical="center"/>
    </xf>
    <xf numFmtId="0" fontId="8" fillId="0" borderId="15" xfId="0" applyFont="1" applyBorder="1" applyAlignment="1">
      <alignment vertical="center"/>
    </xf>
    <xf numFmtId="0" fontId="3" fillId="0" borderId="9" xfId="0" applyFont="1" applyBorder="1" applyAlignment="1">
      <alignment vertical="center"/>
    </xf>
    <xf numFmtId="0" fontId="3" fillId="0" borderId="11" xfId="0" applyFont="1" applyBorder="1" applyAlignment="1">
      <alignment vertical="center"/>
    </xf>
    <xf numFmtId="165" fontId="7" fillId="6" borderId="22" xfId="0" applyNumberFormat="1" applyFont="1" applyFill="1" applyBorder="1" applyAlignment="1">
      <alignment horizontal="center" vertical="center" wrapText="1"/>
    </xf>
    <xf numFmtId="0" fontId="5" fillId="6" borderId="29" xfId="0" applyFont="1" applyFill="1" applyBorder="1" applyAlignment="1">
      <alignment horizontal="center" vertical="center" wrapText="1"/>
    </xf>
    <xf numFmtId="0" fontId="5" fillId="6" borderId="31" xfId="0" applyFont="1" applyFill="1" applyBorder="1" applyAlignment="1">
      <alignment horizontal="center" vertical="center" wrapText="1"/>
    </xf>
    <xf numFmtId="164" fontId="3" fillId="0" borderId="15" xfId="0" applyNumberFormat="1" applyFont="1" applyBorder="1" applyAlignment="1">
      <alignment horizontal="center" vertical="center"/>
    </xf>
    <xf numFmtId="0" fontId="3" fillId="0" borderId="3" xfId="0" applyFont="1" applyBorder="1" applyAlignment="1">
      <alignment vertical="center"/>
    </xf>
    <xf numFmtId="165" fontId="3" fillId="8" borderId="15" xfId="0" applyNumberFormat="1" applyFont="1" applyFill="1" applyBorder="1" applyAlignment="1">
      <alignment horizontal="center" vertical="center"/>
    </xf>
    <xf numFmtId="165" fontId="3" fillId="8" borderId="31" xfId="0" applyNumberFormat="1" applyFont="1" applyFill="1" applyBorder="1" applyAlignment="1">
      <alignment horizontal="center" vertical="center"/>
    </xf>
    <xf numFmtId="2" fontId="3" fillId="0" borderId="15" xfId="0" applyNumberFormat="1" applyFont="1" applyBorder="1" applyAlignment="1">
      <alignment horizontal="center" vertical="center"/>
    </xf>
    <xf numFmtId="0" fontId="3" fillId="8" borderId="15" xfId="0" applyFont="1" applyFill="1" applyBorder="1" applyAlignment="1" applyProtection="1">
      <alignment horizontal="center" vertical="center"/>
      <protection locked="0"/>
    </xf>
    <xf numFmtId="0" fontId="3" fillId="2" borderId="15" xfId="0" applyFont="1" applyFill="1" applyBorder="1" applyAlignment="1" applyProtection="1">
      <alignment horizontal="center"/>
      <protection locked="0"/>
    </xf>
    <xf numFmtId="0" fontId="3" fillId="2" borderId="15" xfId="0" applyFont="1" applyFill="1" applyBorder="1" applyAlignment="1" applyProtection="1">
      <alignment horizontal="center" vertical="center"/>
      <protection locked="0"/>
    </xf>
    <xf numFmtId="165" fontId="3" fillId="0" borderId="15" xfId="0" applyNumberFormat="1" applyFont="1" applyBorder="1" applyAlignment="1" applyProtection="1">
      <alignment horizontal="center" vertical="center"/>
      <protection locked="0"/>
    </xf>
    <xf numFmtId="14" fontId="3" fillId="17" borderId="15" xfId="0" applyNumberFormat="1" applyFont="1" applyFill="1" applyBorder="1" applyAlignment="1" applyProtection="1">
      <alignment horizontal="center"/>
      <protection locked="0"/>
    </xf>
    <xf numFmtId="0" fontId="3" fillId="0" borderId="15" xfId="0" applyFont="1" applyBorder="1" applyAlignment="1" applyProtection="1">
      <alignment horizontal="center" vertical="center"/>
      <protection locked="0"/>
    </xf>
    <xf numFmtId="0" fontId="3" fillId="17" borderId="15" xfId="0" applyFont="1" applyFill="1" applyBorder="1" applyAlignment="1" applyProtection="1">
      <alignment horizontal="center" vertical="center"/>
      <protection locked="0"/>
    </xf>
    <xf numFmtId="0" fontId="3" fillId="0" borderId="25" xfId="0" applyFont="1" applyBorder="1" applyAlignment="1" applyProtection="1">
      <alignment horizontal="center" vertical="center" wrapText="1"/>
      <protection locked="0"/>
    </xf>
    <xf numFmtId="0" fontId="0" fillId="17" borderId="47" xfId="0" applyFill="1" applyBorder="1" applyAlignment="1">
      <alignment horizontal="center"/>
    </xf>
    <xf numFmtId="0" fontId="5" fillId="2" borderId="1" xfId="0" applyFont="1" applyFill="1" applyBorder="1" applyAlignment="1">
      <alignment horizontal="center"/>
    </xf>
    <xf numFmtId="0" fontId="2" fillId="0" borderId="3" xfId="0" applyFont="1" applyBorder="1"/>
    <xf numFmtId="0" fontId="2" fillId="0" borderId="2" xfId="0" applyFont="1" applyBorder="1"/>
    <xf numFmtId="14" fontId="5" fillId="2" borderId="1" xfId="0" applyNumberFormat="1" applyFont="1" applyFill="1" applyBorder="1" applyAlignment="1">
      <alignment horizontal="center"/>
    </xf>
    <xf numFmtId="0" fontId="2" fillId="0" borderId="16" xfId="0" applyFont="1" applyBorder="1"/>
    <xf numFmtId="0" fontId="6" fillId="7" borderId="17" xfId="0" applyFont="1" applyFill="1" applyBorder="1" applyAlignment="1">
      <alignment horizontal="center" vertical="center"/>
    </xf>
    <xf numFmtId="0" fontId="2" fillId="0" borderId="18" xfId="0" applyFont="1" applyBorder="1"/>
    <xf numFmtId="0" fontId="2" fillId="0" borderId="19" xfId="0" applyFont="1" applyBorder="1"/>
    <xf numFmtId="0" fontId="2" fillId="0" borderId="7" xfId="0" applyFont="1" applyBorder="1"/>
    <xf numFmtId="0" fontId="0" fillId="0" borderId="0" xfId="0"/>
    <xf numFmtId="0" fontId="2" fillId="0" borderId="20" xfId="0" applyFont="1" applyBorder="1"/>
    <xf numFmtId="0" fontId="2" fillId="0" borderId="9" xfId="0" applyFont="1" applyBorder="1"/>
    <xf numFmtId="0" fontId="2" fillId="0" borderId="11" xfId="0" applyFont="1" applyBorder="1"/>
    <xf numFmtId="0" fontId="2" fillId="0" borderId="21" xfId="0" applyFont="1" applyBorder="1"/>
    <xf numFmtId="0" fontId="7" fillId="2" borderId="1" xfId="0" applyFont="1" applyFill="1" applyBorder="1" applyAlignment="1">
      <alignment horizontal="center"/>
    </xf>
    <xf numFmtId="0" fontId="5" fillId="0" borderId="1" xfId="0" applyFont="1" applyBorder="1" applyAlignment="1">
      <alignment horizontal="center" vertical="center"/>
    </xf>
    <xf numFmtId="0" fontId="3" fillId="0" borderId="1" xfId="0" applyFont="1" applyBorder="1" applyAlignment="1">
      <alignment horizontal="center"/>
    </xf>
    <xf numFmtId="0" fontId="5" fillId="0" borderId="1" xfId="0" applyFont="1" applyBorder="1" applyAlignment="1">
      <alignment horizontal="center"/>
    </xf>
    <xf numFmtId="0" fontId="8" fillId="0" borderId="1" xfId="0" applyFont="1" applyBorder="1" applyAlignment="1">
      <alignment horizontal="center"/>
    </xf>
    <xf numFmtId="0" fontId="7" fillId="8" borderId="1" xfId="0" applyFont="1" applyFill="1" applyBorder="1" applyAlignment="1">
      <alignment horizontal="center"/>
    </xf>
    <xf numFmtId="0" fontId="7" fillId="2" borderId="26" xfId="0" applyFont="1" applyFill="1" applyBorder="1" applyAlignment="1">
      <alignment horizontal="center"/>
    </xf>
    <xf numFmtId="0" fontId="2" fillId="0" borderId="27" xfId="0" applyFont="1" applyBorder="1"/>
    <xf numFmtId="0" fontId="2" fillId="0" borderId="28" xfId="0" applyFont="1" applyBorder="1"/>
    <xf numFmtId="0" fontId="3" fillId="7" borderId="1" xfId="0" applyFont="1" applyFill="1" applyBorder="1" applyAlignment="1">
      <alignment horizontal="center"/>
    </xf>
    <xf numFmtId="0" fontId="4" fillId="4" borderId="4" xfId="0" applyFont="1" applyFill="1" applyBorder="1" applyAlignment="1">
      <alignment vertical="center"/>
    </xf>
    <xf numFmtId="0" fontId="2" fillId="0" borderId="5" xfId="0" applyFont="1" applyBorder="1"/>
    <xf numFmtId="0" fontId="2" fillId="0" borderId="8" xfId="0" applyFont="1" applyBorder="1"/>
    <xf numFmtId="0" fontId="2" fillId="0" borderId="10" xfId="0" applyFont="1" applyBorder="1"/>
    <xf numFmtId="0" fontId="3" fillId="0" borderId="4" xfId="0" applyFont="1" applyBorder="1" applyAlignment="1">
      <alignment vertical="center" wrapText="1"/>
    </xf>
    <xf numFmtId="0" fontId="2" fillId="0" borderId="6" xfId="0" applyFont="1" applyBorder="1"/>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3" fillId="5" borderId="4" xfId="0" applyFont="1" applyFill="1" applyBorder="1" applyAlignment="1">
      <alignment vertical="center"/>
    </xf>
    <xf numFmtId="0" fontId="5" fillId="6" borderId="12" xfId="0" applyFont="1" applyFill="1" applyBorder="1" applyAlignment="1">
      <alignment horizontal="center"/>
    </xf>
    <xf numFmtId="0" fontId="2" fillId="0" borderId="13" xfId="0" applyFont="1" applyBorder="1"/>
    <xf numFmtId="0" fontId="2" fillId="0" borderId="14" xfId="0" applyFont="1" applyBorder="1"/>
    <xf numFmtId="0" fontId="1" fillId="0" borderId="1" xfId="0" applyFont="1" applyBorder="1" applyAlignment="1">
      <alignment horizontal="center" vertical="center"/>
    </xf>
    <xf numFmtId="0" fontId="3" fillId="2" borderId="4" xfId="0" applyFont="1" applyFill="1" applyBorder="1" applyAlignment="1">
      <alignment vertical="center"/>
    </xf>
    <xf numFmtId="0" fontId="3" fillId="3" borderId="4" xfId="0" applyFont="1" applyFill="1" applyBorder="1" applyAlignment="1">
      <alignment vertical="center"/>
    </xf>
    <xf numFmtId="0" fontId="3" fillId="0" borderId="1" xfId="0" applyFont="1" applyBorder="1" applyAlignment="1">
      <alignment horizontal="center" vertical="center"/>
    </xf>
    <xf numFmtId="0" fontId="3" fillId="0" borderId="7" xfId="0" applyFont="1" applyBorder="1" applyAlignment="1">
      <alignment horizontal="center" vertical="center"/>
    </xf>
    <xf numFmtId="0" fontId="5" fillId="6" borderId="1" xfId="0" applyFont="1" applyFill="1" applyBorder="1" applyAlignment="1">
      <alignment horizontal="center" vertical="center" wrapText="1"/>
    </xf>
    <xf numFmtId="0" fontId="5" fillId="0" borderId="9" xfId="0" applyFont="1" applyBorder="1" applyAlignment="1">
      <alignment horizontal="center"/>
    </xf>
    <xf numFmtId="0" fontId="8" fillId="0" borderId="2" xfId="0" applyFont="1" applyBorder="1" applyAlignment="1">
      <alignment horizontal="center"/>
    </xf>
    <xf numFmtId="0" fontId="11" fillId="0" borderId="1" xfId="0" applyFont="1" applyBorder="1" applyAlignment="1">
      <alignment horizontal="center"/>
    </xf>
    <xf numFmtId="0" fontId="3" fillId="6" borderId="1" xfId="0" applyFont="1" applyFill="1" applyBorder="1" applyAlignment="1">
      <alignment horizontal="center" vertical="center" wrapText="1"/>
    </xf>
    <xf numFmtId="0" fontId="3" fillId="6" borderId="1" xfId="0" applyFont="1" applyFill="1" applyBorder="1" applyAlignment="1">
      <alignment horizontal="center"/>
    </xf>
    <xf numFmtId="14" fontId="5" fillId="0" borderId="1" xfId="0" applyNumberFormat="1"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cellXfs>
  <cellStyles count="1">
    <cellStyle name="Normal" xfId="0" builtinId="0"/>
  </cellStyles>
  <dxfs count="35">
    <dxf>
      <font>
        <color theme="0"/>
      </font>
      <fill>
        <patternFill patternType="solid">
          <bgColor rgb="FFFF0000"/>
        </patternFill>
      </fill>
    </dxf>
    <dxf>
      <fill>
        <patternFill patternType="solid">
          <fgColor rgb="FF00B0F0"/>
          <bgColor rgb="FF00B0F0"/>
        </patternFill>
      </fill>
    </dxf>
    <dxf>
      <font>
        <color theme="0"/>
      </font>
      <fill>
        <patternFill patternType="solid">
          <fgColor rgb="FF7030A0"/>
          <bgColor rgb="FF7030A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00B0F0"/>
          <bgColor rgb="FF00B0F0"/>
        </patternFill>
      </fill>
    </dxf>
    <dxf>
      <fill>
        <patternFill patternType="solid">
          <fgColor rgb="FF00B0F0"/>
          <bgColor rgb="FF00B0F0"/>
        </patternFill>
      </fill>
    </dxf>
    <dxf>
      <font>
        <color theme="0"/>
      </font>
      <fill>
        <patternFill patternType="solid">
          <fgColor rgb="FF7030A0"/>
          <bgColor rgb="FF7030A0"/>
        </patternFill>
      </fill>
    </dxf>
    <dxf>
      <fill>
        <patternFill patternType="none"/>
      </fill>
    </dxf>
    <dxf>
      <fill>
        <patternFill patternType="none"/>
      </fill>
    </dxf>
    <dxf>
      <fill>
        <patternFill patternType="solid">
          <fgColor rgb="FFC00000"/>
          <bgColor rgb="FFC00000"/>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8">
    <tableStyle name="LWN SHEET-style" pivot="0" count="3" xr9:uid="{00000000-0011-0000-FFFF-FFFF00000000}">
      <tableStyleElement type="headerRow" dxfId="34"/>
      <tableStyleElement type="firstRowStripe" dxfId="33"/>
      <tableStyleElement type="secondRowStripe" dxfId="32"/>
    </tableStyle>
    <tableStyle name="LWN SHEET-style 2" pivot="0" count="3" xr9:uid="{00000000-0011-0000-FFFF-FFFF01000000}">
      <tableStyleElement type="headerRow" dxfId="31"/>
      <tableStyleElement type="firstRowStripe" dxfId="30"/>
      <tableStyleElement type="secondRowStripe" dxfId="29"/>
    </tableStyle>
    <tableStyle name="LWN SHEET-style 3" pivot="0" count="3" xr9:uid="{00000000-0011-0000-FFFF-FFFF02000000}">
      <tableStyleElement type="headerRow" dxfId="28"/>
      <tableStyleElement type="firstRowStripe" dxfId="27"/>
      <tableStyleElement type="secondRowStripe" dxfId="26"/>
    </tableStyle>
    <tableStyle name="LWN SHEET-style 4" pivot="0" count="3" xr9:uid="{00000000-0011-0000-FFFF-FFFF03000000}">
      <tableStyleElement type="headerRow" dxfId="25"/>
      <tableStyleElement type="firstRowStripe" dxfId="24"/>
      <tableStyleElement type="secondRowStripe" dxfId="23"/>
    </tableStyle>
    <tableStyle name="LWN SHEET-style 5" pivot="0" count="3" xr9:uid="{00000000-0011-0000-FFFF-FFFF04000000}">
      <tableStyleElement type="headerRow" dxfId="22"/>
      <tableStyleElement type="firstRowStripe" dxfId="21"/>
      <tableStyleElement type="secondRowStripe" dxfId="20"/>
    </tableStyle>
    <tableStyle name="LWN SHEET-style 6" pivot="0" count="3" xr9:uid="{00000000-0011-0000-FFFF-FFFF05000000}">
      <tableStyleElement type="headerRow" dxfId="19"/>
      <tableStyleElement type="firstRowStripe" dxfId="18"/>
      <tableStyleElement type="secondRowStripe" dxfId="17"/>
    </tableStyle>
    <tableStyle name="LWN SHEET-style 7" pivot="0" count="3" xr9:uid="{00000000-0011-0000-FFFF-FFFF06000000}">
      <tableStyleElement type="headerRow" dxfId="16"/>
      <tableStyleElement type="firstRowStripe" dxfId="15"/>
      <tableStyleElement type="secondRowStripe" dxfId="14"/>
    </tableStyle>
    <tableStyle name="LWN SHEET-style 8" pivot="0" count="3" xr9:uid="{00000000-0011-0000-FFFF-FFFF07000000}">
      <tableStyleElement type="headerRow" dxfId="13"/>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23</xdr:col>
      <xdr:colOff>0</xdr:colOff>
      <xdr:row>0</xdr:row>
      <xdr:rowOff>0</xdr:rowOff>
    </xdr:from>
    <xdr:ext cx="1352550" cy="1095375"/>
    <xdr:sp macro="" textlink="">
      <xdr:nvSpPr>
        <xdr:cNvPr id="3" name="Shape 3">
          <a:extLst>
            <a:ext uri="{FF2B5EF4-FFF2-40B4-BE49-F238E27FC236}">
              <a16:creationId xmlns:a16="http://schemas.microsoft.com/office/drawing/2014/main" id="{00000000-0008-0000-0200-000003000000}"/>
            </a:ext>
          </a:extLst>
        </xdr:cNvPr>
        <xdr:cNvSpPr txBox="1"/>
      </xdr:nvSpPr>
      <xdr:spPr>
        <a:xfrm>
          <a:off x="4674488" y="3237075"/>
          <a:ext cx="1343025" cy="10858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000" b="1">
              <a:solidFill>
                <a:schemeClr val="dk1"/>
              </a:solidFill>
              <a:latin typeface="Calibri"/>
              <a:ea typeface="Calibri"/>
              <a:cs typeface="Calibri"/>
              <a:sym typeface="Calibri"/>
            </a:rPr>
            <a:t>X and Y are default</a:t>
          </a:r>
          <a:endParaRPr sz="1400"/>
        </a:p>
        <a:p>
          <a:pPr marL="0" lvl="0" indent="0" algn="l" rtl="0">
            <a:spcBef>
              <a:spcPts val="0"/>
            </a:spcBef>
            <a:spcAft>
              <a:spcPts val="0"/>
            </a:spcAft>
            <a:buNone/>
          </a:pPr>
          <a:r>
            <a:rPr lang="en-US" sz="1000" b="1">
              <a:solidFill>
                <a:schemeClr val="dk1"/>
              </a:solidFill>
              <a:latin typeface="Calibri"/>
              <a:ea typeface="Calibri"/>
              <a:cs typeface="Calibri"/>
              <a:sym typeface="Calibri"/>
            </a:rPr>
            <a:t> material "helper" columns.  To activate formula select "Default from the dropdown in cell F4</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9525</xdr:colOff>
      <xdr:row>0</xdr:row>
      <xdr:rowOff>0</xdr:rowOff>
    </xdr:from>
    <xdr:ext cx="3609975" cy="809625"/>
    <xdr:sp macro="" textlink="">
      <xdr:nvSpPr>
        <xdr:cNvPr id="4" name="Shape 4">
          <a:extLst>
            <a:ext uri="{FF2B5EF4-FFF2-40B4-BE49-F238E27FC236}">
              <a16:creationId xmlns:a16="http://schemas.microsoft.com/office/drawing/2014/main" id="{00000000-0008-0000-0400-000004000000}"/>
            </a:ext>
          </a:extLst>
        </xdr:cNvPr>
        <xdr:cNvSpPr txBox="1"/>
      </xdr:nvSpPr>
      <xdr:spPr>
        <a:xfrm>
          <a:off x="3545775" y="3379950"/>
          <a:ext cx="3600450" cy="8001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rgbClr val="FF0000"/>
              </a:solidFill>
              <a:latin typeface="Calibri"/>
              <a:ea typeface="Calibri"/>
              <a:cs typeface="Calibri"/>
              <a:sym typeface="Calibri"/>
            </a:rPr>
            <a:t>ONLY COPY AND PASTE, DO NOT MODIFY </a:t>
          </a:r>
          <a:r>
            <a:rPr lang="en-US" sz="1200">
              <a:solidFill>
                <a:schemeClr val="dk1"/>
              </a:solidFill>
              <a:latin typeface="Calibri"/>
              <a:ea typeface="Calibri"/>
              <a:cs typeface="Calibri"/>
              <a:sym typeface="Calibri"/>
            </a:rPr>
            <a:t>Automatically pulled from Vessels/Piping tabs for Aware thickness activities.</a:t>
          </a: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S2:S21">
  <tableColumns count="1">
    <tableColumn id="1" xr3:uid="{00000000-0010-0000-0000-000001000000}" name="Ellipsoidal Head"/>
  </tableColumns>
  <tableStyleInfo name="LWN SHEE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T2:T62">
  <tableColumns count="1">
    <tableColumn id="1" xr3:uid="{00000000-0010-0000-0100-000001000000}" name="Nozzle"/>
  </tableColumns>
  <tableStyleInfo name="LWN SHEET-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U2:U243">
  <tableColumns count="1">
    <tableColumn id="1" xr3:uid="{00000000-0010-0000-0200-000001000000}" name="Shell"/>
  </tableColumns>
  <tableStyleInfo name="LWN SHEET-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V2:V52">
  <tableColumns count="1">
    <tableColumn id="1" xr3:uid="{00000000-0010-0000-0300-000001000000}" name="Shell Tubes"/>
  </tableColumns>
  <tableStyleInfo name="LWN SHEET-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S22:S29">
  <tableColumns count="1">
    <tableColumn id="1" xr3:uid="{00000000-0010-0000-0400-000001000000}" name="Hemispherical Head"/>
  </tableColumns>
  <tableStyleInfo name="LWN SHEET-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S30:S37">
  <tableColumns count="1">
    <tableColumn id="1" xr3:uid="{00000000-0010-0000-0500-000001000000}" name="Flat Head"/>
  </tableColumns>
  <tableStyleInfo name="LWN SHEET-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S38:S57">
  <tableColumns count="1">
    <tableColumn id="1" xr3:uid="{00000000-0010-0000-0600-000001000000}" name="Torispherical Head"/>
  </tableColumns>
  <tableStyleInfo name="LWN SHEET-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S58:S98">
  <tableColumns count="1">
    <tableColumn id="1" xr3:uid="{00000000-0010-0000-0700-000001000000}" name="Header Box"/>
  </tableColumns>
  <tableStyleInfo name="LWN SHEET-style 8"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workbookViewId="0">
      <selection sqref="A1:M1"/>
    </sheetView>
  </sheetViews>
  <sheetFormatPr defaultColWidth="14.44140625" defaultRowHeight="15" customHeight="1" x14ac:dyDescent="0.3"/>
  <cols>
    <col min="1" max="13" width="9.21875" customWidth="1"/>
    <col min="14" max="26" width="8.77734375" customWidth="1"/>
  </cols>
  <sheetData>
    <row r="1" spans="1:13" ht="46.2" x14ac:dyDescent="0.3">
      <c r="A1" s="167" t="s">
        <v>0</v>
      </c>
      <c r="B1" s="133"/>
      <c r="C1" s="133"/>
      <c r="D1" s="133"/>
      <c r="E1" s="133"/>
      <c r="F1" s="133"/>
      <c r="G1" s="133"/>
      <c r="H1" s="133"/>
      <c r="I1" s="133"/>
      <c r="J1" s="133"/>
      <c r="K1" s="133"/>
      <c r="L1" s="133"/>
      <c r="M1" s="132"/>
    </row>
    <row r="2" spans="1:13" ht="15" customHeight="1" x14ac:dyDescent="0.3">
      <c r="A2" s="168"/>
      <c r="B2" s="156"/>
      <c r="C2" s="159" t="s">
        <v>1</v>
      </c>
      <c r="D2" s="160"/>
      <c r="E2" s="160"/>
      <c r="F2" s="160"/>
      <c r="G2" s="160"/>
      <c r="H2" s="160"/>
      <c r="I2" s="160"/>
      <c r="J2" s="160"/>
      <c r="K2" s="160"/>
      <c r="L2" s="160"/>
      <c r="M2" s="156"/>
    </row>
    <row r="3" spans="1:13" ht="14.4" x14ac:dyDescent="0.3">
      <c r="A3" s="139"/>
      <c r="B3" s="157"/>
      <c r="C3" s="139"/>
      <c r="D3" s="140"/>
      <c r="E3" s="140"/>
      <c r="F3" s="140"/>
      <c r="G3" s="140"/>
      <c r="H3" s="140"/>
      <c r="I3" s="140"/>
      <c r="J3" s="140"/>
      <c r="K3" s="140"/>
      <c r="L3" s="140"/>
      <c r="M3" s="157"/>
    </row>
    <row r="4" spans="1:13" ht="14.4" x14ac:dyDescent="0.3">
      <c r="A4" s="139"/>
      <c r="B4" s="157"/>
      <c r="C4" s="139"/>
      <c r="D4" s="140"/>
      <c r="E4" s="140"/>
      <c r="F4" s="140"/>
      <c r="G4" s="140"/>
      <c r="H4" s="140"/>
      <c r="I4" s="140"/>
      <c r="J4" s="140"/>
      <c r="K4" s="140"/>
      <c r="L4" s="140"/>
      <c r="M4" s="157"/>
    </row>
    <row r="5" spans="1:13" ht="14.4" x14ac:dyDescent="0.3">
      <c r="A5" s="142"/>
      <c r="B5" s="158"/>
      <c r="C5" s="142"/>
      <c r="D5" s="143"/>
      <c r="E5" s="143"/>
      <c r="F5" s="143"/>
      <c r="G5" s="143"/>
      <c r="H5" s="143"/>
      <c r="I5" s="143"/>
      <c r="J5" s="143"/>
      <c r="K5" s="143"/>
      <c r="L5" s="143"/>
      <c r="M5" s="158"/>
    </row>
    <row r="6" spans="1:13" ht="14.4" x14ac:dyDescent="0.3">
      <c r="A6" s="169"/>
      <c r="B6" s="156"/>
      <c r="C6" s="159" t="s">
        <v>2</v>
      </c>
      <c r="D6" s="160"/>
      <c r="E6" s="160"/>
      <c r="F6" s="160"/>
      <c r="G6" s="160"/>
      <c r="H6" s="160"/>
      <c r="I6" s="160"/>
      <c r="J6" s="160"/>
      <c r="K6" s="160"/>
      <c r="L6" s="160"/>
      <c r="M6" s="156"/>
    </row>
    <row r="7" spans="1:13" ht="14.4" x14ac:dyDescent="0.3">
      <c r="A7" s="139"/>
      <c r="B7" s="157"/>
      <c r="C7" s="139"/>
      <c r="D7" s="140"/>
      <c r="E7" s="140"/>
      <c r="F7" s="140"/>
      <c r="G7" s="140"/>
      <c r="H7" s="140"/>
      <c r="I7" s="140"/>
      <c r="J7" s="140"/>
      <c r="K7" s="140"/>
      <c r="L7" s="140"/>
      <c r="M7" s="157"/>
    </row>
    <row r="8" spans="1:13" ht="14.4" x14ac:dyDescent="0.3">
      <c r="A8" s="139"/>
      <c r="B8" s="157"/>
      <c r="C8" s="139"/>
      <c r="D8" s="140"/>
      <c r="E8" s="140"/>
      <c r="F8" s="140"/>
      <c r="G8" s="140"/>
      <c r="H8" s="140"/>
      <c r="I8" s="140"/>
      <c r="J8" s="140"/>
      <c r="K8" s="140"/>
      <c r="L8" s="140"/>
      <c r="M8" s="157"/>
    </row>
    <row r="9" spans="1:13" ht="14.4" x14ac:dyDescent="0.3">
      <c r="A9" s="142"/>
      <c r="B9" s="158"/>
      <c r="C9" s="142"/>
      <c r="D9" s="143"/>
      <c r="E9" s="143"/>
      <c r="F9" s="143"/>
      <c r="G9" s="143"/>
      <c r="H9" s="143"/>
      <c r="I9" s="143"/>
      <c r="J9" s="143"/>
      <c r="K9" s="143"/>
      <c r="L9" s="143"/>
      <c r="M9" s="158"/>
    </row>
    <row r="10" spans="1:13" ht="14.4" x14ac:dyDescent="0.3">
      <c r="A10" s="155"/>
      <c r="B10" s="156"/>
      <c r="C10" s="159" t="s">
        <v>3</v>
      </c>
      <c r="D10" s="160"/>
      <c r="E10" s="160"/>
      <c r="F10" s="160"/>
      <c r="G10" s="160"/>
      <c r="H10" s="160"/>
      <c r="I10" s="160"/>
      <c r="J10" s="160"/>
      <c r="K10" s="160"/>
      <c r="L10" s="160"/>
      <c r="M10" s="156"/>
    </row>
    <row r="11" spans="1:13" ht="14.4" x14ac:dyDescent="0.3">
      <c r="A11" s="139"/>
      <c r="B11" s="157"/>
      <c r="C11" s="139"/>
      <c r="D11" s="140"/>
      <c r="E11" s="140"/>
      <c r="F11" s="140"/>
      <c r="G11" s="140"/>
      <c r="H11" s="140"/>
      <c r="I11" s="140"/>
      <c r="J11" s="140"/>
      <c r="K11" s="140"/>
      <c r="L11" s="140"/>
      <c r="M11" s="157"/>
    </row>
    <row r="12" spans="1:13" ht="14.4" x14ac:dyDescent="0.3">
      <c r="A12" s="139"/>
      <c r="B12" s="157"/>
      <c r="C12" s="139"/>
      <c r="D12" s="140"/>
      <c r="E12" s="140"/>
      <c r="F12" s="140"/>
      <c r="G12" s="140"/>
      <c r="H12" s="140"/>
      <c r="I12" s="140"/>
      <c r="J12" s="140"/>
      <c r="K12" s="140"/>
      <c r="L12" s="140"/>
      <c r="M12" s="157"/>
    </row>
    <row r="13" spans="1:13" ht="14.4" x14ac:dyDescent="0.3">
      <c r="A13" s="142"/>
      <c r="B13" s="158"/>
      <c r="C13" s="142"/>
      <c r="D13" s="143"/>
      <c r="E13" s="143"/>
      <c r="F13" s="143"/>
      <c r="G13" s="143"/>
      <c r="H13" s="143"/>
      <c r="I13" s="143"/>
      <c r="J13" s="143"/>
      <c r="K13" s="143"/>
      <c r="L13" s="143"/>
      <c r="M13" s="158"/>
    </row>
    <row r="14" spans="1:13" ht="14.4" x14ac:dyDescent="0.3">
      <c r="A14" s="163"/>
      <c r="B14" s="156"/>
      <c r="C14" s="159" t="s">
        <v>4</v>
      </c>
      <c r="D14" s="160"/>
      <c r="E14" s="160"/>
      <c r="F14" s="160"/>
      <c r="G14" s="160"/>
      <c r="H14" s="160"/>
      <c r="I14" s="160"/>
      <c r="J14" s="160"/>
      <c r="K14" s="160"/>
      <c r="L14" s="160"/>
      <c r="M14" s="156"/>
    </row>
    <row r="15" spans="1:13" ht="14.4" x14ac:dyDescent="0.3">
      <c r="A15" s="139"/>
      <c r="B15" s="157"/>
      <c r="C15" s="139"/>
      <c r="D15" s="140"/>
      <c r="E15" s="140"/>
      <c r="F15" s="140"/>
      <c r="G15" s="140"/>
      <c r="H15" s="140"/>
      <c r="I15" s="140"/>
      <c r="J15" s="140"/>
      <c r="K15" s="140"/>
      <c r="L15" s="140"/>
      <c r="M15" s="157"/>
    </row>
    <row r="16" spans="1:13" ht="14.4" x14ac:dyDescent="0.3">
      <c r="A16" s="139"/>
      <c r="B16" s="157"/>
      <c r="C16" s="139"/>
      <c r="D16" s="140"/>
      <c r="E16" s="140"/>
      <c r="F16" s="140"/>
      <c r="G16" s="140"/>
      <c r="H16" s="140"/>
      <c r="I16" s="140"/>
      <c r="J16" s="140"/>
      <c r="K16" s="140"/>
      <c r="L16" s="140"/>
      <c r="M16" s="157"/>
    </row>
    <row r="17" spans="1:13" ht="14.4" x14ac:dyDescent="0.3">
      <c r="A17" s="142"/>
      <c r="B17" s="158"/>
      <c r="C17" s="142"/>
      <c r="D17" s="143"/>
      <c r="E17" s="143"/>
      <c r="F17" s="143"/>
      <c r="G17" s="143"/>
      <c r="H17" s="143"/>
      <c r="I17" s="143"/>
      <c r="J17" s="143"/>
      <c r="K17" s="143"/>
      <c r="L17" s="143"/>
      <c r="M17" s="158"/>
    </row>
    <row r="18" spans="1:13" ht="15" customHeight="1" x14ac:dyDescent="0.3">
      <c r="A18" s="159" t="s">
        <v>5</v>
      </c>
      <c r="B18" s="160"/>
      <c r="C18" s="160"/>
      <c r="D18" s="160"/>
      <c r="E18" s="160"/>
      <c r="F18" s="160"/>
      <c r="G18" s="160"/>
      <c r="H18" s="160"/>
      <c r="I18" s="160"/>
      <c r="J18" s="160"/>
      <c r="K18" s="160"/>
      <c r="L18" s="160"/>
      <c r="M18" s="156"/>
    </row>
    <row r="19" spans="1:13" ht="14.4" x14ac:dyDescent="0.3">
      <c r="A19" s="139"/>
      <c r="B19" s="140"/>
      <c r="C19" s="140"/>
      <c r="D19" s="140"/>
      <c r="E19" s="140"/>
      <c r="F19" s="140"/>
      <c r="G19" s="140"/>
      <c r="H19" s="140"/>
      <c r="I19" s="140"/>
      <c r="J19" s="140"/>
      <c r="K19" s="140"/>
      <c r="L19" s="140"/>
      <c r="M19" s="157"/>
    </row>
    <row r="20" spans="1:13" ht="14.4" x14ac:dyDescent="0.3">
      <c r="A20" s="142"/>
      <c r="B20" s="143"/>
      <c r="C20" s="143"/>
      <c r="D20" s="143"/>
      <c r="E20" s="143"/>
      <c r="F20" s="143"/>
      <c r="G20" s="143"/>
      <c r="H20" s="143"/>
      <c r="I20" s="143"/>
      <c r="J20" s="143"/>
      <c r="K20" s="143"/>
      <c r="L20" s="143"/>
      <c r="M20" s="158"/>
    </row>
    <row r="21" spans="1:13" ht="15.75" customHeight="1" x14ac:dyDescent="0.3">
      <c r="A21" s="159" t="s">
        <v>6</v>
      </c>
      <c r="B21" s="160"/>
      <c r="C21" s="160"/>
      <c r="D21" s="160"/>
      <c r="E21" s="160"/>
      <c r="F21" s="160"/>
      <c r="G21" s="160"/>
      <c r="H21" s="160"/>
      <c r="I21" s="160"/>
      <c r="J21" s="160"/>
      <c r="K21" s="160"/>
      <c r="L21" s="160"/>
      <c r="M21" s="156"/>
    </row>
    <row r="22" spans="1:13" ht="15.75" customHeight="1" x14ac:dyDescent="0.3">
      <c r="A22" s="139"/>
      <c r="B22" s="140"/>
      <c r="C22" s="140"/>
      <c r="D22" s="140"/>
      <c r="E22" s="140"/>
      <c r="F22" s="140"/>
      <c r="G22" s="140"/>
      <c r="H22" s="140"/>
      <c r="I22" s="140"/>
      <c r="J22" s="140"/>
      <c r="K22" s="140"/>
      <c r="L22" s="140"/>
      <c r="M22" s="157"/>
    </row>
    <row r="23" spans="1:13" ht="15.75" customHeight="1" x14ac:dyDescent="0.3">
      <c r="A23" s="142"/>
      <c r="B23" s="143"/>
      <c r="C23" s="143"/>
      <c r="D23" s="143"/>
      <c r="E23" s="143"/>
      <c r="F23" s="143"/>
      <c r="G23" s="143"/>
      <c r="H23" s="143"/>
      <c r="I23" s="143"/>
      <c r="J23" s="143"/>
      <c r="K23" s="143"/>
      <c r="L23" s="143"/>
      <c r="M23" s="158"/>
    </row>
    <row r="24" spans="1:13" ht="15.75" customHeight="1" x14ac:dyDescent="0.3">
      <c r="A24" s="164" t="s">
        <v>7</v>
      </c>
      <c r="B24" s="165"/>
      <c r="C24" s="165"/>
      <c r="D24" s="166"/>
      <c r="E24" s="1"/>
      <c r="F24" s="1"/>
      <c r="G24" s="1"/>
      <c r="H24" s="1"/>
      <c r="I24" s="1"/>
      <c r="J24" s="1"/>
      <c r="K24" s="1"/>
      <c r="L24" s="1"/>
      <c r="M24" s="1"/>
    </row>
    <row r="25" spans="1:13" ht="15.75" customHeight="1" x14ac:dyDescent="0.3">
      <c r="A25" s="161" t="s">
        <v>8</v>
      </c>
      <c r="B25" s="156"/>
      <c r="C25" s="162" t="s">
        <v>9</v>
      </c>
      <c r="D25" s="156"/>
      <c r="E25" s="1"/>
      <c r="F25" s="1"/>
      <c r="G25" s="1"/>
      <c r="H25" s="1"/>
      <c r="I25" s="1"/>
      <c r="J25" s="1"/>
      <c r="K25" s="1"/>
      <c r="L25" s="1"/>
      <c r="M25" s="1"/>
    </row>
    <row r="26" spans="1:13" ht="15.75" customHeight="1" x14ac:dyDescent="0.3">
      <c r="A26" s="139"/>
      <c r="B26" s="157"/>
      <c r="C26" s="139"/>
      <c r="D26" s="157"/>
    </row>
    <row r="27" spans="1:13" ht="15.75" customHeight="1" x14ac:dyDescent="0.3">
      <c r="A27" s="139"/>
      <c r="B27" s="157"/>
      <c r="C27" s="139"/>
      <c r="D27" s="157"/>
    </row>
    <row r="28" spans="1:13" ht="15.75" customHeight="1" x14ac:dyDescent="0.3">
      <c r="A28" s="142"/>
      <c r="B28" s="158"/>
      <c r="C28" s="142"/>
      <c r="D28" s="158"/>
    </row>
    <row r="29" spans="1:13" ht="15.75" customHeight="1" x14ac:dyDescent="0.3">
      <c r="A29" s="161" t="s">
        <v>10</v>
      </c>
      <c r="B29" s="156"/>
      <c r="C29" s="162" t="s">
        <v>11</v>
      </c>
      <c r="D29" s="156"/>
    </row>
    <row r="30" spans="1:13" ht="15.75" customHeight="1" x14ac:dyDescent="0.3">
      <c r="A30" s="139"/>
      <c r="B30" s="157"/>
      <c r="C30" s="139"/>
      <c r="D30" s="157"/>
    </row>
    <row r="31" spans="1:13" ht="15.75" customHeight="1" x14ac:dyDescent="0.3">
      <c r="A31" s="139"/>
      <c r="B31" s="157"/>
      <c r="C31" s="139"/>
      <c r="D31" s="157"/>
    </row>
    <row r="32" spans="1:13" ht="15.75" customHeight="1" x14ac:dyDescent="0.3">
      <c r="A32" s="139"/>
      <c r="B32" s="157"/>
      <c r="C32" s="139"/>
      <c r="D32" s="157"/>
    </row>
    <row r="33" spans="1:4" ht="15.75" customHeight="1" x14ac:dyDescent="0.3">
      <c r="A33" s="139"/>
      <c r="B33" s="157"/>
      <c r="C33" s="139"/>
      <c r="D33" s="157"/>
    </row>
    <row r="34" spans="1:4" ht="15.75" customHeight="1" x14ac:dyDescent="0.3">
      <c r="A34" s="139"/>
      <c r="B34" s="157"/>
      <c r="C34" s="139"/>
      <c r="D34" s="157"/>
    </row>
    <row r="35" spans="1:4" ht="15.75" customHeight="1" x14ac:dyDescent="0.3">
      <c r="A35" s="139"/>
      <c r="B35" s="157"/>
      <c r="C35" s="139"/>
      <c r="D35" s="157"/>
    </row>
    <row r="36" spans="1:4" ht="15.75" customHeight="1" x14ac:dyDescent="0.3">
      <c r="A36" s="142"/>
      <c r="B36" s="158"/>
      <c r="C36" s="142"/>
      <c r="D36" s="158"/>
    </row>
    <row r="37" spans="1:4" ht="15.75" customHeight="1" x14ac:dyDescent="0.3">
      <c r="A37" s="147" t="s">
        <v>12</v>
      </c>
      <c r="B37" s="132"/>
      <c r="C37" s="147" t="s">
        <v>13</v>
      </c>
      <c r="D37" s="132"/>
    </row>
    <row r="38" spans="1:4" ht="15.75" customHeight="1" x14ac:dyDescent="0.3"/>
    <row r="39" spans="1:4" ht="15.75" customHeight="1" x14ac:dyDescent="0.3"/>
    <row r="40" spans="1:4" ht="15.75" customHeight="1" x14ac:dyDescent="0.3"/>
    <row r="41" spans="1:4" ht="15.75" customHeight="1" x14ac:dyDescent="0.3"/>
    <row r="42" spans="1:4" ht="15.75" customHeight="1" x14ac:dyDescent="0.3"/>
    <row r="43" spans="1:4" ht="15.75" customHeight="1" x14ac:dyDescent="0.3"/>
    <row r="44" spans="1:4" ht="15.75" customHeight="1" x14ac:dyDescent="0.3"/>
    <row r="45" spans="1:4" ht="15.75" customHeight="1" x14ac:dyDescent="0.3"/>
    <row r="46" spans="1:4" ht="15.75" customHeight="1" x14ac:dyDescent="0.3"/>
    <row r="47" spans="1:4" ht="15.75" customHeight="1" x14ac:dyDescent="0.3"/>
    <row r="48" spans="1:4"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8">
    <mergeCell ref="A1:M1"/>
    <mergeCell ref="A2:B5"/>
    <mergeCell ref="C2:M5"/>
    <mergeCell ref="A6:B9"/>
    <mergeCell ref="C6:M9"/>
    <mergeCell ref="A10:B13"/>
    <mergeCell ref="C10:M13"/>
    <mergeCell ref="A29:B36"/>
    <mergeCell ref="C29:D36"/>
    <mergeCell ref="A37:B37"/>
    <mergeCell ref="C37:D37"/>
    <mergeCell ref="A14:B17"/>
    <mergeCell ref="C14:M17"/>
    <mergeCell ref="A18:M20"/>
    <mergeCell ref="A21:M23"/>
    <mergeCell ref="A24:D24"/>
    <mergeCell ref="A25:B28"/>
    <mergeCell ref="C25:D28"/>
  </mergeCells>
  <conditionalFormatting sqref="A14">
    <cfRule type="expression" dxfId="10" priority="1">
      <formula>AND(NOT(ISBLANK(XFD9)), OR(A14 &lt;= XFD9 - 0.01, A14 &gt;= XFD9 + 0.01))</formula>
    </cfRule>
    <cfRule type="expression" dxfId="9" priority="2">
      <formula>IF(ISBLANK(A14), FALSE, IF(A14 &gt; XEQ9 + (XEQ9 * 0.25), TRUE, FALSE))</formula>
    </cfRule>
    <cfRule type="expression" dxfId="8" priority="3">
      <formula>IF(NOT(ISBLANK(XFD9)),"", IF(OR(ISBLANK(A14), ISBLANK(XEQ9)), FALSE, IF($J$5 = "Seamed", IF(A14 &lt; XEQ9 - MIN(XEQ9 * 0.06, 0.01), TRUE, FALSE), IF(A14 &lt; XEQ9 - XEQ9 * 0.125, TRUE, FALSE))))</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1005"/>
  <sheetViews>
    <sheetView workbookViewId="0">
      <pane xSplit="1" ySplit="5" topLeftCell="B6" activePane="bottomRight" state="frozen"/>
      <selection pane="topRight" activeCell="B1" sqref="B1"/>
      <selection pane="bottomLeft" activeCell="A6" sqref="A6"/>
      <selection pane="bottomRight" activeCell="U11" sqref="U11"/>
    </sheetView>
  </sheetViews>
  <sheetFormatPr defaultColWidth="14.44140625" defaultRowHeight="15" customHeight="1" x14ac:dyDescent="0.3"/>
  <cols>
    <col min="1" max="1" width="6.21875" customWidth="1"/>
    <col min="2" max="2" width="13.77734375" customWidth="1"/>
    <col min="3" max="3" width="17.21875" customWidth="1"/>
    <col min="4" max="4" width="12.77734375" customWidth="1"/>
    <col min="5" max="5" width="7.21875" customWidth="1"/>
    <col min="6" max="7" width="7.77734375" customWidth="1"/>
    <col min="8" max="8" width="8.44140625" customWidth="1"/>
    <col min="9" max="9" width="10.5546875" customWidth="1"/>
    <col min="10" max="10" width="10.21875" customWidth="1"/>
    <col min="11" max="12" width="9.21875" customWidth="1"/>
    <col min="13" max="13" width="5.77734375" customWidth="1"/>
    <col min="14" max="14" width="10.21875" customWidth="1"/>
    <col min="15" max="15" width="10.77734375" customWidth="1"/>
    <col min="16" max="16" width="11.44140625" customWidth="1"/>
    <col min="17" max="17" width="8.21875" customWidth="1"/>
    <col min="18" max="18" width="6.44140625" customWidth="1"/>
    <col min="19" max="19" width="9.77734375" customWidth="1"/>
    <col min="20" max="20" width="11.21875" customWidth="1"/>
    <col min="21" max="21" width="25.5546875" customWidth="1"/>
    <col min="22" max="24" width="8.77734375" customWidth="1"/>
    <col min="25" max="25" width="7.77734375" customWidth="1"/>
    <col min="26" max="38" width="7.77734375" hidden="1" customWidth="1"/>
  </cols>
  <sheetData>
    <row r="1" spans="1:38" ht="14.25" customHeight="1" x14ac:dyDescent="0.3">
      <c r="A1" s="2" t="s">
        <v>14</v>
      </c>
      <c r="B1" s="3"/>
      <c r="C1" s="4" t="s">
        <v>15</v>
      </c>
      <c r="D1" s="131"/>
      <c r="E1" s="132"/>
      <c r="F1" s="4" t="s">
        <v>16</v>
      </c>
      <c r="G1" s="131"/>
      <c r="H1" s="133"/>
      <c r="I1" s="132"/>
      <c r="J1" s="5" t="s">
        <v>17</v>
      </c>
      <c r="K1" s="134"/>
      <c r="L1" s="133"/>
      <c r="M1" s="135"/>
      <c r="N1" s="136" t="s">
        <v>18</v>
      </c>
      <c r="O1" s="137"/>
      <c r="P1" s="137"/>
      <c r="Q1" s="137"/>
      <c r="R1" s="137"/>
      <c r="S1" s="137"/>
      <c r="T1" s="137"/>
      <c r="U1" s="137"/>
      <c r="V1" s="137"/>
      <c r="W1" s="137"/>
      <c r="X1" s="137"/>
      <c r="Y1" s="138"/>
    </row>
    <row r="2" spans="1:38" ht="14.25" customHeight="1" x14ac:dyDescent="0.3">
      <c r="A2" s="173" t="s">
        <v>19</v>
      </c>
      <c r="B2" s="143"/>
      <c r="C2" s="145"/>
      <c r="D2" s="133"/>
      <c r="E2" s="132"/>
      <c r="F2" s="148" t="s">
        <v>20</v>
      </c>
      <c r="G2" s="133"/>
      <c r="H2" s="132"/>
      <c r="I2" s="145"/>
      <c r="J2" s="133"/>
      <c r="K2" s="133"/>
      <c r="L2" s="133"/>
      <c r="M2" s="135"/>
      <c r="N2" s="139"/>
      <c r="O2" s="140"/>
      <c r="P2" s="140"/>
      <c r="Q2" s="140"/>
      <c r="R2" s="140"/>
      <c r="S2" s="140"/>
      <c r="T2" s="140"/>
      <c r="U2" s="140"/>
      <c r="V2" s="140"/>
      <c r="W2" s="140"/>
      <c r="X2" s="140"/>
      <c r="Y2" s="141"/>
      <c r="Z2" s="6"/>
      <c r="AA2" s="7"/>
      <c r="AB2" s="7"/>
      <c r="AC2" s="7"/>
      <c r="AD2" s="7"/>
      <c r="AE2" s="7"/>
      <c r="AF2" s="7"/>
      <c r="AG2" s="7"/>
      <c r="AH2" s="7"/>
      <c r="AI2" s="7"/>
      <c r="AJ2" s="7"/>
      <c r="AK2" s="7"/>
      <c r="AL2" s="7"/>
    </row>
    <row r="3" spans="1:38" ht="14.25" customHeight="1" x14ac:dyDescent="0.3">
      <c r="A3" s="149" t="s">
        <v>21</v>
      </c>
      <c r="B3" s="132"/>
      <c r="C3" s="145"/>
      <c r="D3" s="133"/>
      <c r="E3" s="133"/>
      <c r="F3" s="133"/>
      <c r="G3" s="133"/>
      <c r="H3" s="132"/>
      <c r="I3" s="8" t="s">
        <v>22</v>
      </c>
      <c r="J3" s="145"/>
      <c r="K3" s="133"/>
      <c r="L3" s="133"/>
      <c r="M3" s="135"/>
      <c r="N3" s="139"/>
      <c r="O3" s="140"/>
      <c r="P3" s="140"/>
      <c r="Q3" s="140"/>
      <c r="R3" s="140"/>
      <c r="S3" s="140"/>
      <c r="T3" s="140"/>
      <c r="U3" s="140"/>
      <c r="V3" s="140"/>
      <c r="W3" s="140"/>
      <c r="X3" s="140"/>
      <c r="Y3" s="141"/>
      <c r="Z3" s="9"/>
      <c r="AK3" s="1"/>
      <c r="AL3" s="1"/>
    </row>
    <row r="4" spans="1:38" ht="14.25" customHeight="1" x14ac:dyDescent="0.3">
      <c r="A4" s="150" t="s">
        <v>23</v>
      </c>
      <c r="B4" s="133"/>
      <c r="C4" s="132"/>
      <c r="D4" s="131"/>
      <c r="E4" s="133"/>
      <c r="F4" s="132"/>
      <c r="G4" s="174" t="s">
        <v>24</v>
      </c>
      <c r="H4" s="133"/>
      <c r="I4" s="132"/>
      <c r="J4" s="145"/>
      <c r="K4" s="133"/>
      <c r="L4" s="133"/>
      <c r="M4" s="135"/>
      <c r="N4" s="142"/>
      <c r="O4" s="143"/>
      <c r="P4" s="143"/>
      <c r="Q4" s="143"/>
      <c r="R4" s="143"/>
      <c r="S4" s="143"/>
      <c r="T4" s="143"/>
      <c r="U4" s="143"/>
      <c r="V4" s="143"/>
      <c r="W4" s="143"/>
      <c r="X4" s="143"/>
      <c r="Y4" s="144"/>
      <c r="Z4" s="9"/>
    </row>
    <row r="5" spans="1:38" ht="27.6" x14ac:dyDescent="0.3">
      <c r="A5" s="10" t="s">
        <v>26</v>
      </c>
      <c r="B5" s="10" t="s">
        <v>27</v>
      </c>
      <c r="C5" s="10" t="s">
        <v>28</v>
      </c>
      <c r="D5" s="10" t="s">
        <v>29</v>
      </c>
      <c r="E5" s="10" t="s">
        <v>30</v>
      </c>
      <c r="F5" s="10" t="s">
        <v>31</v>
      </c>
      <c r="G5" s="10" t="s">
        <v>32</v>
      </c>
      <c r="H5" s="10" t="s">
        <v>33</v>
      </c>
      <c r="I5" s="11" t="s">
        <v>34</v>
      </c>
      <c r="J5" s="11" t="s">
        <v>25</v>
      </c>
      <c r="K5" s="10" t="s">
        <v>35</v>
      </c>
      <c r="L5" s="10" t="s">
        <v>36</v>
      </c>
      <c r="M5" s="10" t="s">
        <v>37</v>
      </c>
      <c r="N5" s="12" t="s">
        <v>38</v>
      </c>
      <c r="O5" s="12" t="s">
        <v>39</v>
      </c>
      <c r="P5" s="12" t="s">
        <v>40</v>
      </c>
      <c r="Q5" s="12" t="s">
        <v>41</v>
      </c>
      <c r="R5" s="12" t="s">
        <v>42</v>
      </c>
      <c r="S5" s="13" t="s">
        <v>43</v>
      </c>
      <c r="T5" s="14" t="s">
        <v>44</v>
      </c>
      <c r="U5" s="10" t="s">
        <v>45</v>
      </c>
      <c r="V5" s="172" t="s">
        <v>7</v>
      </c>
      <c r="W5" s="133"/>
      <c r="X5" s="133"/>
      <c r="Y5" s="132"/>
      <c r="Z5" s="15"/>
      <c r="AA5" s="15"/>
      <c r="AB5" s="15"/>
      <c r="AC5" s="15"/>
      <c r="AD5" s="15"/>
      <c r="AE5" s="15"/>
      <c r="AF5" s="16"/>
      <c r="AG5" s="15"/>
      <c r="AH5" s="15"/>
      <c r="AI5" s="17"/>
      <c r="AJ5" s="15"/>
      <c r="AK5" s="15"/>
      <c r="AL5" s="15"/>
    </row>
    <row r="6" spans="1:38" ht="14.25" customHeight="1" x14ac:dyDescent="0.3">
      <c r="A6" s="18">
        <v>1.01</v>
      </c>
      <c r="B6" s="19"/>
      <c r="C6" s="19"/>
      <c r="D6" s="19"/>
      <c r="E6" s="19"/>
      <c r="F6" s="20"/>
      <c r="G6" s="21"/>
      <c r="H6" s="21"/>
      <c r="I6" s="21"/>
      <c r="J6" s="21"/>
      <c r="K6" s="19"/>
      <c r="L6" s="19"/>
      <c r="M6" s="22"/>
      <c r="N6" s="19"/>
      <c r="O6" s="19"/>
      <c r="P6" s="23"/>
      <c r="Q6" s="21" t="s">
        <v>46</v>
      </c>
      <c r="R6" s="19" t="s">
        <v>47</v>
      </c>
      <c r="S6" s="24"/>
      <c r="T6" s="25"/>
      <c r="U6" s="26"/>
      <c r="V6" s="161" t="s">
        <v>8</v>
      </c>
      <c r="W6" s="156"/>
      <c r="X6" s="162" t="s">
        <v>9</v>
      </c>
      <c r="Y6" s="156"/>
      <c r="AE6" s="27"/>
      <c r="AF6" s="28"/>
    </row>
    <row r="7" spans="1:38" ht="14.25" customHeight="1" x14ac:dyDescent="0.3">
      <c r="A7" s="18">
        <v>1.02</v>
      </c>
      <c r="B7" s="19"/>
      <c r="C7" s="19"/>
      <c r="D7" s="19"/>
      <c r="E7" s="19"/>
      <c r="F7" s="20"/>
      <c r="G7" s="21"/>
      <c r="H7" s="21"/>
      <c r="I7" s="21"/>
      <c r="J7" s="21"/>
      <c r="K7" s="19"/>
      <c r="L7" s="19"/>
      <c r="M7" s="22"/>
      <c r="N7" s="19"/>
      <c r="O7" s="19"/>
      <c r="P7" s="23"/>
      <c r="Q7" s="21" t="s">
        <v>46</v>
      </c>
      <c r="R7" s="19" t="s">
        <v>47</v>
      </c>
      <c r="S7" s="24"/>
      <c r="T7" s="25"/>
      <c r="U7" s="26"/>
      <c r="V7" s="139"/>
      <c r="W7" s="157"/>
      <c r="X7" s="139"/>
      <c r="Y7" s="157"/>
      <c r="AF7" s="28"/>
    </row>
    <row r="8" spans="1:38" ht="14.25" customHeight="1" x14ac:dyDescent="0.3">
      <c r="A8" s="18">
        <v>1.03</v>
      </c>
      <c r="B8" s="19"/>
      <c r="C8" s="19"/>
      <c r="D8" s="19"/>
      <c r="E8" s="19"/>
      <c r="F8" s="20"/>
      <c r="G8" s="21"/>
      <c r="H8" s="21"/>
      <c r="I8" s="21"/>
      <c r="J8" s="21"/>
      <c r="K8" s="19"/>
      <c r="L8" s="19"/>
      <c r="M8" s="22"/>
      <c r="N8" s="19"/>
      <c r="O8" s="19"/>
      <c r="P8" s="23"/>
      <c r="Q8" s="21" t="s">
        <v>46</v>
      </c>
      <c r="R8" s="19" t="s">
        <v>47</v>
      </c>
      <c r="S8" s="24"/>
      <c r="T8" s="25"/>
      <c r="U8" s="26"/>
      <c r="V8" s="139"/>
      <c r="W8" s="157"/>
      <c r="X8" s="139"/>
      <c r="Y8" s="157"/>
      <c r="AF8" s="28"/>
    </row>
    <row r="9" spans="1:38" ht="14.25" customHeight="1" x14ac:dyDescent="0.3">
      <c r="A9" s="18">
        <v>1.04</v>
      </c>
      <c r="B9" s="19"/>
      <c r="C9" s="19"/>
      <c r="D9" s="19"/>
      <c r="E9" s="19"/>
      <c r="F9" s="20"/>
      <c r="G9" s="21"/>
      <c r="H9" s="21"/>
      <c r="I9" s="21"/>
      <c r="J9" s="21"/>
      <c r="K9" s="19"/>
      <c r="L9" s="19"/>
      <c r="M9" s="22"/>
      <c r="N9" s="19"/>
      <c r="O9" s="19"/>
      <c r="P9" s="23"/>
      <c r="Q9" s="21" t="s">
        <v>46</v>
      </c>
      <c r="R9" s="19" t="s">
        <v>47</v>
      </c>
      <c r="S9" s="24"/>
      <c r="T9" s="25"/>
      <c r="U9" s="26"/>
      <c r="V9" s="142"/>
      <c r="W9" s="158"/>
      <c r="X9" s="142"/>
      <c r="Y9" s="158"/>
      <c r="AF9" s="28"/>
    </row>
    <row r="10" spans="1:38" ht="14.25" customHeight="1" x14ac:dyDescent="0.3">
      <c r="A10" s="18">
        <v>2.0099999999999998</v>
      </c>
      <c r="B10" s="19"/>
      <c r="C10" s="19"/>
      <c r="D10" s="19"/>
      <c r="E10" s="19"/>
      <c r="F10" s="20"/>
      <c r="G10" s="21"/>
      <c r="H10" s="21"/>
      <c r="I10" s="21"/>
      <c r="J10" s="21"/>
      <c r="K10" s="19"/>
      <c r="L10" s="19"/>
      <c r="M10" s="22"/>
      <c r="N10" s="19"/>
      <c r="O10" s="19"/>
      <c r="P10" s="23"/>
      <c r="Q10" s="21" t="s">
        <v>46</v>
      </c>
      <c r="R10" s="19" t="s">
        <v>47</v>
      </c>
      <c r="S10" s="24"/>
      <c r="T10" s="25"/>
      <c r="U10" s="26"/>
      <c r="V10" s="161" t="s">
        <v>10</v>
      </c>
      <c r="W10" s="156"/>
      <c r="X10" s="162" t="s">
        <v>11</v>
      </c>
      <c r="Y10" s="156"/>
      <c r="AF10" s="28"/>
    </row>
    <row r="11" spans="1:38" ht="14.4" x14ac:dyDescent="0.3">
      <c r="A11" s="18">
        <v>2.02</v>
      </c>
      <c r="B11" s="19"/>
      <c r="C11" s="19"/>
      <c r="D11" s="19"/>
      <c r="E11" s="19"/>
      <c r="F11" s="20"/>
      <c r="G11" s="21"/>
      <c r="H11" s="21"/>
      <c r="I11" s="21"/>
      <c r="J11" s="21"/>
      <c r="K11" s="19"/>
      <c r="L11" s="19"/>
      <c r="M11" s="22"/>
      <c r="N11" s="19"/>
      <c r="O11" s="19"/>
      <c r="P11" s="23"/>
      <c r="Q11" s="21" t="s">
        <v>46</v>
      </c>
      <c r="R11" s="19" t="s">
        <v>47</v>
      </c>
      <c r="S11" s="24"/>
      <c r="T11" s="25"/>
      <c r="U11" s="26"/>
      <c r="V11" s="139"/>
      <c r="W11" s="157"/>
      <c r="X11" s="139"/>
      <c r="Y11" s="157"/>
      <c r="AF11" s="28"/>
    </row>
    <row r="12" spans="1:38" ht="14.25" customHeight="1" x14ac:dyDescent="0.3">
      <c r="A12" s="18">
        <v>2.0299999999999998</v>
      </c>
      <c r="B12" s="19"/>
      <c r="C12" s="19"/>
      <c r="D12" s="19"/>
      <c r="E12" s="19"/>
      <c r="F12" s="20"/>
      <c r="G12" s="21"/>
      <c r="H12" s="21"/>
      <c r="I12" s="21"/>
      <c r="J12" s="21"/>
      <c r="K12" s="19"/>
      <c r="L12" s="19"/>
      <c r="M12" s="22"/>
      <c r="N12" s="19"/>
      <c r="O12" s="19"/>
      <c r="P12" s="23"/>
      <c r="Q12" s="21" t="s">
        <v>46</v>
      </c>
      <c r="R12" s="19" t="s">
        <v>47</v>
      </c>
      <c r="S12" s="24"/>
      <c r="T12" s="25"/>
      <c r="U12" s="26"/>
      <c r="V12" s="139"/>
      <c r="W12" s="157"/>
      <c r="X12" s="139"/>
      <c r="Y12" s="157"/>
      <c r="AF12" s="28"/>
    </row>
    <row r="13" spans="1:38" ht="14.25" customHeight="1" x14ac:dyDescent="0.3">
      <c r="A13" s="18">
        <v>2.04</v>
      </c>
      <c r="B13" s="19"/>
      <c r="C13" s="19"/>
      <c r="D13" s="19"/>
      <c r="E13" s="19"/>
      <c r="F13" s="20"/>
      <c r="G13" s="21"/>
      <c r="H13" s="21"/>
      <c r="I13" s="21"/>
      <c r="J13" s="21"/>
      <c r="K13" s="19"/>
      <c r="L13" s="19"/>
      <c r="M13" s="22"/>
      <c r="N13" s="19"/>
      <c r="O13" s="19"/>
      <c r="P13" s="23"/>
      <c r="Q13" s="21" t="s">
        <v>46</v>
      </c>
      <c r="R13" s="19" t="s">
        <v>47</v>
      </c>
      <c r="S13" s="24"/>
      <c r="T13" s="25"/>
      <c r="U13" s="26"/>
      <c r="V13" s="139"/>
      <c r="W13" s="157"/>
      <c r="X13" s="139"/>
      <c r="Y13" s="157"/>
      <c r="AF13" s="28"/>
    </row>
    <row r="14" spans="1:38" ht="14.25" customHeight="1" x14ac:dyDescent="0.3">
      <c r="A14" s="18">
        <v>3.01</v>
      </c>
      <c r="B14" s="19"/>
      <c r="C14" s="19"/>
      <c r="D14" s="19"/>
      <c r="E14" s="19"/>
      <c r="F14" s="20"/>
      <c r="G14" s="21"/>
      <c r="H14" s="21"/>
      <c r="I14" s="21"/>
      <c r="J14" s="21"/>
      <c r="K14" s="19"/>
      <c r="L14" s="19"/>
      <c r="M14" s="22"/>
      <c r="N14" s="19"/>
      <c r="O14" s="19"/>
      <c r="P14" s="23"/>
      <c r="Q14" s="21" t="s">
        <v>46</v>
      </c>
      <c r="R14" s="19" t="s">
        <v>47</v>
      </c>
      <c r="S14" s="24"/>
      <c r="T14" s="25"/>
      <c r="U14" s="26"/>
      <c r="V14" s="139"/>
      <c r="W14" s="157"/>
      <c r="X14" s="139"/>
      <c r="Y14" s="157"/>
      <c r="AF14" s="28"/>
    </row>
    <row r="15" spans="1:38" ht="14.25" customHeight="1" x14ac:dyDescent="0.3">
      <c r="A15" s="18">
        <v>3.02</v>
      </c>
      <c r="B15" s="19"/>
      <c r="C15" s="19"/>
      <c r="D15" s="19"/>
      <c r="E15" s="19"/>
      <c r="F15" s="20"/>
      <c r="G15" s="21"/>
      <c r="H15" s="21"/>
      <c r="I15" s="21"/>
      <c r="J15" s="21"/>
      <c r="K15" s="19"/>
      <c r="L15" s="19"/>
      <c r="M15" s="22"/>
      <c r="N15" s="19"/>
      <c r="O15" s="19"/>
      <c r="P15" s="23"/>
      <c r="Q15" s="21" t="s">
        <v>46</v>
      </c>
      <c r="R15" s="19" t="s">
        <v>47</v>
      </c>
      <c r="S15" s="24"/>
      <c r="T15" s="25"/>
      <c r="U15" s="26"/>
      <c r="V15" s="139"/>
      <c r="W15" s="157"/>
      <c r="X15" s="139"/>
      <c r="Y15" s="157"/>
      <c r="AF15" s="28"/>
    </row>
    <row r="16" spans="1:38" ht="14.25" customHeight="1" x14ac:dyDescent="0.3">
      <c r="A16" s="18">
        <v>3.03</v>
      </c>
      <c r="B16" s="19"/>
      <c r="C16" s="19"/>
      <c r="D16" s="19"/>
      <c r="E16" s="19"/>
      <c r="F16" s="20"/>
      <c r="G16" s="21"/>
      <c r="H16" s="21"/>
      <c r="I16" s="21"/>
      <c r="J16" s="21"/>
      <c r="K16" s="19"/>
      <c r="L16" s="19"/>
      <c r="M16" s="22"/>
      <c r="N16" s="19"/>
      <c r="O16" s="19"/>
      <c r="P16" s="23"/>
      <c r="Q16" s="21" t="s">
        <v>46</v>
      </c>
      <c r="R16" s="19" t="s">
        <v>47</v>
      </c>
      <c r="S16" s="24"/>
      <c r="T16" s="25"/>
      <c r="U16" s="26"/>
      <c r="V16" s="139"/>
      <c r="W16" s="157"/>
      <c r="X16" s="139"/>
      <c r="Y16" s="157"/>
      <c r="AF16" s="28"/>
    </row>
    <row r="17" spans="1:32" ht="14.25" customHeight="1" x14ac:dyDescent="0.3">
      <c r="A17" s="18">
        <v>3.04</v>
      </c>
      <c r="B17" s="19"/>
      <c r="C17" s="19"/>
      <c r="D17" s="19"/>
      <c r="E17" s="19"/>
      <c r="F17" s="20"/>
      <c r="G17" s="21"/>
      <c r="H17" s="21"/>
      <c r="I17" s="21"/>
      <c r="J17" s="21"/>
      <c r="K17" s="19"/>
      <c r="L17" s="19"/>
      <c r="M17" s="22"/>
      <c r="N17" s="19"/>
      <c r="O17" s="19"/>
      <c r="P17" s="23"/>
      <c r="Q17" s="21" t="s">
        <v>46</v>
      </c>
      <c r="R17" s="19" t="s">
        <v>47</v>
      </c>
      <c r="S17" s="24"/>
      <c r="T17" s="25"/>
      <c r="U17" s="26"/>
      <c r="V17" s="142"/>
      <c r="W17" s="158"/>
      <c r="X17" s="142"/>
      <c r="Y17" s="158"/>
      <c r="AF17" s="28"/>
    </row>
    <row r="18" spans="1:32" ht="14.25" customHeight="1" x14ac:dyDescent="0.3">
      <c r="A18" s="18">
        <v>4.01</v>
      </c>
      <c r="B18" s="19"/>
      <c r="C18" s="19"/>
      <c r="D18" s="19"/>
      <c r="E18" s="19"/>
      <c r="F18" s="20"/>
      <c r="G18" s="21"/>
      <c r="H18" s="21"/>
      <c r="I18" s="21"/>
      <c r="J18" s="21"/>
      <c r="K18" s="19"/>
      <c r="L18" s="19"/>
      <c r="M18" s="22"/>
      <c r="N18" s="19"/>
      <c r="O18" s="19"/>
      <c r="P18" s="23"/>
      <c r="Q18" s="21" t="s">
        <v>46</v>
      </c>
      <c r="R18" s="19" t="s">
        <v>47</v>
      </c>
      <c r="S18" s="24"/>
      <c r="T18" s="25"/>
      <c r="U18" s="26"/>
      <c r="V18" s="170" t="s">
        <v>12</v>
      </c>
      <c r="W18" s="132"/>
      <c r="X18" s="170" t="s">
        <v>13</v>
      </c>
      <c r="Y18" s="132"/>
      <c r="AF18" s="28"/>
    </row>
    <row r="19" spans="1:32" ht="14.25" customHeight="1" x14ac:dyDescent="0.3">
      <c r="A19" s="18">
        <v>4.0199999999999996</v>
      </c>
      <c r="B19" s="19"/>
      <c r="C19" s="19"/>
      <c r="D19" s="19"/>
      <c r="E19" s="19"/>
      <c r="F19" s="20"/>
      <c r="G19" s="21"/>
      <c r="H19" s="21"/>
      <c r="I19" s="21"/>
      <c r="J19" s="21"/>
      <c r="K19" s="19"/>
      <c r="L19" s="19"/>
      <c r="M19" s="22"/>
      <c r="N19" s="19"/>
      <c r="O19" s="19"/>
      <c r="P19" s="23"/>
      <c r="Q19" s="21" t="s">
        <v>46</v>
      </c>
      <c r="R19" s="19" t="s">
        <v>47</v>
      </c>
      <c r="S19" s="24"/>
      <c r="T19" s="25"/>
      <c r="U19" s="29"/>
      <c r="V19" s="7"/>
      <c r="W19" s="7"/>
      <c r="X19" s="6"/>
      <c r="Y19" s="30"/>
      <c r="Z19" s="9"/>
      <c r="AF19" s="28"/>
    </row>
    <row r="20" spans="1:32" ht="14.25" customHeight="1" x14ac:dyDescent="0.3">
      <c r="A20" s="18">
        <v>4.03</v>
      </c>
      <c r="B20" s="19"/>
      <c r="C20" s="19"/>
      <c r="D20" s="19"/>
      <c r="E20" s="19"/>
      <c r="F20" s="20"/>
      <c r="G20" s="21"/>
      <c r="H20" s="21"/>
      <c r="I20" s="21"/>
      <c r="J20" s="21"/>
      <c r="K20" s="19"/>
      <c r="L20" s="19"/>
      <c r="M20" s="22"/>
      <c r="N20" s="19"/>
      <c r="O20" s="19"/>
      <c r="P20" s="23"/>
      <c r="Q20" s="21" t="s">
        <v>46</v>
      </c>
      <c r="R20" s="19" t="s">
        <v>47</v>
      </c>
      <c r="S20" s="24"/>
      <c r="T20" s="25"/>
      <c r="U20" s="26"/>
      <c r="V20" s="171"/>
      <c r="W20" s="140"/>
      <c r="X20" s="140"/>
      <c r="Y20" s="140"/>
      <c r="Z20" s="9"/>
      <c r="AF20" s="28"/>
    </row>
    <row r="21" spans="1:32" ht="14.25" customHeight="1" x14ac:dyDescent="0.3">
      <c r="A21" s="18">
        <v>4.04</v>
      </c>
      <c r="B21" s="19"/>
      <c r="C21" s="19"/>
      <c r="D21" s="19"/>
      <c r="E21" s="19"/>
      <c r="F21" s="20"/>
      <c r="G21" s="21"/>
      <c r="H21" s="21"/>
      <c r="I21" s="21"/>
      <c r="J21" s="21"/>
      <c r="K21" s="19"/>
      <c r="L21" s="19"/>
      <c r="M21" s="22"/>
      <c r="N21" s="19"/>
      <c r="O21" s="19"/>
      <c r="P21" s="23"/>
      <c r="Q21" s="21" t="s">
        <v>46</v>
      </c>
      <c r="R21" s="19" t="s">
        <v>47</v>
      </c>
      <c r="S21" s="24"/>
      <c r="T21" s="25"/>
      <c r="U21" s="26"/>
      <c r="V21" s="7"/>
      <c r="W21" s="7"/>
      <c r="X21" s="6"/>
      <c r="Y21" s="30"/>
      <c r="Z21" s="9"/>
      <c r="AF21" s="28"/>
    </row>
    <row r="22" spans="1:32" ht="14.25" customHeight="1" x14ac:dyDescent="0.3">
      <c r="A22" s="18">
        <v>5.01</v>
      </c>
      <c r="B22" s="19"/>
      <c r="C22" s="19"/>
      <c r="D22" s="19"/>
      <c r="E22" s="19"/>
      <c r="F22" s="19"/>
      <c r="G22" s="21"/>
      <c r="H22" s="21"/>
      <c r="I22" s="21"/>
      <c r="J22" s="21"/>
      <c r="K22" s="19"/>
      <c r="L22" s="19"/>
      <c r="M22" s="22"/>
      <c r="N22" s="19"/>
      <c r="O22" s="19"/>
      <c r="P22" s="23"/>
      <c r="Q22" s="21" t="s">
        <v>46</v>
      </c>
      <c r="R22" s="19" t="s">
        <v>47</v>
      </c>
      <c r="S22" s="24"/>
      <c r="T22" s="25"/>
      <c r="U22" s="26"/>
      <c r="V22" s="7"/>
      <c r="W22" s="7"/>
      <c r="X22" s="7"/>
      <c r="Y22" s="7"/>
      <c r="AF22" s="28"/>
    </row>
    <row r="23" spans="1:32" ht="14.25" customHeight="1" x14ac:dyDescent="0.3">
      <c r="A23" s="18">
        <v>5.0199999999999996</v>
      </c>
      <c r="B23" s="19"/>
      <c r="C23" s="19"/>
      <c r="D23" s="19"/>
      <c r="E23" s="19"/>
      <c r="F23" s="19"/>
      <c r="G23" s="21"/>
      <c r="H23" s="21"/>
      <c r="I23" s="21"/>
      <c r="J23" s="21"/>
      <c r="K23" s="19"/>
      <c r="L23" s="19"/>
      <c r="M23" s="22"/>
      <c r="N23" s="19"/>
      <c r="O23" s="19"/>
      <c r="P23" s="23"/>
      <c r="Q23" s="21" t="s">
        <v>46</v>
      </c>
      <c r="R23" s="19" t="s">
        <v>47</v>
      </c>
      <c r="S23" s="24"/>
      <c r="T23" s="25"/>
      <c r="U23" s="26"/>
      <c r="V23" s="7"/>
      <c r="W23" s="7"/>
      <c r="X23" s="7"/>
      <c r="Y23" s="7"/>
      <c r="AF23" s="28"/>
    </row>
    <row r="24" spans="1:32" ht="14.25" customHeight="1" x14ac:dyDescent="0.3">
      <c r="A24" s="18">
        <v>5.03</v>
      </c>
      <c r="B24" s="19"/>
      <c r="C24" s="19"/>
      <c r="D24" s="19"/>
      <c r="E24" s="19"/>
      <c r="F24" s="19"/>
      <c r="G24" s="21"/>
      <c r="H24" s="21"/>
      <c r="I24" s="21"/>
      <c r="J24" s="21"/>
      <c r="K24" s="19"/>
      <c r="L24" s="19"/>
      <c r="M24" s="22"/>
      <c r="N24" s="19"/>
      <c r="O24" s="19"/>
      <c r="P24" s="23"/>
      <c r="Q24" s="21" t="s">
        <v>46</v>
      </c>
      <c r="R24" s="19" t="s">
        <v>47</v>
      </c>
      <c r="S24" s="24"/>
      <c r="T24" s="25"/>
      <c r="U24" s="26"/>
      <c r="V24" s="7"/>
      <c r="W24" s="7"/>
      <c r="X24" s="7"/>
      <c r="Y24" s="7"/>
      <c r="AF24" s="28"/>
    </row>
    <row r="25" spans="1:32" ht="14.25" customHeight="1" x14ac:dyDescent="0.3">
      <c r="A25" s="18">
        <v>5.04</v>
      </c>
      <c r="B25" s="19"/>
      <c r="C25" s="19"/>
      <c r="D25" s="19"/>
      <c r="E25" s="19"/>
      <c r="F25" s="19"/>
      <c r="G25" s="21"/>
      <c r="H25" s="21"/>
      <c r="I25" s="21"/>
      <c r="J25" s="21"/>
      <c r="K25" s="19"/>
      <c r="L25" s="19"/>
      <c r="M25" s="22"/>
      <c r="N25" s="19"/>
      <c r="O25" s="19"/>
      <c r="P25" s="23"/>
      <c r="Q25" s="21" t="s">
        <v>46</v>
      </c>
      <c r="R25" s="19" t="s">
        <v>47</v>
      </c>
      <c r="S25" s="24"/>
      <c r="T25" s="25"/>
      <c r="U25" s="26"/>
      <c r="V25" s="7"/>
      <c r="W25" s="7"/>
      <c r="X25" s="7"/>
      <c r="Y25" s="7"/>
      <c r="AF25" s="28"/>
    </row>
    <row r="26" spans="1:32" ht="14.25" customHeight="1" x14ac:dyDescent="0.3">
      <c r="A26" s="18">
        <v>6.01</v>
      </c>
      <c r="B26" s="19"/>
      <c r="C26" s="19"/>
      <c r="D26" s="19"/>
      <c r="E26" s="19"/>
      <c r="F26" s="19"/>
      <c r="G26" s="21"/>
      <c r="H26" s="21"/>
      <c r="I26" s="21"/>
      <c r="J26" s="21"/>
      <c r="K26" s="19"/>
      <c r="L26" s="19"/>
      <c r="M26" s="22"/>
      <c r="N26" s="19"/>
      <c r="O26" s="19"/>
      <c r="P26" s="23"/>
      <c r="Q26" s="21" t="s">
        <v>46</v>
      </c>
      <c r="R26" s="19" t="s">
        <v>47</v>
      </c>
      <c r="S26" s="24"/>
      <c r="T26" s="25"/>
      <c r="U26" s="26"/>
      <c r="V26" s="7"/>
      <c r="W26" s="7"/>
      <c r="X26" s="7"/>
      <c r="Y26" s="7"/>
      <c r="AF26" s="28"/>
    </row>
    <row r="27" spans="1:32" ht="14.25" customHeight="1" x14ac:dyDescent="0.3">
      <c r="A27" s="18">
        <v>6.02</v>
      </c>
      <c r="B27" s="19"/>
      <c r="C27" s="19"/>
      <c r="D27" s="19"/>
      <c r="E27" s="19"/>
      <c r="F27" s="19"/>
      <c r="G27" s="21"/>
      <c r="H27" s="21"/>
      <c r="I27" s="21"/>
      <c r="J27" s="21"/>
      <c r="K27" s="19"/>
      <c r="L27" s="19"/>
      <c r="M27" s="22"/>
      <c r="N27" s="19"/>
      <c r="O27" s="19"/>
      <c r="P27" s="23"/>
      <c r="Q27" s="21" t="s">
        <v>46</v>
      </c>
      <c r="R27" s="19" t="s">
        <v>47</v>
      </c>
      <c r="S27" s="24"/>
      <c r="T27" s="25"/>
      <c r="U27" s="26"/>
      <c r="V27" s="7"/>
      <c r="W27" s="7"/>
      <c r="X27" s="7"/>
      <c r="Y27" s="7"/>
      <c r="AD27" s="28"/>
      <c r="AF27" s="28"/>
    </row>
    <row r="28" spans="1:32" ht="14.25" customHeight="1" x14ac:dyDescent="0.3">
      <c r="A28" s="18">
        <v>6.03</v>
      </c>
      <c r="B28" s="19"/>
      <c r="C28" s="19"/>
      <c r="D28" s="19"/>
      <c r="E28" s="19"/>
      <c r="F28" s="19"/>
      <c r="G28" s="21"/>
      <c r="H28" s="21"/>
      <c r="I28" s="21"/>
      <c r="J28" s="21"/>
      <c r="K28" s="19"/>
      <c r="L28" s="19"/>
      <c r="M28" s="22"/>
      <c r="N28" s="19"/>
      <c r="O28" s="19"/>
      <c r="P28" s="23"/>
      <c r="Q28" s="21" t="s">
        <v>46</v>
      </c>
      <c r="R28" s="19" t="s">
        <v>47</v>
      </c>
      <c r="S28" s="24"/>
      <c r="T28" s="25"/>
      <c r="U28" s="26"/>
      <c r="V28" s="7"/>
      <c r="W28" s="7"/>
      <c r="X28" s="7"/>
      <c r="Y28" s="7"/>
      <c r="AD28" s="28"/>
      <c r="AF28" s="28"/>
    </row>
    <row r="29" spans="1:32" ht="14.25" customHeight="1" x14ac:dyDescent="0.3">
      <c r="A29" s="18">
        <v>6.04</v>
      </c>
      <c r="B29" s="19"/>
      <c r="C29" s="19"/>
      <c r="D29" s="19"/>
      <c r="E29" s="19"/>
      <c r="F29" s="19"/>
      <c r="G29" s="21"/>
      <c r="H29" s="21"/>
      <c r="I29" s="21"/>
      <c r="J29" s="21"/>
      <c r="K29" s="19"/>
      <c r="L29" s="19"/>
      <c r="M29" s="22"/>
      <c r="N29" s="19"/>
      <c r="O29" s="19"/>
      <c r="P29" s="23"/>
      <c r="Q29" s="21" t="s">
        <v>46</v>
      </c>
      <c r="R29" s="19" t="s">
        <v>47</v>
      </c>
      <c r="S29" s="24"/>
      <c r="T29" s="25"/>
      <c r="U29" s="26"/>
      <c r="V29" s="7"/>
      <c r="W29" s="7"/>
      <c r="X29" s="7"/>
      <c r="Y29" s="7"/>
      <c r="AD29" s="28"/>
      <c r="AF29" s="28"/>
    </row>
    <row r="30" spans="1:32" ht="14.25" customHeight="1" x14ac:dyDescent="0.3">
      <c r="A30" s="18">
        <v>7.01</v>
      </c>
      <c r="B30" s="19"/>
      <c r="C30" s="19"/>
      <c r="D30" s="19"/>
      <c r="E30" s="19"/>
      <c r="F30" s="20"/>
      <c r="G30" s="21"/>
      <c r="H30" s="21"/>
      <c r="I30" s="21"/>
      <c r="J30" s="21"/>
      <c r="K30" s="19"/>
      <c r="L30" s="19"/>
      <c r="M30" s="22"/>
      <c r="N30" s="19"/>
      <c r="O30" s="19"/>
      <c r="P30" s="23"/>
      <c r="Q30" s="21" t="s">
        <v>46</v>
      </c>
      <c r="R30" s="19" t="s">
        <v>47</v>
      </c>
      <c r="S30" s="24"/>
      <c r="T30" s="25"/>
      <c r="U30" s="26"/>
      <c r="V30" s="7"/>
      <c r="W30" s="7"/>
      <c r="X30" s="7"/>
      <c r="Y30" s="7"/>
      <c r="AD30" s="28"/>
      <c r="AF30" s="28"/>
    </row>
    <row r="31" spans="1:32" ht="14.25" customHeight="1" x14ac:dyDescent="0.3">
      <c r="A31" s="18">
        <v>7.02</v>
      </c>
      <c r="B31" s="19"/>
      <c r="C31" s="19"/>
      <c r="D31" s="19"/>
      <c r="E31" s="19"/>
      <c r="F31" s="20"/>
      <c r="G31" s="21"/>
      <c r="H31" s="21"/>
      <c r="I31" s="21"/>
      <c r="J31" s="21"/>
      <c r="K31" s="19"/>
      <c r="L31" s="19"/>
      <c r="M31" s="22"/>
      <c r="N31" s="19"/>
      <c r="O31" s="19"/>
      <c r="P31" s="23"/>
      <c r="Q31" s="21" t="s">
        <v>46</v>
      </c>
      <c r="R31" s="19" t="s">
        <v>47</v>
      </c>
      <c r="S31" s="24"/>
      <c r="T31" s="25"/>
      <c r="U31" s="26"/>
      <c r="V31" s="7"/>
      <c r="W31" s="7"/>
      <c r="X31" s="7"/>
      <c r="Y31" s="7"/>
      <c r="AD31" s="28"/>
      <c r="AF31" s="28"/>
    </row>
    <row r="32" spans="1:32" ht="14.25" customHeight="1" x14ac:dyDescent="0.3">
      <c r="A32" s="18">
        <v>7.03</v>
      </c>
      <c r="B32" s="19"/>
      <c r="C32" s="19"/>
      <c r="D32" s="19"/>
      <c r="E32" s="19"/>
      <c r="F32" s="20"/>
      <c r="G32" s="21"/>
      <c r="H32" s="21"/>
      <c r="I32" s="21"/>
      <c r="J32" s="21"/>
      <c r="K32" s="19"/>
      <c r="L32" s="19"/>
      <c r="M32" s="22"/>
      <c r="N32" s="19"/>
      <c r="O32" s="19"/>
      <c r="P32" s="23"/>
      <c r="Q32" s="21" t="s">
        <v>46</v>
      </c>
      <c r="R32" s="19" t="s">
        <v>47</v>
      </c>
      <c r="S32" s="24"/>
      <c r="T32" s="25"/>
      <c r="U32" s="26"/>
      <c r="V32" s="7"/>
      <c r="W32" s="7"/>
      <c r="X32" s="7"/>
      <c r="Y32" s="7"/>
      <c r="AD32" s="28"/>
      <c r="AF32" s="28"/>
    </row>
    <row r="33" spans="1:32" ht="14.25" customHeight="1" x14ac:dyDescent="0.3">
      <c r="A33" s="18">
        <v>7.04</v>
      </c>
      <c r="B33" s="19"/>
      <c r="C33" s="19"/>
      <c r="D33" s="19"/>
      <c r="E33" s="19"/>
      <c r="F33" s="20"/>
      <c r="G33" s="21"/>
      <c r="H33" s="21"/>
      <c r="I33" s="21"/>
      <c r="J33" s="21"/>
      <c r="K33" s="19"/>
      <c r="L33" s="19"/>
      <c r="M33" s="22"/>
      <c r="N33" s="19"/>
      <c r="O33" s="19"/>
      <c r="P33" s="23"/>
      <c r="Q33" s="21" t="s">
        <v>46</v>
      </c>
      <c r="R33" s="19" t="s">
        <v>47</v>
      </c>
      <c r="S33" s="24"/>
      <c r="T33" s="25"/>
      <c r="U33" s="26"/>
      <c r="V33" s="7"/>
      <c r="W33" s="7"/>
      <c r="X33" s="7"/>
      <c r="Y33" s="7"/>
      <c r="AD33" s="28"/>
      <c r="AF33" s="28"/>
    </row>
    <row r="34" spans="1:32" ht="14.25" customHeight="1" x14ac:dyDescent="0.3">
      <c r="A34" s="18">
        <v>8.01</v>
      </c>
      <c r="B34" s="19"/>
      <c r="C34" s="19"/>
      <c r="D34" s="19"/>
      <c r="E34" s="19"/>
      <c r="F34" s="19"/>
      <c r="G34" s="21"/>
      <c r="H34" s="21"/>
      <c r="I34" s="21"/>
      <c r="J34" s="21"/>
      <c r="K34" s="19"/>
      <c r="L34" s="19"/>
      <c r="M34" s="22"/>
      <c r="N34" s="19"/>
      <c r="O34" s="19"/>
      <c r="P34" s="23"/>
      <c r="Q34" s="21" t="s">
        <v>46</v>
      </c>
      <c r="R34" s="19" t="s">
        <v>47</v>
      </c>
      <c r="S34" s="21"/>
      <c r="T34" s="31"/>
      <c r="U34" s="21"/>
      <c r="V34" s="7"/>
      <c r="W34" s="7"/>
      <c r="X34" s="7"/>
      <c r="Y34" s="7"/>
      <c r="AD34" s="28"/>
      <c r="AF34" s="28"/>
    </row>
    <row r="35" spans="1:32" ht="14.25" customHeight="1" x14ac:dyDescent="0.3">
      <c r="A35" s="18">
        <v>8.02</v>
      </c>
      <c r="B35" s="19"/>
      <c r="C35" s="19"/>
      <c r="D35" s="19"/>
      <c r="E35" s="19"/>
      <c r="F35" s="19"/>
      <c r="G35" s="21"/>
      <c r="H35" s="21"/>
      <c r="I35" s="21"/>
      <c r="J35" s="21"/>
      <c r="K35" s="19"/>
      <c r="L35" s="19"/>
      <c r="M35" s="22"/>
      <c r="N35" s="19"/>
      <c r="O35" s="19"/>
      <c r="P35" s="23"/>
      <c r="Q35" s="21" t="s">
        <v>46</v>
      </c>
      <c r="R35" s="19" t="s">
        <v>47</v>
      </c>
      <c r="S35" s="21"/>
      <c r="T35" s="32"/>
      <c r="U35" s="21"/>
      <c r="V35" s="7"/>
      <c r="W35" s="7"/>
      <c r="X35" s="7"/>
      <c r="Y35" s="7"/>
      <c r="AD35" s="28"/>
      <c r="AF35" s="28"/>
    </row>
    <row r="36" spans="1:32" ht="14.25" customHeight="1" x14ac:dyDescent="0.3">
      <c r="A36" s="18">
        <v>8.0299999999999994</v>
      </c>
      <c r="B36" s="19"/>
      <c r="C36" s="19"/>
      <c r="D36" s="19"/>
      <c r="E36" s="19"/>
      <c r="F36" s="19"/>
      <c r="G36" s="21"/>
      <c r="H36" s="21"/>
      <c r="I36" s="21"/>
      <c r="J36" s="21"/>
      <c r="K36" s="19"/>
      <c r="L36" s="19"/>
      <c r="M36" s="22"/>
      <c r="N36" s="19"/>
      <c r="O36" s="19"/>
      <c r="P36" s="23"/>
      <c r="Q36" s="21" t="s">
        <v>46</v>
      </c>
      <c r="R36" s="19" t="s">
        <v>47</v>
      </c>
      <c r="S36" s="21"/>
      <c r="T36" s="32"/>
      <c r="U36" s="21"/>
      <c r="V36" s="7"/>
      <c r="W36" s="7"/>
      <c r="X36" s="7"/>
      <c r="Y36" s="7"/>
      <c r="AD36" s="28"/>
      <c r="AF36" s="28"/>
    </row>
    <row r="37" spans="1:32" ht="14.25" customHeight="1" x14ac:dyDescent="0.3">
      <c r="A37" s="18">
        <v>8.0399999999999991</v>
      </c>
      <c r="B37" s="19"/>
      <c r="C37" s="19"/>
      <c r="D37" s="19"/>
      <c r="E37" s="19"/>
      <c r="F37" s="19"/>
      <c r="G37" s="21"/>
      <c r="H37" s="21"/>
      <c r="I37" s="21"/>
      <c r="J37" s="21"/>
      <c r="K37" s="19"/>
      <c r="L37" s="19"/>
      <c r="M37" s="22"/>
      <c r="N37" s="19"/>
      <c r="O37" s="19"/>
      <c r="P37" s="23"/>
      <c r="Q37" s="21" t="s">
        <v>46</v>
      </c>
      <c r="R37" s="19" t="s">
        <v>47</v>
      </c>
      <c r="S37" s="21"/>
      <c r="T37" s="32"/>
      <c r="U37" s="21"/>
      <c r="V37" s="7"/>
      <c r="W37" s="7"/>
      <c r="X37" s="7"/>
      <c r="Y37" s="7"/>
      <c r="AD37" s="28"/>
      <c r="AF37" s="28"/>
    </row>
    <row r="38" spans="1:32" ht="14.25" customHeight="1" x14ac:dyDescent="0.3">
      <c r="A38" s="18">
        <v>9.01</v>
      </c>
      <c r="B38" s="19"/>
      <c r="C38" s="19"/>
      <c r="D38" s="19"/>
      <c r="E38" s="19"/>
      <c r="F38" s="19"/>
      <c r="G38" s="21"/>
      <c r="H38" s="21"/>
      <c r="I38" s="21"/>
      <c r="J38" s="21"/>
      <c r="K38" s="19"/>
      <c r="L38" s="19"/>
      <c r="M38" s="22"/>
      <c r="N38" s="19"/>
      <c r="O38" s="19"/>
      <c r="P38" s="23"/>
      <c r="Q38" s="21" t="s">
        <v>46</v>
      </c>
      <c r="R38" s="19" t="s">
        <v>47</v>
      </c>
      <c r="S38" s="21"/>
      <c r="T38" s="32"/>
      <c r="U38" s="21"/>
      <c r="V38" s="7"/>
      <c r="W38" s="7"/>
      <c r="X38" s="7"/>
      <c r="Y38" s="7"/>
      <c r="AD38" s="28"/>
      <c r="AF38" s="28"/>
    </row>
    <row r="39" spans="1:32" ht="14.25" customHeight="1" x14ac:dyDescent="0.3">
      <c r="A39" s="18">
        <v>9.02</v>
      </c>
      <c r="B39" s="19"/>
      <c r="C39" s="19"/>
      <c r="D39" s="19"/>
      <c r="E39" s="19"/>
      <c r="F39" s="19"/>
      <c r="G39" s="21"/>
      <c r="H39" s="21"/>
      <c r="I39" s="21"/>
      <c r="J39" s="21"/>
      <c r="K39" s="19"/>
      <c r="L39" s="19"/>
      <c r="M39" s="22"/>
      <c r="N39" s="19"/>
      <c r="O39" s="19"/>
      <c r="P39" s="23"/>
      <c r="Q39" s="21" t="s">
        <v>46</v>
      </c>
      <c r="R39" s="19" t="s">
        <v>47</v>
      </c>
      <c r="S39" s="21"/>
      <c r="T39" s="32"/>
      <c r="U39" s="21"/>
      <c r="V39" s="7"/>
      <c r="W39" s="7"/>
      <c r="X39" s="7"/>
      <c r="Y39" s="7"/>
      <c r="AD39" s="28"/>
      <c r="AF39" s="28"/>
    </row>
    <row r="40" spans="1:32" ht="14.25" customHeight="1" x14ac:dyDescent="0.3">
      <c r="A40" s="18">
        <v>9.0299999999999994</v>
      </c>
      <c r="B40" s="19"/>
      <c r="C40" s="19"/>
      <c r="D40" s="19"/>
      <c r="E40" s="19"/>
      <c r="F40" s="19"/>
      <c r="G40" s="21"/>
      <c r="H40" s="21"/>
      <c r="I40" s="21"/>
      <c r="J40" s="21"/>
      <c r="K40" s="19"/>
      <c r="L40" s="19"/>
      <c r="M40" s="22"/>
      <c r="N40" s="19"/>
      <c r="O40" s="19"/>
      <c r="P40" s="23"/>
      <c r="Q40" s="21" t="s">
        <v>46</v>
      </c>
      <c r="R40" s="19" t="s">
        <v>47</v>
      </c>
      <c r="S40" s="21"/>
      <c r="T40" s="32"/>
      <c r="U40" s="21"/>
      <c r="V40" s="7"/>
      <c r="W40" s="7"/>
      <c r="X40" s="7"/>
      <c r="Y40" s="7"/>
      <c r="AD40" s="28"/>
      <c r="AF40" s="28"/>
    </row>
    <row r="41" spans="1:32" ht="14.25" customHeight="1" x14ac:dyDescent="0.3">
      <c r="A41" s="18">
        <v>9.0399999999999991</v>
      </c>
      <c r="B41" s="19"/>
      <c r="C41" s="19"/>
      <c r="D41" s="19"/>
      <c r="E41" s="19"/>
      <c r="F41" s="19"/>
      <c r="G41" s="21"/>
      <c r="H41" s="21"/>
      <c r="I41" s="21"/>
      <c r="J41" s="21"/>
      <c r="K41" s="19"/>
      <c r="L41" s="19"/>
      <c r="M41" s="22"/>
      <c r="N41" s="19"/>
      <c r="O41" s="19"/>
      <c r="P41" s="23"/>
      <c r="Q41" s="21" t="s">
        <v>46</v>
      </c>
      <c r="R41" s="19" t="s">
        <v>47</v>
      </c>
      <c r="S41" s="21"/>
      <c r="T41" s="32"/>
      <c r="U41" s="21"/>
      <c r="V41" s="7"/>
      <c r="W41" s="7"/>
      <c r="X41" s="7"/>
      <c r="Y41" s="7"/>
      <c r="AD41" s="28"/>
      <c r="AF41" s="28"/>
    </row>
    <row r="42" spans="1:32" ht="14.25" customHeight="1" x14ac:dyDescent="0.3">
      <c r="A42" s="18">
        <v>10.01</v>
      </c>
      <c r="B42" s="19"/>
      <c r="C42" s="19"/>
      <c r="D42" s="19"/>
      <c r="E42" s="19"/>
      <c r="F42" s="19"/>
      <c r="G42" s="21"/>
      <c r="H42" s="21"/>
      <c r="I42" s="21"/>
      <c r="J42" s="21"/>
      <c r="K42" s="19"/>
      <c r="L42" s="19"/>
      <c r="M42" s="22"/>
      <c r="N42" s="19"/>
      <c r="O42" s="19"/>
      <c r="P42" s="23"/>
      <c r="Q42" s="21" t="s">
        <v>46</v>
      </c>
      <c r="R42" s="19" t="s">
        <v>47</v>
      </c>
      <c r="S42" s="21"/>
      <c r="T42" s="32"/>
      <c r="U42" s="21"/>
      <c r="V42" s="7"/>
      <c r="W42" s="7"/>
      <c r="X42" s="7"/>
      <c r="Y42" s="7"/>
      <c r="AD42" s="28"/>
      <c r="AF42" s="28"/>
    </row>
    <row r="43" spans="1:32" ht="14.25" customHeight="1" x14ac:dyDescent="0.3">
      <c r="A43" s="18">
        <v>10.02</v>
      </c>
      <c r="B43" s="19"/>
      <c r="C43" s="19"/>
      <c r="D43" s="19"/>
      <c r="E43" s="19"/>
      <c r="F43" s="19"/>
      <c r="G43" s="21"/>
      <c r="H43" s="21"/>
      <c r="I43" s="21"/>
      <c r="J43" s="21"/>
      <c r="K43" s="19"/>
      <c r="L43" s="19"/>
      <c r="M43" s="22"/>
      <c r="N43" s="19"/>
      <c r="O43" s="19"/>
      <c r="P43" s="23"/>
      <c r="Q43" s="21" t="s">
        <v>46</v>
      </c>
      <c r="R43" s="19" t="s">
        <v>47</v>
      </c>
      <c r="S43" s="21"/>
      <c r="T43" s="32"/>
      <c r="U43" s="21"/>
      <c r="V43" s="7"/>
      <c r="W43" s="7"/>
      <c r="X43" s="7"/>
      <c r="Y43" s="7"/>
      <c r="AD43" s="28"/>
      <c r="AF43" s="28"/>
    </row>
    <row r="44" spans="1:32" ht="14.25" customHeight="1" x14ac:dyDescent="0.3">
      <c r="A44" s="18">
        <v>10.029999999999999</v>
      </c>
      <c r="B44" s="19"/>
      <c r="C44" s="19"/>
      <c r="D44" s="19"/>
      <c r="E44" s="19"/>
      <c r="F44" s="19"/>
      <c r="G44" s="21"/>
      <c r="H44" s="21"/>
      <c r="I44" s="21"/>
      <c r="J44" s="21"/>
      <c r="K44" s="19"/>
      <c r="L44" s="19"/>
      <c r="M44" s="22"/>
      <c r="N44" s="19"/>
      <c r="O44" s="19"/>
      <c r="P44" s="23"/>
      <c r="Q44" s="21" t="s">
        <v>46</v>
      </c>
      <c r="R44" s="19" t="s">
        <v>47</v>
      </c>
      <c r="S44" s="21"/>
      <c r="T44" s="32"/>
      <c r="U44" s="21"/>
      <c r="V44" s="7"/>
      <c r="W44" s="7"/>
      <c r="X44" s="7"/>
      <c r="Y44" s="7"/>
      <c r="AD44" s="28"/>
      <c r="AF44" s="28"/>
    </row>
    <row r="45" spans="1:32" ht="14.25" customHeight="1" x14ac:dyDescent="0.3">
      <c r="A45" s="18">
        <v>10.039999999999999</v>
      </c>
      <c r="B45" s="19"/>
      <c r="C45" s="19"/>
      <c r="D45" s="19"/>
      <c r="E45" s="19"/>
      <c r="F45" s="19"/>
      <c r="G45" s="21"/>
      <c r="H45" s="21"/>
      <c r="I45" s="21"/>
      <c r="J45" s="21"/>
      <c r="K45" s="19"/>
      <c r="L45" s="19"/>
      <c r="M45" s="22"/>
      <c r="N45" s="19"/>
      <c r="O45" s="19"/>
      <c r="P45" s="23"/>
      <c r="Q45" s="21" t="s">
        <v>46</v>
      </c>
      <c r="R45" s="19" t="s">
        <v>47</v>
      </c>
      <c r="S45" s="21"/>
      <c r="T45" s="32"/>
      <c r="U45" s="21"/>
      <c r="V45" s="7"/>
      <c r="W45" s="7"/>
      <c r="X45" s="7"/>
      <c r="Y45" s="7"/>
      <c r="AD45" s="28"/>
      <c r="AF45" s="28"/>
    </row>
    <row r="46" spans="1:32" ht="14.25" customHeight="1" x14ac:dyDescent="0.3">
      <c r="A46" s="18">
        <v>11.1</v>
      </c>
      <c r="B46" s="19"/>
      <c r="C46" s="19"/>
      <c r="D46" s="19"/>
      <c r="E46" s="19"/>
      <c r="F46" s="19"/>
      <c r="G46" s="21"/>
      <c r="H46" s="21"/>
      <c r="I46" s="21"/>
      <c r="J46" s="21"/>
      <c r="K46" s="19"/>
      <c r="L46" s="19"/>
      <c r="M46" s="22"/>
      <c r="N46" s="19"/>
      <c r="O46" s="19"/>
      <c r="P46" s="23"/>
      <c r="Q46" s="21" t="s">
        <v>46</v>
      </c>
      <c r="R46" s="19" t="s">
        <v>47</v>
      </c>
      <c r="S46" s="21"/>
      <c r="T46" s="32"/>
      <c r="U46" s="21"/>
      <c r="V46" s="7"/>
      <c r="W46" s="7"/>
      <c r="X46" s="7"/>
      <c r="Y46" s="7"/>
      <c r="AF46" s="28"/>
    </row>
    <row r="47" spans="1:32" ht="14.25" customHeight="1" x14ac:dyDescent="0.3">
      <c r="A47" s="18">
        <v>11.2</v>
      </c>
      <c r="B47" s="19"/>
      <c r="C47" s="19"/>
      <c r="D47" s="19"/>
      <c r="E47" s="19"/>
      <c r="F47" s="19"/>
      <c r="G47" s="21"/>
      <c r="H47" s="21"/>
      <c r="I47" s="21"/>
      <c r="J47" s="21"/>
      <c r="K47" s="19"/>
      <c r="L47" s="19"/>
      <c r="M47" s="22"/>
      <c r="N47" s="19"/>
      <c r="O47" s="19"/>
      <c r="P47" s="23"/>
      <c r="Q47" s="21" t="s">
        <v>46</v>
      </c>
      <c r="R47" s="19" t="s">
        <v>47</v>
      </c>
      <c r="S47" s="21"/>
      <c r="T47" s="32"/>
      <c r="U47" s="21"/>
      <c r="V47" s="7"/>
      <c r="W47" s="7"/>
      <c r="X47" s="7"/>
      <c r="Y47" s="7"/>
      <c r="AD47" s="28"/>
      <c r="AF47" s="28"/>
    </row>
    <row r="48" spans="1:32" ht="14.25" customHeight="1" x14ac:dyDescent="0.3">
      <c r="A48" s="18">
        <v>11.3</v>
      </c>
      <c r="B48" s="19"/>
      <c r="C48" s="19"/>
      <c r="D48" s="19"/>
      <c r="E48" s="19"/>
      <c r="F48" s="19"/>
      <c r="G48" s="21"/>
      <c r="H48" s="21"/>
      <c r="I48" s="21"/>
      <c r="J48" s="21"/>
      <c r="K48" s="19"/>
      <c r="L48" s="19"/>
      <c r="M48" s="22"/>
      <c r="N48" s="19"/>
      <c r="O48" s="19"/>
      <c r="P48" s="23"/>
      <c r="Q48" s="21" t="s">
        <v>46</v>
      </c>
      <c r="R48" s="19" t="s">
        <v>47</v>
      </c>
      <c r="S48" s="21"/>
      <c r="T48" s="32"/>
      <c r="U48" s="21"/>
      <c r="V48" s="7"/>
      <c r="W48" s="7"/>
      <c r="X48" s="7"/>
      <c r="Y48" s="7"/>
      <c r="AD48" s="28"/>
      <c r="AF48" s="28"/>
    </row>
    <row r="49" spans="1:32" ht="14.25" customHeight="1" x14ac:dyDescent="0.3">
      <c r="A49" s="18">
        <v>11.4</v>
      </c>
      <c r="B49" s="19"/>
      <c r="C49" s="19"/>
      <c r="D49" s="19"/>
      <c r="E49" s="19"/>
      <c r="F49" s="19"/>
      <c r="G49" s="21"/>
      <c r="H49" s="21"/>
      <c r="I49" s="21"/>
      <c r="J49" s="21"/>
      <c r="K49" s="19"/>
      <c r="L49" s="19"/>
      <c r="M49" s="22"/>
      <c r="N49" s="19"/>
      <c r="O49" s="19"/>
      <c r="P49" s="23"/>
      <c r="Q49" s="21" t="s">
        <v>46</v>
      </c>
      <c r="R49" s="19" t="s">
        <v>47</v>
      </c>
      <c r="S49" s="21"/>
      <c r="T49" s="32"/>
      <c r="U49" s="21"/>
      <c r="V49" s="7"/>
      <c r="W49" s="7"/>
      <c r="X49" s="7"/>
      <c r="Y49" s="7"/>
      <c r="AD49" s="28"/>
      <c r="AF49" s="28"/>
    </row>
    <row r="50" spans="1:32" ht="14.25" customHeight="1" x14ac:dyDescent="0.3">
      <c r="A50" s="18">
        <v>12.1</v>
      </c>
      <c r="B50" s="19"/>
      <c r="C50" s="19"/>
      <c r="D50" s="19"/>
      <c r="E50" s="19"/>
      <c r="F50" s="19"/>
      <c r="G50" s="21"/>
      <c r="H50" s="21"/>
      <c r="I50" s="21"/>
      <c r="J50" s="21"/>
      <c r="K50" s="19"/>
      <c r="L50" s="19"/>
      <c r="M50" s="22"/>
      <c r="N50" s="19"/>
      <c r="O50" s="19"/>
      <c r="P50" s="23"/>
      <c r="Q50" s="21" t="s">
        <v>46</v>
      </c>
      <c r="R50" s="19" t="s">
        <v>47</v>
      </c>
      <c r="S50" s="21"/>
      <c r="T50" s="32"/>
      <c r="U50" s="21"/>
      <c r="V50" s="7"/>
      <c r="W50" s="7"/>
      <c r="X50" s="7"/>
      <c r="Y50" s="7"/>
      <c r="AD50" s="28"/>
      <c r="AF50" s="28"/>
    </row>
    <row r="51" spans="1:32" ht="14.25" customHeight="1" x14ac:dyDescent="0.3">
      <c r="A51" s="18">
        <v>12.2</v>
      </c>
      <c r="B51" s="19"/>
      <c r="C51" s="19"/>
      <c r="D51" s="19"/>
      <c r="E51" s="19"/>
      <c r="F51" s="19"/>
      <c r="G51" s="21"/>
      <c r="H51" s="21"/>
      <c r="I51" s="21"/>
      <c r="J51" s="21"/>
      <c r="K51" s="19"/>
      <c r="L51" s="19"/>
      <c r="M51" s="22"/>
      <c r="N51" s="19"/>
      <c r="O51" s="19"/>
      <c r="P51" s="23"/>
      <c r="Q51" s="21" t="s">
        <v>46</v>
      </c>
      <c r="R51" s="19" t="s">
        <v>47</v>
      </c>
      <c r="S51" s="21"/>
      <c r="T51" s="32"/>
      <c r="U51" s="21"/>
      <c r="V51" s="7"/>
      <c r="W51" s="7"/>
      <c r="X51" s="7"/>
      <c r="Y51" s="7"/>
      <c r="AD51" s="28"/>
      <c r="AF51" s="28"/>
    </row>
    <row r="52" spans="1:32" ht="14.25" customHeight="1" x14ac:dyDescent="0.3">
      <c r="A52" s="18">
        <v>12.3</v>
      </c>
      <c r="B52" s="19"/>
      <c r="C52" s="19"/>
      <c r="D52" s="19"/>
      <c r="E52" s="19"/>
      <c r="F52" s="19"/>
      <c r="G52" s="21"/>
      <c r="H52" s="21"/>
      <c r="I52" s="21"/>
      <c r="J52" s="21"/>
      <c r="K52" s="19"/>
      <c r="L52" s="19"/>
      <c r="M52" s="22"/>
      <c r="N52" s="19"/>
      <c r="O52" s="19"/>
      <c r="P52" s="23"/>
      <c r="Q52" s="21" t="s">
        <v>46</v>
      </c>
      <c r="R52" s="19" t="s">
        <v>47</v>
      </c>
      <c r="S52" s="21"/>
      <c r="T52" s="32"/>
      <c r="U52" s="21"/>
      <c r="V52" s="7"/>
      <c r="W52" s="7"/>
      <c r="X52" s="7"/>
      <c r="Y52" s="7"/>
      <c r="AD52" s="28"/>
      <c r="AF52" s="28"/>
    </row>
    <row r="53" spans="1:32" ht="14.25" customHeight="1" x14ac:dyDescent="0.3">
      <c r="A53" s="18">
        <v>12.4</v>
      </c>
      <c r="B53" s="19"/>
      <c r="C53" s="19"/>
      <c r="D53" s="19"/>
      <c r="E53" s="19"/>
      <c r="F53" s="19"/>
      <c r="G53" s="21"/>
      <c r="H53" s="21"/>
      <c r="I53" s="21"/>
      <c r="J53" s="21"/>
      <c r="K53" s="19"/>
      <c r="L53" s="19"/>
      <c r="M53" s="22"/>
      <c r="N53" s="19"/>
      <c r="O53" s="19"/>
      <c r="P53" s="23"/>
      <c r="Q53" s="21" t="s">
        <v>46</v>
      </c>
      <c r="R53" s="19" t="s">
        <v>47</v>
      </c>
      <c r="S53" s="21"/>
      <c r="T53" s="32"/>
      <c r="U53" s="21"/>
      <c r="V53" s="7"/>
      <c r="W53" s="7"/>
      <c r="X53" s="7"/>
      <c r="Y53" s="7"/>
      <c r="AD53" s="28"/>
      <c r="AF53" s="28"/>
    </row>
    <row r="54" spans="1:32" ht="14.25" customHeight="1" x14ac:dyDescent="0.3">
      <c r="A54" s="18">
        <v>13.1</v>
      </c>
      <c r="B54" s="19"/>
      <c r="C54" s="19"/>
      <c r="D54" s="19"/>
      <c r="E54" s="19"/>
      <c r="F54" s="19"/>
      <c r="G54" s="21"/>
      <c r="H54" s="21"/>
      <c r="I54" s="21"/>
      <c r="J54" s="21"/>
      <c r="K54" s="19"/>
      <c r="L54" s="19"/>
      <c r="M54" s="22"/>
      <c r="N54" s="19"/>
      <c r="O54" s="19"/>
      <c r="P54" s="23"/>
      <c r="Q54" s="21" t="s">
        <v>46</v>
      </c>
      <c r="R54" s="19" t="s">
        <v>47</v>
      </c>
      <c r="S54" s="21"/>
      <c r="T54" s="32"/>
      <c r="U54" s="21"/>
      <c r="V54" s="7"/>
      <c r="W54" s="7"/>
      <c r="X54" s="7"/>
      <c r="Y54" s="7"/>
      <c r="AD54" s="28"/>
      <c r="AF54" s="28"/>
    </row>
    <row r="55" spans="1:32" ht="14.25" customHeight="1" x14ac:dyDescent="0.3">
      <c r="A55" s="18">
        <v>13.2</v>
      </c>
      <c r="B55" s="19"/>
      <c r="C55" s="19"/>
      <c r="D55" s="19"/>
      <c r="E55" s="19"/>
      <c r="F55" s="19"/>
      <c r="G55" s="21"/>
      <c r="H55" s="21"/>
      <c r="I55" s="21"/>
      <c r="J55" s="21"/>
      <c r="K55" s="19"/>
      <c r="L55" s="19"/>
      <c r="M55" s="22"/>
      <c r="N55" s="19"/>
      <c r="O55" s="19"/>
      <c r="P55" s="23"/>
      <c r="Q55" s="21" t="s">
        <v>46</v>
      </c>
      <c r="R55" s="19" t="s">
        <v>47</v>
      </c>
      <c r="S55" s="21"/>
      <c r="T55" s="32"/>
      <c r="U55" s="21"/>
      <c r="V55" s="7"/>
      <c r="W55" s="7"/>
      <c r="X55" s="7"/>
      <c r="Y55" s="7"/>
      <c r="AD55" s="28"/>
      <c r="AF55" s="28"/>
    </row>
    <row r="56" spans="1:32" ht="14.25" customHeight="1" x14ac:dyDescent="0.3">
      <c r="A56" s="18">
        <v>13.3</v>
      </c>
      <c r="B56" s="19"/>
      <c r="C56" s="19"/>
      <c r="D56" s="19"/>
      <c r="E56" s="19"/>
      <c r="F56" s="19"/>
      <c r="G56" s="21"/>
      <c r="H56" s="21"/>
      <c r="I56" s="21"/>
      <c r="J56" s="21"/>
      <c r="K56" s="19"/>
      <c r="L56" s="19"/>
      <c r="M56" s="22"/>
      <c r="N56" s="19"/>
      <c r="O56" s="19"/>
      <c r="P56" s="23"/>
      <c r="Q56" s="21" t="s">
        <v>46</v>
      </c>
      <c r="R56" s="19" t="s">
        <v>47</v>
      </c>
      <c r="S56" s="21"/>
      <c r="T56" s="32"/>
      <c r="U56" s="21"/>
      <c r="V56" s="7"/>
      <c r="W56" s="7"/>
      <c r="X56" s="7"/>
      <c r="Y56" s="7"/>
      <c r="AD56" s="28"/>
    </row>
    <row r="57" spans="1:32" ht="14.25" customHeight="1" x14ac:dyDescent="0.3">
      <c r="A57" s="18">
        <v>13.4</v>
      </c>
      <c r="B57" s="19"/>
      <c r="C57" s="19"/>
      <c r="D57" s="19"/>
      <c r="E57" s="19"/>
      <c r="F57" s="19"/>
      <c r="G57" s="21"/>
      <c r="H57" s="21"/>
      <c r="I57" s="21"/>
      <c r="J57" s="21"/>
      <c r="K57" s="19"/>
      <c r="L57" s="19"/>
      <c r="M57" s="22"/>
      <c r="N57" s="19"/>
      <c r="O57" s="19"/>
      <c r="P57" s="23"/>
      <c r="Q57" s="21" t="s">
        <v>46</v>
      </c>
      <c r="R57" s="19" t="s">
        <v>47</v>
      </c>
      <c r="S57" s="21"/>
      <c r="T57" s="32"/>
      <c r="U57" s="21"/>
      <c r="V57" s="7"/>
      <c r="W57" s="7"/>
      <c r="X57" s="7"/>
      <c r="Y57" s="7"/>
      <c r="AD57" s="28"/>
    </row>
    <row r="58" spans="1:32" ht="14.25" customHeight="1" x14ac:dyDescent="0.3">
      <c r="A58" s="18">
        <v>14.1</v>
      </c>
      <c r="B58" s="19"/>
      <c r="C58" s="19"/>
      <c r="D58" s="19"/>
      <c r="E58" s="19"/>
      <c r="F58" s="19"/>
      <c r="G58" s="21"/>
      <c r="H58" s="21"/>
      <c r="I58" s="21"/>
      <c r="J58" s="21"/>
      <c r="K58" s="19"/>
      <c r="L58" s="19"/>
      <c r="M58" s="22"/>
      <c r="N58" s="19"/>
      <c r="O58" s="19"/>
      <c r="P58" s="23"/>
      <c r="Q58" s="21" t="s">
        <v>46</v>
      </c>
      <c r="R58" s="19" t="s">
        <v>47</v>
      </c>
      <c r="S58" s="21"/>
      <c r="T58" s="32"/>
      <c r="U58" s="21"/>
      <c r="V58" s="7"/>
      <c r="W58" s="7"/>
      <c r="X58" s="7"/>
      <c r="Y58" s="7"/>
      <c r="AD58" s="28"/>
    </row>
    <row r="59" spans="1:32" ht="14.25" customHeight="1" x14ac:dyDescent="0.3">
      <c r="A59" s="18">
        <v>14.2</v>
      </c>
      <c r="B59" s="19"/>
      <c r="C59" s="19"/>
      <c r="D59" s="19"/>
      <c r="E59" s="19"/>
      <c r="F59" s="19"/>
      <c r="G59" s="21"/>
      <c r="H59" s="21"/>
      <c r="I59" s="21"/>
      <c r="J59" s="21"/>
      <c r="K59" s="19"/>
      <c r="L59" s="19"/>
      <c r="M59" s="22"/>
      <c r="N59" s="19"/>
      <c r="O59" s="19"/>
      <c r="P59" s="23"/>
      <c r="Q59" s="21" t="s">
        <v>46</v>
      </c>
      <c r="R59" s="19" t="s">
        <v>47</v>
      </c>
      <c r="S59" s="21"/>
      <c r="T59" s="32"/>
      <c r="U59" s="21"/>
      <c r="V59" s="7"/>
      <c r="W59" s="7"/>
      <c r="X59" s="7"/>
      <c r="Y59" s="7"/>
      <c r="AD59" s="28"/>
    </row>
    <row r="60" spans="1:32" ht="14.25" customHeight="1" x14ac:dyDescent="0.3">
      <c r="A60" s="18">
        <v>14.3</v>
      </c>
      <c r="B60" s="19"/>
      <c r="C60" s="19"/>
      <c r="D60" s="19"/>
      <c r="E60" s="19"/>
      <c r="F60" s="19"/>
      <c r="G60" s="21"/>
      <c r="H60" s="21"/>
      <c r="I60" s="21"/>
      <c r="J60" s="21"/>
      <c r="K60" s="19"/>
      <c r="L60" s="19"/>
      <c r="M60" s="22"/>
      <c r="N60" s="19"/>
      <c r="O60" s="19"/>
      <c r="P60" s="23"/>
      <c r="Q60" s="21" t="s">
        <v>46</v>
      </c>
      <c r="R60" s="19" t="s">
        <v>47</v>
      </c>
      <c r="S60" s="21"/>
      <c r="T60" s="32"/>
      <c r="U60" s="21"/>
      <c r="V60" s="7"/>
      <c r="W60" s="7"/>
      <c r="X60" s="7"/>
      <c r="Y60" s="7"/>
      <c r="AD60" s="28"/>
    </row>
    <row r="61" spans="1:32" ht="14.25" customHeight="1" x14ac:dyDescent="0.3">
      <c r="A61" s="18">
        <v>14.4</v>
      </c>
      <c r="B61" s="19"/>
      <c r="C61" s="19"/>
      <c r="D61" s="19"/>
      <c r="E61" s="19"/>
      <c r="F61" s="19"/>
      <c r="G61" s="21"/>
      <c r="H61" s="21"/>
      <c r="I61" s="21"/>
      <c r="J61" s="21"/>
      <c r="K61" s="19"/>
      <c r="L61" s="19"/>
      <c r="M61" s="22"/>
      <c r="N61" s="19"/>
      <c r="O61" s="19"/>
      <c r="P61" s="23"/>
      <c r="Q61" s="21" t="s">
        <v>46</v>
      </c>
      <c r="R61" s="19" t="s">
        <v>47</v>
      </c>
      <c r="S61" s="21"/>
      <c r="T61" s="32"/>
      <c r="U61" s="21"/>
      <c r="V61" s="7"/>
      <c r="W61" s="7"/>
      <c r="X61" s="7"/>
      <c r="Y61" s="7"/>
      <c r="AC61" s="28"/>
      <c r="AD61" s="28"/>
    </row>
    <row r="62" spans="1:32" ht="14.25" customHeight="1" x14ac:dyDescent="0.3">
      <c r="A62" s="18">
        <v>15.1</v>
      </c>
      <c r="B62" s="19"/>
      <c r="C62" s="19"/>
      <c r="D62" s="19"/>
      <c r="E62" s="19"/>
      <c r="F62" s="19"/>
      <c r="G62" s="21"/>
      <c r="H62" s="21"/>
      <c r="I62" s="21"/>
      <c r="J62" s="21"/>
      <c r="K62" s="19"/>
      <c r="L62" s="19"/>
      <c r="M62" s="22"/>
      <c r="N62" s="19"/>
      <c r="O62" s="19"/>
      <c r="P62" s="23"/>
      <c r="Q62" s="21" t="s">
        <v>46</v>
      </c>
      <c r="R62" s="19" t="s">
        <v>47</v>
      </c>
      <c r="S62" s="21"/>
      <c r="T62" s="32"/>
      <c r="U62" s="21"/>
      <c r="V62" s="7"/>
      <c r="W62" s="7"/>
      <c r="X62" s="7"/>
      <c r="Y62" s="7"/>
      <c r="AC62" s="33"/>
      <c r="AD62" s="28"/>
    </row>
    <row r="63" spans="1:32" ht="14.25" customHeight="1" x14ac:dyDescent="0.3">
      <c r="A63" s="18">
        <v>15.2</v>
      </c>
      <c r="B63" s="19"/>
      <c r="C63" s="19"/>
      <c r="D63" s="19"/>
      <c r="E63" s="19"/>
      <c r="F63" s="19"/>
      <c r="G63" s="21"/>
      <c r="H63" s="21"/>
      <c r="I63" s="21"/>
      <c r="J63" s="21"/>
      <c r="K63" s="19"/>
      <c r="L63" s="19"/>
      <c r="M63" s="22"/>
      <c r="N63" s="19"/>
      <c r="O63" s="19"/>
      <c r="P63" s="23"/>
      <c r="Q63" s="21" t="s">
        <v>46</v>
      </c>
      <c r="R63" s="19" t="s">
        <v>47</v>
      </c>
      <c r="S63" s="21"/>
      <c r="T63" s="32"/>
      <c r="U63" s="21"/>
      <c r="V63" s="7"/>
      <c r="W63" s="7"/>
      <c r="X63" s="7"/>
      <c r="Y63" s="7"/>
      <c r="AC63" s="33"/>
      <c r="AD63" s="28"/>
    </row>
    <row r="64" spans="1:32" ht="14.25" customHeight="1" x14ac:dyDescent="0.3">
      <c r="A64" s="18">
        <v>15.3</v>
      </c>
      <c r="B64" s="19"/>
      <c r="C64" s="19"/>
      <c r="D64" s="19"/>
      <c r="E64" s="19"/>
      <c r="F64" s="19"/>
      <c r="G64" s="21"/>
      <c r="H64" s="21"/>
      <c r="I64" s="21"/>
      <c r="J64" s="21"/>
      <c r="K64" s="19"/>
      <c r="L64" s="19"/>
      <c r="M64" s="22"/>
      <c r="N64" s="19"/>
      <c r="O64" s="19"/>
      <c r="P64" s="23"/>
      <c r="Q64" s="21" t="s">
        <v>46</v>
      </c>
      <c r="R64" s="19" t="s">
        <v>47</v>
      </c>
      <c r="S64" s="21"/>
      <c r="T64" s="32"/>
      <c r="U64" s="21"/>
      <c r="V64" s="7"/>
      <c r="W64" s="7"/>
      <c r="X64" s="7"/>
      <c r="Y64" s="7"/>
      <c r="AC64" s="33"/>
      <c r="AD64" s="28"/>
    </row>
    <row r="65" spans="1:30" ht="14.25" customHeight="1" x14ac:dyDescent="0.3">
      <c r="A65" s="18">
        <v>15.4</v>
      </c>
      <c r="B65" s="19"/>
      <c r="C65" s="19"/>
      <c r="D65" s="19"/>
      <c r="E65" s="19"/>
      <c r="F65" s="19"/>
      <c r="G65" s="21"/>
      <c r="H65" s="21"/>
      <c r="I65" s="21"/>
      <c r="J65" s="21"/>
      <c r="K65" s="19"/>
      <c r="L65" s="19"/>
      <c r="M65" s="22"/>
      <c r="N65" s="19"/>
      <c r="O65" s="19"/>
      <c r="P65" s="23"/>
      <c r="Q65" s="21" t="s">
        <v>46</v>
      </c>
      <c r="R65" s="19" t="s">
        <v>47</v>
      </c>
      <c r="S65" s="21"/>
      <c r="T65" s="32"/>
      <c r="U65" s="21"/>
      <c r="V65" s="7"/>
      <c r="W65" s="7"/>
      <c r="X65" s="7"/>
      <c r="Y65" s="7"/>
      <c r="AC65" s="33"/>
      <c r="AD65" s="28"/>
    </row>
    <row r="66" spans="1:30" ht="14.25" customHeight="1" x14ac:dyDescent="0.3">
      <c r="A66" s="18">
        <v>16.100000000000001</v>
      </c>
      <c r="B66" s="19"/>
      <c r="C66" s="19"/>
      <c r="D66" s="19"/>
      <c r="E66" s="19"/>
      <c r="F66" s="19"/>
      <c r="G66" s="21"/>
      <c r="H66" s="21"/>
      <c r="I66" s="21"/>
      <c r="J66" s="21"/>
      <c r="K66" s="19"/>
      <c r="L66" s="19"/>
      <c r="M66" s="22"/>
      <c r="N66" s="19"/>
      <c r="O66" s="19"/>
      <c r="P66" s="23"/>
      <c r="Q66" s="21" t="s">
        <v>46</v>
      </c>
      <c r="R66" s="19" t="s">
        <v>47</v>
      </c>
      <c r="S66" s="21"/>
      <c r="T66" s="32"/>
      <c r="U66" s="21"/>
      <c r="V66" s="7"/>
      <c r="W66" s="7"/>
      <c r="X66" s="7"/>
      <c r="Y66" s="7"/>
      <c r="AC66" s="33"/>
    </row>
    <row r="67" spans="1:30" ht="14.25" customHeight="1" x14ac:dyDescent="0.3">
      <c r="A67" s="18">
        <v>16.2</v>
      </c>
      <c r="B67" s="19"/>
      <c r="C67" s="19"/>
      <c r="D67" s="19"/>
      <c r="E67" s="19"/>
      <c r="F67" s="19"/>
      <c r="G67" s="21"/>
      <c r="H67" s="21"/>
      <c r="I67" s="21"/>
      <c r="J67" s="21"/>
      <c r="K67" s="19"/>
      <c r="L67" s="19"/>
      <c r="M67" s="22"/>
      <c r="N67" s="19"/>
      <c r="O67" s="19"/>
      <c r="P67" s="23"/>
      <c r="Q67" s="21" t="s">
        <v>46</v>
      </c>
      <c r="R67" s="19" t="s">
        <v>47</v>
      </c>
      <c r="S67" s="21"/>
      <c r="T67" s="32"/>
      <c r="U67" s="21"/>
      <c r="V67" s="7"/>
      <c r="W67" s="7"/>
      <c r="X67" s="7"/>
      <c r="Y67" s="7"/>
      <c r="AC67" s="33"/>
    </row>
    <row r="68" spans="1:30" ht="14.25" customHeight="1" x14ac:dyDescent="0.3">
      <c r="A68" s="18">
        <v>16.3</v>
      </c>
      <c r="B68" s="19"/>
      <c r="C68" s="19"/>
      <c r="D68" s="19"/>
      <c r="E68" s="19"/>
      <c r="F68" s="19"/>
      <c r="G68" s="21"/>
      <c r="H68" s="21"/>
      <c r="I68" s="21"/>
      <c r="J68" s="21"/>
      <c r="K68" s="19"/>
      <c r="L68" s="19"/>
      <c r="M68" s="22"/>
      <c r="N68" s="19"/>
      <c r="O68" s="19"/>
      <c r="P68" s="23"/>
      <c r="Q68" s="21" t="s">
        <v>46</v>
      </c>
      <c r="R68" s="19" t="s">
        <v>47</v>
      </c>
      <c r="S68" s="21"/>
      <c r="T68" s="32"/>
      <c r="U68" s="21"/>
      <c r="V68" s="7"/>
      <c r="W68" s="7"/>
      <c r="X68" s="7"/>
      <c r="Y68" s="7"/>
      <c r="AC68" s="33"/>
    </row>
    <row r="69" spans="1:30" ht="14.25" customHeight="1" x14ac:dyDescent="0.3">
      <c r="A69" s="18">
        <v>16.399999999999999</v>
      </c>
      <c r="B69" s="19"/>
      <c r="C69" s="19"/>
      <c r="D69" s="19"/>
      <c r="E69" s="19"/>
      <c r="F69" s="19"/>
      <c r="G69" s="21"/>
      <c r="H69" s="21"/>
      <c r="I69" s="21"/>
      <c r="J69" s="21"/>
      <c r="K69" s="19"/>
      <c r="L69" s="19"/>
      <c r="M69" s="22"/>
      <c r="N69" s="19"/>
      <c r="O69" s="19"/>
      <c r="P69" s="23"/>
      <c r="Q69" s="21" t="s">
        <v>46</v>
      </c>
      <c r="R69" s="19" t="s">
        <v>47</v>
      </c>
      <c r="S69" s="21"/>
      <c r="T69" s="32"/>
      <c r="U69" s="21"/>
      <c r="V69" s="7"/>
      <c r="W69" s="7"/>
      <c r="X69" s="7"/>
      <c r="Y69" s="7"/>
      <c r="AC69" s="33"/>
    </row>
    <row r="70" spans="1:30" ht="14.25" customHeight="1" x14ac:dyDescent="0.3">
      <c r="A70" s="18">
        <v>17.100000000000001</v>
      </c>
      <c r="B70" s="19"/>
      <c r="C70" s="19"/>
      <c r="D70" s="19"/>
      <c r="E70" s="19"/>
      <c r="F70" s="19"/>
      <c r="G70" s="21"/>
      <c r="H70" s="21"/>
      <c r="I70" s="21"/>
      <c r="J70" s="21"/>
      <c r="K70" s="19"/>
      <c r="L70" s="19"/>
      <c r="M70" s="22"/>
      <c r="N70" s="19"/>
      <c r="O70" s="19"/>
      <c r="P70" s="23"/>
      <c r="Q70" s="21" t="s">
        <v>46</v>
      </c>
      <c r="R70" s="19" t="s">
        <v>47</v>
      </c>
      <c r="S70" s="21"/>
      <c r="T70" s="32"/>
      <c r="U70" s="21"/>
      <c r="V70" s="7"/>
      <c r="W70" s="7"/>
      <c r="X70" s="7"/>
      <c r="Y70" s="7"/>
      <c r="AC70" s="34"/>
    </row>
    <row r="71" spans="1:30" ht="14.25" customHeight="1" x14ac:dyDescent="0.3">
      <c r="A71" s="18">
        <v>17.2</v>
      </c>
      <c r="B71" s="19"/>
      <c r="C71" s="19"/>
      <c r="D71" s="19"/>
      <c r="E71" s="19"/>
      <c r="F71" s="19"/>
      <c r="G71" s="21"/>
      <c r="H71" s="21"/>
      <c r="I71" s="21"/>
      <c r="J71" s="21"/>
      <c r="K71" s="19"/>
      <c r="L71" s="19"/>
      <c r="M71" s="22"/>
      <c r="N71" s="19"/>
      <c r="O71" s="19"/>
      <c r="P71" s="23"/>
      <c r="Q71" s="21" t="s">
        <v>46</v>
      </c>
      <c r="R71" s="19" t="s">
        <v>47</v>
      </c>
      <c r="S71" s="21"/>
      <c r="T71" s="32"/>
      <c r="U71" s="21"/>
      <c r="V71" s="7"/>
      <c r="W71" s="7"/>
      <c r="X71" s="7"/>
      <c r="Y71" s="7"/>
      <c r="AC71" s="34"/>
    </row>
    <row r="72" spans="1:30" ht="14.25" customHeight="1" x14ac:dyDescent="0.3">
      <c r="A72" s="18">
        <v>17.3</v>
      </c>
      <c r="B72" s="19"/>
      <c r="C72" s="19"/>
      <c r="D72" s="19"/>
      <c r="E72" s="19"/>
      <c r="F72" s="19"/>
      <c r="G72" s="21"/>
      <c r="H72" s="21"/>
      <c r="I72" s="21"/>
      <c r="J72" s="21"/>
      <c r="K72" s="19"/>
      <c r="L72" s="19"/>
      <c r="M72" s="22"/>
      <c r="N72" s="19"/>
      <c r="O72" s="19"/>
      <c r="P72" s="23"/>
      <c r="Q72" s="21" t="s">
        <v>46</v>
      </c>
      <c r="R72" s="19" t="s">
        <v>47</v>
      </c>
      <c r="S72" s="21"/>
      <c r="T72" s="32"/>
      <c r="U72" s="21"/>
      <c r="V72" s="7"/>
      <c r="W72" s="7"/>
      <c r="X72" s="7"/>
      <c r="Y72" s="7"/>
      <c r="AC72" s="34"/>
    </row>
    <row r="73" spans="1:30" ht="14.25" customHeight="1" x14ac:dyDescent="0.3">
      <c r="A73" s="18">
        <v>17.399999999999999</v>
      </c>
      <c r="B73" s="19"/>
      <c r="C73" s="19"/>
      <c r="D73" s="19"/>
      <c r="E73" s="19"/>
      <c r="F73" s="19"/>
      <c r="G73" s="21"/>
      <c r="H73" s="21"/>
      <c r="I73" s="21"/>
      <c r="J73" s="21"/>
      <c r="K73" s="19"/>
      <c r="L73" s="19"/>
      <c r="M73" s="22"/>
      <c r="N73" s="19"/>
      <c r="O73" s="19"/>
      <c r="P73" s="23"/>
      <c r="Q73" s="21" t="s">
        <v>46</v>
      </c>
      <c r="R73" s="19" t="s">
        <v>47</v>
      </c>
      <c r="S73" s="21"/>
      <c r="T73" s="32"/>
      <c r="U73" s="21"/>
      <c r="V73" s="7"/>
      <c r="W73" s="7"/>
      <c r="X73" s="7"/>
      <c r="Y73" s="7"/>
      <c r="AC73" s="34"/>
    </row>
    <row r="74" spans="1:30" ht="14.25" customHeight="1" x14ac:dyDescent="0.3">
      <c r="A74" s="18">
        <v>18.100000000000001</v>
      </c>
      <c r="B74" s="19"/>
      <c r="C74" s="19"/>
      <c r="D74" s="19"/>
      <c r="E74" s="19"/>
      <c r="F74" s="19"/>
      <c r="G74" s="21"/>
      <c r="H74" s="21"/>
      <c r="I74" s="21"/>
      <c r="J74" s="21"/>
      <c r="K74" s="19"/>
      <c r="L74" s="19"/>
      <c r="M74" s="22"/>
      <c r="N74" s="19"/>
      <c r="O74" s="19"/>
      <c r="P74" s="23"/>
      <c r="Q74" s="21" t="s">
        <v>46</v>
      </c>
      <c r="R74" s="19" t="s">
        <v>47</v>
      </c>
      <c r="S74" s="21"/>
      <c r="T74" s="32"/>
      <c r="U74" s="21"/>
      <c r="V74" s="7"/>
      <c r="W74" s="7"/>
      <c r="X74" s="7"/>
      <c r="Y74" s="7"/>
      <c r="AC74" s="33"/>
    </row>
    <row r="75" spans="1:30" ht="14.25" customHeight="1" x14ac:dyDescent="0.3">
      <c r="A75" s="18">
        <v>18.2</v>
      </c>
      <c r="B75" s="19"/>
      <c r="C75" s="19"/>
      <c r="D75" s="19"/>
      <c r="E75" s="19"/>
      <c r="F75" s="19"/>
      <c r="G75" s="21"/>
      <c r="H75" s="21"/>
      <c r="I75" s="21"/>
      <c r="J75" s="21"/>
      <c r="K75" s="19"/>
      <c r="L75" s="19"/>
      <c r="M75" s="22"/>
      <c r="N75" s="19"/>
      <c r="O75" s="19"/>
      <c r="P75" s="23"/>
      <c r="Q75" s="21" t="s">
        <v>46</v>
      </c>
      <c r="R75" s="19" t="s">
        <v>47</v>
      </c>
      <c r="S75" s="21"/>
      <c r="T75" s="32"/>
      <c r="U75" s="21"/>
      <c r="V75" s="7"/>
      <c r="W75" s="7"/>
      <c r="X75" s="7"/>
      <c r="Y75" s="7"/>
      <c r="AC75" s="33"/>
    </row>
    <row r="76" spans="1:30" ht="14.25" customHeight="1" x14ac:dyDescent="0.3">
      <c r="A76" s="18">
        <v>18.3</v>
      </c>
      <c r="B76" s="19"/>
      <c r="C76" s="19"/>
      <c r="D76" s="19"/>
      <c r="E76" s="19"/>
      <c r="F76" s="19"/>
      <c r="G76" s="21"/>
      <c r="H76" s="21"/>
      <c r="I76" s="21"/>
      <c r="J76" s="21"/>
      <c r="K76" s="19"/>
      <c r="L76" s="19"/>
      <c r="M76" s="22"/>
      <c r="N76" s="19"/>
      <c r="O76" s="19"/>
      <c r="P76" s="23"/>
      <c r="Q76" s="21" t="s">
        <v>46</v>
      </c>
      <c r="R76" s="19" t="s">
        <v>47</v>
      </c>
      <c r="S76" s="21"/>
      <c r="T76" s="32"/>
      <c r="U76" s="21"/>
      <c r="V76" s="7"/>
      <c r="W76" s="7"/>
      <c r="X76" s="7"/>
      <c r="Y76" s="7"/>
      <c r="AC76" s="33"/>
    </row>
    <row r="77" spans="1:30" ht="14.25" customHeight="1" x14ac:dyDescent="0.3">
      <c r="A77" s="18">
        <v>18.399999999999999</v>
      </c>
      <c r="B77" s="19"/>
      <c r="C77" s="19"/>
      <c r="D77" s="19"/>
      <c r="E77" s="19"/>
      <c r="F77" s="19"/>
      <c r="G77" s="21"/>
      <c r="H77" s="21"/>
      <c r="I77" s="21"/>
      <c r="J77" s="21"/>
      <c r="K77" s="19"/>
      <c r="L77" s="19"/>
      <c r="M77" s="22"/>
      <c r="N77" s="19"/>
      <c r="O77" s="19"/>
      <c r="P77" s="23"/>
      <c r="Q77" s="21" t="s">
        <v>46</v>
      </c>
      <c r="R77" s="19" t="s">
        <v>47</v>
      </c>
      <c r="S77" s="21"/>
      <c r="T77" s="32"/>
      <c r="U77" s="21"/>
      <c r="V77" s="7"/>
      <c r="W77" s="7"/>
      <c r="X77" s="7"/>
      <c r="Y77" s="7"/>
      <c r="AC77" s="33"/>
    </row>
    <row r="78" spans="1:30" ht="14.25" customHeight="1" x14ac:dyDescent="0.3">
      <c r="A78" s="18">
        <v>19.100000000000001</v>
      </c>
      <c r="B78" s="19"/>
      <c r="C78" s="19"/>
      <c r="D78" s="19"/>
      <c r="E78" s="19"/>
      <c r="F78" s="19"/>
      <c r="G78" s="21"/>
      <c r="H78" s="21"/>
      <c r="I78" s="21"/>
      <c r="J78" s="21"/>
      <c r="K78" s="19"/>
      <c r="L78" s="19"/>
      <c r="M78" s="22"/>
      <c r="N78" s="19"/>
      <c r="O78" s="19"/>
      <c r="P78" s="23"/>
      <c r="Q78" s="21" t="s">
        <v>46</v>
      </c>
      <c r="R78" s="19" t="s">
        <v>47</v>
      </c>
      <c r="S78" s="21"/>
      <c r="T78" s="32"/>
      <c r="U78" s="21"/>
      <c r="V78" s="7"/>
      <c r="W78" s="7"/>
      <c r="X78" s="7"/>
      <c r="Y78" s="7"/>
      <c r="AC78" s="33"/>
    </row>
    <row r="79" spans="1:30" ht="14.25" customHeight="1" x14ac:dyDescent="0.3">
      <c r="A79" s="18">
        <v>19.2</v>
      </c>
      <c r="B79" s="19"/>
      <c r="C79" s="19"/>
      <c r="D79" s="19"/>
      <c r="E79" s="19"/>
      <c r="F79" s="19"/>
      <c r="G79" s="21"/>
      <c r="H79" s="21"/>
      <c r="I79" s="21"/>
      <c r="J79" s="21"/>
      <c r="K79" s="19"/>
      <c r="L79" s="19"/>
      <c r="M79" s="22"/>
      <c r="N79" s="19"/>
      <c r="O79" s="19"/>
      <c r="P79" s="23"/>
      <c r="Q79" s="21" t="s">
        <v>46</v>
      </c>
      <c r="R79" s="19" t="s">
        <v>47</v>
      </c>
      <c r="S79" s="21"/>
      <c r="T79" s="32"/>
      <c r="U79" s="21"/>
      <c r="V79" s="7"/>
      <c r="W79" s="7"/>
      <c r="X79" s="7"/>
      <c r="Y79" s="7"/>
      <c r="AC79" s="33"/>
    </row>
    <row r="80" spans="1:30" ht="14.25" customHeight="1" x14ac:dyDescent="0.3">
      <c r="A80" s="18">
        <v>19.3</v>
      </c>
      <c r="B80" s="19"/>
      <c r="C80" s="19"/>
      <c r="D80" s="19"/>
      <c r="E80" s="19"/>
      <c r="F80" s="19"/>
      <c r="G80" s="21"/>
      <c r="H80" s="21"/>
      <c r="I80" s="21"/>
      <c r="J80" s="21"/>
      <c r="K80" s="19"/>
      <c r="L80" s="19"/>
      <c r="M80" s="22"/>
      <c r="N80" s="19"/>
      <c r="O80" s="19"/>
      <c r="P80" s="23"/>
      <c r="Q80" s="21" t="s">
        <v>46</v>
      </c>
      <c r="R80" s="19" t="s">
        <v>47</v>
      </c>
      <c r="S80" s="21"/>
      <c r="T80" s="32"/>
      <c r="U80" s="21"/>
      <c r="V80" s="7"/>
      <c r="W80" s="7"/>
      <c r="X80" s="7"/>
      <c r="Y80" s="7"/>
      <c r="AC80" s="33"/>
    </row>
    <row r="81" spans="1:31" ht="14.25" customHeight="1" x14ac:dyDescent="0.3">
      <c r="A81" s="18">
        <v>19.399999999999999</v>
      </c>
      <c r="B81" s="19"/>
      <c r="C81" s="19"/>
      <c r="D81" s="19"/>
      <c r="E81" s="19"/>
      <c r="F81" s="19"/>
      <c r="G81" s="21"/>
      <c r="H81" s="21"/>
      <c r="I81" s="21"/>
      <c r="J81" s="21"/>
      <c r="K81" s="19"/>
      <c r="L81" s="19"/>
      <c r="M81" s="22"/>
      <c r="N81" s="19"/>
      <c r="O81" s="19"/>
      <c r="P81" s="23"/>
      <c r="Q81" s="21" t="s">
        <v>46</v>
      </c>
      <c r="R81" s="19" t="s">
        <v>47</v>
      </c>
      <c r="S81" s="21"/>
      <c r="T81" s="32"/>
      <c r="U81" s="21"/>
      <c r="V81" s="7"/>
      <c r="W81" s="7"/>
      <c r="X81" s="7"/>
      <c r="Y81" s="7"/>
      <c r="AC81" s="33"/>
    </row>
    <row r="82" spans="1:31" ht="14.25" customHeight="1" x14ac:dyDescent="0.3">
      <c r="A82" s="18">
        <v>20.100000000000001</v>
      </c>
      <c r="B82" s="19"/>
      <c r="C82" s="19"/>
      <c r="D82" s="19"/>
      <c r="E82" s="19"/>
      <c r="F82" s="19"/>
      <c r="G82" s="21"/>
      <c r="H82" s="21"/>
      <c r="I82" s="21"/>
      <c r="J82" s="21"/>
      <c r="K82" s="19"/>
      <c r="L82" s="19"/>
      <c r="M82" s="22"/>
      <c r="N82" s="19"/>
      <c r="O82" s="19"/>
      <c r="P82" s="23"/>
      <c r="Q82" s="21" t="s">
        <v>46</v>
      </c>
      <c r="R82" s="19" t="s">
        <v>47</v>
      </c>
      <c r="S82" s="21"/>
      <c r="T82" s="32"/>
      <c r="U82" s="21"/>
      <c r="V82" s="7"/>
      <c r="W82" s="7"/>
      <c r="X82" s="7"/>
      <c r="Y82" s="7"/>
      <c r="AC82" s="33"/>
    </row>
    <row r="83" spans="1:31" ht="14.25" customHeight="1" x14ac:dyDescent="0.3">
      <c r="A83" s="18">
        <v>20.2</v>
      </c>
      <c r="B83" s="19"/>
      <c r="C83" s="19"/>
      <c r="D83" s="19"/>
      <c r="E83" s="19"/>
      <c r="F83" s="19"/>
      <c r="G83" s="21"/>
      <c r="H83" s="21"/>
      <c r="I83" s="21"/>
      <c r="J83" s="21"/>
      <c r="K83" s="19"/>
      <c r="L83" s="19"/>
      <c r="M83" s="22"/>
      <c r="N83" s="19"/>
      <c r="O83" s="19"/>
      <c r="P83" s="23"/>
      <c r="Q83" s="21" t="s">
        <v>46</v>
      </c>
      <c r="R83" s="19" t="s">
        <v>47</v>
      </c>
      <c r="S83" s="21"/>
      <c r="T83" s="32"/>
      <c r="U83" s="21"/>
      <c r="V83" s="7"/>
      <c r="W83" s="7"/>
      <c r="X83" s="7"/>
      <c r="Y83" s="7"/>
      <c r="AC83" s="33"/>
    </row>
    <row r="84" spans="1:31" ht="14.25" customHeight="1" x14ac:dyDescent="0.3">
      <c r="A84" s="18">
        <v>20.3</v>
      </c>
      <c r="B84" s="19"/>
      <c r="C84" s="19"/>
      <c r="D84" s="19"/>
      <c r="E84" s="19"/>
      <c r="F84" s="19"/>
      <c r="G84" s="21"/>
      <c r="H84" s="21"/>
      <c r="I84" s="21"/>
      <c r="J84" s="21"/>
      <c r="K84" s="19"/>
      <c r="L84" s="19"/>
      <c r="M84" s="22"/>
      <c r="N84" s="19"/>
      <c r="O84" s="19"/>
      <c r="P84" s="23"/>
      <c r="Q84" s="21" t="s">
        <v>46</v>
      </c>
      <c r="R84" s="19" t="s">
        <v>47</v>
      </c>
      <c r="S84" s="21"/>
      <c r="T84" s="32"/>
      <c r="U84" s="21"/>
      <c r="V84" s="7"/>
      <c r="W84" s="7"/>
      <c r="X84" s="7"/>
      <c r="Y84" s="7"/>
      <c r="AC84" s="33"/>
    </row>
    <row r="85" spans="1:31" ht="14.25" customHeight="1" x14ac:dyDescent="0.3">
      <c r="A85" s="18">
        <v>20.399999999999999</v>
      </c>
      <c r="B85" s="19"/>
      <c r="C85" s="19"/>
      <c r="D85" s="19"/>
      <c r="E85" s="19"/>
      <c r="F85" s="19"/>
      <c r="G85" s="21"/>
      <c r="H85" s="21"/>
      <c r="I85" s="21"/>
      <c r="J85" s="21"/>
      <c r="K85" s="19"/>
      <c r="L85" s="19"/>
      <c r="M85" s="22"/>
      <c r="N85" s="19"/>
      <c r="O85" s="19"/>
      <c r="P85" s="23"/>
      <c r="Q85" s="21" t="s">
        <v>46</v>
      </c>
      <c r="R85" s="19" t="s">
        <v>47</v>
      </c>
      <c r="S85" s="21"/>
      <c r="T85" s="32"/>
      <c r="U85" s="21"/>
      <c r="V85" s="7"/>
      <c r="W85" s="7"/>
      <c r="X85" s="7"/>
      <c r="Y85" s="7"/>
      <c r="AC85" s="33"/>
    </row>
    <row r="86" spans="1:31" ht="14.25" customHeight="1" x14ac:dyDescent="0.3">
      <c r="A86" s="18">
        <v>21.1</v>
      </c>
      <c r="B86" s="19"/>
      <c r="C86" s="19"/>
      <c r="D86" s="19"/>
      <c r="E86" s="19"/>
      <c r="F86" s="19"/>
      <c r="G86" s="21"/>
      <c r="H86" s="21"/>
      <c r="I86" s="21"/>
      <c r="J86" s="21"/>
      <c r="K86" s="19"/>
      <c r="L86" s="19"/>
      <c r="M86" s="22"/>
      <c r="N86" s="19"/>
      <c r="O86" s="19"/>
      <c r="P86" s="23"/>
      <c r="Q86" s="21" t="s">
        <v>46</v>
      </c>
      <c r="R86" s="19" t="s">
        <v>47</v>
      </c>
      <c r="S86" s="21"/>
      <c r="T86" s="32"/>
      <c r="U86" s="21"/>
      <c r="V86" s="7"/>
      <c r="W86" s="7"/>
      <c r="X86" s="7"/>
      <c r="Y86" s="7"/>
      <c r="AC86" s="33"/>
    </row>
    <row r="87" spans="1:31" ht="14.25" customHeight="1" x14ac:dyDescent="0.3">
      <c r="A87" s="18">
        <v>21.2</v>
      </c>
      <c r="B87" s="19"/>
      <c r="C87" s="19"/>
      <c r="D87" s="19"/>
      <c r="E87" s="19"/>
      <c r="F87" s="19"/>
      <c r="G87" s="21"/>
      <c r="H87" s="21"/>
      <c r="I87" s="21"/>
      <c r="J87" s="21"/>
      <c r="K87" s="19"/>
      <c r="L87" s="19"/>
      <c r="M87" s="22"/>
      <c r="N87" s="19"/>
      <c r="O87" s="19"/>
      <c r="P87" s="23"/>
      <c r="Q87" s="21" t="s">
        <v>46</v>
      </c>
      <c r="R87" s="19" t="s">
        <v>47</v>
      </c>
      <c r="S87" s="21"/>
      <c r="T87" s="32"/>
      <c r="U87" s="21"/>
      <c r="V87" s="7"/>
      <c r="W87" s="7"/>
      <c r="X87" s="7"/>
      <c r="Y87" s="7"/>
      <c r="AC87" s="33"/>
      <c r="AE87" s="28"/>
    </row>
    <row r="88" spans="1:31" ht="14.25" customHeight="1" x14ac:dyDescent="0.3">
      <c r="A88" s="18">
        <v>21.3</v>
      </c>
      <c r="B88" s="19"/>
      <c r="C88" s="19"/>
      <c r="D88" s="19"/>
      <c r="E88" s="19"/>
      <c r="F88" s="19"/>
      <c r="G88" s="21"/>
      <c r="H88" s="21"/>
      <c r="I88" s="21"/>
      <c r="J88" s="21"/>
      <c r="K88" s="19"/>
      <c r="L88" s="19"/>
      <c r="M88" s="22"/>
      <c r="N88" s="19"/>
      <c r="O88" s="19"/>
      <c r="P88" s="23"/>
      <c r="Q88" s="21" t="s">
        <v>46</v>
      </c>
      <c r="R88" s="19" t="s">
        <v>47</v>
      </c>
      <c r="S88" s="21"/>
      <c r="T88" s="32"/>
      <c r="U88" s="21"/>
      <c r="V88" s="7"/>
      <c r="W88" s="7"/>
      <c r="X88" s="7"/>
      <c r="Y88" s="7"/>
      <c r="AC88" s="33"/>
    </row>
    <row r="89" spans="1:31" ht="14.25" customHeight="1" x14ac:dyDescent="0.3">
      <c r="A89" s="18">
        <v>21.4</v>
      </c>
      <c r="B89" s="19"/>
      <c r="C89" s="19"/>
      <c r="D89" s="19"/>
      <c r="E89" s="19"/>
      <c r="F89" s="19"/>
      <c r="G89" s="21"/>
      <c r="H89" s="21"/>
      <c r="I89" s="21"/>
      <c r="J89" s="21"/>
      <c r="K89" s="19"/>
      <c r="L89" s="19"/>
      <c r="M89" s="22"/>
      <c r="N89" s="19"/>
      <c r="O89" s="19"/>
      <c r="P89" s="23"/>
      <c r="Q89" s="21" t="s">
        <v>46</v>
      </c>
      <c r="R89" s="19" t="s">
        <v>47</v>
      </c>
      <c r="S89" s="21"/>
      <c r="T89" s="32"/>
      <c r="U89" s="21"/>
      <c r="V89" s="7"/>
      <c r="W89" s="7"/>
      <c r="X89" s="7"/>
      <c r="Y89" s="7"/>
      <c r="AC89" s="33"/>
    </row>
    <row r="90" spans="1:31" ht="14.25" customHeight="1" x14ac:dyDescent="0.3">
      <c r="A90" s="18">
        <v>22.1</v>
      </c>
      <c r="B90" s="19"/>
      <c r="C90" s="19"/>
      <c r="D90" s="19"/>
      <c r="E90" s="19"/>
      <c r="F90" s="19"/>
      <c r="G90" s="21"/>
      <c r="H90" s="21"/>
      <c r="I90" s="21"/>
      <c r="J90" s="21"/>
      <c r="K90" s="19"/>
      <c r="L90" s="19"/>
      <c r="M90" s="22"/>
      <c r="N90" s="19"/>
      <c r="O90" s="19"/>
      <c r="P90" s="23"/>
      <c r="Q90" s="21" t="s">
        <v>46</v>
      </c>
      <c r="R90" s="19" t="s">
        <v>47</v>
      </c>
      <c r="S90" s="21"/>
      <c r="T90" s="32"/>
      <c r="U90" s="21"/>
      <c r="V90" s="7"/>
      <c r="W90" s="7"/>
      <c r="X90" s="7"/>
      <c r="Y90" s="7"/>
      <c r="AC90" s="33"/>
    </row>
    <row r="91" spans="1:31" ht="14.25" customHeight="1" x14ac:dyDescent="0.3">
      <c r="A91" s="18">
        <v>22.2</v>
      </c>
      <c r="B91" s="19"/>
      <c r="C91" s="19"/>
      <c r="D91" s="19"/>
      <c r="E91" s="19"/>
      <c r="F91" s="19"/>
      <c r="G91" s="21"/>
      <c r="H91" s="21"/>
      <c r="I91" s="21"/>
      <c r="J91" s="21"/>
      <c r="K91" s="19"/>
      <c r="L91" s="19"/>
      <c r="M91" s="22"/>
      <c r="N91" s="19"/>
      <c r="O91" s="19"/>
      <c r="P91" s="23"/>
      <c r="Q91" s="21" t="s">
        <v>46</v>
      </c>
      <c r="R91" s="19" t="s">
        <v>47</v>
      </c>
      <c r="S91" s="21"/>
      <c r="T91" s="32"/>
      <c r="U91" s="21"/>
      <c r="V91" s="7"/>
      <c r="W91" s="7"/>
      <c r="X91" s="7"/>
      <c r="Y91" s="7"/>
      <c r="AC91" s="33"/>
    </row>
    <row r="92" spans="1:31" ht="14.25" customHeight="1" x14ac:dyDescent="0.3">
      <c r="A92" s="18">
        <v>22.3</v>
      </c>
      <c r="B92" s="19"/>
      <c r="C92" s="19"/>
      <c r="D92" s="19"/>
      <c r="E92" s="19"/>
      <c r="F92" s="19"/>
      <c r="G92" s="21"/>
      <c r="H92" s="21"/>
      <c r="I92" s="21"/>
      <c r="J92" s="21"/>
      <c r="K92" s="19"/>
      <c r="L92" s="19"/>
      <c r="M92" s="22"/>
      <c r="N92" s="19"/>
      <c r="O92" s="19"/>
      <c r="P92" s="23"/>
      <c r="Q92" s="21" t="s">
        <v>46</v>
      </c>
      <c r="R92" s="19" t="s">
        <v>47</v>
      </c>
      <c r="S92" s="21"/>
      <c r="T92" s="32"/>
      <c r="U92" s="21"/>
      <c r="V92" s="7"/>
      <c r="W92" s="7"/>
      <c r="X92" s="7"/>
      <c r="Y92" s="7"/>
      <c r="AC92" s="33"/>
    </row>
    <row r="93" spans="1:31" ht="14.25" customHeight="1" x14ac:dyDescent="0.3">
      <c r="A93" s="18">
        <v>22.4</v>
      </c>
      <c r="B93" s="19"/>
      <c r="C93" s="19"/>
      <c r="D93" s="19"/>
      <c r="E93" s="19"/>
      <c r="F93" s="19"/>
      <c r="G93" s="21"/>
      <c r="H93" s="21"/>
      <c r="I93" s="21"/>
      <c r="J93" s="21"/>
      <c r="K93" s="19"/>
      <c r="L93" s="19"/>
      <c r="M93" s="22"/>
      <c r="N93" s="19"/>
      <c r="O93" s="19"/>
      <c r="P93" s="23"/>
      <c r="Q93" s="21" t="s">
        <v>46</v>
      </c>
      <c r="R93" s="19" t="s">
        <v>47</v>
      </c>
      <c r="S93" s="21"/>
      <c r="T93" s="32"/>
      <c r="U93" s="21"/>
      <c r="V93" s="7"/>
      <c r="W93" s="7"/>
      <c r="X93" s="7"/>
      <c r="Y93" s="7"/>
      <c r="AC93" s="33"/>
    </row>
    <row r="94" spans="1:31" ht="14.25" customHeight="1" x14ac:dyDescent="0.3">
      <c r="A94" s="18">
        <v>23.1</v>
      </c>
      <c r="B94" s="19"/>
      <c r="C94" s="19"/>
      <c r="D94" s="19"/>
      <c r="E94" s="19"/>
      <c r="F94" s="19"/>
      <c r="G94" s="21"/>
      <c r="H94" s="21"/>
      <c r="I94" s="21"/>
      <c r="J94" s="21"/>
      <c r="K94" s="19"/>
      <c r="L94" s="19"/>
      <c r="M94" s="22"/>
      <c r="N94" s="19"/>
      <c r="O94" s="19"/>
      <c r="P94" s="23"/>
      <c r="Q94" s="21" t="s">
        <v>46</v>
      </c>
      <c r="R94" s="19" t="s">
        <v>47</v>
      </c>
      <c r="S94" s="21"/>
      <c r="T94" s="32"/>
      <c r="U94" s="21"/>
      <c r="V94" s="7"/>
      <c r="W94" s="7"/>
      <c r="X94" s="7"/>
      <c r="Y94" s="7"/>
      <c r="AC94" s="33"/>
    </row>
    <row r="95" spans="1:31" ht="14.25" customHeight="1" x14ac:dyDescent="0.3">
      <c r="A95" s="18">
        <v>23.2</v>
      </c>
      <c r="B95" s="19"/>
      <c r="C95" s="19"/>
      <c r="D95" s="19"/>
      <c r="E95" s="19"/>
      <c r="F95" s="19"/>
      <c r="G95" s="21"/>
      <c r="H95" s="21"/>
      <c r="I95" s="21"/>
      <c r="J95" s="21"/>
      <c r="K95" s="19"/>
      <c r="L95" s="19"/>
      <c r="M95" s="22"/>
      <c r="N95" s="19"/>
      <c r="O95" s="19"/>
      <c r="P95" s="23"/>
      <c r="Q95" s="21" t="s">
        <v>46</v>
      </c>
      <c r="R95" s="19" t="s">
        <v>47</v>
      </c>
      <c r="S95" s="21"/>
      <c r="T95" s="32"/>
      <c r="U95" s="21"/>
      <c r="V95" s="7"/>
      <c r="W95" s="7"/>
      <c r="X95" s="7"/>
      <c r="Y95" s="7"/>
      <c r="AC95" s="33"/>
    </row>
    <row r="96" spans="1:31" ht="14.25" customHeight="1" x14ac:dyDescent="0.3">
      <c r="A96" s="18">
        <v>23.3</v>
      </c>
      <c r="B96" s="19"/>
      <c r="C96" s="19"/>
      <c r="D96" s="19"/>
      <c r="E96" s="19"/>
      <c r="F96" s="19"/>
      <c r="G96" s="21"/>
      <c r="H96" s="21"/>
      <c r="I96" s="21"/>
      <c r="J96" s="21"/>
      <c r="K96" s="19"/>
      <c r="L96" s="19"/>
      <c r="M96" s="22"/>
      <c r="N96" s="19"/>
      <c r="O96" s="19"/>
      <c r="P96" s="23"/>
      <c r="Q96" s="21" t="s">
        <v>46</v>
      </c>
      <c r="R96" s="19" t="s">
        <v>47</v>
      </c>
      <c r="S96" s="21"/>
      <c r="T96" s="32"/>
      <c r="U96" s="21"/>
      <c r="V96" s="7"/>
      <c r="W96" s="7"/>
      <c r="X96" s="7"/>
      <c r="Y96" s="7"/>
      <c r="AC96" s="33"/>
    </row>
    <row r="97" spans="1:29" ht="14.25" customHeight="1" x14ac:dyDescent="0.3">
      <c r="A97" s="18">
        <v>23.4</v>
      </c>
      <c r="B97" s="19"/>
      <c r="C97" s="19"/>
      <c r="D97" s="19"/>
      <c r="E97" s="19"/>
      <c r="F97" s="19"/>
      <c r="G97" s="21"/>
      <c r="H97" s="21"/>
      <c r="I97" s="21"/>
      <c r="J97" s="21"/>
      <c r="K97" s="19"/>
      <c r="L97" s="19"/>
      <c r="M97" s="22"/>
      <c r="N97" s="19"/>
      <c r="O97" s="19"/>
      <c r="P97" s="23"/>
      <c r="Q97" s="21" t="s">
        <v>46</v>
      </c>
      <c r="R97" s="19" t="s">
        <v>47</v>
      </c>
      <c r="S97" s="21"/>
      <c r="T97" s="32"/>
      <c r="U97" s="21"/>
      <c r="V97" s="7"/>
      <c r="W97" s="7"/>
      <c r="X97" s="7"/>
      <c r="Y97" s="7"/>
      <c r="AC97" s="33"/>
    </row>
    <row r="98" spans="1:29" ht="14.25" customHeight="1" x14ac:dyDescent="0.3">
      <c r="A98" s="18">
        <v>24.1</v>
      </c>
      <c r="B98" s="19"/>
      <c r="C98" s="19"/>
      <c r="D98" s="19"/>
      <c r="E98" s="19"/>
      <c r="F98" s="19"/>
      <c r="G98" s="21"/>
      <c r="H98" s="21"/>
      <c r="I98" s="21"/>
      <c r="J98" s="21"/>
      <c r="K98" s="19"/>
      <c r="L98" s="19"/>
      <c r="M98" s="22"/>
      <c r="N98" s="19"/>
      <c r="O98" s="19"/>
      <c r="P98" s="23"/>
      <c r="Q98" s="21" t="s">
        <v>46</v>
      </c>
      <c r="R98" s="19" t="s">
        <v>47</v>
      </c>
      <c r="S98" s="21"/>
      <c r="T98" s="32"/>
      <c r="U98" s="21"/>
      <c r="V98" s="7"/>
      <c r="W98" s="7"/>
      <c r="X98" s="7"/>
      <c r="Y98" s="7"/>
      <c r="AC98" s="33"/>
    </row>
    <row r="99" spans="1:29" ht="14.25" customHeight="1" x14ac:dyDescent="0.3">
      <c r="A99" s="18">
        <v>24.2</v>
      </c>
      <c r="B99" s="19"/>
      <c r="C99" s="19"/>
      <c r="D99" s="19"/>
      <c r="E99" s="19"/>
      <c r="F99" s="19"/>
      <c r="G99" s="21"/>
      <c r="H99" s="21"/>
      <c r="I99" s="21"/>
      <c r="J99" s="21"/>
      <c r="K99" s="19"/>
      <c r="L99" s="19"/>
      <c r="M99" s="22"/>
      <c r="N99" s="19"/>
      <c r="O99" s="19"/>
      <c r="P99" s="23"/>
      <c r="Q99" s="21" t="s">
        <v>46</v>
      </c>
      <c r="R99" s="19" t="s">
        <v>47</v>
      </c>
      <c r="S99" s="21"/>
      <c r="T99" s="32"/>
      <c r="U99" s="21"/>
      <c r="V99" s="7"/>
      <c r="W99" s="7"/>
      <c r="X99" s="7"/>
      <c r="Y99" s="7"/>
      <c r="AC99" s="33"/>
    </row>
    <row r="100" spans="1:29" ht="14.25" customHeight="1" x14ac:dyDescent="0.3">
      <c r="A100" s="18">
        <v>24.3</v>
      </c>
      <c r="B100" s="19"/>
      <c r="C100" s="19"/>
      <c r="D100" s="19"/>
      <c r="E100" s="19"/>
      <c r="F100" s="19"/>
      <c r="G100" s="21"/>
      <c r="H100" s="21"/>
      <c r="I100" s="21"/>
      <c r="J100" s="21"/>
      <c r="K100" s="19"/>
      <c r="L100" s="19"/>
      <c r="M100" s="22"/>
      <c r="N100" s="19"/>
      <c r="O100" s="19"/>
      <c r="P100" s="23"/>
      <c r="Q100" s="21" t="s">
        <v>46</v>
      </c>
      <c r="R100" s="19" t="s">
        <v>47</v>
      </c>
      <c r="S100" s="21"/>
      <c r="T100" s="32"/>
      <c r="U100" s="21"/>
      <c r="V100" s="7"/>
      <c r="W100" s="7"/>
      <c r="X100" s="7"/>
      <c r="Y100" s="7"/>
      <c r="AC100" s="33"/>
    </row>
    <row r="101" spans="1:29" ht="14.25" customHeight="1" x14ac:dyDescent="0.3">
      <c r="A101" s="18">
        <v>24.4</v>
      </c>
      <c r="B101" s="19"/>
      <c r="C101" s="19"/>
      <c r="D101" s="19"/>
      <c r="E101" s="19"/>
      <c r="F101" s="19"/>
      <c r="G101" s="21"/>
      <c r="H101" s="21"/>
      <c r="I101" s="21"/>
      <c r="J101" s="21"/>
      <c r="K101" s="19"/>
      <c r="L101" s="19"/>
      <c r="M101" s="22"/>
      <c r="N101" s="19"/>
      <c r="O101" s="19"/>
      <c r="P101" s="23"/>
      <c r="Q101" s="21" t="s">
        <v>46</v>
      </c>
      <c r="R101" s="19" t="s">
        <v>47</v>
      </c>
      <c r="S101" s="21"/>
      <c r="T101" s="32"/>
      <c r="U101" s="21"/>
      <c r="V101" s="7"/>
      <c r="W101" s="7"/>
      <c r="X101" s="7"/>
      <c r="Y101" s="7"/>
      <c r="AC101" s="33"/>
    </row>
    <row r="102" spans="1:29" ht="14.25" customHeight="1" x14ac:dyDescent="0.3">
      <c r="A102" s="18">
        <v>25.1</v>
      </c>
      <c r="B102" s="19"/>
      <c r="C102" s="19"/>
      <c r="D102" s="19"/>
      <c r="E102" s="19"/>
      <c r="F102" s="19"/>
      <c r="G102" s="21"/>
      <c r="H102" s="21"/>
      <c r="I102" s="21"/>
      <c r="J102" s="21"/>
      <c r="K102" s="19"/>
      <c r="L102" s="19"/>
      <c r="M102" s="22"/>
      <c r="N102" s="19"/>
      <c r="O102" s="19"/>
      <c r="P102" s="23"/>
      <c r="Q102" s="21" t="s">
        <v>46</v>
      </c>
      <c r="R102" s="19" t="s">
        <v>47</v>
      </c>
      <c r="S102" s="21"/>
      <c r="T102" s="32"/>
      <c r="U102" s="21"/>
      <c r="V102" s="7"/>
      <c r="W102" s="7"/>
      <c r="X102" s="7"/>
      <c r="Y102" s="7"/>
    </row>
    <row r="103" spans="1:29" ht="14.25" customHeight="1" x14ac:dyDescent="0.3">
      <c r="A103" s="18">
        <v>25.2</v>
      </c>
      <c r="B103" s="19"/>
      <c r="C103" s="19"/>
      <c r="D103" s="19"/>
      <c r="E103" s="19"/>
      <c r="F103" s="19"/>
      <c r="G103" s="21"/>
      <c r="H103" s="21"/>
      <c r="I103" s="21"/>
      <c r="J103" s="21"/>
      <c r="K103" s="19"/>
      <c r="L103" s="19"/>
      <c r="M103" s="22"/>
      <c r="N103" s="19"/>
      <c r="O103" s="19"/>
      <c r="P103" s="23"/>
      <c r="Q103" s="21" t="s">
        <v>46</v>
      </c>
      <c r="R103" s="19" t="s">
        <v>47</v>
      </c>
      <c r="S103" s="21"/>
      <c r="T103" s="32"/>
      <c r="U103" s="21"/>
      <c r="V103" s="7"/>
      <c r="W103" s="7"/>
      <c r="X103" s="7"/>
      <c r="Y103" s="7"/>
    </row>
    <row r="104" spans="1:29" ht="14.25" customHeight="1" x14ac:dyDescent="0.3">
      <c r="A104" s="18">
        <v>25.3</v>
      </c>
      <c r="B104" s="19"/>
      <c r="C104" s="19"/>
      <c r="D104" s="19"/>
      <c r="E104" s="19"/>
      <c r="F104" s="19"/>
      <c r="G104" s="21"/>
      <c r="H104" s="21"/>
      <c r="I104" s="21"/>
      <c r="J104" s="21"/>
      <c r="K104" s="19"/>
      <c r="L104" s="19"/>
      <c r="M104" s="22"/>
      <c r="N104" s="19"/>
      <c r="O104" s="19"/>
      <c r="P104" s="23"/>
      <c r="Q104" s="21" t="s">
        <v>46</v>
      </c>
      <c r="R104" s="19" t="s">
        <v>47</v>
      </c>
      <c r="S104" s="21"/>
      <c r="T104" s="32"/>
      <c r="U104" s="21"/>
      <c r="V104" s="7"/>
      <c r="W104" s="7"/>
      <c r="X104" s="7"/>
      <c r="Y104" s="7"/>
    </row>
    <row r="105" spans="1:29" ht="14.25" customHeight="1" x14ac:dyDescent="0.3">
      <c r="A105" s="18">
        <v>25.4</v>
      </c>
      <c r="B105" s="19"/>
      <c r="C105" s="19"/>
      <c r="D105" s="19"/>
      <c r="E105" s="19"/>
      <c r="F105" s="19"/>
      <c r="G105" s="21"/>
      <c r="H105" s="21"/>
      <c r="I105" s="21"/>
      <c r="J105" s="21"/>
      <c r="K105" s="19"/>
      <c r="L105" s="19"/>
      <c r="M105" s="22"/>
      <c r="N105" s="19"/>
      <c r="O105" s="19"/>
      <c r="P105" s="23"/>
      <c r="Q105" s="21" t="s">
        <v>46</v>
      </c>
      <c r="R105" s="19" t="s">
        <v>47</v>
      </c>
      <c r="S105" s="21"/>
      <c r="T105" s="32"/>
      <c r="U105" s="21"/>
      <c r="V105" s="7"/>
      <c r="W105" s="7"/>
      <c r="X105" s="7"/>
      <c r="Y105" s="7"/>
    </row>
    <row r="106" spans="1:29" ht="14.25" customHeight="1" x14ac:dyDescent="0.3">
      <c r="A106" s="18">
        <v>26.1</v>
      </c>
      <c r="B106" s="19"/>
      <c r="C106" s="19"/>
      <c r="D106" s="19"/>
      <c r="E106" s="19"/>
      <c r="F106" s="19"/>
      <c r="G106" s="21"/>
      <c r="H106" s="21"/>
      <c r="I106" s="21"/>
      <c r="J106" s="21"/>
      <c r="K106" s="19"/>
      <c r="L106" s="19"/>
      <c r="M106" s="22"/>
      <c r="N106" s="19"/>
      <c r="O106" s="19"/>
      <c r="P106" s="23"/>
      <c r="Q106" s="21" t="s">
        <v>46</v>
      </c>
      <c r="R106" s="19" t="s">
        <v>47</v>
      </c>
      <c r="S106" s="21"/>
      <c r="T106" s="32"/>
      <c r="U106" s="21"/>
      <c r="V106" s="7"/>
      <c r="W106" s="7"/>
      <c r="X106" s="7"/>
      <c r="Y106" s="7"/>
    </row>
    <row r="107" spans="1:29" ht="14.25" customHeight="1" x14ac:dyDescent="0.3">
      <c r="A107" s="18">
        <v>26.2</v>
      </c>
      <c r="B107" s="19"/>
      <c r="C107" s="19"/>
      <c r="D107" s="19"/>
      <c r="E107" s="19"/>
      <c r="F107" s="19"/>
      <c r="G107" s="21"/>
      <c r="H107" s="21"/>
      <c r="I107" s="21"/>
      <c r="J107" s="21"/>
      <c r="K107" s="19"/>
      <c r="L107" s="19"/>
      <c r="M107" s="22"/>
      <c r="N107" s="19"/>
      <c r="O107" s="19"/>
      <c r="P107" s="23"/>
      <c r="Q107" s="21" t="s">
        <v>46</v>
      </c>
      <c r="R107" s="19" t="s">
        <v>47</v>
      </c>
      <c r="S107" s="21"/>
      <c r="T107" s="32"/>
      <c r="U107" s="21"/>
      <c r="V107" s="7"/>
      <c r="W107" s="7"/>
      <c r="X107" s="7"/>
      <c r="Y107" s="7"/>
    </row>
    <row r="108" spans="1:29" ht="14.25" customHeight="1" x14ac:dyDescent="0.3">
      <c r="A108" s="18">
        <v>26.3</v>
      </c>
      <c r="B108" s="19"/>
      <c r="C108" s="19"/>
      <c r="D108" s="19"/>
      <c r="E108" s="19"/>
      <c r="F108" s="19"/>
      <c r="G108" s="21"/>
      <c r="H108" s="21"/>
      <c r="I108" s="21"/>
      <c r="J108" s="21"/>
      <c r="K108" s="19"/>
      <c r="L108" s="19"/>
      <c r="M108" s="22"/>
      <c r="N108" s="19"/>
      <c r="O108" s="19"/>
      <c r="P108" s="23"/>
      <c r="Q108" s="21" t="s">
        <v>46</v>
      </c>
      <c r="R108" s="19" t="s">
        <v>47</v>
      </c>
      <c r="S108" s="21"/>
      <c r="T108" s="32"/>
      <c r="U108" s="21"/>
      <c r="V108" s="7"/>
      <c r="W108" s="7"/>
      <c r="X108" s="7"/>
      <c r="Y108" s="7"/>
    </row>
    <row r="109" spans="1:29" ht="14.25" customHeight="1" x14ac:dyDescent="0.3">
      <c r="A109" s="18">
        <v>26.4</v>
      </c>
      <c r="B109" s="19"/>
      <c r="C109" s="19"/>
      <c r="D109" s="19"/>
      <c r="E109" s="19"/>
      <c r="F109" s="19"/>
      <c r="G109" s="21"/>
      <c r="H109" s="21"/>
      <c r="I109" s="21"/>
      <c r="J109" s="21"/>
      <c r="K109" s="19"/>
      <c r="L109" s="19"/>
      <c r="M109" s="22"/>
      <c r="N109" s="19"/>
      <c r="O109" s="19"/>
      <c r="P109" s="23"/>
      <c r="Q109" s="21" t="s">
        <v>46</v>
      </c>
      <c r="R109" s="19" t="s">
        <v>47</v>
      </c>
      <c r="S109" s="21"/>
      <c r="T109" s="32"/>
      <c r="U109" s="21"/>
      <c r="V109" s="7"/>
      <c r="W109" s="7"/>
      <c r="X109" s="7"/>
      <c r="Y109" s="7"/>
    </row>
    <row r="110" spans="1:29" ht="14.25" customHeight="1" x14ac:dyDescent="0.3">
      <c r="A110" s="18">
        <v>27.1</v>
      </c>
      <c r="B110" s="19"/>
      <c r="C110" s="19"/>
      <c r="D110" s="19"/>
      <c r="E110" s="19"/>
      <c r="F110" s="19"/>
      <c r="G110" s="21"/>
      <c r="H110" s="21"/>
      <c r="I110" s="21"/>
      <c r="J110" s="21"/>
      <c r="K110" s="19"/>
      <c r="L110" s="19"/>
      <c r="M110" s="22"/>
      <c r="N110" s="19"/>
      <c r="O110" s="19"/>
      <c r="P110" s="23"/>
      <c r="Q110" s="21" t="s">
        <v>46</v>
      </c>
      <c r="R110" s="19" t="s">
        <v>47</v>
      </c>
      <c r="S110" s="21"/>
      <c r="T110" s="32"/>
      <c r="U110" s="21"/>
      <c r="V110" s="7"/>
      <c r="W110" s="7"/>
      <c r="X110" s="7"/>
      <c r="Y110" s="7"/>
    </row>
    <row r="111" spans="1:29" ht="14.25" customHeight="1" x14ac:dyDescent="0.3">
      <c r="A111" s="18">
        <v>27.2</v>
      </c>
      <c r="B111" s="19"/>
      <c r="C111" s="19"/>
      <c r="D111" s="19"/>
      <c r="E111" s="19"/>
      <c r="F111" s="19"/>
      <c r="G111" s="21"/>
      <c r="H111" s="21"/>
      <c r="I111" s="21"/>
      <c r="J111" s="21"/>
      <c r="K111" s="19"/>
      <c r="L111" s="19"/>
      <c r="M111" s="22"/>
      <c r="N111" s="19"/>
      <c r="O111" s="19"/>
      <c r="P111" s="23"/>
      <c r="Q111" s="21" t="s">
        <v>46</v>
      </c>
      <c r="R111" s="19" t="s">
        <v>47</v>
      </c>
      <c r="S111" s="21"/>
      <c r="T111" s="32"/>
      <c r="U111" s="21"/>
      <c r="V111" s="7"/>
      <c r="W111" s="7"/>
      <c r="X111" s="7"/>
      <c r="Y111" s="7"/>
    </row>
    <row r="112" spans="1:29" ht="14.25" customHeight="1" x14ac:dyDescent="0.3">
      <c r="A112" s="18">
        <v>27.3</v>
      </c>
      <c r="B112" s="19"/>
      <c r="C112" s="19"/>
      <c r="D112" s="19"/>
      <c r="E112" s="19"/>
      <c r="F112" s="19"/>
      <c r="G112" s="21"/>
      <c r="H112" s="21"/>
      <c r="I112" s="21"/>
      <c r="J112" s="21"/>
      <c r="K112" s="19"/>
      <c r="L112" s="19"/>
      <c r="M112" s="22"/>
      <c r="N112" s="19"/>
      <c r="O112" s="19"/>
      <c r="P112" s="23"/>
      <c r="Q112" s="21" t="s">
        <v>46</v>
      </c>
      <c r="R112" s="19" t="s">
        <v>47</v>
      </c>
      <c r="S112" s="21"/>
      <c r="T112" s="32"/>
      <c r="U112" s="21"/>
      <c r="V112" s="7"/>
      <c r="W112" s="7"/>
      <c r="X112" s="7"/>
      <c r="Y112" s="7"/>
    </row>
    <row r="113" spans="1:25" ht="14.25" customHeight="1" x14ac:dyDescent="0.3">
      <c r="A113" s="18">
        <v>27.4</v>
      </c>
      <c r="B113" s="19"/>
      <c r="C113" s="19"/>
      <c r="D113" s="19"/>
      <c r="E113" s="19"/>
      <c r="F113" s="19"/>
      <c r="G113" s="21"/>
      <c r="H113" s="21"/>
      <c r="I113" s="21"/>
      <c r="J113" s="21"/>
      <c r="K113" s="19"/>
      <c r="L113" s="19"/>
      <c r="M113" s="22"/>
      <c r="N113" s="19"/>
      <c r="O113" s="19"/>
      <c r="P113" s="23"/>
      <c r="Q113" s="21" t="s">
        <v>46</v>
      </c>
      <c r="R113" s="19" t="s">
        <v>47</v>
      </c>
      <c r="S113" s="21"/>
      <c r="T113" s="32"/>
      <c r="U113" s="21"/>
      <c r="V113" s="7"/>
      <c r="W113" s="7"/>
      <c r="X113" s="7"/>
      <c r="Y113" s="7"/>
    </row>
    <row r="114" spans="1:25" ht="14.25" customHeight="1" x14ac:dyDescent="0.3">
      <c r="A114" s="18">
        <v>28.1</v>
      </c>
      <c r="B114" s="19"/>
      <c r="C114" s="19"/>
      <c r="D114" s="19"/>
      <c r="E114" s="19"/>
      <c r="F114" s="19"/>
      <c r="G114" s="21"/>
      <c r="H114" s="21"/>
      <c r="I114" s="21"/>
      <c r="J114" s="21"/>
      <c r="K114" s="19"/>
      <c r="L114" s="19"/>
      <c r="M114" s="22"/>
      <c r="N114" s="19"/>
      <c r="O114" s="19"/>
      <c r="P114" s="23"/>
      <c r="Q114" s="21" t="s">
        <v>46</v>
      </c>
      <c r="R114" s="19" t="s">
        <v>47</v>
      </c>
      <c r="S114" s="21"/>
      <c r="T114" s="32"/>
      <c r="U114" s="21"/>
      <c r="V114" s="7"/>
      <c r="W114" s="7"/>
      <c r="X114" s="7"/>
      <c r="Y114" s="7"/>
    </row>
    <row r="115" spans="1:25" ht="14.25" customHeight="1" x14ac:dyDescent="0.3">
      <c r="A115" s="18">
        <v>28.2</v>
      </c>
      <c r="B115" s="19"/>
      <c r="C115" s="19"/>
      <c r="D115" s="19"/>
      <c r="E115" s="19"/>
      <c r="F115" s="19"/>
      <c r="G115" s="21"/>
      <c r="H115" s="21"/>
      <c r="I115" s="21"/>
      <c r="J115" s="21"/>
      <c r="K115" s="19"/>
      <c r="L115" s="19"/>
      <c r="M115" s="22"/>
      <c r="N115" s="19"/>
      <c r="O115" s="19"/>
      <c r="P115" s="23"/>
      <c r="Q115" s="21" t="s">
        <v>46</v>
      </c>
      <c r="R115" s="19" t="s">
        <v>47</v>
      </c>
      <c r="S115" s="21"/>
      <c r="T115" s="32"/>
      <c r="U115" s="21"/>
      <c r="V115" s="7"/>
      <c r="W115" s="7"/>
      <c r="X115" s="7"/>
      <c r="Y115" s="7"/>
    </row>
    <row r="116" spans="1:25" ht="14.25" customHeight="1" x14ac:dyDescent="0.3">
      <c r="A116" s="18">
        <v>28.3</v>
      </c>
      <c r="B116" s="19"/>
      <c r="C116" s="19"/>
      <c r="D116" s="19"/>
      <c r="E116" s="19"/>
      <c r="F116" s="19"/>
      <c r="G116" s="21"/>
      <c r="H116" s="21"/>
      <c r="I116" s="21"/>
      <c r="J116" s="21"/>
      <c r="K116" s="19"/>
      <c r="L116" s="19"/>
      <c r="M116" s="22"/>
      <c r="N116" s="19"/>
      <c r="O116" s="19"/>
      <c r="P116" s="23"/>
      <c r="Q116" s="21" t="s">
        <v>46</v>
      </c>
      <c r="R116" s="19" t="s">
        <v>47</v>
      </c>
      <c r="S116" s="21"/>
      <c r="T116" s="32"/>
      <c r="U116" s="21"/>
      <c r="V116" s="7"/>
      <c r="W116" s="7"/>
      <c r="X116" s="7"/>
      <c r="Y116" s="7"/>
    </row>
    <row r="117" spans="1:25" ht="14.25" customHeight="1" x14ac:dyDescent="0.3">
      <c r="A117" s="18">
        <v>28.4</v>
      </c>
      <c r="B117" s="19"/>
      <c r="C117" s="19"/>
      <c r="D117" s="19"/>
      <c r="E117" s="19"/>
      <c r="F117" s="19"/>
      <c r="G117" s="21"/>
      <c r="H117" s="21"/>
      <c r="I117" s="21"/>
      <c r="J117" s="21"/>
      <c r="K117" s="19"/>
      <c r="L117" s="19"/>
      <c r="M117" s="22"/>
      <c r="N117" s="19"/>
      <c r="O117" s="19"/>
      <c r="P117" s="23"/>
      <c r="Q117" s="21" t="s">
        <v>46</v>
      </c>
      <c r="R117" s="19" t="s">
        <v>47</v>
      </c>
      <c r="S117" s="21"/>
      <c r="T117" s="32"/>
      <c r="U117" s="21"/>
      <c r="V117" s="7"/>
      <c r="W117" s="7"/>
      <c r="X117" s="7"/>
      <c r="Y117" s="7"/>
    </row>
    <row r="118" spans="1:25" ht="14.25" customHeight="1" x14ac:dyDescent="0.3">
      <c r="A118" s="18">
        <v>29.1</v>
      </c>
      <c r="B118" s="19"/>
      <c r="C118" s="19"/>
      <c r="D118" s="19"/>
      <c r="E118" s="19"/>
      <c r="F118" s="19"/>
      <c r="G118" s="21"/>
      <c r="H118" s="21"/>
      <c r="I118" s="21"/>
      <c r="J118" s="21"/>
      <c r="K118" s="19"/>
      <c r="L118" s="19"/>
      <c r="M118" s="22"/>
      <c r="N118" s="19"/>
      <c r="O118" s="19"/>
      <c r="P118" s="23"/>
      <c r="Q118" s="21" t="s">
        <v>46</v>
      </c>
      <c r="R118" s="19" t="s">
        <v>47</v>
      </c>
      <c r="S118" s="21"/>
      <c r="T118" s="32"/>
      <c r="U118" s="21"/>
      <c r="V118" s="7"/>
      <c r="W118" s="7"/>
      <c r="X118" s="7"/>
      <c r="Y118" s="7"/>
    </row>
    <row r="119" spans="1:25" ht="14.25" customHeight="1" x14ac:dyDescent="0.3">
      <c r="A119" s="18">
        <v>29.2</v>
      </c>
      <c r="B119" s="19"/>
      <c r="C119" s="19"/>
      <c r="D119" s="19"/>
      <c r="E119" s="19"/>
      <c r="F119" s="19"/>
      <c r="G119" s="21"/>
      <c r="H119" s="21"/>
      <c r="I119" s="21"/>
      <c r="J119" s="21"/>
      <c r="K119" s="19"/>
      <c r="L119" s="19"/>
      <c r="M119" s="22"/>
      <c r="N119" s="19"/>
      <c r="O119" s="19"/>
      <c r="P119" s="23"/>
      <c r="Q119" s="21" t="s">
        <v>46</v>
      </c>
      <c r="R119" s="19" t="s">
        <v>47</v>
      </c>
      <c r="S119" s="21"/>
      <c r="T119" s="32"/>
      <c r="U119" s="21"/>
      <c r="V119" s="7"/>
      <c r="W119" s="7"/>
      <c r="X119" s="7"/>
      <c r="Y119" s="7"/>
    </row>
    <row r="120" spans="1:25" ht="14.25" customHeight="1" x14ac:dyDescent="0.3">
      <c r="A120" s="18">
        <v>29.3</v>
      </c>
      <c r="B120" s="19"/>
      <c r="C120" s="19"/>
      <c r="D120" s="19"/>
      <c r="E120" s="19"/>
      <c r="F120" s="19"/>
      <c r="G120" s="21"/>
      <c r="H120" s="21"/>
      <c r="I120" s="21"/>
      <c r="J120" s="21"/>
      <c r="K120" s="19"/>
      <c r="L120" s="19"/>
      <c r="M120" s="22"/>
      <c r="N120" s="19"/>
      <c r="O120" s="19"/>
      <c r="P120" s="23"/>
      <c r="Q120" s="21" t="s">
        <v>46</v>
      </c>
      <c r="R120" s="19" t="s">
        <v>47</v>
      </c>
      <c r="S120" s="21"/>
      <c r="T120" s="32"/>
      <c r="U120" s="21"/>
      <c r="V120" s="7"/>
      <c r="W120" s="7"/>
      <c r="X120" s="7"/>
      <c r="Y120" s="7"/>
    </row>
    <row r="121" spans="1:25" ht="14.25" customHeight="1" x14ac:dyDescent="0.3">
      <c r="A121" s="18">
        <v>29.4</v>
      </c>
      <c r="B121" s="19"/>
      <c r="C121" s="19"/>
      <c r="D121" s="19"/>
      <c r="E121" s="19"/>
      <c r="F121" s="19"/>
      <c r="G121" s="21"/>
      <c r="H121" s="21"/>
      <c r="I121" s="21"/>
      <c r="J121" s="21"/>
      <c r="K121" s="19"/>
      <c r="L121" s="19"/>
      <c r="M121" s="22"/>
      <c r="N121" s="19"/>
      <c r="O121" s="19"/>
      <c r="P121" s="23"/>
      <c r="Q121" s="21" t="s">
        <v>46</v>
      </c>
      <c r="R121" s="19" t="s">
        <v>47</v>
      </c>
      <c r="S121" s="21"/>
      <c r="T121" s="32"/>
      <c r="U121" s="21"/>
      <c r="V121" s="7"/>
      <c r="W121" s="7"/>
      <c r="X121" s="7"/>
      <c r="Y121" s="7"/>
    </row>
    <row r="122" spans="1:25" ht="14.25" customHeight="1" x14ac:dyDescent="0.3">
      <c r="A122" s="18">
        <v>30.1</v>
      </c>
      <c r="B122" s="19"/>
      <c r="C122" s="19"/>
      <c r="D122" s="19"/>
      <c r="E122" s="19"/>
      <c r="F122" s="19"/>
      <c r="G122" s="21"/>
      <c r="H122" s="21"/>
      <c r="I122" s="21"/>
      <c r="J122" s="21"/>
      <c r="K122" s="19"/>
      <c r="L122" s="19"/>
      <c r="M122" s="22"/>
      <c r="N122" s="19"/>
      <c r="O122" s="19"/>
      <c r="P122" s="23"/>
      <c r="Q122" s="21" t="s">
        <v>46</v>
      </c>
      <c r="R122" s="19" t="s">
        <v>47</v>
      </c>
      <c r="S122" s="21"/>
      <c r="T122" s="32"/>
      <c r="U122" s="21"/>
      <c r="V122" s="7"/>
      <c r="W122" s="7"/>
      <c r="X122" s="7"/>
      <c r="Y122" s="7"/>
    </row>
    <row r="123" spans="1:25" ht="14.25" customHeight="1" x14ac:dyDescent="0.3">
      <c r="A123" s="18">
        <v>30.2</v>
      </c>
      <c r="B123" s="19"/>
      <c r="C123" s="19"/>
      <c r="D123" s="19"/>
      <c r="E123" s="19"/>
      <c r="F123" s="19"/>
      <c r="G123" s="21"/>
      <c r="H123" s="21"/>
      <c r="I123" s="21"/>
      <c r="J123" s="21"/>
      <c r="K123" s="19"/>
      <c r="L123" s="19"/>
      <c r="M123" s="22"/>
      <c r="N123" s="19"/>
      <c r="O123" s="19"/>
      <c r="P123" s="23"/>
      <c r="Q123" s="21" t="s">
        <v>46</v>
      </c>
      <c r="R123" s="19" t="s">
        <v>47</v>
      </c>
      <c r="S123" s="21"/>
      <c r="T123" s="32"/>
      <c r="U123" s="21"/>
      <c r="V123" s="7"/>
      <c r="W123" s="7"/>
      <c r="X123" s="7"/>
      <c r="Y123" s="7"/>
    </row>
    <row r="124" spans="1:25" ht="14.25" customHeight="1" x14ac:dyDescent="0.3">
      <c r="A124" s="18">
        <v>30.3</v>
      </c>
      <c r="B124" s="19"/>
      <c r="C124" s="19"/>
      <c r="D124" s="19"/>
      <c r="E124" s="19"/>
      <c r="F124" s="19"/>
      <c r="G124" s="21"/>
      <c r="H124" s="21"/>
      <c r="I124" s="21"/>
      <c r="J124" s="21"/>
      <c r="K124" s="19"/>
      <c r="L124" s="19"/>
      <c r="M124" s="22"/>
      <c r="N124" s="19"/>
      <c r="O124" s="19"/>
      <c r="P124" s="23"/>
      <c r="Q124" s="21" t="s">
        <v>46</v>
      </c>
      <c r="R124" s="19" t="s">
        <v>47</v>
      </c>
      <c r="S124" s="21"/>
      <c r="T124" s="32"/>
      <c r="U124" s="21"/>
      <c r="V124" s="7"/>
      <c r="W124" s="7"/>
      <c r="X124" s="7"/>
      <c r="Y124" s="7"/>
    </row>
    <row r="125" spans="1:25" ht="14.25" customHeight="1" x14ac:dyDescent="0.3">
      <c r="A125" s="18">
        <v>30.4</v>
      </c>
      <c r="B125" s="19"/>
      <c r="C125" s="19"/>
      <c r="D125" s="19"/>
      <c r="E125" s="19"/>
      <c r="F125" s="19"/>
      <c r="G125" s="21"/>
      <c r="H125" s="21"/>
      <c r="I125" s="21"/>
      <c r="J125" s="21"/>
      <c r="K125" s="19"/>
      <c r="L125" s="19"/>
      <c r="M125" s="22"/>
      <c r="N125" s="19"/>
      <c r="O125" s="19"/>
      <c r="P125" s="23"/>
      <c r="Q125" s="21" t="s">
        <v>46</v>
      </c>
      <c r="R125" s="19" t="s">
        <v>47</v>
      </c>
      <c r="S125" s="21"/>
      <c r="T125" s="32"/>
      <c r="U125" s="21"/>
      <c r="V125" s="7"/>
      <c r="W125" s="7"/>
      <c r="X125" s="7"/>
      <c r="Y125" s="7"/>
    </row>
    <row r="126" spans="1:25" ht="14.25" customHeight="1" x14ac:dyDescent="0.3">
      <c r="A126" s="18">
        <v>31.1</v>
      </c>
      <c r="B126" s="19"/>
      <c r="C126" s="19"/>
      <c r="D126" s="19"/>
      <c r="E126" s="19"/>
      <c r="F126" s="19"/>
      <c r="G126" s="21"/>
      <c r="H126" s="21"/>
      <c r="I126" s="21"/>
      <c r="J126" s="21"/>
      <c r="K126" s="19"/>
      <c r="L126" s="19"/>
      <c r="M126" s="22"/>
      <c r="N126" s="19"/>
      <c r="O126" s="19"/>
      <c r="P126" s="23"/>
      <c r="Q126" s="21" t="s">
        <v>46</v>
      </c>
      <c r="R126" s="19" t="s">
        <v>47</v>
      </c>
      <c r="S126" s="21"/>
      <c r="T126" s="32"/>
      <c r="U126" s="21"/>
      <c r="V126" s="7"/>
      <c r="W126" s="7"/>
      <c r="X126" s="7"/>
      <c r="Y126" s="7"/>
    </row>
    <row r="127" spans="1:25" ht="14.25" customHeight="1" x14ac:dyDescent="0.3">
      <c r="A127" s="18">
        <v>31.2</v>
      </c>
      <c r="B127" s="19"/>
      <c r="C127" s="19"/>
      <c r="D127" s="19"/>
      <c r="E127" s="19"/>
      <c r="F127" s="19"/>
      <c r="G127" s="21"/>
      <c r="H127" s="21"/>
      <c r="I127" s="21"/>
      <c r="J127" s="21"/>
      <c r="K127" s="19"/>
      <c r="L127" s="19"/>
      <c r="M127" s="22"/>
      <c r="N127" s="19"/>
      <c r="O127" s="19"/>
      <c r="P127" s="23"/>
      <c r="Q127" s="21" t="s">
        <v>46</v>
      </c>
      <c r="R127" s="19" t="s">
        <v>47</v>
      </c>
      <c r="S127" s="21"/>
      <c r="T127" s="32"/>
      <c r="U127" s="21"/>
      <c r="V127" s="7"/>
      <c r="W127" s="7"/>
      <c r="X127" s="7"/>
      <c r="Y127" s="7"/>
    </row>
    <row r="128" spans="1:25" ht="14.25" customHeight="1" x14ac:dyDescent="0.3">
      <c r="A128" s="18">
        <v>31.3</v>
      </c>
      <c r="B128" s="19"/>
      <c r="C128" s="19"/>
      <c r="D128" s="19"/>
      <c r="E128" s="19"/>
      <c r="F128" s="19"/>
      <c r="G128" s="21"/>
      <c r="H128" s="21"/>
      <c r="I128" s="21"/>
      <c r="J128" s="21"/>
      <c r="K128" s="19"/>
      <c r="L128" s="19"/>
      <c r="M128" s="22"/>
      <c r="N128" s="19"/>
      <c r="O128" s="19"/>
      <c r="P128" s="23"/>
      <c r="Q128" s="21" t="s">
        <v>46</v>
      </c>
      <c r="R128" s="19" t="s">
        <v>47</v>
      </c>
      <c r="S128" s="21"/>
      <c r="T128" s="32"/>
      <c r="U128" s="21"/>
      <c r="V128" s="7"/>
      <c r="W128" s="7"/>
      <c r="X128" s="7"/>
      <c r="Y128" s="7"/>
    </row>
    <row r="129" spans="1:25" ht="14.25" customHeight="1" x14ac:dyDescent="0.3">
      <c r="A129" s="18">
        <v>31.4</v>
      </c>
      <c r="B129" s="19"/>
      <c r="C129" s="19"/>
      <c r="D129" s="19"/>
      <c r="E129" s="19"/>
      <c r="F129" s="19"/>
      <c r="G129" s="21"/>
      <c r="H129" s="21"/>
      <c r="I129" s="21"/>
      <c r="J129" s="21"/>
      <c r="K129" s="19"/>
      <c r="L129" s="19"/>
      <c r="M129" s="22"/>
      <c r="N129" s="19"/>
      <c r="O129" s="19"/>
      <c r="P129" s="23"/>
      <c r="Q129" s="21" t="s">
        <v>46</v>
      </c>
      <c r="R129" s="19" t="s">
        <v>47</v>
      </c>
      <c r="S129" s="21"/>
      <c r="T129" s="32"/>
      <c r="U129" s="21"/>
      <c r="V129" s="7"/>
      <c r="W129" s="7"/>
      <c r="X129" s="7"/>
      <c r="Y129" s="7"/>
    </row>
    <row r="130" spans="1:25" ht="14.25" customHeight="1" x14ac:dyDescent="0.3">
      <c r="A130" s="18">
        <v>32.1</v>
      </c>
      <c r="B130" s="19"/>
      <c r="C130" s="19"/>
      <c r="D130" s="19"/>
      <c r="E130" s="19"/>
      <c r="F130" s="19"/>
      <c r="G130" s="21"/>
      <c r="H130" s="21"/>
      <c r="I130" s="21"/>
      <c r="J130" s="21"/>
      <c r="K130" s="19"/>
      <c r="L130" s="19"/>
      <c r="M130" s="22"/>
      <c r="N130" s="19"/>
      <c r="O130" s="19"/>
      <c r="P130" s="23"/>
      <c r="Q130" s="21" t="s">
        <v>46</v>
      </c>
      <c r="R130" s="19" t="s">
        <v>47</v>
      </c>
      <c r="S130" s="21"/>
      <c r="T130" s="32"/>
      <c r="U130" s="21"/>
      <c r="V130" s="7"/>
      <c r="W130" s="7"/>
      <c r="X130" s="7"/>
      <c r="Y130" s="7"/>
    </row>
    <row r="131" spans="1:25" ht="14.25" customHeight="1" x14ac:dyDescent="0.3">
      <c r="A131" s="18">
        <v>32.200000000000003</v>
      </c>
      <c r="B131" s="19"/>
      <c r="C131" s="19"/>
      <c r="D131" s="19"/>
      <c r="E131" s="19"/>
      <c r="F131" s="19"/>
      <c r="G131" s="21"/>
      <c r="H131" s="21"/>
      <c r="I131" s="21"/>
      <c r="J131" s="21"/>
      <c r="K131" s="19"/>
      <c r="L131" s="19"/>
      <c r="M131" s="22"/>
      <c r="N131" s="19"/>
      <c r="O131" s="19"/>
      <c r="P131" s="23"/>
      <c r="Q131" s="21" t="s">
        <v>46</v>
      </c>
      <c r="R131" s="19" t="s">
        <v>47</v>
      </c>
      <c r="S131" s="21"/>
      <c r="T131" s="32"/>
      <c r="U131" s="21"/>
      <c r="V131" s="7"/>
      <c r="W131" s="7"/>
      <c r="X131" s="7"/>
      <c r="Y131" s="7"/>
    </row>
    <row r="132" spans="1:25" ht="14.25" customHeight="1" x14ac:dyDescent="0.3">
      <c r="A132" s="18">
        <v>32.299999999999997</v>
      </c>
      <c r="B132" s="19"/>
      <c r="C132" s="19"/>
      <c r="D132" s="19"/>
      <c r="E132" s="19"/>
      <c r="F132" s="19"/>
      <c r="G132" s="21"/>
      <c r="H132" s="21"/>
      <c r="I132" s="21"/>
      <c r="J132" s="21"/>
      <c r="K132" s="19"/>
      <c r="L132" s="19"/>
      <c r="M132" s="22"/>
      <c r="N132" s="19"/>
      <c r="O132" s="19"/>
      <c r="P132" s="23"/>
      <c r="Q132" s="21" t="s">
        <v>46</v>
      </c>
      <c r="R132" s="19" t="s">
        <v>47</v>
      </c>
      <c r="S132" s="21"/>
      <c r="T132" s="32"/>
      <c r="U132" s="21"/>
      <c r="V132" s="7"/>
      <c r="W132" s="7"/>
      <c r="X132" s="7"/>
      <c r="Y132" s="7"/>
    </row>
    <row r="133" spans="1:25" ht="14.25" customHeight="1" x14ac:dyDescent="0.3">
      <c r="A133" s="18">
        <v>32.4</v>
      </c>
      <c r="B133" s="19"/>
      <c r="C133" s="19"/>
      <c r="D133" s="19"/>
      <c r="E133" s="19"/>
      <c r="F133" s="19"/>
      <c r="G133" s="21"/>
      <c r="H133" s="21"/>
      <c r="I133" s="21"/>
      <c r="J133" s="21"/>
      <c r="K133" s="19"/>
      <c r="L133" s="19"/>
      <c r="M133" s="22"/>
      <c r="N133" s="19"/>
      <c r="O133" s="19"/>
      <c r="P133" s="23"/>
      <c r="Q133" s="21" t="s">
        <v>46</v>
      </c>
      <c r="R133" s="19" t="s">
        <v>47</v>
      </c>
      <c r="S133" s="21"/>
      <c r="T133" s="32"/>
      <c r="U133" s="21"/>
      <c r="V133" s="7"/>
      <c r="W133" s="7"/>
      <c r="X133" s="7"/>
      <c r="Y133" s="7"/>
    </row>
    <row r="134" spans="1:25" ht="14.25" customHeight="1" x14ac:dyDescent="0.3">
      <c r="A134" s="18">
        <v>33.1</v>
      </c>
      <c r="B134" s="19"/>
      <c r="C134" s="19"/>
      <c r="D134" s="19"/>
      <c r="E134" s="19"/>
      <c r="F134" s="19"/>
      <c r="G134" s="21"/>
      <c r="H134" s="21"/>
      <c r="I134" s="21"/>
      <c r="J134" s="21"/>
      <c r="K134" s="19"/>
      <c r="L134" s="19"/>
      <c r="M134" s="22"/>
      <c r="N134" s="19"/>
      <c r="O134" s="19"/>
      <c r="P134" s="23"/>
      <c r="Q134" s="21" t="s">
        <v>46</v>
      </c>
      <c r="R134" s="19" t="s">
        <v>47</v>
      </c>
      <c r="S134" s="21"/>
      <c r="T134" s="32"/>
      <c r="U134" s="21"/>
      <c r="V134" s="7"/>
      <c r="W134" s="7"/>
      <c r="X134" s="7"/>
      <c r="Y134" s="7"/>
    </row>
    <row r="135" spans="1:25" ht="14.25" customHeight="1" x14ac:dyDescent="0.3">
      <c r="A135" s="18">
        <v>33.200000000000003</v>
      </c>
      <c r="B135" s="19"/>
      <c r="C135" s="19"/>
      <c r="D135" s="19"/>
      <c r="E135" s="19"/>
      <c r="F135" s="19"/>
      <c r="G135" s="21"/>
      <c r="H135" s="21"/>
      <c r="I135" s="21"/>
      <c r="J135" s="21"/>
      <c r="K135" s="19"/>
      <c r="L135" s="19"/>
      <c r="M135" s="22"/>
      <c r="N135" s="19"/>
      <c r="O135" s="19"/>
      <c r="P135" s="23"/>
      <c r="Q135" s="21" t="s">
        <v>46</v>
      </c>
      <c r="R135" s="19" t="s">
        <v>47</v>
      </c>
      <c r="S135" s="21"/>
      <c r="T135" s="32"/>
      <c r="U135" s="21"/>
      <c r="V135" s="7"/>
      <c r="W135" s="7"/>
      <c r="X135" s="7"/>
      <c r="Y135" s="7"/>
    </row>
    <row r="136" spans="1:25" ht="14.25" customHeight="1" x14ac:dyDescent="0.3">
      <c r="A136" s="18">
        <v>33.299999999999997</v>
      </c>
      <c r="B136" s="19"/>
      <c r="C136" s="19"/>
      <c r="D136" s="19"/>
      <c r="E136" s="19"/>
      <c r="F136" s="19"/>
      <c r="G136" s="21"/>
      <c r="H136" s="21"/>
      <c r="I136" s="21"/>
      <c r="J136" s="21"/>
      <c r="K136" s="19"/>
      <c r="L136" s="19"/>
      <c r="M136" s="22"/>
      <c r="N136" s="19"/>
      <c r="O136" s="19"/>
      <c r="P136" s="23"/>
      <c r="Q136" s="21" t="s">
        <v>46</v>
      </c>
      <c r="R136" s="19" t="s">
        <v>47</v>
      </c>
      <c r="S136" s="21"/>
      <c r="T136" s="32"/>
      <c r="U136" s="21"/>
      <c r="V136" s="7"/>
      <c r="W136" s="7"/>
      <c r="X136" s="7"/>
      <c r="Y136" s="7"/>
    </row>
    <row r="137" spans="1:25" ht="14.25" customHeight="1" x14ac:dyDescent="0.3">
      <c r="A137" s="18">
        <v>33.4</v>
      </c>
      <c r="B137" s="19"/>
      <c r="C137" s="19"/>
      <c r="D137" s="19"/>
      <c r="E137" s="19"/>
      <c r="F137" s="19"/>
      <c r="G137" s="21"/>
      <c r="H137" s="21"/>
      <c r="I137" s="21"/>
      <c r="J137" s="21"/>
      <c r="K137" s="19"/>
      <c r="L137" s="19"/>
      <c r="M137" s="22"/>
      <c r="N137" s="19"/>
      <c r="O137" s="19"/>
      <c r="P137" s="23"/>
      <c r="Q137" s="21" t="s">
        <v>46</v>
      </c>
      <c r="R137" s="19" t="s">
        <v>47</v>
      </c>
      <c r="S137" s="21"/>
      <c r="T137" s="32"/>
      <c r="U137" s="21"/>
      <c r="V137" s="7"/>
      <c r="W137" s="7"/>
      <c r="X137" s="7"/>
      <c r="Y137" s="7"/>
    </row>
    <row r="138" spans="1:25" ht="14.25" customHeight="1" x14ac:dyDescent="0.3">
      <c r="A138" s="18">
        <v>34.1</v>
      </c>
      <c r="B138" s="19"/>
      <c r="C138" s="19"/>
      <c r="D138" s="19"/>
      <c r="E138" s="19"/>
      <c r="F138" s="19"/>
      <c r="G138" s="21"/>
      <c r="H138" s="21"/>
      <c r="I138" s="21"/>
      <c r="J138" s="21"/>
      <c r="K138" s="19"/>
      <c r="L138" s="19"/>
      <c r="M138" s="22"/>
      <c r="N138" s="19"/>
      <c r="O138" s="19"/>
      <c r="P138" s="23"/>
      <c r="Q138" s="21" t="s">
        <v>46</v>
      </c>
      <c r="R138" s="19" t="s">
        <v>47</v>
      </c>
      <c r="S138" s="21"/>
      <c r="T138" s="32"/>
      <c r="U138" s="21"/>
      <c r="V138" s="7"/>
      <c r="W138" s="7"/>
      <c r="X138" s="7"/>
      <c r="Y138" s="7"/>
    </row>
    <row r="139" spans="1:25" ht="14.25" customHeight="1" x14ac:dyDescent="0.3">
      <c r="A139" s="18">
        <v>34.200000000000003</v>
      </c>
      <c r="B139" s="19"/>
      <c r="C139" s="19"/>
      <c r="D139" s="19"/>
      <c r="E139" s="19"/>
      <c r="F139" s="19"/>
      <c r="G139" s="21"/>
      <c r="H139" s="21"/>
      <c r="I139" s="21"/>
      <c r="J139" s="21"/>
      <c r="K139" s="19"/>
      <c r="L139" s="19"/>
      <c r="M139" s="22"/>
      <c r="N139" s="19"/>
      <c r="O139" s="19"/>
      <c r="P139" s="23"/>
      <c r="Q139" s="21" t="s">
        <v>46</v>
      </c>
      <c r="R139" s="19" t="s">
        <v>47</v>
      </c>
      <c r="S139" s="21"/>
      <c r="T139" s="32"/>
      <c r="U139" s="21"/>
      <c r="V139" s="7"/>
      <c r="W139" s="7"/>
      <c r="X139" s="7"/>
      <c r="Y139" s="7"/>
    </row>
    <row r="140" spans="1:25" ht="14.25" customHeight="1" x14ac:dyDescent="0.3">
      <c r="A140" s="18">
        <v>34.299999999999997</v>
      </c>
      <c r="B140" s="19"/>
      <c r="C140" s="19"/>
      <c r="D140" s="19"/>
      <c r="E140" s="19"/>
      <c r="F140" s="19"/>
      <c r="G140" s="21"/>
      <c r="H140" s="21"/>
      <c r="I140" s="21"/>
      <c r="J140" s="21"/>
      <c r="K140" s="19"/>
      <c r="L140" s="19"/>
      <c r="M140" s="22"/>
      <c r="N140" s="19"/>
      <c r="O140" s="19"/>
      <c r="P140" s="23"/>
      <c r="Q140" s="21" t="s">
        <v>46</v>
      </c>
      <c r="R140" s="19" t="s">
        <v>47</v>
      </c>
      <c r="S140" s="21"/>
      <c r="T140" s="32"/>
      <c r="U140" s="21"/>
      <c r="V140" s="7"/>
      <c r="W140" s="7"/>
      <c r="X140" s="7"/>
      <c r="Y140" s="7"/>
    </row>
    <row r="141" spans="1:25" ht="14.25" customHeight="1" x14ac:dyDescent="0.3">
      <c r="A141" s="18">
        <v>34.4</v>
      </c>
      <c r="B141" s="19"/>
      <c r="C141" s="19"/>
      <c r="D141" s="19"/>
      <c r="E141" s="19"/>
      <c r="F141" s="19"/>
      <c r="G141" s="21"/>
      <c r="H141" s="21"/>
      <c r="I141" s="21"/>
      <c r="J141" s="21"/>
      <c r="K141" s="19"/>
      <c r="L141" s="19"/>
      <c r="M141" s="22"/>
      <c r="N141" s="19"/>
      <c r="O141" s="19"/>
      <c r="P141" s="23"/>
      <c r="Q141" s="21" t="s">
        <v>46</v>
      </c>
      <c r="R141" s="19" t="s">
        <v>47</v>
      </c>
      <c r="S141" s="21"/>
      <c r="T141" s="32"/>
      <c r="U141" s="21"/>
      <c r="V141" s="7"/>
      <c r="W141" s="7"/>
      <c r="X141" s="7"/>
      <c r="Y141" s="7"/>
    </row>
    <row r="142" spans="1:25" ht="14.25" customHeight="1" x14ac:dyDescent="0.3">
      <c r="A142" s="18">
        <v>35.1</v>
      </c>
      <c r="B142" s="19"/>
      <c r="C142" s="19"/>
      <c r="D142" s="19"/>
      <c r="E142" s="19"/>
      <c r="F142" s="19"/>
      <c r="G142" s="21"/>
      <c r="H142" s="21"/>
      <c r="I142" s="21"/>
      <c r="J142" s="21"/>
      <c r="K142" s="19"/>
      <c r="L142" s="19"/>
      <c r="M142" s="22"/>
      <c r="N142" s="19"/>
      <c r="O142" s="19"/>
      <c r="P142" s="23"/>
      <c r="Q142" s="21" t="s">
        <v>46</v>
      </c>
      <c r="R142" s="19" t="s">
        <v>47</v>
      </c>
      <c r="S142" s="21"/>
      <c r="T142" s="32"/>
      <c r="U142" s="21"/>
      <c r="V142" s="7"/>
      <c r="W142" s="7"/>
      <c r="X142" s="7"/>
      <c r="Y142" s="7"/>
    </row>
    <row r="143" spans="1:25" ht="14.25" customHeight="1" x14ac:dyDescent="0.3">
      <c r="A143" s="18">
        <v>35.200000000000003</v>
      </c>
      <c r="B143" s="19"/>
      <c r="C143" s="19"/>
      <c r="D143" s="19"/>
      <c r="E143" s="19"/>
      <c r="F143" s="19"/>
      <c r="G143" s="21"/>
      <c r="H143" s="21"/>
      <c r="I143" s="21"/>
      <c r="J143" s="21"/>
      <c r="K143" s="19"/>
      <c r="L143" s="19"/>
      <c r="M143" s="22"/>
      <c r="N143" s="19"/>
      <c r="O143" s="19"/>
      <c r="P143" s="23"/>
      <c r="Q143" s="21" t="s">
        <v>46</v>
      </c>
      <c r="R143" s="19" t="s">
        <v>47</v>
      </c>
      <c r="S143" s="21"/>
      <c r="T143" s="32"/>
      <c r="U143" s="21"/>
      <c r="V143" s="7"/>
      <c r="W143" s="7"/>
      <c r="X143" s="7"/>
      <c r="Y143" s="7"/>
    </row>
    <row r="144" spans="1:25" ht="14.25" customHeight="1" x14ac:dyDescent="0.3">
      <c r="A144" s="18">
        <v>35.299999999999997</v>
      </c>
      <c r="B144" s="19"/>
      <c r="C144" s="19"/>
      <c r="D144" s="19"/>
      <c r="E144" s="19"/>
      <c r="F144" s="19"/>
      <c r="G144" s="21"/>
      <c r="H144" s="21"/>
      <c r="I144" s="21"/>
      <c r="J144" s="21"/>
      <c r="K144" s="19"/>
      <c r="L144" s="19"/>
      <c r="M144" s="22"/>
      <c r="N144" s="19"/>
      <c r="O144" s="19"/>
      <c r="P144" s="23"/>
      <c r="Q144" s="21" t="s">
        <v>46</v>
      </c>
      <c r="R144" s="19" t="s">
        <v>47</v>
      </c>
      <c r="S144" s="21"/>
      <c r="T144" s="32"/>
      <c r="U144" s="21"/>
      <c r="V144" s="7"/>
      <c r="W144" s="7"/>
      <c r="X144" s="7"/>
      <c r="Y144" s="7"/>
    </row>
    <row r="145" spans="1:25" ht="14.25" customHeight="1" x14ac:dyDescent="0.3">
      <c r="A145" s="18">
        <v>35.4</v>
      </c>
      <c r="B145" s="19"/>
      <c r="C145" s="19"/>
      <c r="D145" s="19"/>
      <c r="E145" s="19"/>
      <c r="F145" s="19"/>
      <c r="G145" s="21"/>
      <c r="H145" s="21"/>
      <c r="I145" s="21"/>
      <c r="J145" s="21"/>
      <c r="K145" s="19"/>
      <c r="L145" s="19"/>
      <c r="M145" s="22"/>
      <c r="N145" s="19"/>
      <c r="O145" s="19"/>
      <c r="P145" s="23"/>
      <c r="Q145" s="21" t="s">
        <v>46</v>
      </c>
      <c r="R145" s="19" t="s">
        <v>47</v>
      </c>
      <c r="S145" s="21"/>
      <c r="T145" s="32"/>
      <c r="U145" s="21"/>
      <c r="V145" s="7"/>
      <c r="W145" s="7"/>
      <c r="X145" s="7"/>
      <c r="Y145" s="7"/>
    </row>
    <row r="146" spans="1:25" ht="14.25" customHeight="1" x14ac:dyDescent="0.3">
      <c r="A146" s="18">
        <v>36.1</v>
      </c>
      <c r="B146" s="19"/>
      <c r="C146" s="19"/>
      <c r="D146" s="19"/>
      <c r="E146" s="19"/>
      <c r="F146" s="19"/>
      <c r="G146" s="21"/>
      <c r="H146" s="21"/>
      <c r="I146" s="21"/>
      <c r="J146" s="21"/>
      <c r="K146" s="19"/>
      <c r="L146" s="19"/>
      <c r="M146" s="22"/>
      <c r="N146" s="19"/>
      <c r="O146" s="19"/>
      <c r="P146" s="23"/>
      <c r="Q146" s="21" t="s">
        <v>46</v>
      </c>
      <c r="R146" s="19" t="s">
        <v>47</v>
      </c>
      <c r="S146" s="21"/>
      <c r="T146" s="32"/>
      <c r="U146" s="21"/>
      <c r="V146" s="7"/>
      <c r="W146" s="7"/>
      <c r="X146" s="7"/>
      <c r="Y146" s="7"/>
    </row>
    <row r="147" spans="1:25" ht="14.25" customHeight="1" x14ac:dyDescent="0.3">
      <c r="A147" s="18">
        <v>36.200000000000003</v>
      </c>
      <c r="B147" s="19"/>
      <c r="C147" s="19"/>
      <c r="D147" s="19"/>
      <c r="E147" s="19"/>
      <c r="F147" s="19"/>
      <c r="G147" s="21"/>
      <c r="H147" s="21"/>
      <c r="I147" s="21"/>
      <c r="J147" s="21"/>
      <c r="K147" s="19"/>
      <c r="L147" s="19"/>
      <c r="M147" s="22"/>
      <c r="N147" s="19"/>
      <c r="O147" s="19"/>
      <c r="P147" s="23"/>
      <c r="Q147" s="21" t="s">
        <v>46</v>
      </c>
      <c r="R147" s="19" t="s">
        <v>47</v>
      </c>
      <c r="S147" s="21"/>
      <c r="T147" s="32"/>
      <c r="U147" s="21"/>
      <c r="V147" s="7"/>
      <c r="W147" s="7"/>
      <c r="X147" s="7"/>
      <c r="Y147" s="7"/>
    </row>
    <row r="148" spans="1:25" ht="14.25" customHeight="1" x14ac:dyDescent="0.3">
      <c r="A148" s="18">
        <v>36.299999999999997</v>
      </c>
      <c r="B148" s="19"/>
      <c r="C148" s="19"/>
      <c r="D148" s="19"/>
      <c r="E148" s="19"/>
      <c r="F148" s="19"/>
      <c r="G148" s="21"/>
      <c r="H148" s="21"/>
      <c r="I148" s="21"/>
      <c r="J148" s="21"/>
      <c r="K148" s="19"/>
      <c r="L148" s="19"/>
      <c r="M148" s="22"/>
      <c r="N148" s="19"/>
      <c r="O148" s="19"/>
      <c r="P148" s="23"/>
      <c r="Q148" s="21" t="s">
        <v>46</v>
      </c>
      <c r="R148" s="19" t="s">
        <v>47</v>
      </c>
      <c r="S148" s="21"/>
      <c r="T148" s="32"/>
      <c r="U148" s="21"/>
      <c r="V148" s="7"/>
      <c r="W148" s="7"/>
      <c r="X148" s="7"/>
      <c r="Y148" s="7"/>
    </row>
    <row r="149" spans="1:25" ht="14.25" customHeight="1" x14ac:dyDescent="0.3">
      <c r="A149" s="18">
        <v>36.4</v>
      </c>
      <c r="B149" s="19"/>
      <c r="C149" s="19"/>
      <c r="D149" s="19"/>
      <c r="E149" s="19"/>
      <c r="F149" s="19"/>
      <c r="G149" s="21"/>
      <c r="H149" s="21"/>
      <c r="I149" s="21"/>
      <c r="J149" s="21"/>
      <c r="K149" s="19"/>
      <c r="L149" s="19"/>
      <c r="M149" s="22"/>
      <c r="N149" s="19"/>
      <c r="O149" s="19"/>
      <c r="P149" s="23"/>
      <c r="Q149" s="21" t="s">
        <v>46</v>
      </c>
      <c r="R149" s="19" t="s">
        <v>47</v>
      </c>
      <c r="S149" s="21"/>
      <c r="T149" s="32"/>
      <c r="U149" s="21"/>
      <c r="V149" s="7"/>
      <c r="W149" s="7"/>
      <c r="X149" s="7"/>
      <c r="Y149" s="7"/>
    </row>
    <row r="150" spans="1:25" ht="14.25" customHeight="1" x14ac:dyDescent="0.3">
      <c r="A150" s="18">
        <v>37.1</v>
      </c>
      <c r="B150" s="19"/>
      <c r="C150" s="19"/>
      <c r="D150" s="19"/>
      <c r="E150" s="19"/>
      <c r="F150" s="19"/>
      <c r="G150" s="21"/>
      <c r="H150" s="21"/>
      <c r="I150" s="21"/>
      <c r="J150" s="21"/>
      <c r="K150" s="19"/>
      <c r="L150" s="19"/>
      <c r="M150" s="22"/>
      <c r="N150" s="19"/>
      <c r="O150" s="19"/>
      <c r="P150" s="23"/>
      <c r="Q150" s="21" t="s">
        <v>46</v>
      </c>
      <c r="R150" s="19" t="s">
        <v>47</v>
      </c>
      <c r="S150" s="21"/>
      <c r="T150" s="32"/>
      <c r="U150" s="21"/>
      <c r="V150" s="7"/>
      <c r="W150" s="7"/>
      <c r="X150" s="7"/>
      <c r="Y150" s="7"/>
    </row>
    <row r="151" spans="1:25" ht="14.25" customHeight="1" x14ac:dyDescent="0.3">
      <c r="A151" s="18">
        <v>37.200000000000003</v>
      </c>
      <c r="B151" s="19"/>
      <c r="C151" s="19"/>
      <c r="D151" s="19"/>
      <c r="E151" s="19"/>
      <c r="F151" s="19"/>
      <c r="G151" s="21"/>
      <c r="H151" s="21"/>
      <c r="I151" s="21"/>
      <c r="J151" s="21"/>
      <c r="K151" s="19"/>
      <c r="L151" s="19"/>
      <c r="M151" s="22"/>
      <c r="N151" s="19"/>
      <c r="O151" s="19"/>
      <c r="P151" s="23"/>
      <c r="Q151" s="21" t="s">
        <v>46</v>
      </c>
      <c r="R151" s="19" t="s">
        <v>47</v>
      </c>
      <c r="S151" s="21"/>
      <c r="T151" s="32"/>
      <c r="U151" s="21"/>
      <c r="V151" s="7"/>
      <c r="W151" s="7"/>
      <c r="X151" s="7"/>
      <c r="Y151" s="7"/>
    </row>
    <row r="152" spans="1:25" ht="14.25" customHeight="1" x14ac:dyDescent="0.3">
      <c r="A152" s="18">
        <v>37.299999999999997</v>
      </c>
      <c r="B152" s="19"/>
      <c r="C152" s="19"/>
      <c r="D152" s="19"/>
      <c r="E152" s="19"/>
      <c r="F152" s="19"/>
      <c r="G152" s="21"/>
      <c r="H152" s="21"/>
      <c r="I152" s="21"/>
      <c r="J152" s="21"/>
      <c r="K152" s="19"/>
      <c r="L152" s="19"/>
      <c r="M152" s="22"/>
      <c r="N152" s="19"/>
      <c r="O152" s="19"/>
      <c r="P152" s="23"/>
      <c r="Q152" s="21" t="s">
        <v>46</v>
      </c>
      <c r="R152" s="19" t="s">
        <v>47</v>
      </c>
      <c r="S152" s="21"/>
      <c r="T152" s="32"/>
      <c r="U152" s="21"/>
      <c r="V152" s="7"/>
      <c r="W152" s="7"/>
      <c r="X152" s="7"/>
      <c r="Y152" s="7"/>
    </row>
    <row r="153" spans="1:25" ht="14.25" customHeight="1" x14ac:dyDescent="0.3">
      <c r="A153" s="18">
        <v>37.4</v>
      </c>
      <c r="B153" s="19"/>
      <c r="C153" s="19"/>
      <c r="D153" s="19"/>
      <c r="E153" s="19"/>
      <c r="F153" s="19"/>
      <c r="G153" s="21"/>
      <c r="H153" s="21"/>
      <c r="I153" s="21"/>
      <c r="J153" s="21"/>
      <c r="K153" s="19"/>
      <c r="L153" s="19"/>
      <c r="M153" s="22"/>
      <c r="N153" s="19"/>
      <c r="O153" s="19"/>
      <c r="P153" s="23"/>
      <c r="Q153" s="21" t="s">
        <v>46</v>
      </c>
      <c r="R153" s="19" t="s">
        <v>47</v>
      </c>
      <c r="S153" s="21"/>
      <c r="T153" s="32"/>
      <c r="U153" s="21"/>
      <c r="V153" s="7"/>
      <c r="W153" s="7"/>
      <c r="X153" s="7"/>
      <c r="Y153" s="7"/>
    </row>
    <row r="154" spans="1:25" ht="14.25" customHeight="1" x14ac:dyDescent="0.3">
      <c r="A154" s="18">
        <v>38.1</v>
      </c>
      <c r="B154" s="19"/>
      <c r="C154" s="19"/>
      <c r="D154" s="19"/>
      <c r="E154" s="19"/>
      <c r="F154" s="19"/>
      <c r="G154" s="21"/>
      <c r="H154" s="21"/>
      <c r="I154" s="21"/>
      <c r="J154" s="21"/>
      <c r="K154" s="19"/>
      <c r="L154" s="19"/>
      <c r="M154" s="22"/>
      <c r="N154" s="19"/>
      <c r="O154" s="19"/>
      <c r="P154" s="23"/>
      <c r="Q154" s="21" t="s">
        <v>46</v>
      </c>
      <c r="R154" s="19" t="s">
        <v>47</v>
      </c>
      <c r="S154" s="21"/>
      <c r="T154" s="32"/>
      <c r="U154" s="21"/>
      <c r="V154" s="7"/>
      <c r="W154" s="7"/>
      <c r="X154" s="7"/>
      <c r="Y154" s="7"/>
    </row>
    <row r="155" spans="1:25" ht="14.25" customHeight="1" x14ac:dyDescent="0.3">
      <c r="A155" s="18">
        <v>38.200000000000003</v>
      </c>
      <c r="B155" s="19"/>
      <c r="C155" s="19"/>
      <c r="D155" s="19"/>
      <c r="E155" s="19"/>
      <c r="F155" s="19"/>
      <c r="G155" s="21"/>
      <c r="H155" s="21"/>
      <c r="I155" s="21"/>
      <c r="J155" s="21"/>
      <c r="K155" s="19"/>
      <c r="L155" s="19"/>
      <c r="M155" s="22"/>
      <c r="N155" s="19"/>
      <c r="O155" s="19"/>
      <c r="P155" s="23"/>
      <c r="Q155" s="21" t="s">
        <v>46</v>
      </c>
      <c r="R155" s="19" t="s">
        <v>47</v>
      </c>
      <c r="S155" s="21"/>
      <c r="T155" s="32"/>
      <c r="U155" s="21"/>
      <c r="V155" s="7"/>
      <c r="W155" s="7"/>
      <c r="X155" s="7"/>
      <c r="Y155" s="7"/>
    </row>
    <row r="156" spans="1:25" ht="14.25" customHeight="1" x14ac:dyDescent="0.3">
      <c r="A156" s="18">
        <v>38.299999999999997</v>
      </c>
      <c r="B156" s="19"/>
      <c r="C156" s="19"/>
      <c r="D156" s="19"/>
      <c r="E156" s="19"/>
      <c r="F156" s="19"/>
      <c r="G156" s="21"/>
      <c r="H156" s="21"/>
      <c r="I156" s="21"/>
      <c r="J156" s="21"/>
      <c r="K156" s="19"/>
      <c r="L156" s="19"/>
      <c r="M156" s="22"/>
      <c r="N156" s="19"/>
      <c r="O156" s="19"/>
      <c r="P156" s="23"/>
      <c r="Q156" s="21" t="s">
        <v>46</v>
      </c>
      <c r="R156" s="19" t="s">
        <v>47</v>
      </c>
      <c r="S156" s="21"/>
      <c r="T156" s="32"/>
      <c r="U156" s="21"/>
      <c r="V156" s="7"/>
      <c r="W156" s="7"/>
      <c r="X156" s="7"/>
      <c r="Y156" s="7"/>
    </row>
    <row r="157" spans="1:25" ht="14.25" customHeight="1" x14ac:dyDescent="0.3">
      <c r="A157" s="18">
        <v>38.4</v>
      </c>
      <c r="B157" s="19"/>
      <c r="C157" s="19"/>
      <c r="D157" s="19"/>
      <c r="E157" s="19"/>
      <c r="F157" s="19"/>
      <c r="G157" s="21"/>
      <c r="H157" s="21"/>
      <c r="I157" s="21"/>
      <c r="J157" s="21"/>
      <c r="K157" s="19"/>
      <c r="L157" s="19"/>
      <c r="M157" s="22"/>
      <c r="N157" s="19"/>
      <c r="O157" s="19"/>
      <c r="P157" s="23"/>
      <c r="Q157" s="21" t="s">
        <v>46</v>
      </c>
      <c r="R157" s="19" t="s">
        <v>47</v>
      </c>
      <c r="S157" s="21"/>
      <c r="T157" s="32"/>
      <c r="U157" s="21"/>
      <c r="V157" s="7"/>
      <c r="W157" s="7"/>
      <c r="X157" s="7"/>
      <c r="Y157" s="7"/>
    </row>
    <row r="158" spans="1:25" ht="14.25" customHeight="1" x14ac:dyDescent="0.3">
      <c r="A158" s="18">
        <v>39.1</v>
      </c>
      <c r="B158" s="19"/>
      <c r="C158" s="19"/>
      <c r="D158" s="19"/>
      <c r="E158" s="19"/>
      <c r="F158" s="19"/>
      <c r="G158" s="21"/>
      <c r="H158" s="21"/>
      <c r="I158" s="21"/>
      <c r="J158" s="21"/>
      <c r="K158" s="19"/>
      <c r="L158" s="19"/>
      <c r="M158" s="22"/>
      <c r="N158" s="19"/>
      <c r="O158" s="19"/>
      <c r="P158" s="23"/>
      <c r="Q158" s="21" t="s">
        <v>46</v>
      </c>
      <c r="R158" s="19" t="s">
        <v>47</v>
      </c>
      <c r="S158" s="21"/>
      <c r="T158" s="32"/>
      <c r="U158" s="21"/>
      <c r="V158" s="7"/>
      <c r="W158" s="7"/>
      <c r="X158" s="7"/>
      <c r="Y158" s="7"/>
    </row>
    <row r="159" spans="1:25" ht="14.25" customHeight="1" x14ac:dyDescent="0.3">
      <c r="A159" s="18">
        <v>39.200000000000003</v>
      </c>
      <c r="B159" s="19"/>
      <c r="C159" s="19"/>
      <c r="D159" s="19"/>
      <c r="E159" s="19"/>
      <c r="F159" s="19"/>
      <c r="G159" s="21"/>
      <c r="H159" s="21"/>
      <c r="I159" s="21"/>
      <c r="J159" s="21"/>
      <c r="K159" s="19"/>
      <c r="L159" s="19"/>
      <c r="M159" s="22"/>
      <c r="N159" s="19"/>
      <c r="O159" s="19"/>
      <c r="P159" s="23"/>
      <c r="Q159" s="21" t="s">
        <v>46</v>
      </c>
      <c r="R159" s="19" t="s">
        <v>47</v>
      </c>
      <c r="S159" s="21"/>
      <c r="T159" s="32"/>
      <c r="U159" s="21"/>
      <c r="V159" s="7"/>
      <c r="W159" s="7"/>
      <c r="X159" s="7"/>
      <c r="Y159" s="7"/>
    </row>
    <row r="160" spans="1:25" ht="14.25" customHeight="1" x14ac:dyDescent="0.3">
      <c r="A160" s="18">
        <v>39.299999999999997</v>
      </c>
      <c r="B160" s="19"/>
      <c r="C160" s="19"/>
      <c r="D160" s="19"/>
      <c r="E160" s="19"/>
      <c r="F160" s="19"/>
      <c r="G160" s="21"/>
      <c r="H160" s="21"/>
      <c r="I160" s="21"/>
      <c r="J160" s="21"/>
      <c r="K160" s="19"/>
      <c r="L160" s="19"/>
      <c r="M160" s="22"/>
      <c r="N160" s="19"/>
      <c r="O160" s="19"/>
      <c r="P160" s="23"/>
      <c r="Q160" s="21" t="s">
        <v>46</v>
      </c>
      <c r="R160" s="19" t="s">
        <v>47</v>
      </c>
      <c r="S160" s="21"/>
      <c r="T160" s="32"/>
      <c r="U160" s="21"/>
      <c r="V160" s="7"/>
      <c r="W160" s="7"/>
      <c r="X160" s="7"/>
      <c r="Y160" s="7"/>
    </row>
    <row r="161" spans="1:31" ht="14.25" customHeight="1" x14ac:dyDescent="0.3">
      <c r="A161" s="18">
        <v>39.4</v>
      </c>
      <c r="B161" s="19"/>
      <c r="C161" s="19"/>
      <c r="D161" s="19"/>
      <c r="E161" s="19"/>
      <c r="F161" s="19"/>
      <c r="G161" s="21"/>
      <c r="H161" s="21"/>
      <c r="I161" s="21"/>
      <c r="J161" s="21"/>
      <c r="K161" s="19"/>
      <c r="L161" s="19"/>
      <c r="M161" s="22"/>
      <c r="N161" s="19"/>
      <c r="O161" s="19"/>
      <c r="P161" s="23"/>
      <c r="Q161" s="21" t="s">
        <v>46</v>
      </c>
      <c r="R161" s="19" t="s">
        <v>47</v>
      </c>
      <c r="S161" s="21"/>
      <c r="T161" s="32"/>
      <c r="U161" s="21"/>
      <c r="V161" s="7"/>
      <c r="W161" s="7"/>
      <c r="X161" s="7"/>
      <c r="Y161" s="7"/>
    </row>
    <row r="162" spans="1:31" ht="14.25" customHeight="1" x14ac:dyDescent="0.3">
      <c r="A162" s="18">
        <v>40.1</v>
      </c>
      <c r="B162" s="19"/>
      <c r="C162" s="19"/>
      <c r="D162" s="19"/>
      <c r="E162" s="19"/>
      <c r="F162" s="19"/>
      <c r="G162" s="21"/>
      <c r="H162" s="21"/>
      <c r="I162" s="21"/>
      <c r="J162" s="21"/>
      <c r="K162" s="19"/>
      <c r="L162" s="19"/>
      <c r="M162" s="22"/>
      <c r="N162" s="19"/>
      <c r="O162" s="19"/>
      <c r="P162" s="23"/>
      <c r="Q162" s="21" t="s">
        <v>46</v>
      </c>
      <c r="R162" s="19" t="s">
        <v>47</v>
      </c>
      <c r="S162" s="21"/>
      <c r="T162" s="32"/>
      <c r="U162" s="21"/>
      <c r="V162" s="7"/>
      <c r="W162" s="7"/>
      <c r="X162" s="7"/>
      <c r="Y162" s="7"/>
    </row>
    <row r="163" spans="1:31" ht="14.25" customHeight="1" x14ac:dyDescent="0.3">
      <c r="A163" s="18">
        <v>40.200000000000003</v>
      </c>
      <c r="B163" s="19"/>
      <c r="C163" s="19"/>
      <c r="D163" s="19"/>
      <c r="E163" s="19"/>
      <c r="F163" s="19"/>
      <c r="G163" s="21"/>
      <c r="H163" s="21"/>
      <c r="I163" s="21"/>
      <c r="J163" s="21"/>
      <c r="K163" s="19"/>
      <c r="L163" s="19"/>
      <c r="M163" s="22"/>
      <c r="N163" s="19"/>
      <c r="O163" s="19"/>
      <c r="P163" s="23"/>
      <c r="Q163" s="21" t="s">
        <v>46</v>
      </c>
      <c r="R163" s="19" t="s">
        <v>47</v>
      </c>
      <c r="S163" s="21"/>
      <c r="T163" s="32"/>
      <c r="U163" s="21"/>
      <c r="V163" s="7"/>
      <c r="W163" s="7"/>
      <c r="X163" s="7"/>
      <c r="Y163" s="7"/>
    </row>
    <row r="164" spans="1:31" ht="14.25" customHeight="1" x14ac:dyDescent="0.3">
      <c r="A164" s="18">
        <v>40.299999999999997</v>
      </c>
      <c r="B164" s="19"/>
      <c r="C164" s="19"/>
      <c r="D164" s="19"/>
      <c r="E164" s="19"/>
      <c r="F164" s="19"/>
      <c r="G164" s="21"/>
      <c r="H164" s="21"/>
      <c r="I164" s="21"/>
      <c r="J164" s="21"/>
      <c r="K164" s="19"/>
      <c r="L164" s="19"/>
      <c r="M164" s="22"/>
      <c r="N164" s="19"/>
      <c r="O164" s="19"/>
      <c r="P164" s="23"/>
      <c r="Q164" s="21" t="s">
        <v>46</v>
      </c>
      <c r="R164" s="19" t="s">
        <v>47</v>
      </c>
      <c r="S164" s="21"/>
      <c r="T164" s="32"/>
      <c r="U164" s="21"/>
      <c r="V164" s="7"/>
      <c r="W164" s="7"/>
      <c r="X164" s="7"/>
      <c r="Y164" s="7"/>
    </row>
    <row r="165" spans="1:31" ht="14.25" customHeight="1" x14ac:dyDescent="0.3">
      <c r="A165" s="18">
        <v>40.4</v>
      </c>
      <c r="B165" s="19"/>
      <c r="C165" s="19"/>
      <c r="D165" s="19"/>
      <c r="E165" s="19"/>
      <c r="F165" s="19"/>
      <c r="G165" s="21"/>
      <c r="H165" s="21"/>
      <c r="I165" s="21"/>
      <c r="J165" s="21"/>
      <c r="K165" s="19"/>
      <c r="L165" s="19"/>
      <c r="M165" s="22"/>
      <c r="N165" s="19"/>
      <c r="O165" s="19"/>
      <c r="P165" s="23"/>
      <c r="Q165" s="21" t="s">
        <v>46</v>
      </c>
      <c r="R165" s="19" t="s">
        <v>47</v>
      </c>
      <c r="S165" s="21"/>
      <c r="T165" s="32"/>
      <c r="U165" s="21"/>
      <c r="V165" s="7"/>
      <c r="W165" s="7"/>
      <c r="X165" s="7"/>
      <c r="Y165" s="7"/>
    </row>
    <row r="166" spans="1:31" ht="14.25" customHeight="1" x14ac:dyDescent="0.3">
      <c r="A166" s="18">
        <v>41.1</v>
      </c>
      <c r="B166" s="19"/>
      <c r="C166" s="19"/>
      <c r="D166" s="19"/>
      <c r="E166" s="19"/>
      <c r="F166" s="19"/>
      <c r="G166" s="21"/>
      <c r="H166" s="21"/>
      <c r="I166" s="21"/>
      <c r="J166" s="21"/>
      <c r="K166" s="19"/>
      <c r="L166" s="19"/>
      <c r="M166" s="22"/>
      <c r="N166" s="19"/>
      <c r="O166" s="19"/>
      <c r="P166" s="23"/>
      <c r="Q166" s="21" t="s">
        <v>46</v>
      </c>
      <c r="R166" s="19" t="s">
        <v>47</v>
      </c>
      <c r="S166" s="21"/>
      <c r="T166" s="32"/>
      <c r="U166" s="21"/>
      <c r="V166" s="7"/>
      <c r="W166" s="7"/>
      <c r="X166" s="7"/>
      <c r="Y166" s="7"/>
    </row>
    <row r="167" spans="1:31" ht="14.25" customHeight="1" x14ac:dyDescent="0.3">
      <c r="A167" s="18">
        <v>41.2</v>
      </c>
      <c r="B167" s="19"/>
      <c r="C167" s="19"/>
      <c r="D167" s="19"/>
      <c r="E167" s="19"/>
      <c r="F167" s="19"/>
      <c r="G167" s="21"/>
      <c r="H167" s="21"/>
      <c r="I167" s="21"/>
      <c r="J167" s="21"/>
      <c r="K167" s="19"/>
      <c r="L167" s="19"/>
      <c r="M167" s="22"/>
      <c r="N167" s="19"/>
      <c r="O167" s="19"/>
      <c r="P167" s="23"/>
      <c r="Q167" s="21" t="s">
        <v>46</v>
      </c>
      <c r="R167" s="19" t="s">
        <v>47</v>
      </c>
      <c r="S167" s="21"/>
      <c r="T167" s="32"/>
      <c r="U167" s="21"/>
      <c r="V167" s="7"/>
      <c r="W167" s="7"/>
      <c r="X167" s="7"/>
      <c r="Y167" s="7"/>
      <c r="AE167" s="28"/>
    </row>
    <row r="168" spans="1:31" ht="14.25" customHeight="1" x14ac:dyDescent="0.3">
      <c r="A168" s="18">
        <v>41.3</v>
      </c>
      <c r="B168" s="19"/>
      <c r="C168" s="19"/>
      <c r="D168" s="19"/>
      <c r="E168" s="19"/>
      <c r="F168" s="19"/>
      <c r="G168" s="21"/>
      <c r="H168" s="21"/>
      <c r="I168" s="21"/>
      <c r="J168" s="21"/>
      <c r="K168" s="19"/>
      <c r="L168" s="19"/>
      <c r="M168" s="22"/>
      <c r="N168" s="19"/>
      <c r="O168" s="19"/>
      <c r="P168" s="23"/>
      <c r="Q168" s="21" t="s">
        <v>46</v>
      </c>
      <c r="R168" s="19" t="s">
        <v>47</v>
      </c>
      <c r="S168" s="21"/>
      <c r="T168" s="32"/>
      <c r="U168" s="21"/>
      <c r="V168" s="7"/>
      <c r="W168" s="7"/>
      <c r="X168" s="7"/>
      <c r="Y168" s="7"/>
    </row>
    <row r="169" spans="1:31" ht="14.25" customHeight="1" x14ac:dyDescent="0.3">
      <c r="A169" s="18">
        <v>41.4</v>
      </c>
      <c r="B169" s="19"/>
      <c r="C169" s="19"/>
      <c r="D169" s="19"/>
      <c r="E169" s="19"/>
      <c r="F169" s="19"/>
      <c r="G169" s="21"/>
      <c r="H169" s="21"/>
      <c r="I169" s="21"/>
      <c r="J169" s="21"/>
      <c r="K169" s="19"/>
      <c r="L169" s="19"/>
      <c r="M169" s="22"/>
      <c r="N169" s="19"/>
      <c r="O169" s="19"/>
      <c r="P169" s="23"/>
      <c r="Q169" s="21" t="s">
        <v>46</v>
      </c>
      <c r="R169" s="19" t="s">
        <v>47</v>
      </c>
      <c r="S169" s="21"/>
      <c r="T169" s="32"/>
      <c r="U169" s="21"/>
      <c r="V169" s="7"/>
      <c r="W169" s="7"/>
      <c r="X169" s="7"/>
      <c r="Y169" s="7"/>
    </row>
    <row r="170" spans="1:31" ht="14.25" customHeight="1" x14ac:dyDescent="0.3">
      <c r="A170" s="18">
        <v>42.1</v>
      </c>
      <c r="B170" s="19"/>
      <c r="C170" s="19"/>
      <c r="D170" s="19"/>
      <c r="E170" s="19"/>
      <c r="F170" s="19"/>
      <c r="G170" s="21"/>
      <c r="H170" s="21"/>
      <c r="I170" s="21"/>
      <c r="J170" s="21"/>
      <c r="K170" s="19"/>
      <c r="L170" s="19"/>
      <c r="M170" s="22"/>
      <c r="N170" s="19"/>
      <c r="O170" s="19"/>
      <c r="P170" s="23"/>
      <c r="Q170" s="21" t="s">
        <v>46</v>
      </c>
      <c r="R170" s="19" t="s">
        <v>47</v>
      </c>
      <c r="S170" s="21"/>
      <c r="T170" s="32"/>
      <c r="U170" s="21"/>
      <c r="V170" s="7"/>
      <c r="W170" s="7"/>
      <c r="X170" s="7"/>
      <c r="Y170" s="7"/>
    </row>
    <row r="171" spans="1:31" ht="14.25" customHeight="1" x14ac:dyDescent="0.3">
      <c r="A171" s="18">
        <v>42.2</v>
      </c>
      <c r="B171" s="19"/>
      <c r="C171" s="19"/>
      <c r="D171" s="19"/>
      <c r="E171" s="19"/>
      <c r="F171" s="19"/>
      <c r="G171" s="21"/>
      <c r="H171" s="21"/>
      <c r="I171" s="21"/>
      <c r="J171" s="21"/>
      <c r="K171" s="19"/>
      <c r="L171" s="19"/>
      <c r="M171" s="22"/>
      <c r="N171" s="19"/>
      <c r="O171" s="19"/>
      <c r="P171" s="23"/>
      <c r="Q171" s="21" t="s">
        <v>46</v>
      </c>
      <c r="R171" s="19" t="s">
        <v>47</v>
      </c>
      <c r="S171" s="21"/>
      <c r="T171" s="32"/>
      <c r="U171" s="21"/>
      <c r="V171" s="7"/>
      <c r="W171" s="7"/>
      <c r="X171" s="7"/>
      <c r="Y171" s="7"/>
    </row>
    <row r="172" spans="1:31" ht="14.25" customHeight="1" x14ac:dyDescent="0.3">
      <c r="A172" s="18">
        <v>42.3</v>
      </c>
      <c r="B172" s="19"/>
      <c r="C172" s="19"/>
      <c r="D172" s="19"/>
      <c r="E172" s="19"/>
      <c r="F172" s="19"/>
      <c r="G172" s="21"/>
      <c r="H172" s="21"/>
      <c r="I172" s="21"/>
      <c r="J172" s="21"/>
      <c r="K172" s="19"/>
      <c r="L172" s="19"/>
      <c r="M172" s="22"/>
      <c r="N172" s="19"/>
      <c r="O172" s="19"/>
      <c r="P172" s="23"/>
      <c r="Q172" s="21" t="s">
        <v>46</v>
      </c>
      <c r="R172" s="19" t="s">
        <v>47</v>
      </c>
      <c r="S172" s="21"/>
      <c r="T172" s="32"/>
      <c r="U172" s="21"/>
      <c r="V172" s="7"/>
      <c r="W172" s="7"/>
      <c r="X172" s="7"/>
      <c r="Y172" s="7"/>
    </row>
    <row r="173" spans="1:31" ht="14.25" customHeight="1" x14ac:dyDescent="0.3">
      <c r="A173" s="18">
        <v>42.4</v>
      </c>
      <c r="B173" s="19"/>
      <c r="C173" s="19"/>
      <c r="D173" s="19"/>
      <c r="E173" s="19"/>
      <c r="F173" s="19"/>
      <c r="G173" s="21"/>
      <c r="H173" s="21"/>
      <c r="I173" s="21"/>
      <c r="J173" s="21"/>
      <c r="K173" s="19"/>
      <c r="L173" s="19"/>
      <c r="M173" s="22"/>
      <c r="N173" s="19"/>
      <c r="O173" s="19"/>
      <c r="P173" s="23"/>
      <c r="Q173" s="21" t="s">
        <v>46</v>
      </c>
      <c r="R173" s="19" t="s">
        <v>47</v>
      </c>
      <c r="S173" s="21"/>
      <c r="T173" s="32"/>
      <c r="U173" s="21"/>
      <c r="V173" s="7"/>
      <c r="W173" s="7"/>
      <c r="X173" s="7"/>
      <c r="Y173" s="7"/>
    </row>
    <row r="174" spans="1:31" ht="14.25" customHeight="1" x14ac:dyDescent="0.3">
      <c r="A174" s="18">
        <v>43.1</v>
      </c>
      <c r="B174" s="19"/>
      <c r="C174" s="19"/>
      <c r="D174" s="19"/>
      <c r="E174" s="19"/>
      <c r="F174" s="19"/>
      <c r="G174" s="21"/>
      <c r="H174" s="21"/>
      <c r="I174" s="21"/>
      <c r="J174" s="21"/>
      <c r="K174" s="19"/>
      <c r="L174" s="19"/>
      <c r="M174" s="22"/>
      <c r="N174" s="19"/>
      <c r="O174" s="19"/>
      <c r="P174" s="23"/>
      <c r="Q174" s="21" t="s">
        <v>46</v>
      </c>
      <c r="R174" s="19" t="s">
        <v>47</v>
      </c>
      <c r="S174" s="21"/>
      <c r="T174" s="32"/>
      <c r="U174" s="21"/>
      <c r="V174" s="7"/>
      <c r="W174" s="7"/>
      <c r="X174" s="7"/>
      <c r="Y174" s="7"/>
    </row>
    <row r="175" spans="1:31" ht="14.25" customHeight="1" x14ac:dyDescent="0.3">
      <c r="A175" s="18">
        <v>43.2</v>
      </c>
      <c r="B175" s="19"/>
      <c r="C175" s="19"/>
      <c r="D175" s="19"/>
      <c r="E175" s="19"/>
      <c r="F175" s="19"/>
      <c r="G175" s="21"/>
      <c r="H175" s="21"/>
      <c r="I175" s="21"/>
      <c r="J175" s="21"/>
      <c r="K175" s="19"/>
      <c r="L175" s="19"/>
      <c r="M175" s="22"/>
      <c r="N175" s="19"/>
      <c r="O175" s="19"/>
      <c r="P175" s="23"/>
      <c r="Q175" s="21" t="s">
        <v>46</v>
      </c>
      <c r="R175" s="19" t="s">
        <v>47</v>
      </c>
      <c r="S175" s="21"/>
      <c r="T175" s="32"/>
      <c r="U175" s="21"/>
      <c r="V175" s="7"/>
      <c r="W175" s="7"/>
      <c r="X175" s="7"/>
      <c r="Y175" s="7"/>
    </row>
    <row r="176" spans="1:31" ht="14.25" customHeight="1" x14ac:dyDescent="0.3">
      <c r="A176" s="18">
        <v>43.3</v>
      </c>
      <c r="B176" s="19"/>
      <c r="C176" s="19"/>
      <c r="D176" s="19"/>
      <c r="E176" s="19"/>
      <c r="F176" s="19"/>
      <c r="G176" s="21"/>
      <c r="H176" s="21"/>
      <c r="I176" s="21"/>
      <c r="J176" s="21"/>
      <c r="K176" s="19"/>
      <c r="L176" s="19"/>
      <c r="M176" s="22"/>
      <c r="N176" s="19"/>
      <c r="O176" s="19"/>
      <c r="P176" s="23"/>
      <c r="Q176" s="21" t="s">
        <v>46</v>
      </c>
      <c r="R176" s="19" t="s">
        <v>47</v>
      </c>
      <c r="S176" s="21"/>
      <c r="T176" s="32"/>
      <c r="U176" s="21"/>
      <c r="V176" s="7"/>
      <c r="W176" s="7"/>
      <c r="X176" s="7"/>
      <c r="Y176" s="7"/>
    </row>
    <row r="177" spans="1:25" ht="14.25" customHeight="1" x14ac:dyDescent="0.3">
      <c r="A177" s="18">
        <v>43.4</v>
      </c>
      <c r="B177" s="19"/>
      <c r="C177" s="19"/>
      <c r="D177" s="19"/>
      <c r="E177" s="19"/>
      <c r="F177" s="19"/>
      <c r="G177" s="21"/>
      <c r="H177" s="21"/>
      <c r="I177" s="21"/>
      <c r="J177" s="21"/>
      <c r="K177" s="19"/>
      <c r="L177" s="19"/>
      <c r="M177" s="22"/>
      <c r="N177" s="19"/>
      <c r="O177" s="19"/>
      <c r="P177" s="23"/>
      <c r="Q177" s="21" t="s">
        <v>46</v>
      </c>
      <c r="R177" s="19" t="s">
        <v>47</v>
      </c>
      <c r="S177" s="21"/>
      <c r="T177" s="32"/>
      <c r="U177" s="21"/>
      <c r="V177" s="7"/>
      <c r="W177" s="7"/>
      <c r="X177" s="7"/>
      <c r="Y177" s="7"/>
    </row>
    <row r="178" spans="1:25" ht="14.25" customHeight="1" x14ac:dyDescent="0.3">
      <c r="A178" s="18">
        <v>44.1</v>
      </c>
      <c r="B178" s="19"/>
      <c r="C178" s="19"/>
      <c r="D178" s="19"/>
      <c r="E178" s="19"/>
      <c r="F178" s="19"/>
      <c r="G178" s="21"/>
      <c r="H178" s="21"/>
      <c r="I178" s="21"/>
      <c r="J178" s="21"/>
      <c r="K178" s="19"/>
      <c r="L178" s="19"/>
      <c r="M178" s="22"/>
      <c r="N178" s="19"/>
      <c r="O178" s="19"/>
      <c r="P178" s="23"/>
      <c r="Q178" s="21" t="s">
        <v>46</v>
      </c>
      <c r="R178" s="19" t="s">
        <v>47</v>
      </c>
      <c r="S178" s="21"/>
      <c r="T178" s="32"/>
      <c r="U178" s="21"/>
      <c r="V178" s="7"/>
      <c r="W178" s="7"/>
      <c r="X178" s="7"/>
      <c r="Y178" s="7"/>
    </row>
    <row r="179" spans="1:25" ht="14.25" customHeight="1" x14ac:dyDescent="0.3">
      <c r="A179" s="18">
        <v>44.2</v>
      </c>
      <c r="B179" s="19"/>
      <c r="C179" s="19"/>
      <c r="D179" s="19"/>
      <c r="E179" s="19"/>
      <c r="F179" s="19"/>
      <c r="G179" s="21"/>
      <c r="H179" s="21"/>
      <c r="I179" s="21"/>
      <c r="J179" s="21"/>
      <c r="K179" s="19"/>
      <c r="L179" s="19"/>
      <c r="M179" s="22"/>
      <c r="N179" s="19"/>
      <c r="O179" s="19"/>
      <c r="P179" s="23"/>
      <c r="Q179" s="21" t="s">
        <v>46</v>
      </c>
      <c r="R179" s="19" t="s">
        <v>47</v>
      </c>
      <c r="S179" s="21"/>
      <c r="T179" s="32"/>
      <c r="U179" s="21"/>
      <c r="V179" s="7"/>
      <c r="W179" s="7"/>
      <c r="X179" s="7"/>
      <c r="Y179" s="7"/>
    </row>
    <row r="180" spans="1:25" ht="14.25" customHeight="1" x14ac:dyDescent="0.3">
      <c r="A180" s="18">
        <v>44.3</v>
      </c>
      <c r="B180" s="19"/>
      <c r="C180" s="19"/>
      <c r="D180" s="19"/>
      <c r="E180" s="19"/>
      <c r="F180" s="19"/>
      <c r="G180" s="21"/>
      <c r="H180" s="21"/>
      <c r="I180" s="21"/>
      <c r="J180" s="21"/>
      <c r="K180" s="19"/>
      <c r="L180" s="19"/>
      <c r="M180" s="22"/>
      <c r="N180" s="19"/>
      <c r="O180" s="19"/>
      <c r="P180" s="23"/>
      <c r="Q180" s="21" t="s">
        <v>46</v>
      </c>
      <c r="R180" s="19" t="s">
        <v>47</v>
      </c>
      <c r="S180" s="21"/>
      <c r="T180" s="32"/>
      <c r="U180" s="21"/>
      <c r="V180" s="7"/>
      <c r="W180" s="7"/>
      <c r="X180" s="7"/>
      <c r="Y180" s="7"/>
    </row>
    <row r="181" spans="1:25" ht="14.25" customHeight="1" x14ac:dyDescent="0.3">
      <c r="A181" s="18">
        <v>44.4</v>
      </c>
      <c r="B181" s="19"/>
      <c r="C181" s="19"/>
      <c r="D181" s="19"/>
      <c r="E181" s="19"/>
      <c r="F181" s="19"/>
      <c r="G181" s="21"/>
      <c r="H181" s="21"/>
      <c r="I181" s="21"/>
      <c r="J181" s="21"/>
      <c r="K181" s="19"/>
      <c r="L181" s="19"/>
      <c r="M181" s="22"/>
      <c r="N181" s="19"/>
      <c r="O181" s="19"/>
      <c r="P181" s="23"/>
      <c r="Q181" s="21" t="s">
        <v>46</v>
      </c>
      <c r="R181" s="19" t="s">
        <v>47</v>
      </c>
      <c r="S181" s="21"/>
      <c r="T181" s="32"/>
      <c r="U181" s="21"/>
      <c r="V181" s="7"/>
      <c r="W181" s="7"/>
      <c r="X181" s="7"/>
      <c r="Y181" s="7"/>
    </row>
    <row r="182" spans="1:25" ht="14.25" customHeight="1" x14ac:dyDescent="0.3">
      <c r="A182" s="18">
        <v>45.1</v>
      </c>
      <c r="B182" s="19"/>
      <c r="C182" s="19"/>
      <c r="D182" s="19"/>
      <c r="E182" s="19"/>
      <c r="F182" s="19"/>
      <c r="G182" s="21"/>
      <c r="H182" s="21"/>
      <c r="I182" s="21"/>
      <c r="J182" s="21"/>
      <c r="K182" s="19"/>
      <c r="L182" s="19"/>
      <c r="M182" s="22"/>
      <c r="N182" s="19"/>
      <c r="O182" s="19"/>
      <c r="P182" s="23"/>
      <c r="Q182" s="21" t="s">
        <v>46</v>
      </c>
      <c r="R182" s="19" t="s">
        <v>47</v>
      </c>
      <c r="S182" s="21"/>
      <c r="T182" s="32"/>
      <c r="U182" s="21"/>
      <c r="V182" s="7"/>
      <c r="W182" s="7"/>
      <c r="X182" s="7"/>
      <c r="Y182" s="7"/>
    </row>
    <row r="183" spans="1:25" ht="14.25" customHeight="1" x14ac:dyDescent="0.3">
      <c r="A183" s="18">
        <v>45.2</v>
      </c>
      <c r="B183" s="19"/>
      <c r="C183" s="19"/>
      <c r="D183" s="19"/>
      <c r="E183" s="19"/>
      <c r="F183" s="19"/>
      <c r="G183" s="21"/>
      <c r="H183" s="21"/>
      <c r="I183" s="21"/>
      <c r="J183" s="21"/>
      <c r="K183" s="19"/>
      <c r="L183" s="19"/>
      <c r="M183" s="22"/>
      <c r="N183" s="19"/>
      <c r="O183" s="19"/>
      <c r="P183" s="23"/>
      <c r="Q183" s="21" t="s">
        <v>46</v>
      </c>
      <c r="R183" s="19" t="s">
        <v>47</v>
      </c>
      <c r="S183" s="21"/>
      <c r="T183" s="32"/>
      <c r="U183" s="21"/>
      <c r="V183" s="7"/>
      <c r="W183" s="7"/>
      <c r="X183" s="7"/>
      <c r="Y183" s="7"/>
    </row>
    <row r="184" spans="1:25" ht="14.25" customHeight="1" x14ac:dyDescent="0.3">
      <c r="A184" s="18">
        <v>45.3</v>
      </c>
      <c r="B184" s="19"/>
      <c r="C184" s="19"/>
      <c r="D184" s="19"/>
      <c r="E184" s="19"/>
      <c r="F184" s="19"/>
      <c r="G184" s="21"/>
      <c r="H184" s="21"/>
      <c r="I184" s="21"/>
      <c r="J184" s="21"/>
      <c r="K184" s="19"/>
      <c r="L184" s="19"/>
      <c r="M184" s="22"/>
      <c r="N184" s="19"/>
      <c r="O184" s="19"/>
      <c r="P184" s="23"/>
      <c r="Q184" s="21" t="s">
        <v>46</v>
      </c>
      <c r="R184" s="19" t="s">
        <v>47</v>
      </c>
      <c r="S184" s="21"/>
      <c r="T184" s="32"/>
      <c r="U184" s="21"/>
      <c r="V184" s="7"/>
      <c r="W184" s="7"/>
      <c r="X184" s="7"/>
      <c r="Y184" s="7"/>
    </row>
    <row r="185" spans="1:25" ht="14.25" customHeight="1" x14ac:dyDescent="0.3">
      <c r="A185" s="18">
        <v>45.4</v>
      </c>
      <c r="B185" s="19"/>
      <c r="C185" s="19"/>
      <c r="D185" s="19"/>
      <c r="E185" s="19"/>
      <c r="F185" s="19"/>
      <c r="G185" s="21"/>
      <c r="H185" s="21"/>
      <c r="I185" s="21"/>
      <c r="J185" s="21"/>
      <c r="K185" s="19"/>
      <c r="L185" s="19"/>
      <c r="M185" s="22"/>
      <c r="N185" s="19"/>
      <c r="O185" s="19"/>
      <c r="P185" s="23"/>
      <c r="Q185" s="21" t="s">
        <v>46</v>
      </c>
      <c r="R185" s="19" t="s">
        <v>47</v>
      </c>
      <c r="S185" s="21"/>
      <c r="T185" s="32"/>
      <c r="U185" s="21"/>
      <c r="V185" s="7"/>
      <c r="W185" s="7"/>
      <c r="X185" s="7"/>
      <c r="Y185" s="7"/>
    </row>
    <row r="186" spans="1:25" ht="14.25" customHeight="1" x14ac:dyDescent="0.3">
      <c r="A186" s="18">
        <v>46.1</v>
      </c>
      <c r="B186" s="19"/>
      <c r="C186" s="19"/>
      <c r="D186" s="19"/>
      <c r="E186" s="19"/>
      <c r="F186" s="19"/>
      <c r="G186" s="21"/>
      <c r="H186" s="21"/>
      <c r="I186" s="21"/>
      <c r="J186" s="21"/>
      <c r="K186" s="19"/>
      <c r="L186" s="19"/>
      <c r="M186" s="22"/>
      <c r="N186" s="19"/>
      <c r="O186" s="19"/>
      <c r="P186" s="23"/>
      <c r="Q186" s="21" t="s">
        <v>46</v>
      </c>
      <c r="R186" s="19" t="s">
        <v>47</v>
      </c>
      <c r="S186" s="21"/>
      <c r="T186" s="32"/>
      <c r="U186" s="21"/>
      <c r="V186" s="7"/>
      <c r="W186" s="7"/>
      <c r="X186" s="7"/>
      <c r="Y186" s="7"/>
    </row>
    <row r="187" spans="1:25" ht="14.25" customHeight="1" x14ac:dyDescent="0.3">
      <c r="A187" s="18">
        <v>46.2</v>
      </c>
      <c r="B187" s="19"/>
      <c r="C187" s="19"/>
      <c r="D187" s="19"/>
      <c r="E187" s="19"/>
      <c r="F187" s="19"/>
      <c r="G187" s="21"/>
      <c r="H187" s="21"/>
      <c r="I187" s="21"/>
      <c r="J187" s="21"/>
      <c r="K187" s="19"/>
      <c r="L187" s="19"/>
      <c r="M187" s="22"/>
      <c r="N187" s="19"/>
      <c r="O187" s="19"/>
      <c r="P187" s="23"/>
      <c r="Q187" s="21" t="s">
        <v>46</v>
      </c>
      <c r="R187" s="19" t="s">
        <v>47</v>
      </c>
      <c r="S187" s="21"/>
      <c r="T187" s="32"/>
      <c r="U187" s="21"/>
      <c r="V187" s="7"/>
      <c r="W187" s="7"/>
      <c r="X187" s="7"/>
      <c r="Y187" s="7"/>
    </row>
    <row r="188" spans="1:25" ht="14.25" customHeight="1" x14ac:dyDescent="0.3">
      <c r="A188" s="18">
        <v>46.3</v>
      </c>
      <c r="B188" s="19"/>
      <c r="C188" s="19"/>
      <c r="D188" s="19"/>
      <c r="E188" s="19"/>
      <c r="F188" s="19"/>
      <c r="G188" s="21"/>
      <c r="H188" s="21"/>
      <c r="I188" s="21"/>
      <c r="J188" s="21"/>
      <c r="K188" s="19"/>
      <c r="L188" s="19"/>
      <c r="M188" s="22"/>
      <c r="N188" s="19"/>
      <c r="O188" s="19"/>
      <c r="P188" s="23"/>
      <c r="Q188" s="21" t="s">
        <v>46</v>
      </c>
      <c r="R188" s="19" t="s">
        <v>47</v>
      </c>
      <c r="S188" s="21"/>
      <c r="T188" s="32"/>
      <c r="U188" s="21"/>
      <c r="V188" s="7"/>
      <c r="W188" s="7"/>
      <c r="X188" s="7"/>
      <c r="Y188" s="7"/>
    </row>
    <row r="189" spans="1:25" ht="14.25" customHeight="1" x14ac:dyDescent="0.3">
      <c r="A189" s="18">
        <v>46.4</v>
      </c>
      <c r="B189" s="19"/>
      <c r="C189" s="19"/>
      <c r="D189" s="19"/>
      <c r="E189" s="19"/>
      <c r="F189" s="19"/>
      <c r="G189" s="21"/>
      <c r="H189" s="21"/>
      <c r="I189" s="21"/>
      <c r="J189" s="21"/>
      <c r="K189" s="19"/>
      <c r="L189" s="19"/>
      <c r="M189" s="22"/>
      <c r="N189" s="19"/>
      <c r="O189" s="19"/>
      <c r="P189" s="23"/>
      <c r="Q189" s="21" t="s">
        <v>46</v>
      </c>
      <c r="R189" s="19" t="s">
        <v>47</v>
      </c>
      <c r="S189" s="21"/>
      <c r="T189" s="32"/>
      <c r="U189" s="21"/>
      <c r="V189" s="7"/>
      <c r="W189" s="7"/>
      <c r="X189" s="7"/>
      <c r="Y189" s="7"/>
    </row>
    <row r="190" spans="1:25" ht="14.25" customHeight="1" x14ac:dyDescent="0.3">
      <c r="A190" s="18">
        <v>47.1</v>
      </c>
      <c r="B190" s="19"/>
      <c r="C190" s="19"/>
      <c r="D190" s="19"/>
      <c r="E190" s="19"/>
      <c r="F190" s="19"/>
      <c r="G190" s="21"/>
      <c r="H190" s="21"/>
      <c r="I190" s="21"/>
      <c r="J190" s="21"/>
      <c r="K190" s="19"/>
      <c r="L190" s="19"/>
      <c r="M190" s="22"/>
      <c r="N190" s="19"/>
      <c r="O190" s="19"/>
      <c r="P190" s="23"/>
      <c r="Q190" s="21" t="s">
        <v>46</v>
      </c>
      <c r="R190" s="19" t="s">
        <v>47</v>
      </c>
      <c r="S190" s="21"/>
      <c r="T190" s="32"/>
      <c r="U190" s="21"/>
      <c r="V190" s="7"/>
      <c r="W190" s="7"/>
      <c r="X190" s="7"/>
      <c r="Y190" s="7"/>
    </row>
    <row r="191" spans="1:25" ht="14.25" customHeight="1" x14ac:dyDescent="0.3">
      <c r="A191" s="18">
        <v>47.2</v>
      </c>
      <c r="B191" s="19"/>
      <c r="C191" s="19"/>
      <c r="D191" s="19"/>
      <c r="E191" s="19"/>
      <c r="F191" s="19"/>
      <c r="G191" s="21"/>
      <c r="H191" s="21"/>
      <c r="I191" s="21"/>
      <c r="J191" s="21"/>
      <c r="K191" s="19"/>
      <c r="L191" s="19"/>
      <c r="M191" s="22"/>
      <c r="N191" s="19"/>
      <c r="O191" s="19"/>
      <c r="P191" s="23"/>
      <c r="Q191" s="21" t="s">
        <v>46</v>
      </c>
      <c r="R191" s="19" t="s">
        <v>47</v>
      </c>
      <c r="S191" s="21"/>
      <c r="T191" s="32"/>
      <c r="U191" s="21"/>
      <c r="V191" s="7"/>
      <c r="W191" s="7"/>
      <c r="X191" s="7"/>
      <c r="Y191" s="7"/>
    </row>
    <row r="192" spans="1:25" ht="14.25" customHeight="1" x14ac:dyDescent="0.3">
      <c r="A192" s="18">
        <v>47.3</v>
      </c>
      <c r="B192" s="19"/>
      <c r="C192" s="19"/>
      <c r="D192" s="19"/>
      <c r="E192" s="19"/>
      <c r="F192" s="19"/>
      <c r="G192" s="21"/>
      <c r="H192" s="21"/>
      <c r="I192" s="21"/>
      <c r="J192" s="21"/>
      <c r="K192" s="19"/>
      <c r="L192" s="19"/>
      <c r="M192" s="22"/>
      <c r="N192" s="19"/>
      <c r="O192" s="19"/>
      <c r="P192" s="23"/>
      <c r="Q192" s="21" t="s">
        <v>46</v>
      </c>
      <c r="R192" s="19" t="s">
        <v>47</v>
      </c>
      <c r="S192" s="21"/>
      <c r="T192" s="32"/>
      <c r="U192" s="21"/>
      <c r="V192" s="7"/>
      <c r="W192" s="7"/>
      <c r="X192" s="7"/>
      <c r="Y192" s="7"/>
    </row>
    <row r="193" spans="1:25" ht="14.25" customHeight="1" x14ac:dyDescent="0.3">
      <c r="A193" s="18">
        <v>47.4</v>
      </c>
      <c r="B193" s="19"/>
      <c r="C193" s="19"/>
      <c r="D193" s="19"/>
      <c r="E193" s="19"/>
      <c r="F193" s="19"/>
      <c r="G193" s="21"/>
      <c r="H193" s="21"/>
      <c r="I193" s="21"/>
      <c r="J193" s="21"/>
      <c r="K193" s="19"/>
      <c r="L193" s="19"/>
      <c r="M193" s="22"/>
      <c r="N193" s="19"/>
      <c r="O193" s="19"/>
      <c r="P193" s="23"/>
      <c r="Q193" s="21" t="s">
        <v>46</v>
      </c>
      <c r="R193" s="19" t="s">
        <v>47</v>
      </c>
      <c r="S193" s="21"/>
      <c r="T193" s="32"/>
      <c r="U193" s="21"/>
      <c r="V193" s="7"/>
      <c r="W193" s="7"/>
      <c r="X193" s="7"/>
      <c r="Y193" s="7"/>
    </row>
    <row r="194" spans="1:25" ht="14.25" customHeight="1" x14ac:dyDescent="0.3">
      <c r="A194" s="18">
        <v>48.1</v>
      </c>
      <c r="B194" s="19"/>
      <c r="C194" s="19"/>
      <c r="D194" s="19"/>
      <c r="E194" s="19"/>
      <c r="F194" s="19"/>
      <c r="G194" s="21"/>
      <c r="H194" s="21"/>
      <c r="I194" s="21"/>
      <c r="J194" s="21"/>
      <c r="K194" s="19"/>
      <c r="L194" s="19"/>
      <c r="M194" s="22"/>
      <c r="N194" s="19"/>
      <c r="O194" s="19"/>
      <c r="P194" s="23"/>
      <c r="Q194" s="21" t="s">
        <v>46</v>
      </c>
      <c r="R194" s="19" t="s">
        <v>47</v>
      </c>
      <c r="S194" s="21"/>
      <c r="T194" s="32"/>
      <c r="U194" s="21"/>
      <c r="V194" s="7"/>
      <c r="W194" s="7"/>
      <c r="X194" s="7"/>
      <c r="Y194" s="7"/>
    </row>
    <row r="195" spans="1:25" ht="14.25" customHeight="1" x14ac:dyDescent="0.3">
      <c r="A195" s="18">
        <v>48.2</v>
      </c>
      <c r="B195" s="19"/>
      <c r="C195" s="19"/>
      <c r="D195" s="19"/>
      <c r="E195" s="19"/>
      <c r="F195" s="19"/>
      <c r="G195" s="21"/>
      <c r="H195" s="21"/>
      <c r="I195" s="21"/>
      <c r="J195" s="21"/>
      <c r="K195" s="19"/>
      <c r="L195" s="19"/>
      <c r="M195" s="22"/>
      <c r="N195" s="19"/>
      <c r="O195" s="19"/>
      <c r="P195" s="23"/>
      <c r="Q195" s="21" t="s">
        <v>46</v>
      </c>
      <c r="R195" s="19" t="s">
        <v>47</v>
      </c>
      <c r="S195" s="21"/>
      <c r="T195" s="32"/>
      <c r="U195" s="21"/>
      <c r="V195" s="7"/>
      <c r="W195" s="7"/>
      <c r="X195" s="7"/>
      <c r="Y195" s="7"/>
    </row>
    <row r="196" spans="1:25" ht="14.25" customHeight="1" x14ac:dyDescent="0.3">
      <c r="A196" s="18">
        <v>48.3</v>
      </c>
      <c r="B196" s="19"/>
      <c r="C196" s="19"/>
      <c r="D196" s="19"/>
      <c r="E196" s="19"/>
      <c r="F196" s="19"/>
      <c r="G196" s="21"/>
      <c r="H196" s="21"/>
      <c r="I196" s="21"/>
      <c r="J196" s="21"/>
      <c r="K196" s="19"/>
      <c r="L196" s="19"/>
      <c r="M196" s="22"/>
      <c r="N196" s="19"/>
      <c r="O196" s="19"/>
      <c r="P196" s="23"/>
      <c r="Q196" s="21" t="s">
        <v>46</v>
      </c>
      <c r="R196" s="19" t="s">
        <v>47</v>
      </c>
      <c r="S196" s="21"/>
      <c r="T196" s="32"/>
      <c r="U196" s="21"/>
      <c r="V196" s="7"/>
      <c r="W196" s="7"/>
      <c r="X196" s="7"/>
      <c r="Y196" s="7"/>
    </row>
    <row r="197" spans="1:25" ht="14.25" customHeight="1" x14ac:dyDescent="0.3">
      <c r="A197" s="18">
        <v>48.4</v>
      </c>
      <c r="B197" s="19"/>
      <c r="C197" s="19"/>
      <c r="D197" s="19"/>
      <c r="E197" s="19"/>
      <c r="F197" s="19"/>
      <c r="G197" s="21"/>
      <c r="H197" s="21"/>
      <c r="I197" s="21"/>
      <c r="J197" s="21"/>
      <c r="K197" s="19"/>
      <c r="L197" s="19"/>
      <c r="M197" s="22"/>
      <c r="N197" s="19"/>
      <c r="O197" s="19"/>
      <c r="P197" s="23"/>
      <c r="Q197" s="21" t="s">
        <v>46</v>
      </c>
      <c r="R197" s="19" t="s">
        <v>47</v>
      </c>
      <c r="S197" s="21"/>
      <c r="T197" s="32"/>
      <c r="U197" s="21"/>
      <c r="V197" s="7"/>
      <c r="W197" s="7"/>
      <c r="X197" s="7"/>
      <c r="Y197" s="7"/>
    </row>
    <row r="198" spans="1:25" ht="14.25" customHeight="1" x14ac:dyDescent="0.3">
      <c r="A198" s="18">
        <v>49.1</v>
      </c>
      <c r="B198" s="19"/>
      <c r="C198" s="19"/>
      <c r="D198" s="19"/>
      <c r="E198" s="19"/>
      <c r="F198" s="19"/>
      <c r="G198" s="21"/>
      <c r="H198" s="21"/>
      <c r="I198" s="21"/>
      <c r="J198" s="21"/>
      <c r="K198" s="19"/>
      <c r="L198" s="19"/>
      <c r="M198" s="22"/>
      <c r="N198" s="19"/>
      <c r="O198" s="19"/>
      <c r="P198" s="23"/>
      <c r="Q198" s="21" t="s">
        <v>46</v>
      </c>
      <c r="R198" s="19" t="s">
        <v>47</v>
      </c>
      <c r="S198" s="21"/>
      <c r="T198" s="32"/>
      <c r="U198" s="21"/>
      <c r="V198" s="7"/>
      <c r="W198" s="7"/>
      <c r="X198" s="7"/>
      <c r="Y198" s="7"/>
    </row>
    <row r="199" spans="1:25" ht="14.25" customHeight="1" x14ac:dyDescent="0.3">
      <c r="A199" s="18">
        <v>49.2</v>
      </c>
      <c r="B199" s="19"/>
      <c r="C199" s="19"/>
      <c r="D199" s="19"/>
      <c r="E199" s="19"/>
      <c r="F199" s="19"/>
      <c r="G199" s="21"/>
      <c r="H199" s="21"/>
      <c r="I199" s="21"/>
      <c r="J199" s="21"/>
      <c r="K199" s="19"/>
      <c r="L199" s="19"/>
      <c r="M199" s="22"/>
      <c r="N199" s="19"/>
      <c r="O199" s="19"/>
      <c r="P199" s="23"/>
      <c r="Q199" s="21" t="s">
        <v>46</v>
      </c>
      <c r="R199" s="19" t="s">
        <v>47</v>
      </c>
      <c r="S199" s="21"/>
      <c r="T199" s="32"/>
      <c r="U199" s="21"/>
      <c r="V199" s="7"/>
      <c r="W199" s="7"/>
      <c r="X199" s="7"/>
      <c r="Y199" s="7"/>
    </row>
    <row r="200" spans="1:25" ht="14.25" customHeight="1" x14ac:dyDescent="0.3">
      <c r="A200" s="18">
        <v>49.3</v>
      </c>
      <c r="B200" s="19"/>
      <c r="C200" s="19"/>
      <c r="D200" s="19"/>
      <c r="E200" s="19"/>
      <c r="F200" s="19"/>
      <c r="G200" s="21"/>
      <c r="H200" s="21"/>
      <c r="I200" s="21"/>
      <c r="J200" s="21"/>
      <c r="K200" s="19"/>
      <c r="L200" s="19"/>
      <c r="M200" s="22"/>
      <c r="N200" s="19"/>
      <c r="O200" s="19"/>
      <c r="P200" s="23"/>
      <c r="Q200" s="21" t="s">
        <v>46</v>
      </c>
      <c r="R200" s="19" t="s">
        <v>47</v>
      </c>
      <c r="S200" s="21"/>
      <c r="T200" s="32"/>
      <c r="U200" s="21"/>
      <c r="V200" s="7"/>
      <c r="W200" s="7"/>
      <c r="X200" s="7"/>
      <c r="Y200" s="7"/>
    </row>
    <row r="201" spans="1:25" ht="14.25" customHeight="1" x14ac:dyDescent="0.3">
      <c r="A201" s="18">
        <v>49.4</v>
      </c>
      <c r="B201" s="19"/>
      <c r="C201" s="19"/>
      <c r="D201" s="19"/>
      <c r="E201" s="19"/>
      <c r="F201" s="19"/>
      <c r="G201" s="21"/>
      <c r="H201" s="21"/>
      <c r="I201" s="21"/>
      <c r="J201" s="21"/>
      <c r="K201" s="19"/>
      <c r="L201" s="19"/>
      <c r="M201" s="22"/>
      <c r="N201" s="19"/>
      <c r="O201" s="19"/>
      <c r="P201" s="23"/>
      <c r="Q201" s="21" t="s">
        <v>46</v>
      </c>
      <c r="R201" s="19" t="s">
        <v>47</v>
      </c>
      <c r="S201" s="21"/>
      <c r="T201" s="32"/>
      <c r="U201" s="21"/>
      <c r="V201" s="7"/>
      <c r="W201" s="7"/>
      <c r="X201" s="7"/>
      <c r="Y201" s="7"/>
    </row>
    <row r="202" spans="1:25" ht="14.25" customHeight="1" x14ac:dyDescent="0.3">
      <c r="A202" s="18">
        <v>50.1</v>
      </c>
      <c r="B202" s="19"/>
      <c r="C202" s="19"/>
      <c r="D202" s="19"/>
      <c r="E202" s="19"/>
      <c r="F202" s="19"/>
      <c r="G202" s="21"/>
      <c r="H202" s="21"/>
      <c r="I202" s="21"/>
      <c r="J202" s="21"/>
      <c r="K202" s="19"/>
      <c r="L202" s="19"/>
      <c r="M202" s="22"/>
      <c r="N202" s="19"/>
      <c r="O202" s="19"/>
      <c r="P202" s="23"/>
      <c r="Q202" s="21" t="s">
        <v>46</v>
      </c>
      <c r="R202" s="19" t="s">
        <v>47</v>
      </c>
      <c r="S202" s="21"/>
      <c r="T202" s="32"/>
      <c r="U202" s="21"/>
      <c r="V202" s="7"/>
      <c r="W202" s="7"/>
      <c r="X202" s="7"/>
      <c r="Y202" s="7"/>
    </row>
    <row r="203" spans="1:25" ht="14.25" customHeight="1" x14ac:dyDescent="0.3">
      <c r="A203" s="18">
        <v>50.2</v>
      </c>
      <c r="B203" s="19"/>
      <c r="C203" s="19"/>
      <c r="D203" s="19"/>
      <c r="E203" s="19"/>
      <c r="F203" s="19"/>
      <c r="G203" s="21"/>
      <c r="H203" s="21"/>
      <c r="I203" s="21"/>
      <c r="J203" s="21"/>
      <c r="K203" s="19"/>
      <c r="L203" s="19"/>
      <c r="M203" s="22"/>
      <c r="N203" s="19"/>
      <c r="O203" s="19"/>
      <c r="P203" s="23"/>
      <c r="Q203" s="21" t="s">
        <v>46</v>
      </c>
      <c r="R203" s="19" t="s">
        <v>47</v>
      </c>
      <c r="S203" s="21"/>
      <c r="T203" s="32"/>
      <c r="U203" s="21"/>
      <c r="V203" s="7"/>
      <c r="W203" s="7"/>
      <c r="X203" s="7"/>
      <c r="Y203" s="7"/>
    </row>
    <row r="204" spans="1:25" ht="14.25" customHeight="1" x14ac:dyDescent="0.3">
      <c r="A204" s="18">
        <v>50.3</v>
      </c>
      <c r="B204" s="19"/>
      <c r="C204" s="19"/>
      <c r="D204" s="19"/>
      <c r="E204" s="19"/>
      <c r="F204" s="19"/>
      <c r="G204" s="21"/>
      <c r="H204" s="21"/>
      <c r="I204" s="21"/>
      <c r="J204" s="21"/>
      <c r="K204" s="19"/>
      <c r="L204" s="19"/>
      <c r="M204" s="22"/>
      <c r="N204" s="19"/>
      <c r="O204" s="19"/>
      <c r="P204" s="23"/>
      <c r="Q204" s="21" t="s">
        <v>46</v>
      </c>
      <c r="R204" s="19" t="s">
        <v>47</v>
      </c>
      <c r="S204" s="21"/>
      <c r="T204" s="32"/>
      <c r="U204" s="21"/>
      <c r="V204" s="7"/>
      <c r="W204" s="7"/>
      <c r="X204" s="7"/>
      <c r="Y204" s="7"/>
    </row>
    <row r="205" spans="1:25" ht="14.25" customHeight="1" x14ac:dyDescent="0.3">
      <c r="A205" s="18">
        <v>50.4</v>
      </c>
      <c r="B205" s="19"/>
      <c r="C205" s="19"/>
      <c r="D205" s="19"/>
      <c r="E205" s="19"/>
      <c r="F205" s="19"/>
      <c r="G205" s="21"/>
      <c r="H205" s="21"/>
      <c r="I205" s="21"/>
      <c r="J205" s="21"/>
      <c r="K205" s="19"/>
      <c r="L205" s="19"/>
      <c r="M205" s="22"/>
      <c r="N205" s="19"/>
      <c r="O205" s="19"/>
      <c r="P205" s="23"/>
      <c r="Q205" s="21" t="s">
        <v>46</v>
      </c>
      <c r="R205" s="19" t="s">
        <v>47</v>
      </c>
      <c r="S205" s="21"/>
      <c r="T205" s="32"/>
      <c r="U205" s="21"/>
      <c r="V205" s="7"/>
      <c r="W205" s="7"/>
      <c r="X205" s="7"/>
      <c r="Y205" s="7"/>
    </row>
    <row r="206" spans="1:25" ht="14.25" customHeight="1" x14ac:dyDescent="0.3">
      <c r="A206" s="18">
        <v>51.1</v>
      </c>
      <c r="B206" s="19"/>
      <c r="C206" s="19"/>
      <c r="D206" s="19"/>
      <c r="E206" s="19"/>
      <c r="F206" s="19"/>
      <c r="G206" s="21"/>
      <c r="H206" s="21"/>
      <c r="I206" s="21"/>
      <c r="J206" s="21"/>
      <c r="K206" s="19"/>
      <c r="L206" s="19"/>
      <c r="M206" s="22"/>
      <c r="N206" s="19"/>
      <c r="O206" s="19"/>
      <c r="P206" s="23"/>
      <c r="Q206" s="21" t="s">
        <v>46</v>
      </c>
      <c r="R206" s="19" t="s">
        <v>47</v>
      </c>
      <c r="S206" s="21"/>
      <c r="T206" s="32"/>
      <c r="U206" s="21"/>
      <c r="V206" s="7"/>
      <c r="W206" s="7"/>
      <c r="X206" s="7"/>
      <c r="Y206" s="7"/>
    </row>
    <row r="207" spans="1:25" ht="14.25" customHeight="1" x14ac:dyDescent="0.3">
      <c r="A207" s="18">
        <v>51.2</v>
      </c>
      <c r="B207" s="19"/>
      <c r="C207" s="19"/>
      <c r="D207" s="19"/>
      <c r="E207" s="19"/>
      <c r="F207" s="19"/>
      <c r="G207" s="21"/>
      <c r="H207" s="21"/>
      <c r="I207" s="21"/>
      <c r="J207" s="21"/>
      <c r="K207" s="19"/>
      <c r="L207" s="19"/>
      <c r="M207" s="22"/>
      <c r="N207" s="19"/>
      <c r="O207" s="19"/>
      <c r="P207" s="23"/>
      <c r="Q207" s="21" t="s">
        <v>46</v>
      </c>
      <c r="R207" s="19" t="s">
        <v>47</v>
      </c>
      <c r="S207" s="21"/>
      <c r="T207" s="32"/>
      <c r="U207" s="21"/>
      <c r="V207" s="7"/>
      <c r="W207" s="7"/>
      <c r="X207" s="7"/>
      <c r="Y207" s="7"/>
    </row>
    <row r="208" spans="1:25" ht="14.25" customHeight="1" x14ac:dyDescent="0.3">
      <c r="A208" s="18">
        <v>51.3</v>
      </c>
      <c r="B208" s="19"/>
      <c r="C208" s="19"/>
      <c r="D208" s="19"/>
      <c r="E208" s="19"/>
      <c r="F208" s="19"/>
      <c r="G208" s="21"/>
      <c r="H208" s="21"/>
      <c r="I208" s="21"/>
      <c r="J208" s="21"/>
      <c r="K208" s="19"/>
      <c r="L208" s="19"/>
      <c r="M208" s="22"/>
      <c r="N208" s="19"/>
      <c r="O208" s="19"/>
      <c r="P208" s="23"/>
      <c r="Q208" s="21" t="s">
        <v>46</v>
      </c>
      <c r="R208" s="19" t="s">
        <v>47</v>
      </c>
      <c r="S208" s="21"/>
      <c r="T208" s="32"/>
      <c r="U208" s="21"/>
      <c r="V208" s="7"/>
      <c r="W208" s="7"/>
      <c r="X208" s="7"/>
      <c r="Y208" s="7"/>
    </row>
    <row r="209" spans="1:25" ht="14.25" customHeight="1" x14ac:dyDescent="0.3">
      <c r="A209" s="18">
        <v>51.4</v>
      </c>
      <c r="B209" s="19"/>
      <c r="C209" s="19"/>
      <c r="D209" s="19"/>
      <c r="E209" s="19"/>
      <c r="F209" s="19"/>
      <c r="G209" s="21"/>
      <c r="H209" s="21"/>
      <c r="I209" s="21"/>
      <c r="J209" s="21"/>
      <c r="K209" s="19"/>
      <c r="L209" s="19"/>
      <c r="M209" s="22"/>
      <c r="N209" s="19"/>
      <c r="O209" s="19"/>
      <c r="P209" s="23"/>
      <c r="Q209" s="21" t="s">
        <v>46</v>
      </c>
      <c r="R209" s="19" t="s">
        <v>47</v>
      </c>
      <c r="S209" s="21"/>
      <c r="T209" s="32"/>
      <c r="U209" s="21"/>
      <c r="V209" s="7"/>
      <c r="W209" s="7"/>
      <c r="X209" s="7"/>
      <c r="Y209" s="7"/>
    </row>
    <row r="210" spans="1:25" ht="14.25" customHeight="1" x14ac:dyDescent="0.3">
      <c r="A210" s="18">
        <v>52.1</v>
      </c>
      <c r="B210" s="19"/>
      <c r="C210" s="19"/>
      <c r="D210" s="19"/>
      <c r="E210" s="19"/>
      <c r="F210" s="19"/>
      <c r="G210" s="21"/>
      <c r="H210" s="21"/>
      <c r="I210" s="21"/>
      <c r="J210" s="21"/>
      <c r="K210" s="19"/>
      <c r="L210" s="19"/>
      <c r="M210" s="22"/>
      <c r="N210" s="19"/>
      <c r="O210" s="19"/>
      <c r="P210" s="23"/>
      <c r="Q210" s="21" t="s">
        <v>46</v>
      </c>
      <c r="R210" s="19" t="s">
        <v>47</v>
      </c>
      <c r="S210" s="21"/>
      <c r="T210" s="32"/>
      <c r="U210" s="21"/>
      <c r="V210" s="7"/>
      <c r="W210" s="7"/>
      <c r="X210" s="7"/>
      <c r="Y210" s="7"/>
    </row>
    <row r="211" spans="1:25" ht="14.25" customHeight="1" x14ac:dyDescent="0.3">
      <c r="A211" s="18">
        <v>52.2</v>
      </c>
      <c r="B211" s="19"/>
      <c r="C211" s="19"/>
      <c r="D211" s="19"/>
      <c r="E211" s="19"/>
      <c r="F211" s="19"/>
      <c r="G211" s="21"/>
      <c r="H211" s="21"/>
      <c r="I211" s="21"/>
      <c r="J211" s="21"/>
      <c r="K211" s="19"/>
      <c r="L211" s="19"/>
      <c r="M211" s="22"/>
      <c r="N211" s="19"/>
      <c r="O211" s="19"/>
      <c r="P211" s="23"/>
      <c r="Q211" s="21" t="s">
        <v>46</v>
      </c>
      <c r="R211" s="19" t="s">
        <v>47</v>
      </c>
      <c r="S211" s="21"/>
      <c r="T211" s="32"/>
      <c r="U211" s="21"/>
      <c r="V211" s="7"/>
      <c r="W211" s="7"/>
      <c r="X211" s="7"/>
      <c r="Y211" s="7"/>
    </row>
    <row r="212" spans="1:25" ht="14.25" customHeight="1" x14ac:dyDescent="0.3">
      <c r="A212" s="18">
        <v>52.3</v>
      </c>
      <c r="B212" s="19"/>
      <c r="C212" s="19"/>
      <c r="D212" s="19"/>
      <c r="E212" s="19"/>
      <c r="F212" s="19"/>
      <c r="G212" s="21"/>
      <c r="H212" s="21"/>
      <c r="I212" s="21"/>
      <c r="J212" s="21"/>
      <c r="K212" s="19"/>
      <c r="L212" s="19"/>
      <c r="M212" s="22"/>
      <c r="N212" s="19"/>
      <c r="O212" s="19"/>
      <c r="P212" s="23"/>
      <c r="Q212" s="21" t="s">
        <v>46</v>
      </c>
      <c r="R212" s="19" t="s">
        <v>47</v>
      </c>
      <c r="S212" s="21"/>
      <c r="T212" s="32"/>
      <c r="U212" s="21"/>
      <c r="V212" s="7"/>
      <c r="W212" s="7"/>
      <c r="X212" s="7"/>
      <c r="Y212" s="7"/>
    </row>
    <row r="213" spans="1:25" ht="14.25" customHeight="1" x14ac:dyDescent="0.3">
      <c r="A213" s="18">
        <v>52.4</v>
      </c>
      <c r="B213" s="19"/>
      <c r="C213" s="19"/>
      <c r="D213" s="19"/>
      <c r="E213" s="19"/>
      <c r="F213" s="19"/>
      <c r="G213" s="21"/>
      <c r="H213" s="21"/>
      <c r="I213" s="21"/>
      <c r="J213" s="21"/>
      <c r="K213" s="19"/>
      <c r="L213" s="19"/>
      <c r="M213" s="22"/>
      <c r="N213" s="19"/>
      <c r="O213" s="19"/>
      <c r="P213" s="23"/>
      <c r="Q213" s="21" t="s">
        <v>46</v>
      </c>
      <c r="R213" s="19" t="s">
        <v>47</v>
      </c>
      <c r="S213" s="21"/>
      <c r="T213" s="32"/>
      <c r="U213" s="21"/>
      <c r="V213" s="7"/>
      <c r="W213" s="7"/>
      <c r="X213" s="7"/>
      <c r="Y213" s="7"/>
    </row>
    <row r="214" spans="1:25" ht="14.25" customHeight="1" x14ac:dyDescent="0.3">
      <c r="A214" s="18">
        <v>53.1</v>
      </c>
      <c r="B214" s="19"/>
      <c r="C214" s="19"/>
      <c r="D214" s="19"/>
      <c r="E214" s="19"/>
      <c r="F214" s="19"/>
      <c r="G214" s="21"/>
      <c r="H214" s="21"/>
      <c r="I214" s="21"/>
      <c r="J214" s="21"/>
      <c r="K214" s="19"/>
      <c r="L214" s="19"/>
      <c r="M214" s="22"/>
      <c r="N214" s="19"/>
      <c r="O214" s="19"/>
      <c r="P214" s="23"/>
      <c r="Q214" s="21" t="s">
        <v>46</v>
      </c>
      <c r="R214" s="19" t="s">
        <v>47</v>
      </c>
      <c r="S214" s="21"/>
      <c r="T214" s="32"/>
      <c r="U214" s="21"/>
      <c r="V214" s="7"/>
      <c r="W214" s="7"/>
      <c r="X214" s="7"/>
      <c r="Y214" s="7"/>
    </row>
    <row r="215" spans="1:25" ht="14.25" customHeight="1" x14ac:dyDescent="0.3">
      <c r="A215" s="18">
        <v>53.2</v>
      </c>
      <c r="B215" s="19"/>
      <c r="C215" s="19"/>
      <c r="D215" s="19"/>
      <c r="E215" s="19"/>
      <c r="F215" s="19"/>
      <c r="G215" s="21"/>
      <c r="H215" s="21"/>
      <c r="I215" s="21"/>
      <c r="J215" s="21"/>
      <c r="K215" s="19"/>
      <c r="L215" s="19"/>
      <c r="M215" s="22"/>
      <c r="N215" s="19"/>
      <c r="O215" s="19"/>
      <c r="P215" s="23"/>
      <c r="Q215" s="21" t="s">
        <v>46</v>
      </c>
      <c r="R215" s="19" t="s">
        <v>47</v>
      </c>
      <c r="S215" s="21"/>
      <c r="T215" s="32"/>
      <c r="U215" s="21"/>
      <c r="V215" s="7"/>
      <c r="W215" s="7"/>
      <c r="X215" s="7"/>
      <c r="Y215" s="7"/>
    </row>
    <row r="216" spans="1:25" ht="14.25" customHeight="1" x14ac:dyDescent="0.3">
      <c r="A216" s="18">
        <v>53.3</v>
      </c>
      <c r="B216" s="19"/>
      <c r="C216" s="19"/>
      <c r="D216" s="19"/>
      <c r="E216" s="19"/>
      <c r="F216" s="19"/>
      <c r="G216" s="21"/>
      <c r="H216" s="21"/>
      <c r="I216" s="21"/>
      <c r="J216" s="21"/>
      <c r="K216" s="19"/>
      <c r="L216" s="19"/>
      <c r="M216" s="22"/>
      <c r="N216" s="19"/>
      <c r="O216" s="19"/>
      <c r="P216" s="23"/>
      <c r="Q216" s="21" t="s">
        <v>46</v>
      </c>
      <c r="R216" s="19" t="s">
        <v>47</v>
      </c>
      <c r="S216" s="21"/>
      <c r="T216" s="32"/>
      <c r="U216" s="21"/>
      <c r="V216" s="7"/>
      <c r="W216" s="7"/>
      <c r="X216" s="7"/>
      <c r="Y216" s="7"/>
    </row>
    <row r="217" spans="1:25" ht="14.25" customHeight="1" x14ac:dyDescent="0.3">
      <c r="A217" s="18">
        <v>53.4</v>
      </c>
      <c r="B217" s="19"/>
      <c r="C217" s="19"/>
      <c r="D217" s="19"/>
      <c r="E217" s="19"/>
      <c r="F217" s="19"/>
      <c r="G217" s="21"/>
      <c r="H217" s="21"/>
      <c r="I217" s="21"/>
      <c r="J217" s="21"/>
      <c r="K217" s="19"/>
      <c r="L217" s="19"/>
      <c r="M217" s="22"/>
      <c r="N217" s="19"/>
      <c r="O217" s="19"/>
      <c r="P217" s="23"/>
      <c r="Q217" s="21" t="s">
        <v>46</v>
      </c>
      <c r="R217" s="19" t="s">
        <v>47</v>
      </c>
      <c r="S217" s="21"/>
      <c r="T217" s="32"/>
      <c r="U217" s="21"/>
      <c r="V217" s="7"/>
      <c r="W217" s="7"/>
      <c r="X217" s="7"/>
      <c r="Y217" s="7"/>
    </row>
    <row r="218" spans="1:25" ht="14.25" customHeight="1" x14ac:dyDescent="0.3">
      <c r="A218" s="18">
        <v>54.1</v>
      </c>
      <c r="B218" s="19"/>
      <c r="C218" s="19"/>
      <c r="D218" s="19"/>
      <c r="E218" s="19"/>
      <c r="F218" s="19"/>
      <c r="G218" s="21"/>
      <c r="H218" s="21"/>
      <c r="I218" s="21"/>
      <c r="J218" s="21"/>
      <c r="K218" s="19"/>
      <c r="L218" s="19"/>
      <c r="M218" s="22"/>
      <c r="N218" s="19"/>
      <c r="O218" s="19"/>
      <c r="P218" s="23"/>
      <c r="Q218" s="21" t="s">
        <v>46</v>
      </c>
      <c r="R218" s="19" t="s">
        <v>47</v>
      </c>
      <c r="S218" s="21"/>
      <c r="T218" s="32"/>
      <c r="U218" s="21"/>
      <c r="V218" s="7"/>
      <c r="W218" s="7"/>
      <c r="X218" s="7"/>
      <c r="Y218" s="7"/>
    </row>
    <row r="219" spans="1:25" ht="14.25" customHeight="1" x14ac:dyDescent="0.3">
      <c r="A219" s="18">
        <v>54.2</v>
      </c>
      <c r="B219" s="19"/>
      <c r="C219" s="19"/>
      <c r="D219" s="19"/>
      <c r="E219" s="19"/>
      <c r="F219" s="19"/>
      <c r="G219" s="21"/>
      <c r="H219" s="21"/>
      <c r="I219" s="21"/>
      <c r="J219" s="21"/>
      <c r="K219" s="19"/>
      <c r="L219" s="19"/>
      <c r="M219" s="22"/>
      <c r="N219" s="19"/>
      <c r="O219" s="19"/>
      <c r="P219" s="23"/>
      <c r="Q219" s="21" t="s">
        <v>46</v>
      </c>
      <c r="R219" s="19" t="s">
        <v>47</v>
      </c>
      <c r="S219" s="21"/>
      <c r="T219" s="32"/>
      <c r="U219" s="21"/>
      <c r="V219" s="7"/>
      <c r="W219" s="7"/>
      <c r="X219" s="7"/>
      <c r="Y219" s="7"/>
    </row>
    <row r="220" spans="1:25" ht="14.25" customHeight="1" x14ac:dyDescent="0.3">
      <c r="A220" s="18">
        <v>54.3</v>
      </c>
      <c r="B220" s="19"/>
      <c r="C220" s="19"/>
      <c r="D220" s="19"/>
      <c r="E220" s="19"/>
      <c r="F220" s="19"/>
      <c r="G220" s="21"/>
      <c r="H220" s="21"/>
      <c r="I220" s="21"/>
      <c r="J220" s="21"/>
      <c r="K220" s="19"/>
      <c r="L220" s="19"/>
      <c r="M220" s="22"/>
      <c r="N220" s="19"/>
      <c r="O220" s="19"/>
      <c r="P220" s="23"/>
      <c r="Q220" s="21" t="s">
        <v>46</v>
      </c>
      <c r="R220" s="19" t="s">
        <v>47</v>
      </c>
      <c r="S220" s="21"/>
      <c r="T220" s="32"/>
      <c r="U220" s="21"/>
      <c r="V220" s="7"/>
      <c r="W220" s="7"/>
      <c r="X220" s="7"/>
      <c r="Y220" s="7"/>
    </row>
    <row r="221" spans="1:25" ht="14.25" customHeight="1" x14ac:dyDescent="0.3">
      <c r="A221" s="18">
        <v>54.4</v>
      </c>
      <c r="B221" s="19"/>
      <c r="C221" s="19"/>
      <c r="D221" s="19"/>
      <c r="E221" s="19"/>
      <c r="F221" s="19"/>
      <c r="G221" s="21"/>
      <c r="H221" s="21"/>
      <c r="I221" s="21"/>
      <c r="J221" s="21"/>
      <c r="K221" s="19"/>
      <c r="L221" s="19"/>
      <c r="M221" s="22"/>
      <c r="N221" s="19"/>
      <c r="O221" s="19"/>
      <c r="P221" s="23"/>
      <c r="Q221" s="21" t="s">
        <v>46</v>
      </c>
      <c r="R221" s="19" t="s">
        <v>47</v>
      </c>
      <c r="S221" s="21"/>
      <c r="T221" s="32"/>
      <c r="U221" s="21"/>
      <c r="V221" s="7"/>
      <c r="W221" s="7"/>
      <c r="X221" s="7"/>
      <c r="Y221" s="7"/>
    </row>
    <row r="222" spans="1:25" ht="14.25" customHeight="1" x14ac:dyDescent="0.3">
      <c r="A222" s="18">
        <v>55.1</v>
      </c>
      <c r="B222" s="19"/>
      <c r="C222" s="19"/>
      <c r="D222" s="19"/>
      <c r="E222" s="19"/>
      <c r="F222" s="19"/>
      <c r="G222" s="21"/>
      <c r="H222" s="21"/>
      <c r="I222" s="21"/>
      <c r="J222" s="21"/>
      <c r="K222" s="19"/>
      <c r="L222" s="19"/>
      <c r="M222" s="22"/>
      <c r="N222" s="19"/>
      <c r="O222" s="19"/>
      <c r="P222" s="23"/>
      <c r="Q222" s="21" t="s">
        <v>46</v>
      </c>
      <c r="R222" s="19" t="s">
        <v>47</v>
      </c>
      <c r="S222" s="21"/>
      <c r="T222" s="32"/>
      <c r="U222" s="21"/>
      <c r="V222" s="7"/>
      <c r="W222" s="7"/>
      <c r="X222" s="7"/>
      <c r="Y222" s="7"/>
    </row>
    <row r="223" spans="1:25" ht="14.25" customHeight="1" x14ac:dyDescent="0.3">
      <c r="A223" s="18">
        <v>55.2</v>
      </c>
      <c r="B223" s="19"/>
      <c r="C223" s="19"/>
      <c r="D223" s="19"/>
      <c r="E223" s="19"/>
      <c r="F223" s="19"/>
      <c r="G223" s="21"/>
      <c r="H223" s="21"/>
      <c r="I223" s="21"/>
      <c r="J223" s="21"/>
      <c r="K223" s="19"/>
      <c r="L223" s="19"/>
      <c r="M223" s="22"/>
      <c r="N223" s="19"/>
      <c r="O223" s="19"/>
      <c r="P223" s="23"/>
      <c r="Q223" s="21" t="s">
        <v>46</v>
      </c>
      <c r="R223" s="19" t="s">
        <v>47</v>
      </c>
      <c r="S223" s="21"/>
      <c r="T223" s="32"/>
      <c r="U223" s="21"/>
      <c r="V223" s="7"/>
      <c r="W223" s="7"/>
      <c r="X223" s="7"/>
      <c r="Y223" s="7"/>
    </row>
    <row r="224" spans="1:25" ht="14.25" customHeight="1" x14ac:dyDescent="0.3">
      <c r="A224" s="18">
        <v>55.3</v>
      </c>
      <c r="B224" s="19"/>
      <c r="C224" s="19"/>
      <c r="D224" s="19"/>
      <c r="E224" s="19"/>
      <c r="F224" s="19"/>
      <c r="G224" s="21"/>
      <c r="H224" s="21"/>
      <c r="I224" s="21"/>
      <c r="J224" s="21"/>
      <c r="K224" s="19"/>
      <c r="L224" s="19"/>
      <c r="M224" s="22"/>
      <c r="N224" s="19"/>
      <c r="O224" s="19"/>
      <c r="P224" s="23"/>
      <c r="Q224" s="21" t="s">
        <v>46</v>
      </c>
      <c r="R224" s="19" t="s">
        <v>47</v>
      </c>
      <c r="S224" s="21"/>
      <c r="T224" s="32"/>
      <c r="U224" s="21"/>
      <c r="V224" s="7"/>
      <c r="W224" s="7"/>
      <c r="X224" s="7"/>
      <c r="Y224" s="7"/>
    </row>
    <row r="225" spans="1:25" ht="14.25" customHeight="1" x14ac:dyDescent="0.3">
      <c r="A225" s="18">
        <v>55.4</v>
      </c>
      <c r="B225" s="19"/>
      <c r="C225" s="19"/>
      <c r="D225" s="19"/>
      <c r="E225" s="19"/>
      <c r="F225" s="19"/>
      <c r="G225" s="21"/>
      <c r="H225" s="21"/>
      <c r="I225" s="21"/>
      <c r="J225" s="21"/>
      <c r="K225" s="19"/>
      <c r="L225" s="19"/>
      <c r="M225" s="22"/>
      <c r="N225" s="19"/>
      <c r="O225" s="19"/>
      <c r="P225" s="23"/>
      <c r="Q225" s="21" t="s">
        <v>46</v>
      </c>
      <c r="R225" s="19" t="s">
        <v>47</v>
      </c>
      <c r="S225" s="21"/>
      <c r="T225" s="32"/>
      <c r="U225" s="21"/>
      <c r="V225" s="7"/>
      <c r="W225" s="7"/>
      <c r="X225" s="7"/>
      <c r="Y225" s="7"/>
    </row>
    <row r="226" spans="1:25" ht="14.25" customHeight="1" x14ac:dyDescent="0.3">
      <c r="A226" s="18">
        <v>56.1</v>
      </c>
      <c r="B226" s="19"/>
      <c r="C226" s="19"/>
      <c r="D226" s="19"/>
      <c r="E226" s="19"/>
      <c r="F226" s="19"/>
      <c r="G226" s="21"/>
      <c r="H226" s="21"/>
      <c r="I226" s="21"/>
      <c r="J226" s="21"/>
      <c r="K226" s="19"/>
      <c r="L226" s="19"/>
      <c r="M226" s="22"/>
      <c r="N226" s="19"/>
      <c r="O226" s="19"/>
      <c r="P226" s="23"/>
      <c r="Q226" s="21" t="s">
        <v>46</v>
      </c>
      <c r="R226" s="19" t="s">
        <v>47</v>
      </c>
      <c r="S226" s="21"/>
      <c r="T226" s="32"/>
      <c r="U226" s="21"/>
      <c r="V226" s="7"/>
      <c r="W226" s="7"/>
      <c r="X226" s="7"/>
      <c r="Y226" s="7"/>
    </row>
    <row r="227" spans="1:25" ht="14.25" customHeight="1" x14ac:dyDescent="0.3">
      <c r="A227" s="18">
        <v>56.2</v>
      </c>
      <c r="B227" s="19"/>
      <c r="C227" s="19"/>
      <c r="D227" s="19"/>
      <c r="E227" s="19"/>
      <c r="F227" s="19"/>
      <c r="G227" s="21"/>
      <c r="H227" s="21"/>
      <c r="I227" s="21"/>
      <c r="J227" s="21"/>
      <c r="K227" s="19"/>
      <c r="L227" s="19"/>
      <c r="M227" s="22"/>
      <c r="N227" s="19"/>
      <c r="O227" s="19"/>
      <c r="P227" s="23"/>
      <c r="Q227" s="21" t="s">
        <v>46</v>
      </c>
      <c r="R227" s="19" t="s">
        <v>47</v>
      </c>
      <c r="S227" s="21"/>
      <c r="T227" s="32"/>
      <c r="U227" s="21"/>
      <c r="V227" s="7"/>
      <c r="W227" s="7"/>
      <c r="X227" s="7"/>
      <c r="Y227" s="7"/>
    </row>
    <row r="228" spans="1:25" ht="14.25" customHeight="1" x14ac:dyDescent="0.3">
      <c r="A228" s="18">
        <v>56.3</v>
      </c>
      <c r="B228" s="19"/>
      <c r="C228" s="19"/>
      <c r="D228" s="19"/>
      <c r="E228" s="19"/>
      <c r="F228" s="19"/>
      <c r="G228" s="21"/>
      <c r="H228" s="21"/>
      <c r="I228" s="21"/>
      <c r="J228" s="21"/>
      <c r="K228" s="19"/>
      <c r="L228" s="19"/>
      <c r="M228" s="22"/>
      <c r="N228" s="19"/>
      <c r="O228" s="19"/>
      <c r="P228" s="23"/>
      <c r="Q228" s="21" t="s">
        <v>46</v>
      </c>
      <c r="R228" s="19" t="s">
        <v>47</v>
      </c>
      <c r="S228" s="21"/>
      <c r="T228" s="32"/>
      <c r="U228" s="21"/>
      <c r="V228" s="7"/>
      <c r="W228" s="7"/>
      <c r="X228" s="7"/>
      <c r="Y228" s="7"/>
    </row>
    <row r="229" spans="1:25" ht="14.25" customHeight="1" x14ac:dyDescent="0.3">
      <c r="A229" s="18">
        <v>56.4</v>
      </c>
      <c r="B229" s="19"/>
      <c r="C229" s="19"/>
      <c r="D229" s="19"/>
      <c r="E229" s="19"/>
      <c r="F229" s="19"/>
      <c r="G229" s="21"/>
      <c r="H229" s="21"/>
      <c r="I229" s="21"/>
      <c r="J229" s="21"/>
      <c r="K229" s="19"/>
      <c r="L229" s="19"/>
      <c r="M229" s="22"/>
      <c r="N229" s="19"/>
      <c r="O229" s="19"/>
      <c r="P229" s="23"/>
      <c r="Q229" s="21" t="s">
        <v>46</v>
      </c>
      <c r="R229" s="19" t="s">
        <v>47</v>
      </c>
      <c r="S229" s="21"/>
      <c r="T229" s="32"/>
      <c r="U229" s="21"/>
      <c r="V229" s="7"/>
      <c r="W229" s="7"/>
      <c r="X229" s="7"/>
      <c r="Y229" s="7"/>
    </row>
    <row r="230" spans="1:25" ht="14.25" customHeight="1" x14ac:dyDescent="0.3">
      <c r="A230" s="18">
        <v>57.1</v>
      </c>
      <c r="B230" s="19"/>
      <c r="C230" s="19"/>
      <c r="D230" s="19"/>
      <c r="E230" s="19"/>
      <c r="F230" s="19"/>
      <c r="G230" s="21"/>
      <c r="H230" s="21"/>
      <c r="I230" s="21"/>
      <c r="J230" s="21"/>
      <c r="K230" s="19"/>
      <c r="L230" s="19"/>
      <c r="M230" s="22"/>
      <c r="N230" s="19"/>
      <c r="O230" s="19"/>
      <c r="P230" s="23"/>
      <c r="Q230" s="21" t="s">
        <v>46</v>
      </c>
      <c r="R230" s="19" t="s">
        <v>47</v>
      </c>
      <c r="S230" s="21"/>
      <c r="T230" s="32"/>
      <c r="U230" s="21"/>
      <c r="V230" s="7"/>
      <c r="W230" s="7"/>
      <c r="X230" s="7"/>
      <c r="Y230" s="7"/>
    </row>
    <row r="231" spans="1:25" ht="14.25" customHeight="1" x14ac:dyDescent="0.3">
      <c r="A231" s="18">
        <v>57.2</v>
      </c>
      <c r="B231" s="19"/>
      <c r="C231" s="19"/>
      <c r="D231" s="19"/>
      <c r="E231" s="19"/>
      <c r="F231" s="19"/>
      <c r="G231" s="21"/>
      <c r="H231" s="21"/>
      <c r="I231" s="21"/>
      <c r="J231" s="21"/>
      <c r="K231" s="19"/>
      <c r="L231" s="19"/>
      <c r="M231" s="22"/>
      <c r="N231" s="19"/>
      <c r="O231" s="19"/>
      <c r="P231" s="23"/>
      <c r="Q231" s="21" t="s">
        <v>46</v>
      </c>
      <c r="R231" s="19" t="s">
        <v>47</v>
      </c>
      <c r="S231" s="21"/>
      <c r="T231" s="32"/>
      <c r="U231" s="21"/>
      <c r="V231" s="7"/>
      <c r="W231" s="7"/>
      <c r="X231" s="7"/>
      <c r="Y231" s="7"/>
    </row>
    <row r="232" spans="1:25" ht="14.25" customHeight="1" x14ac:dyDescent="0.3">
      <c r="A232" s="18">
        <v>57.3</v>
      </c>
      <c r="B232" s="19"/>
      <c r="C232" s="19"/>
      <c r="D232" s="19"/>
      <c r="E232" s="19"/>
      <c r="F232" s="19"/>
      <c r="G232" s="21"/>
      <c r="H232" s="21"/>
      <c r="I232" s="21"/>
      <c r="J232" s="21"/>
      <c r="K232" s="19"/>
      <c r="L232" s="19"/>
      <c r="M232" s="22"/>
      <c r="N232" s="19"/>
      <c r="O232" s="19"/>
      <c r="P232" s="23"/>
      <c r="Q232" s="21" t="s">
        <v>46</v>
      </c>
      <c r="R232" s="19" t="s">
        <v>47</v>
      </c>
      <c r="S232" s="21"/>
      <c r="T232" s="32"/>
      <c r="U232" s="21"/>
      <c r="V232" s="7"/>
      <c r="W232" s="7"/>
      <c r="X232" s="7"/>
      <c r="Y232" s="7"/>
    </row>
    <row r="233" spans="1:25" ht="14.25" customHeight="1" x14ac:dyDescent="0.3">
      <c r="A233" s="18">
        <v>57.4</v>
      </c>
      <c r="B233" s="19"/>
      <c r="C233" s="19"/>
      <c r="D233" s="19"/>
      <c r="E233" s="19"/>
      <c r="F233" s="19"/>
      <c r="G233" s="21"/>
      <c r="H233" s="21"/>
      <c r="I233" s="21"/>
      <c r="J233" s="21"/>
      <c r="K233" s="19"/>
      <c r="L233" s="19"/>
      <c r="M233" s="22"/>
      <c r="N233" s="19"/>
      <c r="O233" s="19"/>
      <c r="P233" s="23"/>
      <c r="Q233" s="21" t="s">
        <v>46</v>
      </c>
      <c r="R233" s="19" t="s">
        <v>47</v>
      </c>
      <c r="S233" s="21"/>
      <c r="T233" s="32"/>
      <c r="U233" s="21"/>
      <c r="V233" s="7"/>
      <c r="W233" s="7"/>
      <c r="X233" s="7"/>
      <c r="Y233" s="7"/>
    </row>
    <row r="234" spans="1:25" ht="14.25" customHeight="1" x14ac:dyDescent="0.3">
      <c r="A234" s="18">
        <v>58.1</v>
      </c>
      <c r="B234" s="19"/>
      <c r="C234" s="19"/>
      <c r="D234" s="19"/>
      <c r="E234" s="19"/>
      <c r="F234" s="19"/>
      <c r="G234" s="21"/>
      <c r="H234" s="21"/>
      <c r="I234" s="21"/>
      <c r="J234" s="21"/>
      <c r="K234" s="19"/>
      <c r="L234" s="19"/>
      <c r="M234" s="22"/>
      <c r="N234" s="19"/>
      <c r="O234" s="19"/>
      <c r="P234" s="23"/>
      <c r="Q234" s="21" t="s">
        <v>46</v>
      </c>
      <c r="R234" s="19" t="s">
        <v>47</v>
      </c>
      <c r="S234" s="21"/>
      <c r="T234" s="32"/>
      <c r="U234" s="21"/>
      <c r="V234" s="7"/>
      <c r="W234" s="7"/>
      <c r="X234" s="7"/>
      <c r="Y234" s="7"/>
    </row>
    <row r="235" spans="1:25" ht="14.25" customHeight="1" x14ac:dyDescent="0.3">
      <c r="A235" s="18">
        <v>58.2</v>
      </c>
      <c r="B235" s="19"/>
      <c r="C235" s="19"/>
      <c r="D235" s="19"/>
      <c r="E235" s="19"/>
      <c r="F235" s="19"/>
      <c r="G235" s="21"/>
      <c r="H235" s="21"/>
      <c r="I235" s="21"/>
      <c r="J235" s="21"/>
      <c r="K235" s="19"/>
      <c r="L235" s="19"/>
      <c r="M235" s="22"/>
      <c r="N235" s="19"/>
      <c r="O235" s="19"/>
      <c r="P235" s="23"/>
      <c r="Q235" s="21" t="s">
        <v>46</v>
      </c>
      <c r="R235" s="19" t="s">
        <v>47</v>
      </c>
      <c r="S235" s="21"/>
      <c r="T235" s="32"/>
      <c r="U235" s="21"/>
      <c r="V235" s="7"/>
      <c r="W235" s="7"/>
      <c r="X235" s="7"/>
      <c r="Y235" s="7"/>
    </row>
    <row r="236" spans="1:25" ht="14.25" customHeight="1" x14ac:dyDescent="0.3">
      <c r="A236" s="18">
        <v>58.3</v>
      </c>
      <c r="B236" s="19"/>
      <c r="C236" s="19"/>
      <c r="D236" s="19"/>
      <c r="E236" s="19"/>
      <c r="F236" s="19"/>
      <c r="G236" s="21"/>
      <c r="H236" s="21"/>
      <c r="I236" s="21"/>
      <c r="J236" s="21"/>
      <c r="K236" s="19"/>
      <c r="L236" s="19"/>
      <c r="M236" s="22"/>
      <c r="N236" s="19"/>
      <c r="O236" s="19"/>
      <c r="P236" s="23"/>
      <c r="Q236" s="21" t="s">
        <v>46</v>
      </c>
      <c r="R236" s="19" t="s">
        <v>47</v>
      </c>
      <c r="S236" s="21"/>
      <c r="T236" s="32"/>
      <c r="U236" s="21"/>
      <c r="V236" s="7"/>
      <c r="W236" s="7"/>
      <c r="X236" s="7"/>
      <c r="Y236" s="7"/>
    </row>
    <row r="237" spans="1:25" ht="14.25" customHeight="1" x14ac:dyDescent="0.3">
      <c r="A237" s="18">
        <v>58.4</v>
      </c>
      <c r="B237" s="19"/>
      <c r="C237" s="19"/>
      <c r="D237" s="19"/>
      <c r="E237" s="19"/>
      <c r="F237" s="19"/>
      <c r="G237" s="21"/>
      <c r="H237" s="21"/>
      <c r="I237" s="21"/>
      <c r="J237" s="21"/>
      <c r="K237" s="19"/>
      <c r="L237" s="19"/>
      <c r="M237" s="22"/>
      <c r="N237" s="19"/>
      <c r="O237" s="19"/>
      <c r="P237" s="23"/>
      <c r="Q237" s="21" t="s">
        <v>46</v>
      </c>
      <c r="R237" s="19" t="s">
        <v>47</v>
      </c>
      <c r="S237" s="21"/>
      <c r="T237" s="32"/>
      <c r="U237" s="21"/>
      <c r="V237" s="7"/>
      <c r="W237" s="7"/>
      <c r="X237" s="7"/>
      <c r="Y237" s="7"/>
    </row>
    <row r="238" spans="1:25" ht="14.25" customHeight="1" x14ac:dyDescent="0.3">
      <c r="A238" s="18">
        <v>59.1</v>
      </c>
      <c r="B238" s="19"/>
      <c r="C238" s="19"/>
      <c r="D238" s="19"/>
      <c r="E238" s="19"/>
      <c r="F238" s="19"/>
      <c r="G238" s="21"/>
      <c r="H238" s="21"/>
      <c r="I238" s="21"/>
      <c r="J238" s="21"/>
      <c r="K238" s="19"/>
      <c r="L238" s="19"/>
      <c r="M238" s="22"/>
      <c r="N238" s="19"/>
      <c r="O238" s="19"/>
      <c r="P238" s="23"/>
      <c r="Q238" s="21" t="s">
        <v>46</v>
      </c>
      <c r="R238" s="19" t="s">
        <v>47</v>
      </c>
      <c r="S238" s="21"/>
      <c r="T238" s="32"/>
      <c r="U238" s="21"/>
      <c r="V238" s="7"/>
      <c r="W238" s="7"/>
      <c r="X238" s="7"/>
      <c r="Y238" s="7"/>
    </row>
    <row r="239" spans="1:25" ht="14.25" customHeight="1" x14ac:dyDescent="0.3">
      <c r="A239" s="18">
        <v>59.2</v>
      </c>
      <c r="B239" s="19"/>
      <c r="C239" s="19"/>
      <c r="D239" s="19"/>
      <c r="E239" s="19"/>
      <c r="F239" s="19"/>
      <c r="G239" s="21"/>
      <c r="H239" s="21"/>
      <c r="I239" s="21"/>
      <c r="J239" s="21"/>
      <c r="K239" s="19"/>
      <c r="L239" s="19"/>
      <c r="M239" s="22"/>
      <c r="N239" s="19"/>
      <c r="O239" s="19"/>
      <c r="P239" s="23"/>
      <c r="Q239" s="21" t="s">
        <v>46</v>
      </c>
      <c r="R239" s="19" t="s">
        <v>47</v>
      </c>
      <c r="S239" s="21"/>
      <c r="T239" s="32"/>
      <c r="U239" s="21"/>
      <c r="V239" s="7"/>
      <c r="W239" s="7"/>
      <c r="X239" s="7"/>
      <c r="Y239" s="7"/>
    </row>
    <row r="240" spans="1:25" ht="14.25" customHeight="1" x14ac:dyDescent="0.3">
      <c r="A240" s="18">
        <v>59.3</v>
      </c>
      <c r="B240" s="19"/>
      <c r="C240" s="19"/>
      <c r="D240" s="19"/>
      <c r="E240" s="19"/>
      <c r="F240" s="19"/>
      <c r="G240" s="21"/>
      <c r="H240" s="21"/>
      <c r="I240" s="21"/>
      <c r="J240" s="21"/>
      <c r="K240" s="19"/>
      <c r="L240" s="19"/>
      <c r="M240" s="22"/>
      <c r="N240" s="19"/>
      <c r="O240" s="19"/>
      <c r="P240" s="23"/>
      <c r="Q240" s="21" t="s">
        <v>46</v>
      </c>
      <c r="R240" s="19" t="s">
        <v>47</v>
      </c>
      <c r="S240" s="21"/>
      <c r="T240" s="32"/>
      <c r="U240" s="21"/>
      <c r="V240" s="7"/>
      <c r="W240" s="7"/>
      <c r="X240" s="7"/>
      <c r="Y240" s="7"/>
    </row>
    <row r="241" spans="1:25" ht="14.25" customHeight="1" x14ac:dyDescent="0.3">
      <c r="A241" s="18">
        <v>59.4</v>
      </c>
      <c r="B241" s="19"/>
      <c r="C241" s="19"/>
      <c r="D241" s="19"/>
      <c r="E241" s="19"/>
      <c r="F241" s="19"/>
      <c r="G241" s="21"/>
      <c r="H241" s="21"/>
      <c r="I241" s="21"/>
      <c r="J241" s="21"/>
      <c r="K241" s="19"/>
      <c r="L241" s="19"/>
      <c r="M241" s="22"/>
      <c r="N241" s="19"/>
      <c r="O241" s="19"/>
      <c r="P241" s="23"/>
      <c r="Q241" s="21" t="s">
        <v>46</v>
      </c>
      <c r="R241" s="19" t="s">
        <v>47</v>
      </c>
      <c r="S241" s="21"/>
      <c r="T241" s="32"/>
      <c r="U241" s="21"/>
      <c r="V241" s="7"/>
      <c r="W241" s="7"/>
      <c r="X241" s="7"/>
      <c r="Y241" s="7"/>
    </row>
    <row r="242" spans="1:25" ht="14.25" customHeight="1" x14ac:dyDescent="0.3">
      <c r="A242" s="18">
        <v>60.1</v>
      </c>
      <c r="B242" s="19"/>
      <c r="C242" s="19"/>
      <c r="D242" s="19"/>
      <c r="E242" s="19"/>
      <c r="F242" s="19"/>
      <c r="G242" s="21"/>
      <c r="H242" s="21"/>
      <c r="I242" s="21"/>
      <c r="J242" s="21"/>
      <c r="K242" s="19"/>
      <c r="L242" s="19"/>
      <c r="M242" s="22"/>
      <c r="N242" s="19"/>
      <c r="O242" s="19"/>
      <c r="P242" s="23"/>
      <c r="Q242" s="21" t="s">
        <v>46</v>
      </c>
      <c r="R242" s="19" t="s">
        <v>47</v>
      </c>
      <c r="S242" s="21"/>
      <c r="T242" s="32"/>
      <c r="U242" s="21"/>
      <c r="V242" s="7"/>
      <c r="W242" s="7"/>
      <c r="X242" s="7"/>
      <c r="Y242" s="7"/>
    </row>
    <row r="243" spans="1:25" ht="14.25" customHeight="1" x14ac:dyDescent="0.3">
      <c r="A243" s="18">
        <v>60.2</v>
      </c>
      <c r="B243" s="19"/>
      <c r="C243" s="19"/>
      <c r="D243" s="19"/>
      <c r="E243" s="19"/>
      <c r="F243" s="19"/>
      <c r="G243" s="21"/>
      <c r="H243" s="21"/>
      <c r="I243" s="21"/>
      <c r="J243" s="21"/>
      <c r="K243" s="19"/>
      <c r="L243" s="19"/>
      <c r="M243" s="22"/>
      <c r="N243" s="19"/>
      <c r="O243" s="19"/>
      <c r="P243" s="23"/>
      <c r="Q243" s="21" t="s">
        <v>46</v>
      </c>
      <c r="R243" s="19" t="s">
        <v>47</v>
      </c>
      <c r="S243" s="21"/>
      <c r="T243" s="32"/>
      <c r="U243" s="21"/>
      <c r="V243" s="7"/>
      <c r="W243" s="7"/>
      <c r="X243" s="7"/>
      <c r="Y243" s="7"/>
    </row>
    <row r="244" spans="1:25" ht="14.25" customHeight="1" x14ac:dyDescent="0.3">
      <c r="A244" s="18">
        <v>60.3</v>
      </c>
      <c r="B244" s="19"/>
      <c r="C244" s="19"/>
      <c r="D244" s="19"/>
      <c r="E244" s="19"/>
      <c r="F244" s="19"/>
      <c r="G244" s="21"/>
      <c r="H244" s="21"/>
      <c r="I244" s="21"/>
      <c r="J244" s="21"/>
      <c r="K244" s="19"/>
      <c r="L244" s="19"/>
      <c r="M244" s="22"/>
      <c r="N244" s="19"/>
      <c r="O244" s="19"/>
      <c r="P244" s="23"/>
      <c r="Q244" s="21" t="s">
        <v>46</v>
      </c>
      <c r="R244" s="19" t="s">
        <v>47</v>
      </c>
      <c r="S244" s="21"/>
      <c r="T244" s="32"/>
      <c r="U244" s="21"/>
      <c r="V244" s="7"/>
      <c r="W244" s="7"/>
      <c r="X244" s="7"/>
      <c r="Y244" s="7"/>
    </row>
    <row r="245" spans="1:25" ht="14.25" customHeight="1" x14ac:dyDescent="0.3">
      <c r="A245" s="18">
        <v>60.4</v>
      </c>
      <c r="B245" s="19"/>
      <c r="C245" s="19"/>
      <c r="D245" s="19"/>
      <c r="E245" s="19"/>
      <c r="F245" s="19"/>
      <c r="G245" s="21"/>
      <c r="H245" s="21"/>
      <c r="I245" s="21"/>
      <c r="J245" s="21"/>
      <c r="K245" s="19"/>
      <c r="L245" s="19"/>
      <c r="M245" s="22"/>
      <c r="N245" s="19"/>
      <c r="O245" s="19"/>
      <c r="P245" s="23"/>
      <c r="Q245" s="21" t="s">
        <v>46</v>
      </c>
      <c r="R245" s="19" t="s">
        <v>47</v>
      </c>
      <c r="S245" s="21"/>
      <c r="T245" s="32"/>
      <c r="U245" s="21"/>
      <c r="V245" s="7"/>
      <c r="W245" s="7"/>
      <c r="X245" s="7"/>
      <c r="Y245" s="7"/>
    </row>
    <row r="246" spans="1:25" ht="14.25" customHeight="1" x14ac:dyDescent="0.3">
      <c r="A246" s="18">
        <v>61.1</v>
      </c>
      <c r="B246" s="19"/>
      <c r="C246" s="19"/>
      <c r="D246" s="19"/>
      <c r="E246" s="19"/>
      <c r="F246" s="19"/>
      <c r="G246" s="21"/>
      <c r="H246" s="21"/>
      <c r="I246" s="21"/>
      <c r="J246" s="21"/>
      <c r="K246" s="19"/>
      <c r="L246" s="19"/>
      <c r="M246" s="22"/>
      <c r="N246" s="19"/>
      <c r="O246" s="19"/>
      <c r="P246" s="23"/>
      <c r="Q246" s="21" t="s">
        <v>46</v>
      </c>
      <c r="R246" s="19" t="s">
        <v>47</v>
      </c>
      <c r="S246" s="21"/>
      <c r="T246" s="32"/>
      <c r="U246" s="21"/>
      <c r="V246" s="7"/>
      <c r="W246" s="7"/>
      <c r="X246" s="7"/>
      <c r="Y246" s="7"/>
    </row>
    <row r="247" spans="1:25" ht="14.25" customHeight="1" x14ac:dyDescent="0.3">
      <c r="A247" s="18">
        <v>61.2</v>
      </c>
      <c r="B247" s="19"/>
      <c r="C247" s="19"/>
      <c r="D247" s="19"/>
      <c r="E247" s="19"/>
      <c r="F247" s="19"/>
      <c r="G247" s="21"/>
      <c r="H247" s="21"/>
      <c r="I247" s="21"/>
      <c r="J247" s="21"/>
      <c r="K247" s="19"/>
      <c r="L247" s="19"/>
      <c r="M247" s="22"/>
      <c r="N247" s="19"/>
      <c r="O247" s="19"/>
      <c r="P247" s="23"/>
      <c r="Q247" s="21" t="s">
        <v>46</v>
      </c>
      <c r="R247" s="19" t="s">
        <v>47</v>
      </c>
      <c r="S247" s="21"/>
      <c r="T247" s="32"/>
      <c r="U247" s="21"/>
      <c r="V247" s="7"/>
      <c r="W247" s="7"/>
      <c r="X247" s="7"/>
      <c r="Y247" s="7"/>
    </row>
    <row r="248" spans="1:25" ht="14.25" customHeight="1" x14ac:dyDescent="0.3">
      <c r="A248" s="18">
        <v>61.3</v>
      </c>
      <c r="B248" s="19"/>
      <c r="C248" s="19"/>
      <c r="D248" s="19"/>
      <c r="E248" s="19"/>
      <c r="F248" s="19"/>
      <c r="G248" s="21"/>
      <c r="H248" s="21"/>
      <c r="I248" s="21"/>
      <c r="J248" s="21"/>
      <c r="K248" s="19"/>
      <c r="L248" s="19"/>
      <c r="M248" s="22"/>
      <c r="N248" s="19"/>
      <c r="O248" s="19"/>
      <c r="P248" s="23"/>
      <c r="Q248" s="21" t="s">
        <v>46</v>
      </c>
      <c r="R248" s="19" t="s">
        <v>47</v>
      </c>
      <c r="S248" s="21"/>
      <c r="T248" s="32"/>
      <c r="U248" s="21"/>
      <c r="V248" s="7"/>
      <c r="W248" s="7"/>
      <c r="X248" s="7"/>
      <c r="Y248" s="7"/>
    </row>
    <row r="249" spans="1:25" ht="14.25" customHeight="1" x14ac:dyDescent="0.3">
      <c r="A249" s="18">
        <v>61.4</v>
      </c>
      <c r="B249" s="19"/>
      <c r="C249" s="19"/>
      <c r="D249" s="19"/>
      <c r="E249" s="19"/>
      <c r="F249" s="19"/>
      <c r="G249" s="21"/>
      <c r="H249" s="21"/>
      <c r="I249" s="21"/>
      <c r="J249" s="21"/>
      <c r="K249" s="19"/>
      <c r="L249" s="19"/>
      <c r="M249" s="22"/>
      <c r="N249" s="19"/>
      <c r="O249" s="19"/>
      <c r="P249" s="23"/>
      <c r="Q249" s="21" t="s">
        <v>46</v>
      </c>
      <c r="R249" s="19" t="s">
        <v>47</v>
      </c>
      <c r="S249" s="21"/>
      <c r="T249" s="32"/>
      <c r="U249" s="21"/>
      <c r="V249" s="7"/>
      <c r="W249" s="7"/>
      <c r="X249" s="7"/>
      <c r="Y249" s="7"/>
    </row>
    <row r="250" spans="1:25" ht="14.25" customHeight="1" x14ac:dyDescent="0.3">
      <c r="A250" s="18">
        <v>62.1</v>
      </c>
      <c r="B250" s="19"/>
      <c r="C250" s="19"/>
      <c r="D250" s="19"/>
      <c r="E250" s="19"/>
      <c r="F250" s="19"/>
      <c r="G250" s="21"/>
      <c r="H250" s="21"/>
      <c r="I250" s="21"/>
      <c r="J250" s="21"/>
      <c r="K250" s="19"/>
      <c r="L250" s="19"/>
      <c r="M250" s="22"/>
      <c r="N250" s="19"/>
      <c r="O250" s="19"/>
      <c r="P250" s="23"/>
      <c r="Q250" s="21" t="s">
        <v>46</v>
      </c>
      <c r="R250" s="19" t="s">
        <v>47</v>
      </c>
      <c r="S250" s="21"/>
      <c r="T250" s="32"/>
      <c r="U250" s="21"/>
      <c r="V250" s="7"/>
      <c r="W250" s="7"/>
      <c r="X250" s="7"/>
      <c r="Y250" s="7"/>
    </row>
    <row r="251" spans="1:25" ht="14.25" customHeight="1" x14ac:dyDescent="0.3">
      <c r="A251" s="18">
        <v>62.2</v>
      </c>
      <c r="B251" s="19"/>
      <c r="C251" s="19"/>
      <c r="D251" s="19"/>
      <c r="E251" s="19"/>
      <c r="F251" s="19"/>
      <c r="G251" s="21"/>
      <c r="H251" s="21"/>
      <c r="I251" s="21"/>
      <c r="J251" s="21"/>
      <c r="K251" s="19"/>
      <c r="L251" s="19"/>
      <c r="M251" s="22"/>
      <c r="N251" s="19"/>
      <c r="O251" s="19"/>
      <c r="P251" s="23"/>
      <c r="Q251" s="21" t="s">
        <v>46</v>
      </c>
      <c r="R251" s="19" t="s">
        <v>47</v>
      </c>
      <c r="S251" s="21"/>
      <c r="T251" s="32"/>
      <c r="U251" s="21"/>
      <c r="V251" s="7"/>
      <c r="W251" s="7"/>
      <c r="X251" s="7"/>
      <c r="Y251" s="7"/>
    </row>
    <row r="252" spans="1:25" ht="14.25" customHeight="1" x14ac:dyDescent="0.3">
      <c r="A252" s="18">
        <v>62.3</v>
      </c>
      <c r="B252" s="19"/>
      <c r="C252" s="19"/>
      <c r="D252" s="19"/>
      <c r="E252" s="19"/>
      <c r="F252" s="19"/>
      <c r="G252" s="21"/>
      <c r="H252" s="21"/>
      <c r="I252" s="21"/>
      <c r="J252" s="21"/>
      <c r="K252" s="19"/>
      <c r="L252" s="19"/>
      <c r="M252" s="22"/>
      <c r="N252" s="19"/>
      <c r="O252" s="19"/>
      <c r="P252" s="23"/>
      <c r="Q252" s="21" t="s">
        <v>46</v>
      </c>
      <c r="R252" s="19" t="s">
        <v>47</v>
      </c>
      <c r="S252" s="21"/>
      <c r="T252" s="32"/>
      <c r="U252" s="21"/>
      <c r="V252" s="7"/>
      <c r="W252" s="7"/>
      <c r="X252" s="7"/>
      <c r="Y252" s="7"/>
    </row>
    <row r="253" spans="1:25" ht="14.25" customHeight="1" x14ac:dyDescent="0.3">
      <c r="A253" s="18">
        <v>62.4</v>
      </c>
      <c r="B253" s="19"/>
      <c r="C253" s="19"/>
      <c r="D253" s="19"/>
      <c r="E253" s="19"/>
      <c r="F253" s="19"/>
      <c r="G253" s="21"/>
      <c r="H253" s="21"/>
      <c r="I253" s="21"/>
      <c r="J253" s="21"/>
      <c r="K253" s="19"/>
      <c r="L253" s="19"/>
      <c r="M253" s="22"/>
      <c r="N253" s="19"/>
      <c r="O253" s="19"/>
      <c r="P253" s="23"/>
      <c r="Q253" s="21" t="s">
        <v>46</v>
      </c>
      <c r="R253" s="19" t="s">
        <v>47</v>
      </c>
      <c r="S253" s="21"/>
      <c r="T253" s="32"/>
      <c r="U253" s="21"/>
      <c r="V253" s="7"/>
      <c r="W253" s="7"/>
      <c r="X253" s="7"/>
      <c r="Y253" s="7"/>
    </row>
    <row r="254" spans="1:25" ht="14.25" customHeight="1" x14ac:dyDescent="0.3">
      <c r="A254" s="18">
        <v>63.1</v>
      </c>
      <c r="B254" s="19"/>
      <c r="C254" s="19"/>
      <c r="D254" s="19"/>
      <c r="E254" s="19"/>
      <c r="F254" s="19"/>
      <c r="G254" s="21"/>
      <c r="H254" s="21"/>
      <c r="I254" s="21"/>
      <c r="J254" s="21"/>
      <c r="K254" s="19"/>
      <c r="L254" s="19"/>
      <c r="M254" s="22"/>
      <c r="N254" s="19"/>
      <c r="O254" s="19"/>
      <c r="P254" s="23"/>
      <c r="Q254" s="21" t="s">
        <v>46</v>
      </c>
      <c r="R254" s="19" t="s">
        <v>47</v>
      </c>
      <c r="S254" s="21"/>
      <c r="T254" s="32"/>
      <c r="U254" s="21"/>
      <c r="V254" s="7"/>
      <c r="W254" s="7"/>
      <c r="X254" s="7"/>
      <c r="Y254" s="7"/>
    </row>
    <row r="255" spans="1:25" ht="14.25" customHeight="1" x14ac:dyDescent="0.3">
      <c r="A255" s="18">
        <v>63.2</v>
      </c>
      <c r="B255" s="19"/>
      <c r="C255" s="19"/>
      <c r="D255" s="19"/>
      <c r="E255" s="19"/>
      <c r="F255" s="19"/>
      <c r="G255" s="21"/>
      <c r="H255" s="21"/>
      <c r="I255" s="21"/>
      <c r="J255" s="21"/>
      <c r="K255" s="19"/>
      <c r="L255" s="19"/>
      <c r="M255" s="22"/>
      <c r="N255" s="19"/>
      <c r="O255" s="19"/>
      <c r="P255" s="23"/>
      <c r="Q255" s="21" t="s">
        <v>46</v>
      </c>
      <c r="R255" s="19" t="s">
        <v>47</v>
      </c>
      <c r="S255" s="21"/>
      <c r="T255" s="32"/>
      <c r="U255" s="21"/>
      <c r="V255" s="7"/>
      <c r="W255" s="7"/>
      <c r="X255" s="7"/>
      <c r="Y255" s="7"/>
    </row>
    <row r="256" spans="1:25" ht="14.25" customHeight="1" x14ac:dyDescent="0.3">
      <c r="A256" s="18">
        <v>63.3</v>
      </c>
      <c r="B256" s="19"/>
      <c r="C256" s="19"/>
      <c r="D256" s="19"/>
      <c r="E256" s="19"/>
      <c r="F256" s="19"/>
      <c r="G256" s="21"/>
      <c r="H256" s="21"/>
      <c r="I256" s="21"/>
      <c r="J256" s="21"/>
      <c r="K256" s="19"/>
      <c r="L256" s="19"/>
      <c r="M256" s="22"/>
      <c r="N256" s="19"/>
      <c r="O256" s="19"/>
      <c r="P256" s="23"/>
      <c r="Q256" s="21" t="s">
        <v>46</v>
      </c>
      <c r="R256" s="19" t="s">
        <v>47</v>
      </c>
      <c r="S256" s="21"/>
      <c r="T256" s="32"/>
      <c r="U256" s="21"/>
      <c r="V256" s="7"/>
      <c r="W256" s="7"/>
      <c r="X256" s="7"/>
      <c r="Y256" s="7"/>
    </row>
    <row r="257" spans="1:25" ht="14.25" customHeight="1" x14ac:dyDescent="0.3">
      <c r="A257" s="18">
        <v>63.4</v>
      </c>
      <c r="B257" s="19"/>
      <c r="C257" s="19"/>
      <c r="D257" s="19"/>
      <c r="E257" s="19"/>
      <c r="F257" s="19"/>
      <c r="G257" s="21"/>
      <c r="H257" s="21"/>
      <c r="I257" s="21"/>
      <c r="J257" s="21"/>
      <c r="K257" s="19"/>
      <c r="L257" s="19"/>
      <c r="M257" s="22"/>
      <c r="N257" s="19"/>
      <c r="O257" s="19"/>
      <c r="P257" s="23"/>
      <c r="Q257" s="21" t="s">
        <v>46</v>
      </c>
      <c r="R257" s="19" t="s">
        <v>47</v>
      </c>
      <c r="S257" s="21"/>
      <c r="T257" s="32"/>
      <c r="U257" s="21"/>
      <c r="V257" s="7"/>
      <c r="W257" s="7"/>
      <c r="X257" s="7"/>
      <c r="Y257" s="7"/>
    </row>
    <row r="258" spans="1:25" ht="14.25" customHeight="1" x14ac:dyDescent="0.3">
      <c r="A258" s="18">
        <v>64.099999999999994</v>
      </c>
      <c r="B258" s="19"/>
      <c r="C258" s="19"/>
      <c r="D258" s="19"/>
      <c r="E258" s="19"/>
      <c r="F258" s="19"/>
      <c r="G258" s="21"/>
      <c r="H258" s="21"/>
      <c r="I258" s="21"/>
      <c r="J258" s="21"/>
      <c r="K258" s="19"/>
      <c r="L258" s="19"/>
      <c r="M258" s="22"/>
      <c r="N258" s="19"/>
      <c r="O258" s="19"/>
      <c r="P258" s="23"/>
      <c r="Q258" s="21" t="s">
        <v>46</v>
      </c>
      <c r="R258" s="19" t="s">
        <v>47</v>
      </c>
      <c r="S258" s="21"/>
      <c r="T258" s="32"/>
      <c r="U258" s="21"/>
      <c r="V258" s="7"/>
      <c r="W258" s="7"/>
      <c r="X258" s="7"/>
      <c r="Y258" s="7"/>
    </row>
    <row r="259" spans="1:25" ht="14.25" customHeight="1" x14ac:dyDescent="0.3">
      <c r="A259" s="18">
        <v>64.2</v>
      </c>
      <c r="B259" s="19"/>
      <c r="C259" s="19"/>
      <c r="D259" s="19"/>
      <c r="E259" s="19"/>
      <c r="F259" s="19"/>
      <c r="G259" s="21"/>
      <c r="H259" s="21"/>
      <c r="I259" s="21"/>
      <c r="J259" s="21"/>
      <c r="K259" s="19"/>
      <c r="L259" s="19"/>
      <c r="M259" s="22"/>
      <c r="N259" s="19"/>
      <c r="O259" s="19"/>
      <c r="P259" s="23"/>
      <c r="Q259" s="21" t="s">
        <v>46</v>
      </c>
      <c r="R259" s="19" t="s">
        <v>47</v>
      </c>
      <c r="S259" s="21"/>
      <c r="T259" s="32"/>
      <c r="U259" s="21"/>
      <c r="V259" s="7"/>
      <c r="W259" s="7"/>
      <c r="X259" s="7"/>
      <c r="Y259" s="7"/>
    </row>
    <row r="260" spans="1:25" ht="14.25" customHeight="1" x14ac:dyDescent="0.3">
      <c r="A260" s="18">
        <v>64.3</v>
      </c>
      <c r="B260" s="19"/>
      <c r="C260" s="19"/>
      <c r="D260" s="19"/>
      <c r="E260" s="19"/>
      <c r="F260" s="19"/>
      <c r="G260" s="21"/>
      <c r="H260" s="21"/>
      <c r="I260" s="21"/>
      <c r="J260" s="21"/>
      <c r="K260" s="19"/>
      <c r="L260" s="19"/>
      <c r="M260" s="22"/>
      <c r="N260" s="19"/>
      <c r="O260" s="19"/>
      <c r="P260" s="23"/>
      <c r="Q260" s="21" t="s">
        <v>46</v>
      </c>
      <c r="R260" s="19" t="s">
        <v>47</v>
      </c>
      <c r="S260" s="21"/>
      <c r="T260" s="32"/>
      <c r="U260" s="21"/>
      <c r="V260" s="7"/>
      <c r="W260" s="7"/>
      <c r="X260" s="7"/>
      <c r="Y260" s="7"/>
    </row>
    <row r="261" spans="1:25" ht="14.25" customHeight="1" x14ac:dyDescent="0.3">
      <c r="A261" s="18">
        <v>64.400000000000006</v>
      </c>
      <c r="B261" s="19"/>
      <c r="C261" s="19"/>
      <c r="D261" s="19"/>
      <c r="E261" s="19"/>
      <c r="F261" s="19"/>
      <c r="G261" s="21"/>
      <c r="H261" s="21"/>
      <c r="I261" s="21"/>
      <c r="J261" s="21"/>
      <c r="K261" s="19"/>
      <c r="L261" s="19"/>
      <c r="M261" s="22"/>
      <c r="N261" s="19"/>
      <c r="O261" s="19"/>
      <c r="P261" s="23"/>
      <c r="Q261" s="21" t="s">
        <v>46</v>
      </c>
      <c r="R261" s="19" t="s">
        <v>47</v>
      </c>
      <c r="S261" s="21"/>
      <c r="T261" s="32"/>
      <c r="U261" s="21"/>
      <c r="V261" s="7"/>
      <c r="W261" s="7"/>
      <c r="X261" s="7"/>
      <c r="Y261" s="7"/>
    </row>
    <row r="262" spans="1:25" ht="14.25" customHeight="1" x14ac:dyDescent="0.3">
      <c r="A262" s="18">
        <v>65.099999999999994</v>
      </c>
      <c r="B262" s="19"/>
      <c r="C262" s="19"/>
      <c r="D262" s="19"/>
      <c r="E262" s="19"/>
      <c r="F262" s="19"/>
      <c r="G262" s="21"/>
      <c r="H262" s="21"/>
      <c r="I262" s="21"/>
      <c r="J262" s="21"/>
      <c r="K262" s="19"/>
      <c r="L262" s="19"/>
      <c r="M262" s="22"/>
      <c r="N262" s="19"/>
      <c r="O262" s="19"/>
      <c r="P262" s="23"/>
      <c r="Q262" s="21" t="s">
        <v>46</v>
      </c>
      <c r="R262" s="19" t="s">
        <v>47</v>
      </c>
      <c r="S262" s="21"/>
      <c r="T262" s="32"/>
      <c r="U262" s="21"/>
      <c r="V262" s="7"/>
      <c r="W262" s="7"/>
      <c r="X262" s="7"/>
      <c r="Y262" s="7"/>
    </row>
    <row r="263" spans="1:25" ht="14.25" customHeight="1" x14ac:dyDescent="0.3">
      <c r="A263" s="18">
        <v>65.2</v>
      </c>
      <c r="B263" s="19"/>
      <c r="C263" s="19"/>
      <c r="D263" s="19"/>
      <c r="E263" s="19"/>
      <c r="F263" s="19"/>
      <c r="G263" s="21"/>
      <c r="H263" s="21"/>
      <c r="I263" s="21"/>
      <c r="J263" s="21"/>
      <c r="K263" s="19"/>
      <c r="L263" s="19"/>
      <c r="M263" s="22"/>
      <c r="N263" s="19"/>
      <c r="O263" s="19"/>
      <c r="P263" s="23"/>
      <c r="Q263" s="21" t="s">
        <v>46</v>
      </c>
      <c r="R263" s="19" t="s">
        <v>47</v>
      </c>
      <c r="S263" s="21"/>
      <c r="T263" s="32"/>
      <c r="U263" s="21"/>
      <c r="V263" s="7"/>
      <c r="W263" s="7"/>
      <c r="X263" s="7"/>
      <c r="Y263" s="7"/>
    </row>
    <row r="264" spans="1:25" ht="14.25" customHeight="1" x14ac:dyDescent="0.3">
      <c r="A264" s="18">
        <v>65.3</v>
      </c>
      <c r="B264" s="19"/>
      <c r="C264" s="19"/>
      <c r="D264" s="19"/>
      <c r="E264" s="19"/>
      <c r="F264" s="19"/>
      <c r="G264" s="21"/>
      <c r="H264" s="21"/>
      <c r="I264" s="21"/>
      <c r="J264" s="21"/>
      <c r="K264" s="19"/>
      <c r="L264" s="19"/>
      <c r="M264" s="22"/>
      <c r="N264" s="19"/>
      <c r="O264" s="19"/>
      <c r="P264" s="23"/>
      <c r="Q264" s="21" t="s">
        <v>46</v>
      </c>
      <c r="R264" s="19" t="s">
        <v>47</v>
      </c>
      <c r="S264" s="21"/>
      <c r="T264" s="32"/>
      <c r="U264" s="21"/>
      <c r="V264" s="7"/>
      <c r="W264" s="7"/>
      <c r="X264" s="7"/>
      <c r="Y264" s="7"/>
    </row>
    <row r="265" spans="1:25" ht="14.25" customHeight="1" x14ac:dyDescent="0.3">
      <c r="A265" s="18">
        <v>65.400000000000006</v>
      </c>
      <c r="B265" s="19"/>
      <c r="C265" s="19"/>
      <c r="D265" s="19"/>
      <c r="E265" s="19"/>
      <c r="F265" s="19"/>
      <c r="G265" s="21"/>
      <c r="H265" s="21"/>
      <c r="I265" s="21"/>
      <c r="J265" s="21"/>
      <c r="K265" s="19"/>
      <c r="L265" s="19"/>
      <c r="M265" s="22"/>
      <c r="N265" s="19"/>
      <c r="O265" s="19"/>
      <c r="P265" s="23"/>
      <c r="Q265" s="21" t="s">
        <v>46</v>
      </c>
      <c r="R265" s="19" t="s">
        <v>47</v>
      </c>
      <c r="S265" s="21"/>
      <c r="T265" s="32"/>
      <c r="U265" s="21"/>
      <c r="V265" s="7"/>
      <c r="W265" s="7"/>
      <c r="X265" s="7"/>
      <c r="Y265" s="7"/>
    </row>
    <row r="266" spans="1:25" ht="14.25" customHeight="1" x14ac:dyDescent="0.3">
      <c r="A266" s="18">
        <v>66.099999999999994</v>
      </c>
      <c r="B266" s="19"/>
      <c r="C266" s="19"/>
      <c r="D266" s="19"/>
      <c r="E266" s="19"/>
      <c r="F266" s="19"/>
      <c r="G266" s="21"/>
      <c r="H266" s="21"/>
      <c r="I266" s="21"/>
      <c r="J266" s="21"/>
      <c r="K266" s="19"/>
      <c r="L266" s="19"/>
      <c r="M266" s="22"/>
      <c r="N266" s="19"/>
      <c r="O266" s="19"/>
      <c r="P266" s="23"/>
      <c r="Q266" s="21" t="s">
        <v>46</v>
      </c>
      <c r="R266" s="19" t="s">
        <v>47</v>
      </c>
      <c r="S266" s="21"/>
      <c r="T266" s="32"/>
      <c r="U266" s="21"/>
      <c r="V266" s="7"/>
      <c r="W266" s="7"/>
      <c r="X266" s="7"/>
      <c r="Y266" s="7"/>
    </row>
    <row r="267" spans="1:25" ht="14.25" customHeight="1" x14ac:dyDescent="0.3">
      <c r="A267" s="18">
        <v>66.2</v>
      </c>
      <c r="B267" s="19"/>
      <c r="C267" s="19"/>
      <c r="D267" s="19"/>
      <c r="E267" s="19"/>
      <c r="F267" s="19"/>
      <c r="G267" s="21"/>
      <c r="H267" s="21"/>
      <c r="I267" s="21"/>
      <c r="J267" s="21"/>
      <c r="K267" s="19"/>
      <c r="L267" s="19"/>
      <c r="M267" s="22"/>
      <c r="N267" s="19"/>
      <c r="O267" s="19"/>
      <c r="P267" s="23"/>
      <c r="Q267" s="21" t="s">
        <v>46</v>
      </c>
      <c r="R267" s="19" t="s">
        <v>47</v>
      </c>
      <c r="S267" s="21"/>
      <c r="T267" s="32"/>
      <c r="U267" s="21"/>
      <c r="V267" s="7"/>
      <c r="W267" s="7"/>
      <c r="X267" s="7"/>
      <c r="Y267" s="7"/>
    </row>
    <row r="268" spans="1:25" ht="14.25" customHeight="1" x14ac:dyDescent="0.3">
      <c r="A268" s="18">
        <v>66.3</v>
      </c>
      <c r="B268" s="19"/>
      <c r="C268" s="19"/>
      <c r="D268" s="19"/>
      <c r="E268" s="19"/>
      <c r="F268" s="19"/>
      <c r="G268" s="21"/>
      <c r="H268" s="21"/>
      <c r="I268" s="21"/>
      <c r="J268" s="21"/>
      <c r="K268" s="19"/>
      <c r="L268" s="19"/>
      <c r="M268" s="22"/>
      <c r="N268" s="19"/>
      <c r="O268" s="19"/>
      <c r="P268" s="23"/>
      <c r="Q268" s="21" t="s">
        <v>46</v>
      </c>
      <c r="R268" s="19" t="s">
        <v>47</v>
      </c>
      <c r="S268" s="21"/>
      <c r="T268" s="32"/>
      <c r="U268" s="21"/>
      <c r="V268" s="7"/>
      <c r="W268" s="7"/>
      <c r="X268" s="7"/>
      <c r="Y268" s="7"/>
    </row>
    <row r="269" spans="1:25" ht="14.25" customHeight="1" x14ac:dyDescent="0.3">
      <c r="A269" s="18">
        <v>66.400000000000006</v>
      </c>
      <c r="B269" s="19"/>
      <c r="C269" s="19"/>
      <c r="D269" s="19"/>
      <c r="E269" s="19"/>
      <c r="F269" s="19"/>
      <c r="G269" s="21"/>
      <c r="H269" s="21"/>
      <c r="I269" s="21"/>
      <c r="J269" s="21"/>
      <c r="K269" s="19"/>
      <c r="L269" s="19"/>
      <c r="M269" s="22"/>
      <c r="N269" s="19"/>
      <c r="O269" s="19"/>
      <c r="P269" s="23"/>
      <c r="Q269" s="21" t="s">
        <v>46</v>
      </c>
      <c r="R269" s="19" t="s">
        <v>47</v>
      </c>
      <c r="S269" s="21"/>
      <c r="T269" s="32"/>
      <c r="U269" s="21"/>
      <c r="V269" s="7"/>
      <c r="W269" s="7"/>
      <c r="X269" s="7"/>
      <c r="Y269" s="7"/>
    </row>
    <row r="270" spans="1:25" ht="14.25" customHeight="1" x14ac:dyDescent="0.3">
      <c r="A270" s="18">
        <v>67.099999999999994</v>
      </c>
      <c r="B270" s="19"/>
      <c r="C270" s="19"/>
      <c r="D270" s="19"/>
      <c r="E270" s="19"/>
      <c r="F270" s="19"/>
      <c r="G270" s="21"/>
      <c r="H270" s="21"/>
      <c r="I270" s="21"/>
      <c r="J270" s="21"/>
      <c r="K270" s="19"/>
      <c r="L270" s="19"/>
      <c r="M270" s="22"/>
      <c r="N270" s="19"/>
      <c r="O270" s="19"/>
      <c r="P270" s="23"/>
      <c r="Q270" s="21" t="s">
        <v>46</v>
      </c>
      <c r="R270" s="19" t="s">
        <v>47</v>
      </c>
      <c r="S270" s="21"/>
      <c r="T270" s="32"/>
      <c r="U270" s="21"/>
      <c r="V270" s="7"/>
      <c r="W270" s="7"/>
      <c r="X270" s="7"/>
      <c r="Y270" s="7"/>
    </row>
    <row r="271" spans="1:25" ht="14.25" customHeight="1" x14ac:dyDescent="0.3">
      <c r="A271" s="18">
        <v>67.2</v>
      </c>
      <c r="B271" s="19"/>
      <c r="C271" s="19"/>
      <c r="D271" s="19"/>
      <c r="E271" s="19"/>
      <c r="F271" s="19"/>
      <c r="G271" s="21"/>
      <c r="H271" s="21"/>
      <c r="I271" s="21"/>
      <c r="J271" s="21"/>
      <c r="K271" s="19"/>
      <c r="L271" s="19"/>
      <c r="M271" s="22"/>
      <c r="N271" s="19"/>
      <c r="O271" s="19"/>
      <c r="P271" s="23"/>
      <c r="Q271" s="21" t="s">
        <v>46</v>
      </c>
      <c r="R271" s="19" t="s">
        <v>47</v>
      </c>
      <c r="S271" s="21"/>
      <c r="T271" s="32"/>
      <c r="U271" s="21"/>
      <c r="V271" s="7"/>
      <c r="W271" s="7"/>
      <c r="X271" s="7"/>
      <c r="Y271" s="7"/>
    </row>
    <row r="272" spans="1:25" ht="14.25" customHeight="1" x14ac:dyDescent="0.3">
      <c r="A272" s="18">
        <v>67.3</v>
      </c>
      <c r="B272" s="19"/>
      <c r="C272" s="19"/>
      <c r="D272" s="19"/>
      <c r="E272" s="19"/>
      <c r="F272" s="19"/>
      <c r="G272" s="21"/>
      <c r="H272" s="21"/>
      <c r="I272" s="21"/>
      <c r="J272" s="21"/>
      <c r="K272" s="19"/>
      <c r="L272" s="19"/>
      <c r="M272" s="22"/>
      <c r="N272" s="19"/>
      <c r="O272" s="19"/>
      <c r="P272" s="23"/>
      <c r="Q272" s="21" t="s">
        <v>46</v>
      </c>
      <c r="R272" s="19" t="s">
        <v>47</v>
      </c>
      <c r="S272" s="21"/>
      <c r="T272" s="32"/>
      <c r="U272" s="21"/>
      <c r="V272" s="7"/>
      <c r="W272" s="7"/>
      <c r="X272" s="7"/>
      <c r="Y272" s="7"/>
    </row>
    <row r="273" spans="1:25" ht="14.25" customHeight="1" x14ac:dyDescent="0.3">
      <c r="A273" s="18">
        <v>67.400000000000006</v>
      </c>
      <c r="B273" s="19"/>
      <c r="C273" s="19"/>
      <c r="D273" s="19"/>
      <c r="E273" s="19"/>
      <c r="F273" s="19"/>
      <c r="G273" s="21"/>
      <c r="H273" s="21"/>
      <c r="I273" s="21"/>
      <c r="J273" s="21"/>
      <c r="K273" s="19"/>
      <c r="L273" s="19"/>
      <c r="M273" s="22"/>
      <c r="N273" s="19"/>
      <c r="O273" s="19"/>
      <c r="P273" s="23"/>
      <c r="Q273" s="21" t="s">
        <v>46</v>
      </c>
      <c r="R273" s="19" t="s">
        <v>47</v>
      </c>
      <c r="S273" s="21"/>
      <c r="T273" s="32"/>
      <c r="U273" s="21"/>
      <c r="V273" s="7"/>
      <c r="W273" s="7"/>
      <c r="X273" s="7"/>
      <c r="Y273" s="7"/>
    </row>
    <row r="274" spans="1:25" ht="14.25" customHeight="1" x14ac:dyDescent="0.3">
      <c r="A274" s="18">
        <v>68.099999999999994</v>
      </c>
      <c r="B274" s="19"/>
      <c r="C274" s="19"/>
      <c r="D274" s="19"/>
      <c r="E274" s="19"/>
      <c r="F274" s="19"/>
      <c r="G274" s="21"/>
      <c r="H274" s="21"/>
      <c r="I274" s="21"/>
      <c r="J274" s="21"/>
      <c r="K274" s="19"/>
      <c r="L274" s="19"/>
      <c r="M274" s="22"/>
      <c r="N274" s="19"/>
      <c r="O274" s="19"/>
      <c r="P274" s="23"/>
      <c r="Q274" s="21" t="s">
        <v>46</v>
      </c>
      <c r="R274" s="19" t="s">
        <v>47</v>
      </c>
      <c r="S274" s="21"/>
      <c r="T274" s="32"/>
      <c r="U274" s="21"/>
      <c r="V274" s="7"/>
      <c r="W274" s="7"/>
      <c r="X274" s="7"/>
      <c r="Y274" s="7"/>
    </row>
    <row r="275" spans="1:25" ht="14.25" customHeight="1" x14ac:dyDescent="0.3">
      <c r="A275" s="18">
        <v>68.2</v>
      </c>
      <c r="B275" s="19"/>
      <c r="C275" s="19"/>
      <c r="D275" s="19"/>
      <c r="E275" s="19"/>
      <c r="F275" s="19"/>
      <c r="G275" s="21"/>
      <c r="H275" s="21"/>
      <c r="I275" s="21"/>
      <c r="J275" s="21"/>
      <c r="K275" s="19"/>
      <c r="L275" s="19"/>
      <c r="M275" s="22"/>
      <c r="N275" s="19"/>
      <c r="O275" s="19"/>
      <c r="P275" s="23"/>
      <c r="Q275" s="21" t="s">
        <v>46</v>
      </c>
      <c r="R275" s="19" t="s">
        <v>47</v>
      </c>
      <c r="S275" s="21"/>
      <c r="T275" s="32"/>
      <c r="U275" s="21"/>
      <c r="V275" s="7"/>
      <c r="W275" s="7"/>
      <c r="X275" s="7"/>
      <c r="Y275" s="7"/>
    </row>
    <row r="276" spans="1:25" ht="14.25" customHeight="1" x14ac:dyDescent="0.3">
      <c r="A276" s="18">
        <v>68.3</v>
      </c>
      <c r="B276" s="19"/>
      <c r="C276" s="19"/>
      <c r="D276" s="19"/>
      <c r="E276" s="19"/>
      <c r="F276" s="19"/>
      <c r="G276" s="21"/>
      <c r="H276" s="21"/>
      <c r="I276" s="21"/>
      <c r="J276" s="21"/>
      <c r="K276" s="19"/>
      <c r="L276" s="19"/>
      <c r="M276" s="22"/>
      <c r="N276" s="19"/>
      <c r="O276" s="19"/>
      <c r="P276" s="23"/>
      <c r="Q276" s="21" t="s">
        <v>46</v>
      </c>
      <c r="R276" s="19" t="s">
        <v>47</v>
      </c>
      <c r="S276" s="21"/>
      <c r="T276" s="32"/>
      <c r="U276" s="21"/>
      <c r="V276" s="7"/>
      <c r="W276" s="7"/>
      <c r="X276" s="7"/>
      <c r="Y276" s="7"/>
    </row>
    <row r="277" spans="1:25" ht="14.25" customHeight="1" x14ac:dyDescent="0.3">
      <c r="A277" s="18">
        <v>68.400000000000006</v>
      </c>
      <c r="B277" s="19"/>
      <c r="C277" s="19"/>
      <c r="D277" s="19"/>
      <c r="E277" s="19"/>
      <c r="F277" s="19"/>
      <c r="G277" s="21"/>
      <c r="H277" s="21"/>
      <c r="I277" s="21"/>
      <c r="J277" s="21"/>
      <c r="K277" s="19"/>
      <c r="L277" s="19"/>
      <c r="M277" s="22"/>
      <c r="N277" s="19"/>
      <c r="O277" s="19"/>
      <c r="P277" s="23"/>
      <c r="Q277" s="21" t="s">
        <v>46</v>
      </c>
      <c r="R277" s="19" t="s">
        <v>47</v>
      </c>
      <c r="S277" s="21"/>
      <c r="T277" s="32"/>
      <c r="U277" s="21"/>
      <c r="V277" s="7"/>
      <c r="W277" s="7"/>
      <c r="X277" s="7"/>
      <c r="Y277" s="7"/>
    </row>
    <row r="278" spans="1:25" ht="14.25" customHeight="1" x14ac:dyDescent="0.3">
      <c r="A278" s="18">
        <v>69.099999999999994</v>
      </c>
      <c r="B278" s="19"/>
      <c r="C278" s="19"/>
      <c r="D278" s="19"/>
      <c r="E278" s="19"/>
      <c r="F278" s="19"/>
      <c r="G278" s="21"/>
      <c r="H278" s="21"/>
      <c r="I278" s="21"/>
      <c r="J278" s="21"/>
      <c r="K278" s="19"/>
      <c r="L278" s="19"/>
      <c r="M278" s="22"/>
      <c r="N278" s="19"/>
      <c r="O278" s="19"/>
      <c r="P278" s="23"/>
      <c r="Q278" s="21" t="s">
        <v>46</v>
      </c>
      <c r="R278" s="19" t="s">
        <v>47</v>
      </c>
      <c r="S278" s="21"/>
      <c r="T278" s="32"/>
      <c r="U278" s="21"/>
      <c r="V278" s="7"/>
      <c r="W278" s="7"/>
      <c r="X278" s="7"/>
      <c r="Y278" s="7"/>
    </row>
    <row r="279" spans="1:25" ht="14.25" customHeight="1" x14ac:dyDescent="0.3">
      <c r="A279" s="18">
        <v>69.2</v>
      </c>
      <c r="B279" s="19"/>
      <c r="C279" s="19"/>
      <c r="D279" s="19"/>
      <c r="E279" s="19"/>
      <c r="F279" s="19"/>
      <c r="G279" s="21"/>
      <c r="H279" s="21"/>
      <c r="I279" s="21"/>
      <c r="J279" s="21"/>
      <c r="K279" s="19"/>
      <c r="L279" s="19"/>
      <c r="M279" s="22"/>
      <c r="N279" s="19"/>
      <c r="O279" s="19"/>
      <c r="P279" s="23"/>
      <c r="Q279" s="21" t="s">
        <v>46</v>
      </c>
      <c r="R279" s="19" t="s">
        <v>47</v>
      </c>
      <c r="S279" s="21"/>
      <c r="T279" s="32"/>
      <c r="U279" s="21"/>
      <c r="V279" s="7"/>
      <c r="W279" s="7"/>
      <c r="X279" s="7"/>
      <c r="Y279" s="7"/>
    </row>
    <row r="280" spans="1:25" ht="14.25" customHeight="1" x14ac:dyDescent="0.3">
      <c r="A280" s="18">
        <v>69.3</v>
      </c>
      <c r="B280" s="19"/>
      <c r="C280" s="19"/>
      <c r="D280" s="19"/>
      <c r="E280" s="19"/>
      <c r="F280" s="19"/>
      <c r="G280" s="21"/>
      <c r="H280" s="21"/>
      <c r="I280" s="21"/>
      <c r="J280" s="21"/>
      <c r="K280" s="19"/>
      <c r="L280" s="19"/>
      <c r="M280" s="22"/>
      <c r="N280" s="19"/>
      <c r="O280" s="19"/>
      <c r="P280" s="23"/>
      <c r="Q280" s="21" t="s">
        <v>46</v>
      </c>
      <c r="R280" s="19" t="s">
        <v>47</v>
      </c>
      <c r="S280" s="21"/>
      <c r="T280" s="32"/>
      <c r="U280" s="21"/>
      <c r="V280" s="7"/>
      <c r="W280" s="7"/>
      <c r="X280" s="7"/>
      <c r="Y280" s="7"/>
    </row>
    <row r="281" spans="1:25" ht="14.25" customHeight="1" x14ac:dyDescent="0.3">
      <c r="A281" s="18">
        <v>69.400000000000006</v>
      </c>
      <c r="B281" s="19"/>
      <c r="C281" s="19"/>
      <c r="D281" s="19"/>
      <c r="E281" s="19"/>
      <c r="F281" s="19"/>
      <c r="G281" s="21"/>
      <c r="H281" s="21"/>
      <c r="I281" s="21"/>
      <c r="J281" s="21"/>
      <c r="K281" s="19"/>
      <c r="L281" s="19"/>
      <c r="M281" s="22"/>
      <c r="N281" s="19"/>
      <c r="O281" s="19"/>
      <c r="P281" s="23"/>
      <c r="Q281" s="21" t="s">
        <v>46</v>
      </c>
      <c r="R281" s="19" t="s">
        <v>47</v>
      </c>
      <c r="S281" s="21"/>
      <c r="T281" s="32"/>
      <c r="U281" s="21"/>
      <c r="V281" s="7"/>
      <c r="W281" s="7"/>
      <c r="X281" s="7"/>
      <c r="Y281" s="7"/>
    </row>
    <row r="282" spans="1:25" ht="14.25" customHeight="1" x14ac:dyDescent="0.3">
      <c r="A282" s="18">
        <v>70.099999999999994</v>
      </c>
      <c r="B282" s="19"/>
      <c r="C282" s="19"/>
      <c r="D282" s="19"/>
      <c r="E282" s="19"/>
      <c r="F282" s="19"/>
      <c r="G282" s="21"/>
      <c r="H282" s="21"/>
      <c r="I282" s="21"/>
      <c r="J282" s="21"/>
      <c r="K282" s="19"/>
      <c r="L282" s="19"/>
      <c r="M282" s="22"/>
      <c r="N282" s="19"/>
      <c r="O282" s="19"/>
      <c r="P282" s="23"/>
      <c r="Q282" s="21" t="s">
        <v>46</v>
      </c>
      <c r="R282" s="19" t="s">
        <v>47</v>
      </c>
      <c r="S282" s="21"/>
      <c r="T282" s="32"/>
      <c r="U282" s="21"/>
      <c r="V282" s="7"/>
      <c r="W282" s="7"/>
      <c r="X282" s="7"/>
      <c r="Y282" s="7"/>
    </row>
    <row r="283" spans="1:25" ht="14.25" customHeight="1" x14ac:dyDescent="0.3">
      <c r="A283" s="18">
        <v>70.2</v>
      </c>
      <c r="B283" s="19"/>
      <c r="C283" s="19"/>
      <c r="D283" s="19"/>
      <c r="E283" s="19"/>
      <c r="F283" s="19"/>
      <c r="G283" s="21"/>
      <c r="H283" s="21"/>
      <c r="I283" s="21"/>
      <c r="J283" s="21"/>
      <c r="K283" s="19"/>
      <c r="L283" s="19"/>
      <c r="M283" s="22"/>
      <c r="N283" s="19"/>
      <c r="O283" s="19"/>
      <c r="P283" s="23"/>
      <c r="Q283" s="21" t="s">
        <v>46</v>
      </c>
      <c r="R283" s="19" t="s">
        <v>47</v>
      </c>
      <c r="S283" s="21"/>
      <c r="T283" s="32"/>
      <c r="U283" s="21"/>
      <c r="V283" s="7"/>
      <c r="W283" s="7"/>
      <c r="X283" s="7"/>
      <c r="Y283" s="7"/>
    </row>
    <row r="284" spans="1:25" ht="14.25" customHeight="1" x14ac:dyDescent="0.3">
      <c r="A284" s="18">
        <v>70.3</v>
      </c>
      <c r="B284" s="19"/>
      <c r="C284" s="19"/>
      <c r="D284" s="19"/>
      <c r="E284" s="19"/>
      <c r="F284" s="19"/>
      <c r="G284" s="21"/>
      <c r="H284" s="21"/>
      <c r="I284" s="21"/>
      <c r="J284" s="21"/>
      <c r="K284" s="19"/>
      <c r="L284" s="19"/>
      <c r="M284" s="22"/>
      <c r="N284" s="19"/>
      <c r="O284" s="19"/>
      <c r="P284" s="23"/>
      <c r="Q284" s="21" t="s">
        <v>46</v>
      </c>
      <c r="R284" s="19" t="s">
        <v>47</v>
      </c>
      <c r="S284" s="21"/>
      <c r="T284" s="32"/>
      <c r="U284" s="21"/>
      <c r="V284" s="7"/>
      <c r="W284" s="7"/>
      <c r="X284" s="7"/>
      <c r="Y284" s="7"/>
    </row>
    <row r="285" spans="1:25" ht="14.25" customHeight="1" x14ac:dyDescent="0.3">
      <c r="A285" s="18">
        <v>70.400000000000006</v>
      </c>
      <c r="B285" s="19"/>
      <c r="C285" s="19"/>
      <c r="D285" s="19"/>
      <c r="E285" s="19"/>
      <c r="F285" s="19"/>
      <c r="G285" s="21"/>
      <c r="H285" s="21"/>
      <c r="I285" s="21"/>
      <c r="J285" s="21"/>
      <c r="K285" s="19"/>
      <c r="L285" s="19"/>
      <c r="M285" s="22"/>
      <c r="N285" s="19"/>
      <c r="O285" s="19"/>
      <c r="P285" s="23"/>
      <c r="Q285" s="21" t="s">
        <v>46</v>
      </c>
      <c r="R285" s="19" t="s">
        <v>47</v>
      </c>
      <c r="S285" s="21"/>
      <c r="T285" s="32"/>
      <c r="U285" s="21"/>
      <c r="V285" s="7"/>
      <c r="W285" s="7"/>
      <c r="X285" s="7"/>
      <c r="Y285" s="7"/>
    </row>
    <row r="286" spans="1:25" ht="14.25" customHeight="1" x14ac:dyDescent="0.3">
      <c r="A286" s="18">
        <v>71.099999999999994</v>
      </c>
      <c r="B286" s="19"/>
      <c r="C286" s="19"/>
      <c r="D286" s="19"/>
      <c r="E286" s="19"/>
      <c r="F286" s="19"/>
      <c r="G286" s="21"/>
      <c r="H286" s="21"/>
      <c r="I286" s="21"/>
      <c r="J286" s="21"/>
      <c r="K286" s="19"/>
      <c r="L286" s="19"/>
      <c r="M286" s="22"/>
      <c r="N286" s="19"/>
      <c r="O286" s="19"/>
      <c r="P286" s="23"/>
      <c r="Q286" s="21" t="s">
        <v>46</v>
      </c>
      <c r="R286" s="19" t="s">
        <v>47</v>
      </c>
      <c r="S286" s="21"/>
      <c r="T286" s="32"/>
      <c r="U286" s="21"/>
      <c r="V286" s="7"/>
      <c r="W286" s="7"/>
      <c r="X286" s="7"/>
      <c r="Y286" s="7"/>
    </row>
    <row r="287" spans="1:25" ht="14.25" customHeight="1" x14ac:dyDescent="0.3">
      <c r="A287" s="18">
        <v>71.2</v>
      </c>
      <c r="B287" s="19"/>
      <c r="C287" s="19"/>
      <c r="D287" s="19"/>
      <c r="E287" s="19"/>
      <c r="F287" s="19"/>
      <c r="G287" s="21"/>
      <c r="H287" s="21"/>
      <c r="I287" s="21"/>
      <c r="J287" s="21"/>
      <c r="K287" s="19"/>
      <c r="L287" s="19"/>
      <c r="M287" s="22"/>
      <c r="N287" s="19"/>
      <c r="O287" s="19"/>
      <c r="P287" s="23"/>
      <c r="Q287" s="21" t="s">
        <v>46</v>
      </c>
      <c r="R287" s="19" t="s">
        <v>47</v>
      </c>
      <c r="S287" s="21"/>
      <c r="T287" s="32"/>
      <c r="U287" s="21"/>
      <c r="V287" s="7"/>
      <c r="W287" s="7"/>
      <c r="X287" s="7"/>
      <c r="Y287" s="7"/>
    </row>
    <row r="288" spans="1:25" ht="14.25" customHeight="1" x14ac:dyDescent="0.3">
      <c r="A288" s="18">
        <v>71.3</v>
      </c>
      <c r="B288" s="19"/>
      <c r="C288" s="19"/>
      <c r="D288" s="19"/>
      <c r="E288" s="19"/>
      <c r="F288" s="19"/>
      <c r="G288" s="21"/>
      <c r="H288" s="21"/>
      <c r="I288" s="21"/>
      <c r="J288" s="21"/>
      <c r="K288" s="19"/>
      <c r="L288" s="19"/>
      <c r="M288" s="22"/>
      <c r="N288" s="19"/>
      <c r="O288" s="19"/>
      <c r="P288" s="23"/>
      <c r="Q288" s="21" t="s">
        <v>46</v>
      </c>
      <c r="R288" s="19" t="s">
        <v>47</v>
      </c>
      <c r="S288" s="21"/>
      <c r="T288" s="32"/>
      <c r="U288" s="21"/>
      <c r="V288" s="7"/>
      <c r="W288" s="7"/>
      <c r="X288" s="7"/>
      <c r="Y288" s="7"/>
    </row>
    <row r="289" spans="1:25" ht="14.25" customHeight="1" x14ac:dyDescent="0.3">
      <c r="A289" s="18">
        <v>71.400000000000006</v>
      </c>
      <c r="B289" s="19"/>
      <c r="C289" s="19"/>
      <c r="D289" s="19"/>
      <c r="E289" s="19"/>
      <c r="F289" s="19"/>
      <c r="G289" s="21"/>
      <c r="H289" s="21"/>
      <c r="I289" s="21"/>
      <c r="J289" s="21"/>
      <c r="K289" s="19"/>
      <c r="L289" s="19"/>
      <c r="M289" s="22"/>
      <c r="N289" s="19"/>
      <c r="O289" s="19"/>
      <c r="P289" s="23"/>
      <c r="Q289" s="21" t="s">
        <v>46</v>
      </c>
      <c r="R289" s="19" t="s">
        <v>47</v>
      </c>
      <c r="S289" s="21"/>
      <c r="T289" s="32"/>
      <c r="U289" s="21"/>
      <c r="V289" s="7"/>
      <c r="W289" s="7"/>
      <c r="X289" s="7"/>
      <c r="Y289" s="7"/>
    </row>
    <row r="290" spans="1:25" ht="14.25" customHeight="1" x14ac:dyDescent="0.3">
      <c r="A290" s="18">
        <v>72.099999999999994</v>
      </c>
      <c r="B290" s="19"/>
      <c r="C290" s="19"/>
      <c r="D290" s="19"/>
      <c r="E290" s="19"/>
      <c r="F290" s="19"/>
      <c r="G290" s="21"/>
      <c r="H290" s="21"/>
      <c r="I290" s="21"/>
      <c r="J290" s="21"/>
      <c r="K290" s="19"/>
      <c r="L290" s="19"/>
      <c r="M290" s="22"/>
      <c r="N290" s="19"/>
      <c r="O290" s="19"/>
      <c r="P290" s="23"/>
      <c r="Q290" s="21" t="s">
        <v>46</v>
      </c>
      <c r="R290" s="19" t="s">
        <v>47</v>
      </c>
      <c r="S290" s="21"/>
      <c r="T290" s="32"/>
      <c r="U290" s="21"/>
      <c r="V290" s="7"/>
      <c r="W290" s="7"/>
      <c r="X290" s="7"/>
      <c r="Y290" s="7"/>
    </row>
    <row r="291" spans="1:25" ht="14.25" customHeight="1" x14ac:dyDescent="0.3">
      <c r="A291" s="18">
        <v>72.2</v>
      </c>
      <c r="B291" s="19"/>
      <c r="C291" s="19"/>
      <c r="D291" s="19"/>
      <c r="E291" s="19"/>
      <c r="F291" s="19"/>
      <c r="G291" s="21"/>
      <c r="H291" s="21"/>
      <c r="I291" s="21"/>
      <c r="J291" s="21"/>
      <c r="K291" s="19"/>
      <c r="L291" s="19"/>
      <c r="M291" s="22"/>
      <c r="N291" s="19"/>
      <c r="O291" s="19"/>
      <c r="P291" s="23"/>
      <c r="Q291" s="21" t="s">
        <v>46</v>
      </c>
      <c r="R291" s="19" t="s">
        <v>47</v>
      </c>
      <c r="S291" s="21"/>
      <c r="T291" s="32"/>
      <c r="U291" s="21"/>
      <c r="V291" s="7"/>
      <c r="W291" s="7"/>
      <c r="X291" s="7"/>
      <c r="Y291" s="7"/>
    </row>
    <row r="292" spans="1:25" ht="14.25" customHeight="1" x14ac:dyDescent="0.3">
      <c r="A292" s="18">
        <v>72.3</v>
      </c>
      <c r="B292" s="19"/>
      <c r="C292" s="19"/>
      <c r="D292" s="19"/>
      <c r="E292" s="19"/>
      <c r="F292" s="19"/>
      <c r="G292" s="21"/>
      <c r="H292" s="21"/>
      <c r="I292" s="21"/>
      <c r="J292" s="21"/>
      <c r="K292" s="19"/>
      <c r="L292" s="19"/>
      <c r="M292" s="22"/>
      <c r="N292" s="19"/>
      <c r="O292" s="19"/>
      <c r="P292" s="23"/>
      <c r="Q292" s="21" t="s">
        <v>46</v>
      </c>
      <c r="R292" s="19" t="s">
        <v>47</v>
      </c>
      <c r="S292" s="21"/>
      <c r="T292" s="32"/>
      <c r="U292" s="21"/>
      <c r="V292" s="7"/>
      <c r="W292" s="7"/>
      <c r="X292" s="7"/>
      <c r="Y292" s="7"/>
    </row>
    <row r="293" spans="1:25" ht="14.25" customHeight="1" x14ac:dyDescent="0.3">
      <c r="A293" s="18">
        <v>72.400000000000006</v>
      </c>
      <c r="B293" s="19"/>
      <c r="C293" s="19"/>
      <c r="D293" s="19"/>
      <c r="E293" s="19"/>
      <c r="F293" s="19"/>
      <c r="G293" s="21"/>
      <c r="H293" s="21"/>
      <c r="I293" s="21"/>
      <c r="J293" s="21"/>
      <c r="K293" s="19"/>
      <c r="L293" s="19"/>
      <c r="M293" s="22"/>
      <c r="N293" s="19"/>
      <c r="O293" s="19"/>
      <c r="P293" s="23"/>
      <c r="Q293" s="21" t="s">
        <v>46</v>
      </c>
      <c r="R293" s="19" t="s">
        <v>47</v>
      </c>
      <c r="S293" s="21"/>
      <c r="T293" s="32"/>
      <c r="U293" s="21"/>
      <c r="V293" s="7"/>
      <c r="W293" s="7"/>
      <c r="X293" s="7"/>
      <c r="Y293" s="7"/>
    </row>
    <row r="294" spans="1:25" ht="14.25" customHeight="1" x14ac:dyDescent="0.3">
      <c r="A294" s="18">
        <v>73.099999999999994</v>
      </c>
      <c r="B294" s="19"/>
      <c r="C294" s="19"/>
      <c r="D294" s="19"/>
      <c r="E294" s="19"/>
      <c r="F294" s="19"/>
      <c r="G294" s="21"/>
      <c r="H294" s="21"/>
      <c r="I294" s="21"/>
      <c r="J294" s="21"/>
      <c r="K294" s="19"/>
      <c r="L294" s="19"/>
      <c r="M294" s="22"/>
      <c r="N294" s="19"/>
      <c r="O294" s="19"/>
      <c r="P294" s="23"/>
      <c r="Q294" s="21" t="s">
        <v>46</v>
      </c>
      <c r="R294" s="19" t="s">
        <v>47</v>
      </c>
      <c r="S294" s="21"/>
      <c r="T294" s="32"/>
      <c r="U294" s="21"/>
      <c r="V294" s="7"/>
      <c r="W294" s="7"/>
      <c r="X294" s="7"/>
      <c r="Y294" s="7"/>
    </row>
    <row r="295" spans="1:25" ht="14.25" customHeight="1" x14ac:dyDescent="0.3">
      <c r="A295" s="18">
        <v>73.2</v>
      </c>
      <c r="B295" s="19"/>
      <c r="C295" s="19"/>
      <c r="D295" s="19"/>
      <c r="E295" s="19"/>
      <c r="F295" s="19"/>
      <c r="G295" s="21"/>
      <c r="H295" s="21"/>
      <c r="I295" s="21"/>
      <c r="J295" s="21"/>
      <c r="K295" s="19"/>
      <c r="L295" s="19"/>
      <c r="M295" s="22"/>
      <c r="N295" s="19"/>
      <c r="O295" s="19"/>
      <c r="P295" s="23"/>
      <c r="Q295" s="21" t="s">
        <v>46</v>
      </c>
      <c r="R295" s="19" t="s">
        <v>47</v>
      </c>
      <c r="S295" s="21"/>
      <c r="T295" s="32"/>
      <c r="U295" s="21"/>
      <c r="V295" s="7"/>
      <c r="W295" s="7"/>
      <c r="X295" s="7"/>
      <c r="Y295" s="7"/>
    </row>
    <row r="296" spans="1:25" ht="14.25" customHeight="1" x14ac:dyDescent="0.3">
      <c r="A296" s="18">
        <v>73.3</v>
      </c>
      <c r="B296" s="19"/>
      <c r="C296" s="19"/>
      <c r="D296" s="19"/>
      <c r="E296" s="19"/>
      <c r="F296" s="19"/>
      <c r="G296" s="21"/>
      <c r="H296" s="21"/>
      <c r="I296" s="21"/>
      <c r="J296" s="21"/>
      <c r="K296" s="19"/>
      <c r="L296" s="19"/>
      <c r="M296" s="22"/>
      <c r="N296" s="19"/>
      <c r="O296" s="19"/>
      <c r="P296" s="23"/>
      <c r="Q296" s="21" t="s">
        <v>46</v>
      </c>
      <c r="R296" s="19" t="s">
        <v>47</v>
      </c>
      <c r="S296" s="21"/>
      <c r="T296" s="32"/>
      <c r="U296" s="21"/>
      <c r="V296" s="7"/>
      <c r="W296" s="7"/>
      <c r="X296" s="7"/>
      <c r="Y296" s="7"/>
    </row>
    <row r="297" spans="1:25" ht="14.25" customHeight="1" x14ac:dyDescent="0.3">
      <c r="A297" s="18">
        <v>73.400000000000006</v>
      </c>
      <c r="B297" s="19"/>
      <c r="C297" s="19"/>
      <c r="D297" s="19"/>
      <c r="E297" s="19"/>
      <c r="F297" s="19"/>
      <c r="G297" s="21"/>
      <c r="H297" s="21"/>
      <c r="I297" s="21"/>
      <c r="J297" s="21"/>
      <c r="K297" s="19"/>
      <c r="L297" s="19"/>
      <c r="M297" s="22"/>
      <c r="N297" s="19"/>
      <c r="O297" s="19"/>
      <c r="P297" s="23"/>
      <c r="Q297" s="21" t="s">
        <v>46</v>
      </c>
      <c r="R297" s="19" t="s">
        <v>47</v>
      </c>
      <c r="S297" s="21"/>
      <c r="T297" s="32"/>
      <c r="U297" s="21"/>
      <c r="V297" s="7"/>
      <c r="W297" s="7"/>
      <c r="X297" s="7"/>
      <c r="Y297" s="7"/>
    </row>
    <row r="298" spans="1:25" ht="14.25" customHeight="1" x14ac:dyDescent="0.3">
      <c r="A298" s="18">
        <v>74.099999999999994</v>
      </c>
      <c r="B298" s="19"/>
      <c r="C298" s="19"/>
      <c r="D298" s="19"/>
      <c r="E298" s="19"/>
      <c r="F298" s="19"/>
      <c r="G298" s="21"/>
      <c r="H298" s="21"/>
      <c r="I298" s="21"/>
      <c r="J298" s="21"/>
      <c r="K298" s="19"/>
      <c r="L298" s="19"/>
      <c r="M298" s="22"/>
      <c r="N298" s="19"/>
      <c r="O298" s="19"/>
      <c r="P298" s="23"/>
      <c r="Q298" s="21" t="s">
        <v>46</v>
      </c>
      <c r="R298" s="19" t="s">
        <v>47</v>
      </c>
      <c r="S298" s="21"/>
      <c r="T298" s="32"/>
      <c r="U298" s="21"/>
      <c r="V298" s="7"/>
      <c r="W298" s="7"/>
      <c r="X298" s="7"/>
      <c r="Y298" s="7"/>
    </row>
    <row r="299" spans="1:25" ht="14.25" customHeight="1" x14ac:dyDescent="0.3">
      <c r="A299" s="18">
        <v>74.2</v>
      </c>
      <c r="B299" s="19"/>
      <c r="C299" s="19"/>
      <c r="D299" s="19"/>
      <c r="E299" s="19"/>
      <c r="F299" s="19"/>
      <c r="G299" s="21"/>
      <c r="H299" s="21"/>
      <c r="I299" s="21"/>
      <c r="J299" s="21"/>
      <c r="K299" s="19"/>
      <c r="L299" s="19"/>
      <c r="M299" s="22"/>
      <c r="N299" s="19"/>
      <c r="O299" s="19"/>
      <c r="P299" s="23"/>
      <c r="Q299" s="21" t="s">
        <v>46</v>
      </c>
      <c r="R299" s="19" t="s">
        <v>47</v>
      </c>
      <c r="S299" s="21"/>
      <c r="T299" s="32"/>
      <c r="U299" s="21"/>
      <c r="V299" s="7"/>
      <c r="W299" s="7"/>
      <c r="X299" s="7"/>
      <c r="Y299" s="7"/>
    </row>
    <row r="300" spans="1:25" ht="14.25" customHeight="1" x14ac:dyDescent="0.3">
      <c r="A300" s="18">
        <v>74.3</v>
      </c>
      <c r="B300" s="19"/>
      <c r="C300" s="19"/>
      <c r="D300" s="19"/>
      <c r="E300" s="19"/>
      <c r="F300" s="19"/>
      <c r="G300" s="21"/>
      <c r="H300" s="21"/>
      <c r="I300" s="21"/>
      <c r="J300" s="21"/>
      <c r="K300" s="19"/>
      <c r="L300" s="19"/>
      <c r="M300" s="22"/>
      <c r="N300" s="19"/>
      <c r="O300" s="19"/>
      <c r="P300" s="23"/>
      <c r="Q300" s="21" t="s">
        <v>46</v>
      </c>
      <c r="R300" s="19" t="s">
        <v>47</v>
      </c>
      <c r="S300" s="21"/>
      <c r="T300" s="32"/>
      <c r="U300" s="21"/>
      <c r="V300" s="7"/>
      <c r="W300" s="7"/>
      <c r="X300" s="7"/>
      <c r="Y300" s="7"/>
    </row>
    <row r="301" spans="1:25" ht="14.25" customHeight="1" x14ac:dyDescent="0.3">
      <c r="A301" s="18">
        <v>74.400000000000006</v>
      </c>
      <c r="B301" s="19"/>
      <c r="C301" s="19"/>
      <c r="D301" s="19"/>
      <c r="E301" s="19"/>
      <c r="F301" s="19"/>
      <c r="G301" s="21"/>
      <c r="H301" s="21"/>
      <c r="I301" s="21"/>
      <c r="J301" s="21"/>
      <c r="K301" s="19"/>
      <c r="L301" s="19"/>
      <c r="M301" s="22"/>
      <c r="N301" s="19"/>
      <c r="O301" s="19"/>
      <c r="P301" s="23"/>
      <c r="Q301" s="21" t="s">
        <v>46</v>
      </c>
      <c r="R301" s="19" t="s">
        <v>47</v>
      </c>
      <c r="S301" s="21"/>
      <c r="T301" s="32"/>
      <c r="U301" s="21"/>
      <c r="V301" s="7"/>
      <c r="W301" s="7"/>
      <c r="X301" s="7"/>
      <c r="Y301" s="7"/>
    </row>
    <row r="302" spans="1:25" ht="14.25" customHeight="1" x14ac:dyDescent="0.3">
      <c r="A302" s="18">
        <v>75.099999999999994</v>
      </c>
      <c r="B302" s="19"/>
      <c r="C302" s="19"/>
      <c r="D302" s="19"/>
      <c r="E302" s="19"/>
      <c r="F302" s="19"/>
      <c r="G302" s="21"/>
      <c r="H302" s="21"/>
      <c r="I302" s="21"/>
      <c r="J302" s="21"/>
      <c r="K302" s="19"/>
      <c r="L302" s="19"/>
      <c r="M302" s="22"/>
      <c r="N302" s="19"/>
      <c r="O302" s="19"/>
      <c r="P302" s="23"/>
      <c r="Q302" s="21" t="s">
        <v>46</v>
      </c>
      <c r="R302" s="19" t="s">
        <v>47</v>
      </c>
      <c r="S302" s="21"/>
      <c r="T302" s="32"/>
      <c r="U302" s="21"/>
      <c r="V302" s="7"/>
      <c r="W302" s="7"/>
      <c r="X302" s="7"/>
      <c r="Y302" s="7"/>
    </row>
    <row r="303" spans="1:25" ht="14.25" customHeight="1" x14ac:dyDescent="0.3">
      <c r="A303" s="18">
        <v>75.2</v>
      </c>
      <c r="B303" s="19"/>
      <c r="C303" s="19"/>
      <c r="D303" s="19"/>
      <c r="E303" s="19"/>
      <c r="F303" s="19"/>
      <c r="G303" s="21"/>
      <c r="H303" s="21"/>
      <c r="I303" s="21"/>
      <c r="J303" s="21"/>
      <c r="K303" s="19"/>
      <c r="L303" s="19"/>
      <c r="M303" s="22"/>
      <c r="N303" s="19"/>
      <c r="O303" s="19"/>
      <c r="P303" s="23"/>
      <c r="Q303" s="21" t="s">
        <v>46</v>
      </c>
      <c r="R303" s="19" t="s">
        <v>47</v>
      </c>
      <c r="S303" s="21"/>
      <c r="T303" s="32"/>
      <c r="U303" s="21"/>
      <c r="V303" s="7"/>
      <c r="W303" s="7"/>
      <c r="X303" s="7"/>
      <c r="Y303" s="7"/>
    </row>
    <row r="304" spans="1:25" ht="14.25" customHeight="1" x14ac:dyDescent="0.3">
      <c r="A304" s="18">
        <v>75.3</v>
      </c>
      <c r="B304" s="19"/>
      <c r="C304" s="19"/>
      <c r="D304" s="19"/>
      <c r="E304" s="19"/>
      <c r="F304" s="19"/>
      <c r="G304" s="21"/>
      <c r="H304" s="21"/>
      <c r="I304" s="21"/>
      <c r="J304" s="21"/>
      <c r="K304" s="19"/>
      <c r="L304" s="19"/>
      <c r="M304" s="22"/>
      <c r="N304" s="19"/>
      <c r="O304" s="19"/>
      <c r="P304" s="23"/>
      <c r="Q304" s="21" t="s">
        <v>46</v>
      </c>
      <c r="R304" s="19" t="s">
        <v>47</v>
      </c>
      <c r="S304" s="21"/>
      <c r="T304" s="32"/>
      <c r="U304" s="21"/>
      <c r="V304" s="7"/>
      <c r="W304" s="7"/>
      <c r="X304" s="7"/>
      <c r="Y304" s="7"/>
    </row>
    <row r="305" spans="1:25" ht="14.25" customHeight="1" x14ac:dyDescent="0.3">
      <c r="A305" s="18">
        <v>75.400000000000006</v>
      </c>
      <c r="B305" s="19"/>
      <c r="C305" s="19"/>
      <c r="D305" s="19"/>
      <c r="E305" s="19"/>
      <c r="F305" s="19"/>
      <c r="G305" s="21"/>
      <c r="H305" s="21"/>
      <c r="I305" s="21"/>
      <c r="J305" s="21"/>
      <c r="K305" s="19"/>
      <c r="L305" s="19"/>
      <c r="M305" s="22"/>
      <c r="N305" s="19"/>
      <c r="O305" s="19"/>
      <c r="P305" s="23"/>
      <c r="Q305" s="21" t="s">
        <v>46</v>
      </c>
      <c r="R305" s="19" t="s">
        <v>47</v>
      </c>
      <c r="S305" s="21"/>
      <c r="T305" s="32"/>
      <c r="U305" s="21"/>
      <c r="V305" s="7"/>
      <c r="W305" s="7"/>
      <c r="X305" s="7"/>
      <c r="Y305" s="7"/>
    </row>
    <row r="306" spans="1:25" ht="14.25" customHeight="1" x14ac:dyDescent="0.3">
      <c r="A306" s="18">
        <v>76.099999999999994</v>
      </c>
      <c r="B306" s="19"/>
      <c r="C306" s="19"/>
      <c r="D306" s="19"/>
      <c r="E306" s="19"/>
      <c r="F306" s="19"/>
      <c r="G306" s="21"/>
      <c r="H306" s="21"/>
      <c r="I306" s="21"/>
      <c r="J306" s="21"/>
      <c r="K306" s="19"/>
      <c r="L306" s="19"/>
      <c r="M306" s="22"/>
      <c r="N306" s="19"/>
      <c r="O306" s="19"/>
      <c r="P306" s="23"/>
      <c r="Q306" s="21" t="s">
        <v>46</v>
      </c>
      <c r="R306" s="19" t="s">
        <v>47</v>
      </c>
      <c r="S306" s="21"/>
      <c r="T306" s="32"/>
      <c r="U306" s="21"/>
      <c r="V306" s="7"/>
      <c r="W306" s="7"/>
      <c r="X306" s="7"/>
      <c r="Y306" s="7"/>
    </row>
    <row r="307" spans="1:25" ht="14.25" customHeight="1" x14ac:dyDescent="0.3">
      <c r="A307" s="18">
        <v>76.2</v>
      </c>
      <c r="B307" s="19"/>
      <c r="C307" s="19"/>
      <c r="D307" s="19"/>
      <c r="E307" s="19"/>
      <c r="F307" s="19"/>
      <c r="G307" s="21"/>
      <c r="H307" s="21"/>
      <c r="I307" s="21"/>
      <c r="J307" s="21"/>
      <c r="K307" s="19"/>
      <c r="L307" s="19"/>
      <c r="M307" s="22"/>
      <c r="N307" s="19"/>
      <c r="O307" s="19"/>
      <c r="P307" s="23"/>
      <c r="Q307" s="21" t="s">
        <v>46</v>
      </c>
      <c r="R307" s="19" t="s">
        <v>47</v>
      </c>
      <c r="S307" s="21"/>
      <c r="T307" s="32"/>
      <c r="U307" s="21"/>
      <c r="V307" s="7"/>
      <c r="W307" s="7"/>
      <c r="X307" s="7"/>
      <c r="Y307" s="7"/>
    </row>
    <row r="308" spans="1:25" ht="14.25" customHeight="1" x14ac:dyDescent="0.3">
      <c r="A308" s="18">
        <v>76.3</v>
      </c>
      <c r="B308" s="19"/>
      <c r="C308" s="19"/>
      <c r="D308" s="19"/>
      <c r="E308" s="19"/>
      <c r="F308" s="19"/>
      <c r="G308" s="21"/>
      <c r="H308" s="21"/>
      <c r="I308" s="21"/>
      <c r="J308" s="21"/>
      <c r="K308" s="19"/>
      <c r="L308" s="19"/>
      <c r="M308" s="22"/>
      <c r="N308" s="19"/>
      <c r="O308" s="19"/>
      <c r="P308" s="23"/>
      <c r="Q308" s="21" t="s">
        <v>46</v>
      </c>
      <c r="R308" s="19" t="s">
        <v>47</v>
      </c>
      <c r="S308" s="21"/>
      <c r="T308" s="32"/>
      <c r="U308" s="21"/>
      <c r="V308" s="7"/>
      <c r="W308" s="7"/>
      <c r="X308" s="7"/>
      <c r="Y308" s="7"/>
    </row>
    <row r="309" spans="1:25" ht="14.25" customHeight="1" x14ac:dyDescent="0.3">
      <c r="A309" s="18">
        <v>76.400000000000006</v>
      </c>
      <c r="B309" s="19"/>
      <c r="C309" s="19"/>
      <c r="D309" s="19"/>
      <c r="E309" s="19"/>
      <c r="F309" s="19"/>
      <c r="G309" s="21"/>
      <c r="H309" s="21"/>
      <c r="I309" s="21"/>
      <c r="J309" s="21"/>
      <c r="K309" s="19"/>
      <c r="L309" s="19"/>
      <c r="M309" s="22"/>
      <c r="N309" s="19"/>
      <c r="O309" s="19"/>
      <c r="P309" s="23"/>
      <c r="Q309" s="21" t="s">
        <v>46</v>
      </c>
      <c r="R309" s="19" t="s">
        <v>47</v>
      </c>
      <c r="S309" s="21"/>
      <c r="T309" s="32"/>
      <c r="U309" s="21"/>
      <c r="V309" s="7"/>
      <c r="W309" s="7"/>
      <c r="X309" s="7"/>
      <c r="Y309" s="7"/>
    </row>
    <row r="310" spans="1:25" ht="14.25" customHeight="1" x14ac:dyDescent="0.3">
      <c r="A310" s="18">
        <v>77.099999999999994</v>
      </c>
      <c r="B310" s="19"/>
      <c r="C310" s="19"/>
      <c r="D310" s="19"/>
      <c r="E310" s="19"/>
      <c r="F310" s="19"/>
      <c r="G310" s="21"/>
      <c r="H310" s="21"/>
      <c r="I310" s="21"/>
      <c r="J310" s="21"/>
      <c r="K310" s="19"/>
      <c r="L310" s="19"/>
      <c r="M310" s="22"/>
      <c r="N310" s="19"/>
      <c r="O310" s="19"/>
      <c r="P310" s="23"/>
      <c r="Q310" s="21" t="s">
        <v>46</v>
      </c>
      <c r="R310" s="19" t="s">
        <v>47</v>
      </c>
      <c r="S310" s="21"/>
      <c r="T310" s="32"/>
      <c r="U310" s="21"/>
      <c r="V310" s="7"/>
      <c r="W310" s="7"/>
      <c r="X310" s="7"/>
      <c r="Y310" s="7"/>
    </row>
    <row r="311" spans="1:25" ht="14.25" customHeight="1" x14ac:dyDescent="0.3">
      <c r="A311" s="18">
        <v>77.2</v>
      </c>
      <c r="B311" s="19"/>
      <c r="C311" s="19"/>
      <c r="D311" s="19"/>
      <c r="E311" s="19"/>
      <c r="F311" s="19"/>
      <c r="G311" s="21"/>
      <c r="H311" s="21"/>
      <c r="I311" s="21"/>
      <c r="J311" s="21"/>
      <c r="K311" s="19"/>
      <c r="L311" s="19"/>
      <c r="M311" s="22"/>
      <c r="N311" s="19"/>
      <c r="O311" s="19"/>
      <c r="P311" s="23"/>
      <c r="Q311" s="21" t="s">
        <v>46</v>
      </c>
      <c r="R311" s="19" t="s">
        <v>47</v>
      </c>
      <c r="S311" s="21"/>
      <c r="T311" s="32"/>
      <c r="U311" s="21"/>
      <c r="V311" s="7"/>
      <c r="W311" s="7"/>
      <c r="X311" s="7"/>
      <c r="Y311" s="7"/>
    </row>
    <row r="312" spans="1:25" ht="14.25" customHeight="1" x14ac:dyDescent="0.3">
      <c r="A312" s="18">
        <v>77.3</v>
      </c>
      <c r="B312" s="19"/>
      <c r="C312" s="19"/>
      <c r="D312" s="19"/>
      <c r="E312" s="19"/>
      <c r="F312" s="19"/>
      <c r="G312" s="21"/>
      <c r="H312" s="21"/>
      <c r="I312" s="21"/>
      <c r="J312" s="21"/>
      <c r="K312" s="19"/>
      <c r="L312" s="19"/>
      <c r="M312" s="22"/>
      <c r="N312" s="19"/>
      <c r="O312" s="19"/>
      <c r="P312" s="23"/>
      <c r="Q312" s="21" t="s">
        <v>46</v>
      </c>
      <c r="R312" s="19" t="s">
        <v>47</v>
      </c>
      <c r="S312" s="21"/>
      <c r="T312" s="32"/>
      <c r="U312" s="21"/>
      <c r="V312" s="7"/>
      <c r="W312" s="7"/>
      <c r="X312" s="7"/>
      <c r="Y312" s="7"/>
    </row>
    <row r="313" spans="1:25" ht="14.25" customHeight="1" x14ac:dyDescent="0.3">
      <c r="A313" s="18">
        <v>77.400000000000006</v>
      </c>
      <c r="B313" s="19"/>
      <c r="C313" s="19"/>
      <c r="D313" s="19"/>
      <c r="E313" s="19"/>
      <c r="F313" s="19"/>
      <c r="G313" s="21"/>
      <c r="H313" s="21"/>
      <c r="I313" s="21"/>
      <c r="J313" s="21"/>
      <c r="K313" s="19"/>
      <c r="L313" s="19"/>
      <c r="M313" s="22"/>
      <c r="N313" s="19"/>
      <c r="O313" s="19"/>
      <c r="P313" s="23"/>
      <c r="Q313" s="21" t="s">
        <v>46</v>
      </c>
      <c r="R313" s="19" t="s">
        <v>47</v>
      </c>
      <c r="S313" s="21"/>
      <c r="T313" s="32"/>
      <c r="U313" s="21"/>
      <c r="V313" s="7"/>
      <c r="W313" s="7"/>
      <c r="X313" s="7"/>
      <c r="Y313" s="7"/>
    </row>
    <row r="314" spans="1:25" ht="14.25" customHeight="1" x14ac:dyDescent="0.3">
      <c r="A314" s="18">
        <v>78.099999999999994</v>
      </c>
      <c r="B314" s="19"/>
      <c r="C314" s="19"/>
      <c r="D314" s="19"/>
      <c r="E314" s="19"/>
      <c r="F314" s="19"/>
      <c r="G314" s="21"/>
      <c r="H314" s="21"/>
      <c r="I314" s="21"/>
      <c r="J314" s="21"/>
      <c r="K314" s="19"/>
      <c r="L314" s="19"/>
      <c r="M314" s="22"/>
      <c r="N314" s="19"/>
      <c r="O314" s="19"/>
      <c r="P314" s="23"/>
      <c r="Q314" s="21" t="s">
        <v>46</v>
      </c>
      <c r="R314" s="19" t="s">
        <v>47</v>
      </c>
      <c r="S314" s="21"/>
      <c r="T314" s="32"/>
      <c r="U314" s="21"/>
      <c r="V314" s="7"/>
      <c r="W314" s="7"/>
      <c r="X314" s="7"/>
      <c r="Y314" s="7"/>
    </row>
    <row r="315" spans="1:25" ht="14.25" customHeight="1" x14ac:dyDescent="0.3">
      <c r="A315" s="18">
        <v>78.2</v>
      </c>
      <c r="B315" s="19"/>
      <c r="C315" s="19"/>
      <c r="D315" s="19"/>
      <c r="E315" s="19"/>
      <c r="F315" s="19"/>
      <c r="G315" s="21"/>
      <c r="H315" s="21"/>
      <c r="I315" s="21"/>
      <c r="J315" s="21"/>
      <c r="K315" s="19"/>
      <c r="L315" s="19"/>
      <c r="M315" s="22"/>
      <c r="N315" s="19"/>
      <c r="O315" s="19"/>
      <c r="P315" s="23"/>
      <c r="Q315" s="21" t="s">
        <v>46</v>
      </c>
      <c r="R315" s="19" t="s">
        <v>47</v>
      </c>
      <c r="S315" s="21"/>
      <c r="T315" s="32"/>
      <c r="U315" s="21"/>
      <c r="V315" s="7"/>
      <c r="W315" s="7"/>
      <c r="X315" s="7"/>
      <c r="Y315" s="7"/>
    </row>
    <row r="316" spans="1:25" ht="14.25" customHeight="1" x14ac:dyDescent="0.3">
      <c r="A316" s="18">
        <v>78.3</v>
      </c>
      <c r="B316" s="19"/>
      <c r="C316" s="19"/>
      <c r="D316" s="19"/>
      <c r="E316" s="19"/>
      <c r="F316" s="19"/>
      <c r="G316" s="21"/>
      <c r="H316" s="21"/>
      <c r="I316" s="21"/>
      <c r="J316" s="21"/>
      <c r="K316" s="19"/>
      <c r="L316" s="19"/>
      <c r="M316" s="22"/>
      <c r="N316" s="19"/>
      <c r="O316" s="19"/>
      <c r="P316" s="23"/>
      <c r="Q316" s="21" t="s">
        <v>46</v>
      </c>
      <c r="R316" s="19" t="s">
        <v>47</v>
      </c>
      <c r="S316" s="21"/>
      <c r="T316" s="32"/>
      <c r="U316" s="21"/>
      <c r="V316" s="7"/>
      <c r="W316" s="7"/>
      <c r="X316" s="7"/>
      <c r="Y316" s="7"/>
    </row>
    <row r="317" spans="1:25" ht="14.25" customHeight="1" x14ac:dyDescent="0.3">
      <c r="A317" s="18">
        <v>78.400000000000006</v>
      </c>
      <c r="B317" s="19"/>
      <c r="C317" s="19"/>
      <c r="D317" s="19"/>
      <c r="E317" s="19"/>
      <c r="F317" s="19"/>
      <c r="G317" s="21"/>
      <c r="H317" s="21"/>
      <c r="I317" s="21"/>
      <c r="J317" s="21"/>
      <c r="K317" s="19"/>
      <c r="L317" s="19"/>
      <c r="M317" s="22"/>
      <c r="N317" s="19"/>
      <c r="O317" s="19"/>
      <c r="P317" s="23"/>
      <c r="Q317" s="21" t="s">
        <v>46</v>
      </c>
      <c r="R317" s="19" t="s">
        <v>47</v>
      </c>
      <c r="S317" s="21"/>
      <c r="T317" s="32"/>
      <c r="U317" s="21"/>
      <c r="V317" s="7"/>
      <c r="W317" s="7"/>
      <c r="X317" s="7"/>
      <c r="Y317" s="7"/>
    </row>
    <row r="318" spans="1:25" ht="14.25" customHeight="1" x14ac:dyDescent="0.3">
      <c r="A318" s="18">
        <v>79.099999999999994</v>
      </c>
      <c r="B318" s="19"/>
      <c r="C318" s="19"/>
      <c r="D318" s="19"/>
      <c r="E318" s="19"/>
      <c r="F318" s="19"/>
      <c r="G318" s="21"/>
      <c r="H318" s="21"/>
      <c r="I318" s="21"/>
      <c r="J318" s="21"/>
      <c r="K318" s="19"/>
      <c r="L318" s="19"/>
      <c r="M318" s="22"/>
      <c r="N318" s="19"/>
      <c r="O318" s="19"/>
      <c r="P318" s="23"/>
      <c r="Q318" s="21" t="s">
        <v>46</v>
      </c>
      <c r="R318" s="19" t="s">
        <v>47</v>
      </c>
      <c r="S318" s="21"/>
      <c r="T318" s="32"/>
      <c r="U318" s="21"/>
      <c r="V318" s="7"/>
      <c r="W318" s="7"/>
      <c r="X318" s="7"/>
      <c r="Y318" s="7"/>
    </row>
    <row r="319" spans="1:25" ht="14.25" customHeight="1" x14ac:dyDescent="0.3">
      <c r="A319" s="18">
        <v>79.2</v>
      </c>
      <c r="B319" s="19"/>
      <c r="C319" s="19"/>
      <c r="D319" s="19"/>
      <c r="E319" s="19"/>
      <c r="F319" s="19"/>
      <c r="G319" s="21"/>
      <c r="H319" s="21"/>
      <c r="I319" s="21"/>
      <c r="J319" s="21"/>
      <c r="K319" s="19"/>
      <c r="L319" s="19"/>
      <c r="M319" s="22"/>
      <c r="N319" s="19"/>
      <c r="O319" s="19"/>
      <c r="P319" s="23"/>
      <c r="Q319" s="21" t="s">
        <v>46</v>
      </c>
      <c r="R319" s="19" t="s">
        <v>47</v>
      </c>
      <c r="S319" s="21"/>
      <c r="T319" s="32"/>
      <c r="U319" s="21"/>
      <c r="V319" s="7"/>
      <c r="W319" s="7"/>
      <c r="X319" s="7"/>
      <c r="Y319" s="7"/>
    </row>
    <row r="320" spans="1:25" ht="14.25" customHeight="1" x14ac:dyDescent="0.3">
      <c r="A320" s="18">
        <v>79.3</v>
      </c>
      <c r="B320" s="19"/>
      <c r="C320" s="19"/>
      <c r="D320" s="19"/>
      <c r="E320" s="19"/>
      <c r="F320" s="19"/>
      <c r="G320" s="21"/>
      <c r="H320" s="21"/>
      <c r="I320" s="21"/>
      <c r="J320" s="21"/>
      <c r="K320" s="19"/>
      <c r="L320" s="19"/>
      <c r="M320" s="22"/>
      <c r="N320" s="19"/>
      <c r="O320" s="19"/>
      <c r="P320" s="23"/>
      <c r="Q320" s="21" t="s">
        <v>46</v>
      </c>
      <c r="R320" s="19" t="s">
        <v>47</v>
      </c>
      <c r="S320" s="21"/>
      <c r="T320" s="32"/>
      <c r="U320" s="21"/>
      <c r="V320" s="7"/>
      <c r="W320" s="7"/>
      <c r="X320" s="7"/>
      <c r="Y320" s="7"/>
    </row>
    <row r="321" spans="1:25" ht="14.25" customHeight="1" x14ac:dyDescent="0.3">
      <c r="A321" s="18">
        <v>79.400000000000006</v>
      </c>
      <c r="B321" s="19"/>
      <c r="C321" s="19"/>
      <c r="D321" s="19"/>
      <c r="E321" s="19"/>
      <c r="F321" s="19"/>
      <c r="G321" s="21"/>
      <c r="H321" s="21"/>
      <c r="I321" s="21"/>
      <c r="J321" s="21"/>
      <c r="K321" s="19"/>
      <c r="L321" s="19"/>
      <c r="M321" s="22"/>
      <c r="N321" s="19"/>
      <c r="O321" s="19"/>
      <c r="P321" s="23"/>
      <c r="Q321" s="21" t="s">
        <v>46</v>
      </c>
      <c r="R321" s="19" t="s">
        <v>47</v>
      </c>
      <c r="S321" s="21"/>
      <c r="T321" s="32"/>
      <c r="U321" s="21"/>
      <c r="V321" s="7"/>
      <c r="W321" s="7"/>
      <c r="X321" s="7"/>
      <c r="Y321" s="7"/>
    </row>
    <row r="322" spans="1:25" ht="14.25" customHeight="1" x14ac:dyDescent="0.3">
      <c r="A322" s="18">
        <v>80.099999999999994</v>
      </c>
      <c r="B322" s="19"/>
      <c r="C322" s="19"/>
      <c r="D322" s="19"/>
      <c r="E322" s="19"/>
      <c r="F322" s="19"/>
      <c r="G322" s="21"/>
      <c r="H322" s="21"/>
      <c r="I322" s="21"/>
      <c r="J322" s="21"/>
      <c r="K322" s="19"/>
      <c r="L322" s="19"/>
      <c r="M322" s="22"/>
      <c r="N322" s="19"/>
      <c r="O322" s="19"/>
      <c r="P322" s="23"/>
      <c r="Q322" s="21" t="s">
        <v>46</v>
      </c>
      <c r="R322" s="19" t="s">
        <v>47</v>
      </c>
      <c r="S322" s="21"/>
      <c r="T322" s="32"/>
      <c r="U322" s="21"/>
      <c r="V322" s="7"/>
      <c r="W322" s="7"/>
      <c r="X322" s="7"/>
      <c r="Y322" s="7"/>
    </row>
    <row r="323" spans="1:25" ht="14.25" customHeight="1" x14ac:dyDescent="0.3">
      <c r="A323" s="18">
        <v>80.2</v>
      </c>
      <c r="B323" s="19"/>
      <c r="C323" s="19"/>
      <c r="D323" s="19"/>
      <c r="E323" s="19"/>
      <c r="F323" s="19"/>
      <c r="G323" s="21"/>
      <c r="H323" s="21"/>
      <c r="I323" s="21"/>
      <c r="J323" s="21"/>
      <c r="K323" s="19"/>
      <c r="L323" s="19"/>
      <c r="M323" s="22"/>
      <c r="N323" s="19"/>
      <c r="O323" s="19"/>
      <c r="P323" s="23"/>
      <c r="Q323" s="21" t="s">
        <v>46</v>
      </c>
      <c r="R323" s="19" t="s">
        <v>47</v>
      </c>
      <c r="S323" s="21"/>
      <c r="T323" s="32"/>
      <c r="U323" s="21"/>
      <c r="V323" s="7"/>
      <c r="W323" s="7"/>
      <c r="X323" s="7"/>
      <c r="Y323" s="7"/>
    </row>
    <row r="324" spans="1:25" ht="14.25" customHeight="1" x14ac:dyDescent="0.3">
      <c r="A324" s="18">
        <v>80.3</v>
      </c>
      <c r="B324" s="19"/>
      <c r="C324" s="19"/>
      <c r="D324" s="19"/>
      <c r="E324" s="19"/>
      <c r="F324" s="19"/>
      <c r="G324" s="21"/>
      <c r="H324" s="21"/>
      <c r="I324" s="21"/>
      <c r="J324" s="21"/>
      <c r="K324" s="19"/>
      <c r="L324" s="19"/>
      <c r="M324" s="22"/>
      <c r="N324" s="19"/>
      <c r="O324" s="19"/>
      <c r="P324" s="23"/>
      <c r="Q324" s="21" t="s">
        <v>46</v>
      </c>
      <c r="R324" s="19" t="s">
        <v>47</v>
      </c>
      <c r="S324" s="21"/>
      <c r="T324" s="32"/>
      <c r="U324" s="21"/>
      <c r="V324" s="7"/>
      <c r="W324" s="7"/>
      <c r="X324" s="7"/>
      <c r="Y324" s="7"/>
    </row>
    <row r="325" spans="1:25" ht="14.25" customHeight="1" x14ac:dyDescent="0.3">
      <c r="A325" s="18">
        <v>80.400000000000006</v>
      </c>
      <c r="B325" s="19"/>
      <c r="C325" s="19"/>
      <c r="D325" s="19"/>
      <c r="E325" s="19"/>
      <c r="F325" s="19"/>
      <c r="G325" s="21"/>
      <c r="H325" s="21"/>
      <c r="I325" s="21"/>
      <c r="J325" s="21"/>
      <c r="K325" s="19"/>
      <c r="L325" s="19"/>
      <c r="M325" s="22"/>
      <c r="N325" s="19"/>
      <c r="O325" s="19"/>
      <c r="P325" s="23"/>
      <c r="Q325" s="21" t="s">
        <v>46</v>
      </c>
      <c r="R325" s="19" t="s">
        <v>47</v>
      </c>
      <c r="S325" s="21"/>
      <c r="T325" s="32"/>
      <c r="U325" s="21"/>
      <c r="V325" s="7"/>
      <c r="W325" s="7"/>
      <c r="X325" s="7"/>
      <c r="Y325" s="7"/>
    </row>
    <row r="326" spans="1:25" ht="14.25" customHeight="1" x14ac:dyDescent="0.3">
      <c r="A326" s="18">
        <v>81.099999999999994</v>
      </c>
      <c r="B326" s="19"/>
      <c r="C326" s="19"/>
      <c r="D326" s="19"/>
      <c r="E326" s="19"/>
      <c r="F326" s="19"/>
      <c r="G326" s="21"/>
      <c r="H326" s="21"/>
      <c r="I326" s="21"/>
      <c r="J326" s="21"/>
      <c r="K326" s="19"/>
      <c r="L326" s="19"/>
      <c r="M326" s="22"/>
      <c r="N326" s="19"/>
      <c r="O326" s="19"/>
      <c r="P326" s="23"/>
      <c r="Q326" s="21" t="s">
        <v>46</v>
      </c>
      <c r="R326" s="19" t="s">
        <v>47</v>
      </c>
      <c r="S326" s="21"/>
      <c r="T326" s="32"/>
      <c r="U326" s="21"/>
      <c r="V326" s="7"/>
      <c r="W326" s="7"/>
      <c r="X326" s="7"/>
      <c r="Y326" s="7"/>
    </row>
    <row r="327" spans="1:25" ht="14.25" customHeight="1" x14ac:dyDescent="0.3">
      <c r="A327" s="18">
        <v>81.2</v>
      </c>
      <c r="B327" s="19"/>
      <c r="C327" s="19"/>
      <c r="D327" s="19"/>
      <c r="E327" s="19"/>
      <c r="F327" s="19"/>
      <c r="G327" s="21"/>
      <c r="H327" s="21"/>
      <c r="I327" s="21"/>
      <c r="J327" s="21"/>
      <c r="K327" s="19"/>
      <c r="L327" s="19"/>
      <c r="M327" s="22"/>
      <c r="N327" s="19"/>
      <c r="O327" s="19"/>
      <c r="P327" s="23"/>
      <c r="Q327" s="21" t="s">
        <v>46</v>
      </c>
      <c r="R327" s="19" t="s">
        <v>47</v>
      </c>
      <c r="S327" s="21"/>
      <c r="T327" s="32"/>
      <c r="U327" s="21"/>
      <c r="V327" s="7"/>
      <c r="W327" s="7"/>
      <c r="X327" s="7"/>
      <c r="Y327" s="7"/>
    </row>
    <row r="328" spans="1:25" ht="14.25" customHeight="1" x14ac:dyDescent="0.3">
      <c r="A328" s="18">
        <v>81.3</v>
      </c>
      <c r="B328" s="19"/>
      <c r="C328" s="19"/>
      <c r="D328" s="19"/>
      <c r="E328" s="19"/>
      <c r="F328" s="19"/>
      <c r="G328" s="21"/>
      <c r="H328" s="21"/>
      <c r="I328" s="21"/>
      <c r="J328" s="21"/>
      <c r="K328" s="19"/>
      <c r="L328" s="19"/>
      <c r="M328" s="22"/>
      <c r="N328" s="19"/>
      <c r="O328" s="19"/>
      <c r="P328" s="23"/>
      <c r="Q328" s="21" t="s">
        <v>46</v>
      </c>
      <c r="R328" s="19" t="s">
        <v>47</v>
      </c>
      <c r="S328" s="21"/>
      <c r="T328" s="32"/>
      <c r="U328" s="21"/>
      <c r="V328" s="7"/>
      <c r="W328" s="7"/>
      <c r="X328" s="7"/>
      <c r="Y328" s="7"/>
    </row>
    <row r="329" spans="1:25" ht="14.25" customHeight="1" x14ac:dyDescent="0.3">
      <c r="A329" s="18">
        <v>81.400000000000006</v>
      </c>
      <c r="B329" s="19"/>
      <c r="C329" s="19"/>
      <c r="D329" s="19"/>
      <c r="E329" s="19"/>
      <c r="F329" s="19"/>
      <c r="G329" s="21"/>
      <c r="H329" s="21"/>
      <c r="I329" s="21"/>
      <c r="J329" s="21"/>
      <c r="K329" s="19"/>
      <c r="L329" s="19"/>
      <c r="M329" s="22"/>
      <c r="N329" s="19"/>
      <c r="O329" s="19"/>
      <c r="P329" s="23"/>
      <c r="Q329" s="21" t="s">
        <v>46</v>
      </c>
      <c r="R329" s="19" t="s">
        <v>47</v>
      </c>
      <c r="S329" s="21"/>
      <c r="T329" s="32"/>
      <c r="U329" s="21"/>
      <c r="V329" s="7"/>
      <c r="W329" s="7"/>
      <c r="X329" s="7"/>
      <c r="Y329" s="7"/>
    </row>
    <row r="330" spans="1:25" ht="14.25" customHeight="1" x14ac:dyDescent="0.3">
      <c r="A330" s="18">
        <v>82.1</v>
      </c>
      <c r="B330" s="19"/>
      <c r="C330" s="19"/>
      <c r="D330" s="19"/>
      <c r="E330" s="19"/>
      <c r="F330" s="19"/>
      <c r="G330" s="21"/>
      <c r="H330" s="21"/>
      <c r="I330" s="21"/>
      <c r="J330" s="21"/>
      <c r="K330" s="19"/>
      <c r="L330" s="19"/>
      <c r="M330" s="22"/>
      <c r="N330" s="19"/>
      <c r="O330" s="19"/>
      <c r="P330" s="23"/>
      <c r="Q330" s="21" t="s">
        <v>46</v>
      </c>
      <c r="R330" s="19" t="s">
        <v>47</v>
      </c>
      <c r="S330" s="21"/>
      <c r="T330" s="32"/>
      <c r="U330" s="21"/>
      <c r="V330" s="7"/>
      <c r="W330" s="7"/>
      <c r="X330" s="7"/>
      <c r="Y330" s="7"/>
    </row>
    <row r="331" spans="1:25" ht="14.25" customHeight="1" x14ac:dyDescent="0.3">
      <c r="A331" s="18">
        <v>82.2</v>
      </c>
      <c r="B331" s="19"/>
      <c r="C331" s="19"/>
      <c r="D331" s="19"/>
      <c r="E331" s="19"/>
      <c r="F331" s="19"/>
      <c r="G331" s="21"/>
      <c r="H331" s="21"/>
      <c r="I331" s="21"/>
      <c r="J331" s="21"/>
      <c r="K331" s="19"/>
      <c r="L331" s="19"/>
      <c r="M331" s="22"/>
      <c r="N331" s="19"/>
      <c r="O331" s="19"/>
      <c r="P331" s="23"/>
      <c r="Q331" s="21" t="s">
        <v>46</v>
      </c>
      <c r="R331" s="19" t="s">
        <v>47</v>
      </c>
      <c r="S331" s="21"/>
      <c r="T331" s="32"/>
      <c r="U331" s="21"/>
      <c r="V331" s="7"/>
      <c r="W331" s="7"/>
      <c r="X331" s="7"/>
      <c r="Y331" s="7"/>
    </row>
    <row r="332" spans="1:25" ht="14.25" customHeight="1" x14ac:dyDescent="0.3">
      <c r="A332" s="18">
        <v>82.3</v>
      </c>
      <c r="B332" s="19"/>
      <c r="C332" s="19"/>
      <c r="D332" s="19"/>
      <c r="E332" s="19"/>
      <c r="F332" s="19"/>
      <c r="G332" s="21"/>
      <c r="H332" s="21"/>
      <c r="I332" s="21"/>
      <c r="J332" s="21"/>
      <c r="K332" s="19"/>
      <c r="L332" s="19"/>
      <c r="M332" s="22"/>
      <c r="N332" s="19"/>
      <c r="O332" s="19"/>
      <c r="P332" s="23"/>
      <c r="Q332" s="21" t="s">
        <v>46</v>
      </c>
      <c r="R332" s="19" t="s">
        <v>47</v>
      </c>
      <c r="S332" s="21"/>
      <c r="T332" s="32"/>
      <c r="U332" s="21"/>
      <c r="V332" s="7"/>
      <c r="W332" s="7"/>
      <c r="X332" s="7"/>
      <c r="Y332" s="7"/>
    </row>
    <row r="333" spans="1:25" ht="14.25" customHeight="1" x14ac:dyDescent="0.3">
      <c r="A333" s="18">
        <v>82.4</v>
      </c>
      <c r="B333" s="19"/>
      <c r="C333" s="19"/>
      <c r="D333" s="19"/>
      <c r="E333" s="19"/>
      <c r="F333" s="19"/>
      <c r="G333" s="21"/>
      <c r="H333" s="21"/>
      <c r="I333" s="21"/>
      <c r="J333" s="21"/>
      <c r="K333" s="19"/>
      <c r="L333" s="19"/>
      <c r="M333" s="22"/>
      <c r="N333" s="19"/>
      <c r="O333" s="19"/>
      <c r="P333" s="23"/>
      <c r="Q333" s="21" t="s">
        <v>46</v>
      </c>
      <c r="R333" s="19" t="s">
        <v>47</v>
      </c>
      <c r="S333" s="21"/>
      <c r="T333" s="32"/>
      <c r="U333" s="21"/>
      <c r="V333" s="7"/>
      <c r="W333" s="7"/>
      <c r="X333" s="7"/>
      <c r="Y333" s="7"/>
    </row>
    <row r="334" spans="1:25" ht="14.25" customHeight="1" x14ac:dyDescent="0.3">
      <c r="A334" s="18">
        <v>83.1</v>
      </c>
      <c r="B334" s="19"/>
      <c r="C334" s="19"/>
      <c r="D334" s="19"/>
      <c r="E334" s="19"/>
      <c r="F334" s="19"/>
      <c r="G334" s="21"/>
      <c r="H334" s="21"/>
      <c r="I334" s="21"/>
      <c r="J334" s="21"/>
      <c r="K334" s="19"/>
      <c r="L334" s="19"/>
      <c r="M334" s="22"/>
      <c r="N334" s="19"/>
      <c r="O334" s="19"/>
      <c r="P334" s="23"/>
      <c r="Q334" s="21" t="s">
        <v>46</v>
      </c>
      <c r="R334" s="19" t="s">
        <v>47</v>
      </c>
      <c r="S334" s="21"/>
      <c r="T334" s="32"/>
      <c r="U334" s="21"/>
      <c r="V334" s="7"/>
      <c r="W334" s="7"/>
      <c r="X334" s="7"/>
      <c r="Y334" s="7"/>
    </row>
    <row r="335" spans="1:25" ht="14.25" customHeight="1" x14ac:dyDescent="0.3">
      <c r="A335" s="18">
        <v>83.2</v>
      </c>
      <c r="B335" s="19"/>
      <c r="C335" s="19"/>
      <c r="D335" s="19"/>
      <c r="E335" s="19"/>
      <c r="F335" s="19"/>
      <c r="G335" s="21"/>
      <c r="H335" s="21"/>
      <c r="I335" s="21"/>
      <c r="J335" s="21"/>
      <c r="K335" s="19"/>
      <c r="L335" s="19"/>
      <c r="M335" s="22"/>
      <c r="N335" s="19"/>
      <c r="O335" s="19"/>
      <c r="P335" s="23"/>
      <c r="Q335" s="21" t="s">
        <v>46</v>
      </c>
      <c r="R335" s="19" t="s">
        <v>47</v>
      </c>
      <c r="S335" s="21"/>
      <c r="T335" s="32"/>
      <c r="U335" s="21"/>
      <c r="V335" s="7"/>
      <c r="W335" s="7"/>
      <c r="X335" s="7"/>
      <c r="Y335" s="7"/>
    </row>
    <row r="336" spans="1:25" ht="14.25" customHeight="1" x14ac:dyDescent="0.3">
      <c r="A336" s="18">
        <v>83.3</v>
      </c>
      <c r="B336" s="19"/>
      <c r="C336" s="19"/>
      <c r="D336" s="19"/>
      <c r="E336" s="19"/>
      <c r="F336" s="19"/>
      <c r="G336" s="21"/>
      <c r="H336" s="21"/>
      <c r="I336" s="21"/>
      <c r="J336" s="21"/>
      <c r="K336" s="19"/>
      <c r="L336" s="19"/>
      <c r="M336" s="22"/>
      <c r="N336" s="19"/>
      <c r="O336" s="19"/>
      <c r="P336" s="23"/>
      <c r="Q336" s="21" t="s">
        <v>46</v>
      </c>
      <c r="R336" s="19" t="s">
        <v>47</v>
      </c>
      <c r="S336" s="21"/>
      <c r="T336" s="32"/>
      <c r="U336" s="21"/>
      <c r="V336" s="7"/>
      <c r="W336" s="7"/>
      <c r="X336" s="7"/>
      <c r="Y336" s="7"/>
    </row>
    <row r="337" spans="1:25" ht="14.25" customHeight="1" x14ac:dyDescent="0.3">
      <c r="A337" s="18">
        <v>83.4</v>
      </c>
      <c r="B337" s="19"/>
      <c r="C337" s="19"/>
      <c r="D337" s="19"/>
      <c r="E337" s="19"/>
      <c r="F337" s="19"/>
      <c r="G337" s="21"/>
      <c r="H337" s="21"/>
      <c r="I337" s="21"/>
      <c r="J337" s="21"/>
      <c r="K337" s="19"/>
      <c r="L337" s="19"/>
      <c r="M337" s="22"/>
      <c r="N337" s="19"/>
      <c r="O337" s="19"/>
      <c r="P337" s="23"/>
      <c r="Q337" s="21" t="s">
        <v>46</v>
      </c>
      <c r="R337" s="19" t="s">
        <v>47</v>
      </c>
      <c r="S337" s="21"/>
      <c r="T337" s="32"/>
      <c r="U337" s="21"/>
      <c r="V337" s="7"/>
      <c r="W337" s="7"/>
      <c r="X337" s="7"/>
      <c r="Y337" s="7"/>
    </row>
    <row r="338" spans="1:25" ht="14.25" customHeight="1" x14ac:dyDescent="0.3">
      <c r="A338" s="18">
        <v>84.1</v>
      </c>
      <c r="B338" s="19"/>
      <c r="C338" s="19"/>
      <c r="D338" s="19"/>
      <c r="E338" s="19"/>
      <c r="F338" s="19"/>
      <c r="G338" s="21"/>
      <c r="H338" s="21"/>
      <c r="I338" s="21"/>
      <c r="J338" s="21"/>
      <c r="K338" s="19"/>
      <c r="L338" s="19"/>
      <c r="M338" s="22"/>
      <c r="N338" s="19"/>
      <c r="O338" s="19"/>
      <c r="P338" s="23"/>
      <c r="Q338" s="21" t="s">
        <v>46</v>
      </c>
      <c r="R338" s="19" t="s">
        <v>47</v>
      </c>
      <c r="S338" s="21"/>
      <c r="T338" s="32"/>
      <c r="U338" s="21"/>
      <c r="V338" s="7"/>
      <c r="W338" s="7"/>
      <c r="X338" s="7"/>
      <c r="Y338" s="7"/>
    </row>
    <row r="339" spans="1:25" ht="14.25" customHeight="1" x14ac:dyDescent="0.3">
      <c r="A339" s="18">
        <v>84.2</v>
      </c>
      <c r="B339" s="19"/>
      <c r="C339" s="19"/>
      <c r="D339" s="19"/>
      <c r="E339" s="19"/>
      <c r="F339" s="19"/>
      <c r="G339" s="21"/>
      <c r="H339" s="21"/>
      <c r="I339" s="21"/>
      <c r="J339" s="21"/>
      <c r="K339" s="19"/>
      <c r="L339" s="19"/>
      <c r="M339" s="22"/>
      <c r="N339" s="19"/>
      <c r="O339" s="19"/>
      <c r="P339" s="23"/>
      <c r="Q339" s="21" t="s">
        <v>46</v>
      </c>
      <c r="R339" s="19" t="s">
        <v>47</v>
      </c>
      <c r="S339" s="21"/>
      <c r="T339" s="32"/>
      <c r="U339" s="21"/>
      <c r="V339" s="7"/>
      <c r="W339" s="7"/>
      <c r="X339" s="7"/>
      <c r="Y339" s="7"/>
    </row>
    <row r="340" spans="1:25" ht="14.25" customHeight="1" x14ac:dyDescent="0.3">
      <c r="A340" s="18">
        <v>84.3</v>
      </c>
      <c r="B340" s="19"/>
      <c r="C340" s="19"/>
      <c r="D340" s="19"/>
      <c r="E340" s="19"/>
      <c r="F340" s="19"/>
      <c r="G340" s="21"/>
      <c r="H340" s="21"/>
      <c r="I340" s="21"/>
      <c r="J340" s="21"/>
      <c r="K340" s="19"/>
      <c r="L340" s="19"/>
      <c r="M340" s="22"/>
      <c r="N340" s="19"/>
      <c r="O340" s="19"/>
      <c r="P340" s="23"/>
      <c r="Q340" s="21" t="s">
        <v>46</v>
      </c>
      <c r="R340" s="19" t="s">
        <v>47</v>
      </c>
      <c r="S340" s="21"/>
      <c r="T340" s="32"/>
      <c r="U340" s="21"/>
      <c r="V340" s="7"/>
      <c r="W340" s="7"/>
      <c r="X340" s="7"/>
      <c r="Y340" s="7"/>
    </row>
    <row r="341" spans="1:25" ht="14.25" customHeight="1" x14ac:dyDescent="0.3">
      <c r="A341" s="18">
        <v>84.4</v>
      </c>
      <c r="B341" s="19"/>
      <c r="C341" s="19"/>
      <c r="D341" s="19"/>
      <c r="E341" s="19"/>
      <c r="F341" s="19"/>
      <c r="G341" s="21"/>
      <c r="H341" s="21"/>
      <c r="I341" s="21"/>
      <c r="J341" s="21"/>
      <c r="K341" s="19"/>
      <c r="L341" s="19"/>
      <c r="M341" s="22"/>
      <c r="N341" s="19"/>
      <c r="O341" s="19"/>
      <c r="P341" s="23"/>
      <c r="Q341" s="21" t="s">
        <v>46</v>
      </c>
      <c r="R341" s="19" t="s">
        <v>47</v>
      </c>
      <c r="S341" s="21"/>
      <c r="T341" s="32"/>
      <c r="U341" s="21"/>
      <c r="V341" s="7"/>
      <c r="W341" s="7"/>
      <c r="X341" s="7"/>
      <c r="Y341" s="7"/>
    </row>
    <row r="342" spans="1:25" ht="14.25" customHeight="1" x14ac:dyDescent="0.3">
      <c r="A342" s="18">
        <v>85.1</v>
      </c>
      <c r="B342" s="19"/>
      <c r="C342" s="19"/>
      <c r="D342" s="19"/>
      <c r="E342" s="19"/>
      <c r="F342" s="19"/>
      <c r="G342" s="21"/>
      <c r="H342" s="21"/>
      <c r="I342" s="21"/>
      <c r="J342" s="21"/>
      <c r="K342" s="19"/>
      <c r="L342" s="19"/>
      <c r="M342" s="22"/>
      <c r="N342" s="19"/>
      <c r="O342" s="19"/>
      <c r="P342" s="23"/>
      <c r="Q342" s="21" t="s">
        <v>46</v>
      </c>
      <c r="R342" s="19" t="s">
        <v>47</v>
      </c>
      <c r="S342" s="21"/>
      <c r="T342" s="32"/>
      <c r="U342" s="21"/>
      <c r="V342" s="7"/>
      <c r="W342" s="7"/>
      <c r="X342" s="7"/>
      <c r="Y342" s="7"/>
    </row>
    <row r="343" spans="1:25" ht="14.25" customHeight="1" x14ac:dyDescent="0.3">
      <c r="A343" s="18">
        <v>85.2</v>
      </c>
      <c r="B343" s="19"/>
      <c r="C343" s="19"/>
      <c r="D343" s="19"/>
      <c r="E343" s="19"/>
      <c r="F343" s="19"/>
      <c r="G343" s="21"/>
      <c r="H343" s="21"/>
      <c r="I343" s="21"/>
      <c r="J343" s="21"/>
      <c r="K343" s="19"/>
      <c r="L343" s="19"/>
      <c r="M343" s="22"/>
      <c r="N343" s="19"/>
      <c r="O343" s="19"/>
      <c r="P343" s="23"/>
      <c r="Q343" s="21" t="s">
        <v>46</v>
      </c>
      <c r="R343" s="19" t="s">
        <v>47</v>
      </c>
      <c r="S343" s="21"/>
      <c r="T343" s="32"/>
      <c r="U343" s="21"/>
      <c r="V343" s="7"/>
      <c r="W343" s="7"/>
      <c r="X343" s="7"/>
      <c r="Y343" s="7"/>
    </row>
    <row r="344" spans="1:25" ht="14.25" customHeight="1" x14ac:dyDescent="0.3">
      <c r="A344" s="18">
        <v>85.3</v>
      </c>
      <c r="B344" s="19"/>
      <c r="C344" s="19"/>
      <c r="D344" s="19"/>
      <c r="E344" s="19"/>
      <c r="F344" s="19"/>
      <c r="G344" s="21"/>
      <c r="H344" s="21"/>
      <c r="I344" s="21"/>
      <c r="J344" s="21"/>
      <c r="K344" s="19"/>
      <c r="L344" s="19"/>
      <c r="M344" s="22"/>
      <c r="N344" s="19"/>
      <c r="O344" s="19"/>
      <c r="P344" s="23"/>
      <c r="Q344" s="21" t="s">
        <v>46</v>
      </c>
      <c r="R344" s="19" t="s">
        <v>47</v>
      </c>
      <c r="S344" s="21"/>
      <c r="T344" s="32"/>
      <c r="U344" s="21"/>
      <c r="V344" s="7"/>
      <c r="W344" s="7"/>
      <c r="X344" s="7"/>
      <c r="Y344" s="7"/>
    </row>
    <row r="345" spans="1:25" ht="14.25" customHeight="1" x14ac:dyDescent="0.3">
      <c r="A345" s="18">
        <v>85.4</v>
      </c>
      <c r="B345" s="19"/>
      <c r="C345" s="19"/>
      <c r="D345" s="19"/>
      <c r="E345" s="19"/>
      <c r="F345" s="19"/>
      <c r="G345" s="21"/>
      <c r="H345" s="21"/>
      <c r="I345" s="21"/>
      <c r="J345" s="21"/>
      <c r="K345" s="19"/>
      <c r="L345" s="19"/>
      <c r="M345" s="22"/>
      <c r="N345" s="19"/>
      <c r="O345" s="19"/>
      <c r="P345" s="23"/>
      <c r="Q345" s="21" t="s">
        <v>46</v>
      </c>
      <c r="R345" s="19" t="s">
        <v>47</v>
      </c>
      <c r="S345" s="21"/>
      <c r="T345" s="32"/>
      <c r="U345" s="21"/>
      <c r="V345" s="7"/>
      <c r="W345" s="7"/>
      <c r="X345" s="7"/>
      <c r="Y345" s="7"/>
    </row>
    <row r="346" spans="1:25" ht="14.25" customHeight="1" x14ac:dyDescent="0.3">
      <c r="A346" s="18">
        <v>86.1</v>
      </c>
      <c r="B346" s="19"/>
      <c r="C346" s="19"/>
      <c r="D346" s="19"/>
      <c r="E346" s="19"/>
      <c r="F346" s="19"/>
      <c r="G346" s="21"/>
      <c r="H346" s="21"/>
      <c r="I346" s="21"/>
      <c r="J346" s="21"/>
      <c r="K346" s="19"/>
      <c r="L346" s="19"/>
      <c r="M346" s="22"/>
      <c r="N346" s="19"/>
      <c r="O346" s="19"/>
      <c r="P346" s="23"/>
      <c r="Q346" s="21" t="s">
        <v>46</v>
      </c>
      <c r="R346" s="19" t="s">
        <v>47</v>
      </c>
      <c r="S346" s="21"/>
      <c r="T346" s="32"/>
      <c r="U346" s="21"/>
      <c r="V346" s="7"/>
      <c r="W346" s="7"/>
      <c r="X346" s="7"/>
      <c r="Y346" s="7"/>
    </row>
    <row r="347" spans="1:25" ht="14.25" customHeight="1" x14ac:dyDescent="0.3">
      <c r="A347" s="18">
        <v>86.2</v>
      </c>
      <c r="B347" s="19"/>
      <c r="C347" s="19"/>
      <c r="D347" s="19"/>
      <c r="E347" s="19"/>
      <c r="F347" s="19"/>
      <c r="G347" s="21"/>
      <c r="H347" s="21"/>
      <c r="I347" s="21"/>
      <c r="J347" s="21"/>
      <c r="K347" s="19"/>
      <c r="L347" s="19"/>
      <c r="M347" s="22"/>
      <c r="N347" s="19"/>
      <c r="O347" s="19"/>
      <c r="P347" s="23"/>
      <c r="Q347" s="21" t="s">
        <v>46</v>
      </c>
      <c r="R347" s="19" t="s">
        <v>47</v>
      </c>
      <c r="S347" s="21"/>
      <c r="T347" s="32"/>
      <c r="U347" s="21"/>
      <c r="V347" s="7"/>
      <c r="W347" s="7"/>
      <c r="X347" s="7"/>
      <c r="Y347" s="7"/>
    </row>
    <row r="348" spans="1:25" ht="14.25" customHeight="1" x14ac:dyDescent="0.3">
      <c r="A348" s="18">
        <v>86.3</v>
      </c>
      <c r="B348" s="19"/>
      <c r="C348" s="19"/>
      <c r="D348" s="19"/>
      <c r="E348" s="19"/>
      <c r="F348" s="19"/>
      <c r="G348" s="21"/>
      <c r="H348" s="21"/>
      <c r="I348" s="21"/>
      <c r="J348" s="21"/>
      <c r="K348" s="19"/>
      <c r="L348" s="19"/>
      <c r="M348" s="22"/>
      <c r="N348" s="19"/>
      <c r="O348" s="19"/>
      <c r="P348" s="23"/>
      <c r="Q348" s="21" t="s">
        <v>46</v>
      </c>
      <c r="R348" s="19" t="s">
        <v>47</v>
      </c>
      <c r="S348" s="21"/>
      <c r="T348" s="32"/>
      <c r="U348" s="21"/>
      <c r="V348" s="7"/>
      <c r="W348" s="7"/>
      <c r="X348" s="7"/>
      <c r="Y348" s="7"/>
    </row>
    <row r="349" spans="1:25" ht="14.25" customHeight="1" x14ac:dyDescent="0.3">
      <c r="A349" s="18">
        <v>86.4</v>
      </c>
      <c r="B349" s="19"/>
      <c r="C349" s="19"/>
      <c r="D349" s="19"/>
      <c r="E349" s="19"/>
      <c r="F349" s="19"/>
      <c r="G349" s="21"/>
      <c r="H349" s="21"/>
      <c r="I349" s="21"/>
      <c r="J349" s="21"/>
      <c r="K349" s="19"/>
      <c r="L349" s="19"/>
      <c r="M349" s="22"/>
      <c r="N349" s="19"/>
      <c r="O349" s="19"/>
      <c r="P349" s="23"/>
      <c r="Q349" s="21" t="s">
        <v>46</v>
      </c>
      <c r="R349" s="19" t="s">
        <v>47</v>
      </c>
      <c r="S349" s="21"/>
      <c r="T349" s="32"/>
      <c r="U349" s="21"/>
      <c r="V349" s="7"/>
      <c r="W349" s="7"/>
      <c r="X349" s="7"/>
      <c r="Y349" s="7"/>
    </row>
    <row r="350" spans="1:25" ht="14.25" customHeight="1" x14ac:dyDescent="0.3">
      <c r="A350" s="18">
        <v>87.1</v>
      </c>
      <c r="B350" s="19"/>
      <c r="C350" s="19"/>
      <c r="D350" s="19"/>
      <c r="E350" s="19"/>
      <c r="F350" s="19"/>
      <c r="G350" s="21"/>
      <c r="H350" s="21"/>
      <c r="I350" s="21"/>
      <c r="J350" s="21"/>
      <c r="K350" s="19"/>
      <c r="L350" s="19"/>
      <c r="M350" s="22"/>
      <c r="N350" s="19"/>
      <c r="O350" s="19"/>
      <c r="P350" s="23"/>
      <c r="Q350" s="21" t="s">
        <v>46</v>
      </c>
      <c r="R350" s="19" t="s">
        <v>47</v>
      </c>
      <c r="S350" s="21"/>
      <c r="T350" s="32"/>
      <c r="U350" s="21"/>
      <c r="V350" s="7"/>
      <c r="W350" s="7"/>
      <c r="X350" s="7"/>
      <c r="Y350" s="7"/>
    </row>
    <row r="351" spans="1:25" ht="14.25" customHeight="1" x14ac:dyDescent="0.3">
      <c r="A351" s="18">
        <v>87.2</v>
      </c>
      <c r="B351" s="19"/>
      <c r="C351" s="19"/>
      <c r="D351" s="19"/>
      <c r="E351" s="19"/>
      <c r="F351" s="19"/>
      <c r="G351" s="21"/>
      <c r="H351" s="21"/>
      <c r="I351" s="21"/>
      <c r="J351" s="21"/>
      <c r="K351" s="19"/>
      <c r="L351" s="19"/>
      <c r="M351" s="22"/>
      <c r="N351" s="19"/>
      <c r="O351" s="19"/>
      <c r="P351" s="23"/>
      <c r="Q351" s="21" t="s">
        <v>46</v>
      </c>
      <c r="R351" s="19" t="s">
        <v>47</v>
      </c>
      <c r="S351" s="21"/>
      <c r="T351" s="32"/>
      <c r="U351" s="21"/>
      <c r="V351" s="7"/>
      <c r="W351" s="7"/>
      <c r="X351" s="7"/>
      <c r="Y351" s="7"/>
    </row>
    <row r="352" spans="1:25" ht="14.25" customHeight="1" x14ac:dyDescent="0.3">
      <c r="A352" s="18">
        <v>87.3</v>
      </c>
      <c r="B352" s="19"/>
      <c r="C352" s="19"/>
      <c r="D352" s="19"/>
      <c r="E352" s="19"/>
      <c r="F352" s="19"/>
      <c r="G352" s="21"/>
      <c r="H352" s="21"/>
      <c r="I352" s="21"/>
      <c r="J352" s="21"/>
      <c r="K352" s="19"/>
      <c r="L352" s="19"/>
      <c r="M352" s="22"/>
      <c r="N352" s="19"/>
      <c r="O352" s="19"/>
      <c r="P352" s="23"/>
      <c r="Q352" s="21" t="s">
        <v>46</v>
      </c>
      <c r="R352" s="19" t="s">
        <v>47</v>
      </c>
      <c r="S352" s="21"/>
      <c r="T352" s="32"/>
      <c r="U352" s="21"/>
      <c r="V352" s="7"/>
      <c r="W352" s="7"/>
      <c r="X352" s="7"/>
      <c r="Y352" s="7"/>
    </row>
    <row r="353" spans="1:25" ht="14.25" customHeight="1" x14ac:dyDescent="0.3">
      <c r="A353" s="18">
        <v>87.4</v>
      </c>
      <c r="B353" s="19"/>
      <c r="C353" s="19"/>
      <c r="D353" s="19"/>
      <c r="E353" s="19"/>
      <c r="F353" s="19"/>
      <c r="G353" s="21"/>
      <c r="H353" s="21"/>
      <c r="I353" s="21"/>
      <c r="J353" s="21"/>
      <c r="K353" s="19"/>
      <c r="L353" s="19"/>
      <c r="M353" s="22"/>
      <c r="N353" s="19"/>
      <c r="O353" s="19"/>
      <c r="P353" s="23"/>
      <c r="Q353" s="21" t="s">
        <v>46</v>
      </c>
      <c r="R353" s="19" t="s">
        <v>47</v>
      </c>
      <c r="S353" s="21"/>
      <c r="T353" s="32"/>
      <c r="U353" s="21"/>
      <c r="V353" s="7"/>
      <c r="W353" s="7"/>
      <c r="X353" s="7"/>
      <c r="Y353" s="7"/>
    </row>
    <row r="354" spans="1:25" ht="14.25" customHeight="1" x14ac:dyDescent="0.3">
      <c r="A354" s="18">
        <v>88.1</v>
      </c>
      <c r="B354" s="19"/>
      <c r="C354" s="19"/>
      <c r="D354" s="19"/>
      <c r="E354" s="19"/>
      <c r="F354" s="19"/>
      <c r="G354" s="21"/>
      <c r="H354" s="21"/>
      <c r="I354" s="21"/>
      <c r="J354" s="21"/>
      <c r="K354" s="19"/>
      <c r="L354" s="19"/>
      <c r="M354" s="22"/>
      <c r="N354" s="19"/>
      <c r="O354" s="19"/>
      <c r="P354" s="23"/>
      <c r="Q354" s="21" t="s">
        <v>46</v>
      </c>
      <c r="R354" s="19" t="s">
        <v>47</v>
      </c>
      <c r="S354" s="21"/>
      <c r="T354" s="32"/>
      <c r="U354" s="21"/>
      <c r="V354" s="7"/>
      <c r="W354" s="7"/>
      <c r="X354" s="7"/>
      <c r="Y354" s="7"/>
    </row>
    <row r="355" spans="1:25" ht="14.25" customHeight="1" x14ac:dyDescent="0.3">
      <c r="A355" s="18">
        <v>88.2</v>
      </c>
      <c r="B355" s="19"/>
      <c r="C355" s="19"/>
      <c r="D355" s="19"/>
      <c r="E355" s="19"/>
      <c r="F355" s="19"/>
      <c r="G355" s="21"/>
      <c r="H355" s="21"/>
      <c r="I355" s="21"/>
      <c r="J355" s="21"/>
      <c r="K355" s="19"/>
      <c r="L355" s="19"/>
      <c r="M355" s="22"/>
      <c r="N355" s="19"/>
      <c r="O355" s="19"/>
      <c r="P355" s="23"/>
      <c r="Q355" s="21" t="s">
        <v>46</v>
      </c>
      <c r="R355" s="19" t="s">
        <v>47</v>
      </c>
      <c r="S355" s="21"/>
      <c r="T355" s="32"/>
      <c r="U355" s="21"/>
      <c r="V355" s="7"/>
      <c r="W355" s="7"/>
      <c r="X355" s="7"/>
      <c r="Y355" s="7"/>
    </row>
    <row r="356" spans="1:25" ht="14.25" customHeight="1" x14ac:dyDescent="0.3">
      <c r="A356" s="18">
        <v>88.3</v>
      </c>
      <c r="B356" s="19"/>
      <c r="C356" s="19"/>
      <c r="D356" s="19"/>
      <c r="E356" s="19"/>
      <c r="F356" s="19"/>
      <c r="G356" s="21"/>
      <c r="H356" s="21"/>
      <c r="I356" s="21"/>
      <c r="J356" s="21"/>
      <c r="K356" s="19"/>
      <c r="L356" s="19"/>
      <c r="M356" s="22"/>
      <c r="N356" s="19"/>
      <c r="O356" s="19"/>
      <c r="P356" s="23"/>
      <c r="Q356" s="21" t="s">
        <v>46</v>
      </c>
      <c r="R356" s="19" t="s">
        <v>47</v>
      </c>
      <c r="S356" s="21"/>
      <c r="T356" s="32"/>
      <c r="U356" s="21"/>
      <c r="V356" s="7"/>
      <c r="W356" s="7"/>
      <c r="X356" s="7"/>
      <c r="Y356" s="7"/>
    </row>
    <row r="357" spans="1:25" ht="14.25" customHeight="1" x14ac:dyDescent="0.3">
      <c r="A357" s="18">
        <v>88.4</v>
      </c>
      <c r="B357" s="19"/>
      <c r="C357" s="19"/>
      <c r="D357" s="19"/>
      <c r="E357" s="19"/>
      <c r="F357" s="19"/>
      <c r="G357" s="21"/>
      <c r="H357" s="21"/>
      <c r="I357" s="21"/>
      <c r="J357" s="21"/>
      <c r="K357" s="19"/>
      <c r="L357" s="19"/>
      <c r="M357" s="22"/>
      <c r="N357" s="19"/>
      <c r="O357" s="19"/>
      <c r="P357" s="23"/>
      <c r="Q357" s="21" t="s">
        <v>46</v>
      </c>
      <c r="R357" s="19" t="s">
        <v>47</v>
      </c>
      <c r="S357" s="21"/>
      <c r="T357" s="32"/>
      <c r="U357" s="21"/>
      <c r="V357" s="7"/>
      <c r="W357" s="7"/>
      <c r="X357" s="7"/>
      <c r="Y357" s="7"/>
    </row>
    <row r="358" spans="1:25" ht="14.25" customHeight="1" x14ac:dyDescent="0.3">
      <c r="A358" s="18">
        <v>89.1</v>
      </c>
      <c r="B358" s="19"/>
      <c r="C358" s="19"/>
      <c r="D358" s="19"/>
      <c r="E358" s="19"/>
      <c r="F358" s="19"/>
      <c r="G358" s="21"/>
      <c r="H358" s="21"/>
      <c r="I358" s="21"/>
      <c r="J358" s="21"/>
      <c r="K358" s="19"/>
      <c r="L358" s="19"/>
      <c r="M358" s="22"/>
      <c r="N358" s="19"/>
      <c r="O358" s="19"/>
      <c r="P358" s="23"/>
      <c r="Q358" s="21" t="s">
        <v>46</v>
      </c>
      <c r="R358" s="19" t="s">
        <v>47</v>
      </c>
      <c r="S358" s="21"/>
      <c r="T358" s="32"/>
      <c r="U358" s="21"/>
      <c r="V358" s="7"/>
      <c r="W358" s="7"/>
      <c r="X358" s="7"/>
      <c r="Y358" s="7"/>
    </row>
    <row r="359" spans="1:25" ht="14.25" customHeight="1" x14ac:dyDescent="0.3">
      <c r="A359" s="18">
        <v>89.2</v>
      </c>
      <c r="B359" s="19"/>
      <c r="C359" s="19"/>
      <c r="D359" s="19"/>
      <c r="E359" s="19"/>
      <c r="F359" s="19"/>
      <c r="G359" s="21"/>
      <c r="H359" s="21"/>
      <c r="I359" s="21"/>
      <c r="J359" s="21"/>
      <c r="K359" s="19"/>
      <c r="L359" s="19"/>
      <c r="M359" s="22"/>
      <c r="N359" s="19"/>
      <c r="O359" s="19"/>
      <c r="P359" s="23"/>
      <c r="Q359" s="21" t="s">
        <v>46</v>
      </c>
      <c r="R359" s="19" t="s">
        <v>47</v>
      </c>
      <c r="S359" s="21"/>
      <c r="T359" s="32"/>
      <c r="U359" s="21"/>
      <c r="V359" s="7"/>
      <c r="W359" s="7"/>
      <c r="X359" s="7"/>
      <c r="Y359" s="7"/>
    </row>
    <row r="360" spans="1:25" ht="14.25" customHeight="1" x14ac:dyDescent="0.3">
      <c r="A360" s="18">
        <v>89.3</v>
      </c>
      <c r="B360" s="19"/>
      <c r="C360" s="19"/>
      <c r="D360" s="19"/>
      <c r="E360" s="19"/>
      <c r="F360" s="19"/>
      <c r="G360" s="21"/>
      <c r="H360" s="21"/>
      <c r="I360" s="21"/>
      <c r="J360" s="21"/>
      <c r="K360" s="19"/>
      <c r="L360" s="19"/>
      <c r="M360" s="22"/>
      <c r="N360" s="19"/>
      <c r="O360" s="19"/>
      <c r="P360" s="23"/>
      <c r="Q360" s="21" t="s">
        <v>46</v>
      </c>
      <c r="R360" s="19" t="s">
        <v>47</v>
      </c>
      <c r="S360" s="21"/>
      <c r="T360" s="32"/>
      <c r="U360" s="21"/>
      <c r="V360" s="7"/>
      <c r="W360" s="7"/>
      <c r="X360" s="7"/>
      <c r="Y360" s="7"/>
    </row>
    <row r="361" spans="1:25" ht="14.25" customHeight="1" x14ac:dyDescent="0.3">
      <c r="A361" s="18">
        <v>89.4</v>
      </c>
      <c r="B361" s="19"/>
      <c r="C361" s="19"/>
      <c r="D361" s="19"/>
      <c r="E361" s="19"/>
      <c r="F361" s="19"/>
      <c r="G361" s="21"/>
      <c r="H361" s="21"/>
      <c r="I361" s="21"/>
      <c r="J361" s="21"/>
      <c r="K361" s="19"/>
      <c r="L361" s="19"/>
      <c r="M361" s="22"/>
      <c r="N361" s="19"/>
      <c r="O361" s="19"/>
      <c r="P361" s="23"/>
      <c r="Q361" s="21" t="s">
        <v>46</v>
      </c>
      <c r="R361" s="19" t="s">
        <v>47</v>
      </c>
      <c r="S361" s="21"/>
      <c r="T361" s="32"/>
      <c r="U361" s="21"/>
      <c r="V361" s="7"/>
      <c r="W361" s="7"/>
      <c r="X361" s="7"/>
      <c r="Y361" s="7"/>
    </row>
    <row r="362" spans="1:25" ht="14.25" customHeight="1" x14ac:dyDescent="0.3">
      <c r="A362" s="18">
        <v>90.1</v>
      </c>
      <c r="B362" s="19"/>
      <c r="C362" s="19"/>
      <c r="D362" s="19"/>
      <c r="E362" s="19"/>
      <c r="F362" s="19"/>
      <c r="G362" s="21"/>
      <c r="H362" s="21"/>
      <c r="I362" s="21"/>
      <c r="J362" s="21"/>
      <c r="K362" s="19"/>
      <c r="L362" s="19"/>
      <c r="M362" s="22"/>
      <c r="N362" s="19"/>
      <c r="O362" s="19"/>
      <c r="P362" s="23"/>
      <c r="Q362" s="21" t="s">
        <v>46</v>
      </c>
      <c r="R362" s="19" t="s">
        <v>47</v>
      </c>
      <c r="S362" s="21"/>
      <c r="T362" s="32"/>
      <c r="U362" s="21"/>
      <c r="V362" s="7"/>
      <c r="W362" s="7"/>
      <c r="X362" s="7"/>
      <c r="Y362" s="7"/>
    </row>
    <row r="363" spans="1:25" ht="14.25" customHeight="1" x14ac:dyDescent="0.3">
      <c r="A363" s="18">
        <v>90.2</v>
      </c>
      <c r="B363" s="19"/>
      <c r="C363" s="19"/>
      <c r="D363" s="19"/>
      <c r="E363" s="19"/>
      <c r="F363" s="19"/>
      <c r="G363" s="21"/>
      <c r="H363" s="21"/>
      <c r="I363" s="21"/>
      <c r="J363" s="21"/>
      <c r="K363" s="19"/>
      <c r="L363" s="19"/>
      <c r="M363" s="22"/>
      <c r="N363" s="19"/>
      <c r="O363" s="19"/>
      <c r="P363" s="23"/>
      <c r="Q363" s="21" t="s">
        <v>46</v>
      </c>
      <c r="R363" s="19" t="s">
        <v>47</v>
      </c>
      <c r="S363" s="21"/>
      <c r="T363" s="32"/>
      <c r="U363" s="21"/>
      <c r="V363" s="7"/>
      <c r="W363" s="7"/>
      <c r="X363" s="7"/>
      <c r="Y363" s="7"/>
    </row>
    <row r="364" spans="1:25" ht="14.25" customHeight="1" x14ac:dyDescent="0.3">
      <c r="A364" s="18">
        <v>90.3</v>
      </c>
      <c r="B364" s="19"/>
      <c r="C364" s="19"/>
      <c r="D364" s="19"/>
      <c r="E364" s="19"/>
      <c r="F364" s="19"/>
      <c r="G364" s="21"/>
      <c r="H364" s="21"/>
      <c r="I364" s="21"/>
      <c r="J364" s="21"/>
      <c r="K364" s="19"/>
      <c r="L364" s="19"/>
      <c r="M364" s="22"/>
      <c r="N364" s="19"/>
      <c r="O364" s="19"/>
      <c r="P364" s="23"/>
      <c r="Q364" s="21" t="s">
        <v>46</v>
      </c>
      <c r="R364" s="19" t="s">
        <v>47</v>
      </c>
      <c r="S364" s="21"/>
      <c r="T364" s="32"/>
      <c r="U364" s="21"/>
      <c r="V364" s="7"/>
      <c r="W364" s="7"/>
      <c r="X364" s="7"/>
      <c r="Y364" s="7"/>
    </row>
    <row r="365" spans="1:25" ht="14.25" customHeight="1" x14ac:dyDescent="0.3">
      <c r="A365" s="18">
        <v>90.4</v>
      </c>
      <c r="B365" s="19"/>
      <c r="C365" s="19"/>
      <c r="D365" s="19"/>
      <c r="E365" s="19"/>
      <c r="F365" s="19"/>
      <c r="G365" s="21"/>
      <c r="H365" s="21"/>
      <c r="I365" s="21"/>
      <c r="J365" s="21"/>
      <c r="K365" s="19"/>
      <c r="L365" s="19"/>
      <c r="M365" s="22"/>
      <c r="N365" s="19"/>
      <c r="O365" s="19"/>
      <c r="P365" s="23"/>
      <c r="Q365" s="21" t="s">
        <v>46</v>
      </c>
      <c r="R365" s="19" t="s">
        <v>47</v>
      </c>
      <c r="S365" s="21"/>
      <c r="T365" s="32"/>
      <c r="U365" s="21"/>
      <c r="V365" s="7"/>
      <c r="W365" s="7"/>
      <c r="X365" s="7"/>
      <c r="Y365" s="7"/>
    </row>
    <row r="366" spans="1:25" ht="14.25" customHeight="1" x14ac:dyDescent="0.3">
      <c r="A366" s="18">
        <v>91.1</v>
      </c>
      <c r="B366" s="19"/>
      <c r="C366" s="19"/>
      <c r="D366" s="19"/>
      <c r="E366" s="19"/>
      <c r="F366" s="19"/>
      <c r="G366" s="21"/>
      <c r="H366" s="21"/>
      <c r="I366" s="21"/>
      <c r="J366" s="21"/>
      <c r="K366" s="19"/>
      <c r="L366" s="19"/>
      <c r="M366" s="22"/>
      <c r="N366" s="19"/>
      <c r="O366" s="19"/>
      <c r="P366" s="23"/>
      <c r="Q366" s="21" t="s">
        <v>46</v>
      </c>
      <c r="R366" s="19" t="s">
        <v>47</v>
      </c>
      <c r="S366" s="21"/>
      <c r="T366" s="32"/>
      <c r="U366" s="21"/>
      <c r="V366" s="7"/>
      <c r="W366" s="7"/>
      <c r="X366" s="7"/>
      <c r="Y366" s="7"/>
    </row>
    <row r="367" spans="1:25" ht="14.25" customHeight="1" x14ac:dyDescent="0.3">
      <c r="A367" s="18">
        <v>91.2</v>
      </c>
      <c r="B367" s="19"/>
      <c r="C367" s="19"/>
      <c r="D367" s="19"/>
      <c r="E367" s="19"/>
      <c r="F367" s="19"/>
      <c r="G367" s="21"/>
      <c r="H367" s="21"/>
      <c r="I367" s="21"/>
      <c r="J367" s="21"/>
      <c r="K367" s="19"/>
      <c r="L367" s="19"/>
      <c r="M367" s="22"/>
      <c r="N367" s="19"/>
      <c r="O367" s="19"/>
      <c r="P367" s="23"/>
      <c r="Q367" s="21" t="s">
        <v>46</v>
      </c>
      <c r="R367" s="19" t="s">
        <v>47</v>
      </c>
      <c r="S367" s="21"/>
      <c r="T367" s="32"/>
      <c r="U367" s="21"/>
      <c r="V367" s="7"/>
      <c r="W367" s="7"/>
      <c r="X367" s="7"/>
      <c r="Y367" s="7"/>
    </row>
    <row r="368" spans="1:25" ht="14.25" customHeight="1" x14ac:dyDescent="0.3">
      <c r="A368" s="18">
        <v>91.3</v>
      </c>
      <c r="B368" s="19"/>
      <c r="C368" s="19"/>
      <c r="D368" s="19"/>
      <c r="E368" s="19"/>
      <c r="F368" s="19"/>
      <c r="G368" s="21"/>
      <c r="H368" s="21"/>
      <c r="I368" s="21"/>
      <c r="J368" s="21"/>
      <c r="K368" s="19"/>
      <c r="L368" s="19"/>
      <c r="M368" s="22"/>
      <c r="N368" s="19"/>
      <c r="O368" s="19"/>
      <c r="P368" s="23"/>
      <c r="Q368" s="21" t="s">
        <v>46</v>
      </c>
      <c r="R368" s="19" t="s">
        <v>47</v>
      </c>
      <c r="S368" s="21"/>
      <c r="T368" s="32"/>
      <c r="U368" s="21"/>
      <c r="V368" s="7"/>
      <c r="W368" s="7"/>
      <c r="X368" s="7"/>
      <c r="Y368" s="7"/>
    </row>
    <row r="369" spans="1:25" ht="14.25" customHeight="1" x14ac:dyDescent="0.3">
      <c r="A369" s="18">
        <v>91.4</v>
      </c>
      <c r="B369" s="19"/>
      <c r="C369" s="19"/>
      <c r="D369" s="19"/>
      <c r="E369" s="19"/>
      <c r="F369" s="19"/>
      <c r="G369" s="21"/>
      <c r="H369" s="21"/>
      <c r="I369" s="21"/>
      <c r="J369" s="21"/>
      <c r="K369" s="19"/>
      <c r="L369" s="19"/>
      <c r="M369" s="22"/>
      <c r="N369" s="19"/>
      <c r="O369" s="19"/>
      <c r="P369" s="23"/>
      <c r="Q369" s="21" t="s">
        <v>46</v>
      </c>
      <c r="R369" s="19" t="s">
        <v>47</v>
      </c>
      <c r="S369" s="21"/>
      <c r="T369" s="32"/>
      <c r="U369" s="21"/>
      <c r="V369" s="7"/>
      <c r="W369" s="7"/>
      <c r="X369" s="7"/>
      <c r="Y369" s="7"/>
    </row>
    <row r="370" spans="1:25" ht="14.25" customHeight="1" x14ac:dyDescent="0.3">
      <c r="A370" s="18">
        <v>92.1</v>
      </c>
      <c r="B370" s="19"/>
      <c r="C370" s="19"/>
      <c r="D370" s="19"/>
      <c r="E370" s="19"/>
      <c r="F370" s="19"/>
      <c r="G370" s="21"/>
      <c r="H370" s="21"/>
      <c r="I370" s="21"/>
      <c r="J370" s="21"/>
      <c r="K370" s="19"/>
      <c r="L370" s="19"/>
      <c r="M370" s="22"/>
      <c r="N370" s="19"/>
      <c r="O370" s="19"/>
      <c r="P370" s="23"/>
      <c r="Q370" s="21" t="s">
        <v>46</v>
      </c>
      <c r="R370" s="19" t="s">
        <v>47</v>
      </c>
      <c r="S370" s="21"/>
      <c r="T370" s="32"/>
      <c r="U370" s="21"/>
      <c r="V370" s="7"/>
      <c r="W370" s="7"/>
      <c r="X370" s="7"/>
      <c r="Y370" s="7"/>
    </row>
    <row r="371" spans="1:25" ht="14.25" customHeight="1" x14ac:dyDescent="0.3">
      <c r="A371" s="18">
        <v>92.2</v>
      </c>
      <c r="B371" s="19"/>
      <c r="C371" s="19"/>
      <c r="D371" s="19"/>
      <c r="E371" s="19"/>
      <c r="F371" s="19"/>
      <c r="G371" s="21"/>
      <c r="H371" s="21"/>
      <c r="I371" s="21"/>
      <c r="J371" s="21"/>
      <c r="K371" s="19"/>
      <c r="L371" s="19"/>
      <c r="M371" s="22"/>
      <c r="N371" s="19"/>
      <c r="O371" s="19"/>
      <c r="P371" s="23"/>
      <c r="Q371" s="21" t="s">
        <v>46</v>
      </c>
      <c r="R371" s="19" t="s">
        <v>47</v>
      </c>
      <c r="S371" s="21"/>
      <c r="T371" s="32"/>
      <c r="U371" s="21"/>
      <c r="V371" s="7"/>
      <c r="W371" s="7"/>
      <c r="X371" s="7"/>
      <c r="Y371" s="7"/>
    </row>
    <row r="372" spans="1:25" ht="14.25" customHeight="1" x14ac:dyDescent="0.3">
      <c r="A372" s="18">
        <v>92.3</v>
      </c>
      <c r="B372" s="19"/>
      <c r="C372" s="19"/>
      <c r="D372" s="19"/>
      <c r="E372" s="19"/>
      <c r="F372" s="19"/>
      <c r="G372" s="21"/>
      <c r="H372" s="21"/>
      <c r="I372" s="21"/>
      <c r="J372" s="21"/>
      <c r="K372" s="19"/>
      <c r="L372" s="19"/>
      <c r="M372" s="22"/>
      <c r="N372" s="19"/>
      <c r="O372" s="19"/>
      <c r="P372" s="23"/>
      <c r="Q372" s="21" t="s">
        <v>46</v>
      </c>
      <c r="R372" s="19" t="s">
        <v>47</v>
      </c>
      <c r="S372" s="21"/>
      <c r="T372" s="32"/>
      <c r="U372" s="21"/>
      <c r="V372" s="7"/>
      <c r="W372" s="7"/>
      <c r="X372" s="7"/>
      <c r="Y372" s="7"/>
    </row>
    <row r="373" spans="1:25" ht="14.25" customHeight="1" x14ac:dyDescent="0.3">
      <c r="A373" s="18">
        <v>92.4</v>
      </c>
      <c r="B373" s="19"/>
      <c r="C373" s="19"/>
      <c r="D373" s="19"/>
      <c r="E373" s="19"/>
      <c r="F373" s="19"/>
      <c r="G373" s="21"/>
      <c r="H373" s="21"/>
      <c r="I373" s="21"/>
      <c r="J373" s="21"/>
      <c r="K373" s="19"/>
      <c r="L373" s="19"/>
      <c r="M373" s="22"/>
      <c r="N373" s="19"/>
      <c r="O373" s="19"/>
      <c r="P373" s="23"/>
      <c r="Q373" s="21" t="s">
        <v>46</v>
      </c>
      <c r="R373" s="19" t="s">
        <v>47</v>
      </c>
      <c r="S373" s="21"/>
      <c r="T373" s="32"/>
      <c r="U373" s="21"/>
      <c r="V373" s="7"/>
      <c r="W373" s="7"/>
      <c r="X373" s="7"/>
      <c r="Y373" s="7"/>
    </row>
    <row r="374" spans="1:25" ht="14.25" customHeight="1" x14ac:dyDescent="0.3">
      <c r="A374" s="18">
        <v>93.1</v>
      </c>
      <c r="B374" s="19"/>
      <c r="C374" s="19"/>
      <c r="D374" s="19"/>
      <c r="E374" s="19"/>
      <c r="F374" s="19"/>
      <c r="G374" s="21"/>
      <c r="H374" s="21"/>
      <c r="I374" s="21"/>
      <c r="J374" s="21"/>
      <c r="K374" s="19"/>
      <c r="L374" s="19"/>
      <c r="M374" s="22"/>
      <c r="N374" s="19"/>
      <c r="O374" s="19"/>
      <c r="P374" s="23"/>
      <c r="Q374" s="21" t="s">
        <v>46</v>
      </c>
      <c r="R374" s="19" t="s">
        <v>47</v>
      </c>
      <c r="S374" s="21"/>
      <c r="T374" s="32"/>
      <c r="U374" s="21"/>
      <c r="V374" s="7"/>
      <c r="W374" s="7"/>
      <c r="X374" s="7"/>
      <c r="Y374" s="7"/>
    </row>
    <row r="375" spans="1:25" ht="14.25" customHeight="1" x14ac:dyDescent="0.3">
      <c r="A375" s="18">
        <v>93.2</v>
      </c>
      <c r="B375" s="19"/>
      <c r="C375" s="19"/>
      <c r="D375" s="19"/>
      <c r="E375" s="19"/>
      <c r="F375" s="19"/>
      <c r="G375" s="21"/>
      <c r="H375" s="21"/>
      <c r="I375" s="21"/>
      <c r="J375" s="21"/>
      <c r="K375" s="19"/>
      <c r="L375" s="19"/>
      <c r="M375" s="22"/>
      <c r="N375" s="19"/>
      <c r="O375" s="19"/>
      <c r="P375" s="23"/>
      <c r="Q375" s="21" t="s">
        <v>46</v>
      </c>
      <c r="R375" s="19" t="s">
        <v>47</v>
      </c>
      <c r="S375" s="21"/>
      <c r="T375" s="32"/>
      <c r="U375" s="21"/>
      <c r="V375" s="7"/>
      <c r="W375" s="7"/>
      <c r="X375" s="7"/>
      <c r="Y375" s="7"/>
    </row>
    <row r="376" spans="1:25" ht="14.25" customHeight="1" x14ac:dyDescent="0.3">
      <c r="A376" s="18">
        <v>93.3</v>
      </c>
      <c r="B376" s="19"/>
      <c r="C376" s="19"/>
      <c r="D376" s="19"/>
      <c r="E376" s="19"/>
      <c r="F376" s="19"/>
      <c r="G376" s="21"/>
      <c r="H376" s="21"/>
      <c r="I376" s="21"/>
      <c r="J376" s="21"/>
      <c r="K376" s="19"/>
      <c r="L376" s="19"/>
      <c r="M376" s="22"/>
      <c r="N376" s="19"/>
      <c r="O376" s="19"/>
      <c r="P376" s="23"/>
      <c r="Q376" s="21" t="s">
        <v>46</v>
      </c>
      <c r="R376" s="19" t="s">
        <v>47</v>
      </c>
      <c r="S376" s="21"/>
      <c r="T376" s="32"/>
      <c r="U376" s="21"/>
      <c r="V376" s="7"/>
      <c r="W376" s="7"/>
      <c r="X376" s="7"/>
      <c r="Y376" s="7"/>
    </row>
    <row r="377" spans="1:25" ht="14.25" customHeight="1" x14ac:dyDescent="0.3">
      <c r="A377" s="18">
        <v>93.4</v>
      </c>
      <c r="B377" s="19"/>
      <c r="C377" s="19"/>
      <c r="D377" s="19"/>
      <c r="E377" s="19"/>
      <c r="F377" s="19"/>
      <c r="G377" s="21"/>
      <c r="H377" s="21"/>
      <c r="I377" s="21"/>
      <c r="J377" s="21"/>
      <c r="K377" s="19"/>
      <c r="L377" s="19"/>
      <c r="M377" s="22"/>
      <c r="N377" s="19"/>
      <c r="O377" s="19"/>
      <c r="P377" s="23"/>
      <c r="Q377" s="21" t="s">
        <v>46</v>
      </c>
      <c r="R377" s="19" t="s">
        <v>47</v>
      </c>
      <c r="S377" s="21"/>
      <c r="T377" s="32"/>
      <c r="U377" s="21"/>
      <c r="V377" s="7"/>
      <c r="W377" s="7"/>
      <c r="X377" s="7"/>
      <c r="Y377" s="7"/>
    </row>
    <row r="378" spans="1:25" ht="14.25" customHeight="1" x14ac:dyDescent="0.3">
      <c r="A378" s="18">
        <v>94.1</v>
      </c>
      <c r="B378" s="19"/>
      <c r="C378" s="19"/>
      <c r="D378" s="19"/>
      <c r="E378" s="19"/>
      <c r="F378" s="19"/>
      <c r="G378" s="21"/>
      <c r="H378" s="21"/>
      <c r="I378" s="21"/>
      <c r="J378" s="21"/>
      <c r="K378" s="19"/>
      <c r="L378" s="19"/>
      <c r="M378" s="22"/>
      <c r="N378" s="19"/>
      <c r="O378" s="19"/>
      <c r="P378" s="23"/>
      <c r="Q378" s="21" t="s">
        <v>46</v>
      </c>
      <c r="R378" s="19" t="s">
        <v>47</v>
      </c>
      <c r="S378" s="21"/>
      <c r="T378" s="32"/>
      <c r="U378" s="21"/>
      <c r="V378" s="7"/>
      <c r="W378" s="7"/>
      <c r="X378" s="7"/>
      <c r="Y378" s="7"/>
    </row>
    <row r="379" spans="1:25" ht="14.25" customHeight="1" x14ac:dyDescent="0.3">
      <c r="A379" s="18">
        <v>94.2</v>
      </c>
      <c r="B379" s="19"/>
      <c r="C379" s="19"/>
      <c r="D379" s="19"/>
      <c r="E379" s="19"/>
      <c r="F379" s="19"/>
      <c r="G379" s="21"/>
      <c r="H379" s="21"/>
      <c r="I379" s="21"/>
      <c r="J379" s="21"/>
      <c r="K379" s="19"/>
      <c r="L379" s="19"/>
      <c r="M379" s="22"/>
      <c r="N379" s="19"/>
      <c r="O379" s="19"/>
      <c r="P379" s="23"/>
      <c r="Q379" s="21" t="s">
        <v>46</v>
      </c>
      <c r="R379" s="19" t="s">
        <v>47</v>
      </c>
      <c r="S379" s="21"/>
      <c r="T379" s="32"/>
      <c r="U379" s="21"/>
      <c r="V379" s="7"/>
      <c r="W379" s="7"/>
      <c r="X379" s="7"/>
      <c r="Y379" s="7"/>
    </row>
    <row r="380" spans="1:25" ht="14.25" customHeight="1" x14ac:dyDescent="0.3">
      <c r="A380" s="18">
        <v>94.3</v>
      </c>
      <c r="B380" s="19"/>
      <c r="C380" s="19"/>
      <c r="D380" s="19"/>
      <c r="E380" s="19"/>
      <c r="F380" s="19"/>
      <c r="G380" s="21"/>
      <c r="H380" s="21"/>
      <c r="I380" s="21"/>
      <c r="J380" s="21"/>
      <c r="K380" s="19"/>
      <c r="L380" s="19"/>
      <c r="M380" s="22"/>
      <c r="N380" s="19"/>
      <c r="O380" s="19"/>
      <c r="P380" s="23"/>
      <c r="Q380" s="21" t="s">
        <v>46</v>
      </c>
      <c r="R380" s="19" t="s">
        <v>47</v>
      </c>
      <c r="S380" s="21"/>
      <c r="T380" s="32"/>
      <c r="U380" s="21"/>
      <c r="V380" s="7"/>
      <c r="W380" s="7"/>
      <c r="X380" s="7"/>
      <c r="Y380" s="7"/>
    </row>
    <row r="381" spans="1:25" ht="14.25" customHeight="1" x14ac:dyDescent="0.3">
      <c r="A381" s="18">
        <v>94.4</v>
      </c>
      <c r="B381" s="19"/>
      <c r="C381" s="19"/>
      <c r="D381" s="19"/>
      <c r="E381" s="19"/>
      <c r="F381" s="19"/>
      <c r="G381" s="21"/>
      <c r="H381" s="21"/>
      <c r="I381" s="21"/>
      <c r="J381" s="21"/>
      <c r="K381" s="19"/>
      <c r="L381" s="19"/>
      <c r="M381" s="22"/>
      <c r="N381" s="19"/>
      <c r="O381" s="19"/>
      <c r="P381" s="23"/>
      <c r="Q381" s="21" t="s">
        <v>46</v>
      </c>
      <c r="R381" s="19" t="s">
        <v>47</v>
      </c>
      <c r="S381" s="21"/>
      <c r="T381" s="32"/>
      <c r="U381" s="21"/>
      <c r="V381" s="7"/>
      <c r="W381" s="7"/>
      <c r="X381" s="7"/>
      <c r="Y381" s="7"/>
    </row>
    <row r="382" spans="1:25" ht="14.25" customHeight="1" x14ac:dyDescent="0.3">
      <c r="A382" s="18">
        <v>95.1</v>
      </c>
      <c r="B382" s="19"/>
      <c r="C382" s="19"/>
      <c r="D382" s="19"/>
      <c r="E382" s="19"/>
      <c r="F382" s="19"/>
      <c r="G382" s="21"/>
      <c r="H382" s="21"/>
      <c r="I382" s="21"/>
      <c r="J382" s="21"/>
      <c r="K382" s="19"/>
      <c r="L382" s="19"/>
      <c r="M382" s="22"/>
      <c r="N382" s="19"/>
      <c r="O382" s="19"/>
      <c r="P382" s="23"/>
      <c r="Q382" s="21" t="s">
        <v>46</v>
      </c>
      <c r="R382" s="19" t="s">
        <v>47</v>
      </c>
      <c r="S382" s="21"/>
      <c r="T382" s="32"/>
      <c r="U382" s="21"/>
      <c r="V382" s="7"/>
      <c r="W382" s="7"/>
      <c r="X382" s="7"/>
      <c r="Y382" s="7"/>
    </row>
    <row r="383" spans="1:25" ht="14.25" customHeight="1" x14ac:dyDescent="0.3">
      <c r="A383" s="18">
        <v>95.2</v>
      </c>
      <c r="B383" s="19"/>
      <c r="C383" s="19"/>
      <c r="D383" s="19"/>
      <c r="E383" s="19"/>
      <c r="F383" s="19"/>
      <c r="G383" s="21"/>
      <c r="H383" s="21"/>
      <c r="I383" s="21"/>
      <c r="J383" s="21"/>
      <c r="K383" s="19"/>
      <c r="L383" s="19"/>
      <c r="M383" s="22"/>
      <c r="N383" s="19"/>
      <c r="O383" s="19"/>
      <c r="P383" s="23"/>
      <c r="Q383" s="21" t="s">
        <v>46</v>
      </c>
      <c r="R383" s="19" t="s">
        <v>47</v>
      </c>
      <c r="S383" s="21"/>
      <c r="T383" s="32"/>
      <c r="U383" s="21"/>
      <c r="V383" s="7"/>
      <c r="W383" s="7"/>
      <c r="X383" s="7"/>
      <c r="Y383" s="7"/>
    </row>
    <row r="384" spans="1:25" ht="14.25" customHeight="1" x14ac:dyDescent="0.3">
      <c r="A384" s="18">
        <v>95.3</v>
      </c>
      <c r="B384" s="19"/>
      <c r="C384" s="19"/>
      <c r="D384" s="19"/>
      <c r="E384" s="19"/>
      <c r="F384" s="19"/>
      <c r="G384" s="21"/>
      <c r="H384" s="21"/>
      <c r="I384" s="21"/>
      <c r="J384" s="21"/>
      <c r="K384" s="19"/>
      <c r="L384" s="19"/>
      <c r="M384" s="22"/>
      <c r="N384" s="19"/>
      <c r="O384" s="19"/>
      <c r="P384" s="23"/>
      <c r="Q384" s="21" t="s">
        <v>46</v>
      </c>
      <c r="R384" s="19" t="s">
        <v>47</v>
      </c>
      <c r="S384" s="21"/>
      <c r="T384" s="32"/>
      <c r="U384" s="21"/>
      <c r="V384" s="7"/>
      <c r="W384" s="7"/>
      <c r="X384" s="7"/>
      <c r="Y384" s="7"/>
    </row>
    <row r="385" spans="1:25" ht="14.25" customHeight="1" x14ac:dyDescent="0.3">
      <c r="A385" s="18">
        <v>95.4</v>
      </c>
      <c r="B385" s="19"/>
      <c r="C385" s="19"/>
      <c r="D385" s="19"/>
      <c r="E385" s="19"/>
      <c r="F385" s="19"/>
      <c r="G385" s="21"/>
      <c r="H385" s="21"/>
      <c r="I385" s="21"/>
      <c r="J385" s="21"/>
      <c r="K385" s="19"/>
      <c r="L385" s="19"/>
      <c r="M385" s="22"/>
      <c r="N385" s="19"/>
      <c r="O385" s="19"/>
      <c r="P385" s="23"/>
      <c r="Q385" s="21" t="s">
        <v>46</v>
      </c>
      <c r="R385" s="19" t="s">
        <v>47</v>
      </c>
      <c r="S385" s="21"/>
      <c r="T385" s="32"/>
      <c r="U385" s="21"/>
      <c r="V385" s="7"/>
      <c r="W385" s="7"/>
      <c r="X385" s="7"/>
      <c r="Y385" s="7"/>
    </row>
    <row r="386" spans="1:25" ht="14.25" customHeight="1" x14ac:dyDescent="0.3">
      <c r="A386" s="18">
        <v>96.1</v>
      </c>
      <c r="B386" s="19"/>
      <c r="C386" s="19"/>
      <c r="D386" s="19"/>
      <c r="E386" s="19"/>
      <c r="F386" s="19"/>
      <c r="G386" s="21"/>
      <c r="H386" s="21"/>
      <c r="I386" s="21"/>
      <c r="J386" s="21"/>
      <c r="K386" s="19"/>
      <c r="L386" s="19"/>
      <c r="M386" s="22"/>
      <c r="N386" s="19"/>
      <c r="O386" s="19"/>
      <c r="P386" s="23"/>
      <c r="Q386" s="21" t="s">
        <v>46</v>
      </c>
      <c r="R386" s="19" t="s">
        <v>47</v>
      </c>
      <c r="S386" s="21"/>
      <c r="T386" s="32"/>
      <c r="U386" s="21"/>
      <c r="V386" s="7"/>
      <c r="W386" s="7"/>
      <c r="X386" s="7"/>
      <c r="Y386" s="7"/>
    </row>
    <row r="387" spans="1:25" ht="14.25" customHeight="1" x14ac:dyDescent="0.3">
      <c r="A387" s="18">
        <v>96.2</v>
      </c>
      <c r="B387" s="19"/>
      <c r="C387" s="19"/>
      <c r="D387" s="19"/>
      <c r="E387" s="19"/>
      <c r="F387" s="19"/>
      <c r="G387" s="21"/>
      <c r="H387" s="21"/>
      <c r="I387" s="21"/>
      <c r="J387" s="21"/>
      <c r="K387" s="19"/>
      <c r="L387" s="19"/>
      <c r="M387" s="22"/>
      <c r="N387" s="19"/>
      <c r="O387" s="19"/>
      <c r="P387" s="23"/>
      <c r="Q387" s="21" t="s">
        <v>46</v>
      </c>
      <c r="R387" s="19" t="s">
        <v>47</v>
      </c>
      <c r="S387" s="21"/>
      <c r="T387" s="32"/>
      <c r="U387" s="21"/>
      <c r="V387" s="7"/>
      <c r="W387" s="7"/>
      <c r="X387" s="7"/>
      <c r="Y387" s="7"/>
    </row>
    <row r="388" spans="1:25" ht="14.25" customHeight="1" x14ac:dyDescent="0.3">
      <c r="A388" s="18">
        <v>96.3</v>
      </c>
      <c r="B388" s="19"/>
      <c r="C388" s="19"/>
      <c r="D388" s="19"/>
      <c r="E388" s="19"/>
      <c r="F388" s="19"/>
      <c r="G388" s="21"/>
      <c r="H388" s="21"/>
      <c r="I388" s="21"/>
      <c r="J388" s="21"/>
      <c r="K388" s="19"/>
      <c r="L388" s="19"/>
      <c r="M388" s="22"/>
      <c r="N388" s="19"/>
      <c r="O388" s="19"/>
      <c r="P388" s="23"/>
      <c r="Q388" s="21" t="s">
        <v>46</v>
      </c>
      <c r="R388" s="19" t="s">
        <v>47</v>
      </c>
      <c r="S388" s="21"/>
      <c r="T388" s="32"/>
      <c r="U388" s="21"/>
      <c r="V388" s="7"/>
      <c r="W388" s="7"/>
      <c r="X388" s="7"/>
      <c r="Y388" s="7"/>
    </row>
    <row r="389" spans="1:25" ht="14.25" customHeight="1" x14ac:dyDescent="0.3">
      <c r="A389" s="18">
        <v>96.4</v>
      </c>
      <c r="B389" s="19"/>
      <c r="C389" s="19"/>
      <c r="D389" s="19"/>
      <c r="E389" s="19"/>
      <c r="F389" s="19"/>
      <c r="G389" s="21"/>
      <c r="H389" s="21"/>
      <c r="I389" s="21"/>
      <c r="J389" s="21"/>
      <c r="K389" s="19"/>
      <c r="L389" s="19"/>
      <c r="M389" s="22"/>
      <c r="N389" s="19"/>
      <c r="O389" s="19"/>
      <c r="P389" s="23"/>
      <c r="Q389" s="21" t="s">
        <v>46</v>
      </c>
      <c r="R389" s="19" t="s">
        <v>47</v>
      </c>
      <c r="S389" s="21"/>
      <c r="T389" s="32"/>
      <c r="U389" s="21"/>
      <c r="V389" s="7"/>
      <c r="W389" s="7"/>
      <c r="X389" s="7"/>
      <c r="Y389" s="7"/>
    </row>
    <row r="390" spans="1:25" ht="14.25" customHeight="1" x14ac:dyDescent="0.3">
      <c r="A390" s="18">
        <v>97.1</v>
      </c>
      <c r="B390" s="19"/>
      <c r="C390" s="19"/>
      <c r="D390" s="19"/>
      <c r="E390" s="19"/>
      <c r="F390" s="19"/>
      <c r="G390" s="21"/>
      <c r="H390" s="21"/>
      <c r="I390" s="21"/>
      <c r="J390" s="21"/>
      <c r="K390" s="19"/>
      <c r="L390" s="19"/>
      <c r="M390" s="22"/>
      <c r="N390" s="19"/>
      <c r="O390" s="19"/>
      <c r="P390" s="23"/>
      <c r="Q390" s="21" t="s">
        <v>46</v>
      </c>
      <c r="R390" s="19" t="s">
        <v>47</v>
      </c>
      <c r="S390" s="21"/>
      <c r="T390" s="32"/>
      <c r="U390" s="21"/>
      <c r="V390" s="7"/>
      <c r="W390" s="7"/>
      <c r="X390" s="7"/>
      <c r="Y390" s="7"/>
    </row>
    <row r="391" spans="1:25" ht="14.25" customHeight="1" x14ac:dyDescent="0.3">
      <c r="A391" s="18">
        <v>97.2</v>
      </c>
      <c r="B391" s="19"/>
      <c r="C391" s="19"/>
      <c r="D391" s="19"/>
      <c r="E391" s="19"/>
      <c r="F391" s="19"/>
      <c r="G391" s="21"/>
      <c r="H391" s="21"/>
      <c r="I391" s="21"/>
      <c r="J391" s="21"/>
      <c r="K391" s="19"/>
      <c r="L391" s="19"/>
      <c r="M391" s="22"/>
      <c r="N391" s="19"/>
      <c r="O391" s="19"/>
      <c r="P391" s="23"/>
      <c r="Q391" s="21" t="s">
        <v>46</v>
      </c>
      <c r="R391" s="19" t="s">
        <v>47</v>
      </c>
      <c r="S391" s="21"/>
      <c r="T391" s="32"/>
      <c r="U391" s="21"/>
      <c r="V391" s="7"/>
      <c r="W391" s="7"/>
      <c r="X391" s="7"/>
      <c r="Y391" s="7"/>
    </row>
    <row r="392" spans="1:25" ht="14.25" customHeight="1" x14ac:dyDescent="0.3">
      <c r="A392" s="18">
        <v>97.3</v>
      </c>
      <c r="B392" s="19"/>
      <c r="C392" s="19"/>
      <c r="D392" s="19"/>
      <c r="E392" s="19"/>
      <c r="F392" s="19"/>
      <c r="G392" s="21"/>
      <c r="H392" s="21"/>
      <c r="I392" s="21"/>
      <c r="J392" s="21"/>
      <c r="K392" s="19"/>
      <c r="L392" s="19"/>
      <c r="M392" s="22"/>
      <c r="N392" s="19"/>
      <c r="O392" s="19"/>
      <c r="P392" s="23"/>
      <c r="Q392" s="21" t="s">
        <v>46</v>
      </c>
      <c r="R392" s="19" t="s">
        <v>47</v>
      </c>
      <c r="S392" s="21"/>
      <c r="T392" s="32"/>
      <c r="U392" s="21"/>
      <c r="V392" s="7"/>
      <c r="W392" s="7"/>
      <c r="X392" s="7"/>
      <c r="Y392" s="7"/>
    </row>
    <row r="393" spans="1:25" ht="14.25" customHeight="1" x14ac:dyDescent="0.3">
      <c r="A393" s="18">
        <v>97.4</v>
      </c>
      <c r="B393" s="19"/>
      <c r="C393" s="19"/>
      <c r="D393" s="19"/>
      <c r="E393" s="19"/>
      <c r="F393" s="19"/>
      <c r="G393" s="21"/>
      <c r="H393" s="21"/>
      <c r="I393" s="21"/>
      <c r="J393" s="21"/>
      <c r="K393" s="19"/>
      <c r="L393" s="19"/>
      <c r="M393" s="22"/>
      <c r="N393" s="19"/>
      <c r="O393" s="19"/>
      <c r="P393" s="23"/>
      <c r="Q393" s="21" t="s">
        <v>46</v>
      </c>
      <c r="R393" s="19" t="s">
        <v>47</v>
      </c>
      <c r="S393" s="21"/>
      <c r="T393" s="32"/>
      <c r="U393" s="21"/>
      <c r="V393" s="7"/>
      <c r="W393" s="7"/>
      <c r="X393" s="7"/>
      <c r="Y393" s="7"/>
    </row>
    <row r="394" spans="1:25" ht="14.25" customHeight="1" x14ac:dyDescent="0.3">
      <c r="A394" s="18">
        <v>98.1</v>
      </c>
      <c r="B394" s="19"/>
      <c r="C394" s="19"/>
      <c r="D394" s="19"/>
      <c r="E394" s="19"/>
      <c r="F394" s="19"/>
      <c r="G394" s="21"/>
      <c r="H394" s="21"/>
      <c r="I394" s="21"/>
      <c r="J394" s="21"/>
      <c r="K394" s="19"/>
      <c r="L394" s="19"/>
      <c r="M394" s="22"/>
      <c r="N394" s="19"/>
      <c r="O394" s="19"/>
      <c r="P394" s="23"/>
      <c r="Q394" s="21" t="s">
        <v>46</v>
      </c>
      <c r="R394" s="19" t="s">
        <v>47</v>
      </c>
      <c r="S394" s="21"/>
      <c r="T394" s="32"/>
      <c r="U394" s="21"/>
      <c r="V394" s="7"/>
      <c r="W394" s="7"/>
      <c r="X394" s="7"/>
      <c r="Y394" s="7"/>
    </row>
    <row r="395" spans="1:25" ht="14.25" customHeight="1" x14ac:dyDescent="0.3">
      <c r="A395" s="18">
        <v>98.2</v>
      </c>
      <c r="B395" s="19"/>
      <c r="C395" s="19"/>
      <c r="D395" s="19"/>
      <c r="E395" s="19"/>
      <c r="F395" s="19"/>
      <c r="G395" s="21"/>
      <c r="H395" s="21"/>
      <c r="I395" s="21"/>
      <c r="J395" s="21"/>
      <c r="K395" s="19"/>
      <c r="L395" s="19"/>
      <c r="M395" s="22"/>
      <c r="N395" s="19"/>
      <c r="O395" s="19"/>
      <c r="P395" s="23"/>
      <c r="Q395" s="21" t="s">
        <v>46</v>
      </c>
      <c r="R395" s="19" t="s">
        <v>47</v>
      </c>
      <c r="S395" s="21"/>
      <c r="T395" s="32"/>
      <c r="U395" s="21"/>
      <c r="V395" s="7"/>
      <c r="W395" s="7"/>
      <c r="X395" s="7"/>
      <c r="Y395" s="7"/>
    </row>
    <row r="396" spans="1:25" ht="14.25" customHeight="1" x14ac:dyDescent="0.3">
      <c r="A396" s="18">
        <v>98.3</v>
      </c>
      <c r="B396" s="19"/>
      <c r="C396" s="19"/>
      <c r="D396" s="19"/>
      <c r="E396" s="19"/>
      <c r="F396" s="19"/>
      <c r="G396" s="21"/>
      <c r="H396" s="21"/>
      <c r="I396" s="21"/>
      <c r="J396" s="21"/>
      <c r="K396" s="19"/>
      <c r="L396" s="19"/>
      <c r="M396" s="22"/>
      <c r="N396" s="19"/>
      <c r="O396" s="19"/>
      <c r="P396" s="23"/>
      <c r="Q396" s="21" t="s">
        <v>46</v>
      </c>
      <c r="R396" s="19" t="s">
        <v>47</v>
      </c>
      <c r="S396" s="21"/>
      <c r="T396" s="32"/>
      <c r="U396" s="21"/>
      <c r="V396" s="7"/>
      <c r="W396" s="7"/>
      <c r="X396" s="7"/>
      <c r="Y396" s="7"/>
    </row>
    <row r="397" spans="1:25" ht="14.25" customHeight="1" x14ac:dyDescent="0.3">
      <c r="A397" s="18">
        <v>98.4</v>
      </c>
      <c r="B397" s="19"/>
      <c r="C397" s="19"/>
      <c r="D397" s="19"/>
      <c r="E397" s="19"/>
      <c r="F397" s="19"/>
      <c r="G397" s="21"/>
      <c r="H397" s="21"/>
      <c r="I397" s="21"/>
      <c r="J397" s="21"/>
      <c r="K397" s="19"/>
      <c r="L397" s="19"/>
      <c r="M397" s="22"/>
      <c r="N397" s="19"/>
      <c r="O397" s="19"/>
      <c r="P397" s="23"/>
      <c r="Q397" s="21" t="s">
        <v>46</v>
      </c>
      <c r="R397" s="19" t="s">
        <v>47</v>
      </c>
      <c r="S397" s="21"/>
      <c r="T397" s="32"/>
      <c r="U397" s="21"/>
      <c r="V397" s="7"/>
      <c r="W397" s="7"/>
      <c r="X397" s="7"/>
      <c r="Y397" s="7"/>
    </row>
    <row r="398" spans="1:25" ht="14.25" customHeight="1" x14ac:dyDescent="0.3">
      <c r="A398" s="18">
        <v>99.1</v>
      </c>
      <c r="B398" s="19"/>
      <c r="C398" s="19"/>
      <c r="D398" s="19"/>
      <c r="E398" s="19"/>
      <c r="F398" s="19"/>
      <c r="G398" s="21"/>
      <c r="H398" s="21"/>
      <c r="I398" s="21"/>
      <c r="J398" s="21"/>
      <c r="K398" s="19"/>
      <c r="L398" s="19"/>
      <c r="M398" s="22"/>
      <c r="N398" s="19"/>
      <c r="O398" s="19"/>
      <c r="P398" s="23"/>
      <c r="Q398" s="21" t="s">
        <v>46</v>
      </c>
      <c r="R398" s="19" t="s">
        <v>47</v>
      </c>
      <c r="S398" s="21"/>
      <c r="T398" s="32"/>
      <c r="U398" s="21"/>
      <c r="V398" s="7"/>
      <c r="W398" s="7"/>
      <c r="X398" s="7"/>
      <c r="Y398" s="7"/>
    </row>
    <row r="399" spans="1:25" ht="14.25" customHeight="1" x14ac:dyDescent="0.3">
      <c r="A399" s="18">
        <v>99.2</v>
      </c>
      <c r="B399" s="19"/>
      <c r="C399" s="19"/>
      <c r="D399" s="19"/>
      <c r="E399" s="19"/>
      <c r="F399" s="19"/>
      <c r="G399" s="21"/>
      <c r="H399" s="21"/>
      <c r="I399" s="21"/>
      <c r="J399" s="21"/>
      <c r="K399" s="19"/>
      <c r="L399" s="19"/>
      <c r="M399" s="22"/>
      <c r="N399" s="19"/>
      <c r="O399" s="19"/>
      <c r="P399" s="23"/>
      <c r="Q399" s="21" t="s">
        <v>46</v>
      </c>
      <c r="R399" s="19" t="s">
        <v>47</v>
      </c>
      <c r="S399" s="21"/>
      <c r="T399" s="32"/>
      <c r="U399" s="21"/>
      <c r="V399" s="7"/>
      <c r="W399" s="7"/>
      <c r="X399" s="7"/>
      <c r="Y399" s="7"/>
    </row>
    <row r="400" spans="1:25" ht="14.25" customHeight="1" x14ac:dyDescent="0.3">
      <c r="A400" s="18">
        <v>99.3</v>
      </c>
      <c r="B400" s="19"/>
      <c r="C400" s="19"/>
      <c r="D400" s="19"/>
      <c r="E400" s="19"/>
      <c r="F400" s="19"/>
      <c r="G400" s="21"/>
      <c r="H400" s="21"/>
      <c r="I400" s="21"/>
      <c r="J400" s="21"/>
      <c r="K400" s="19"/>
      <c r="L400" s="19"/>
      <c r="M400" s="22"/>
      <c r="N400" s="19"/>
      <c r="O400" s="19"/>
      <c r="P400" s="23"/>
      <c r="Q400" s="21" t="s">
        <v>46</v>
      </c>
      <c r="R400" s="19" t="s">
        <v>47</v>
      </c>
      <c r="S400" s="21"/>
      <c r="T400" s="32"/>
      <c r="U400" s="21"/>
      <c r="V400" s="7"/>
      <c r="W400" s="7"/>
      <c r="X400" s="7"/>
      <c r="Y400" s="7"/>
    </row>
    <row r="401" spans="1:25" ht="14.25" customHeight="1" x14ac:dyDescent="0.3">
      <c r="A401" s="18">
        <v>99.4</v>
      </c>
      <c r="B401" s="19"/>
      <c r="C401" s="19"/>
      <c r="D401" s="19"/>
      <c r="E401" s="19"/>
      <c r="F401" s="19"/>
      <c r="G401" s="21"/>
      <c r="H401" s="21"/>
      <c r="I401" s="21"/>
      <c r="J401" s="21"/>
      <c r="K401" s="19"/>
      <c r="L401" s="19"/>
      <c r="M401" s="22"/>
      <c r="N401" s="19"/>
      <c r="O401" s="19"/>
      <c r="P401" s="23"/>
      <c r="Q401" s="21" t="s">
        <v>46</v>
      </c>
      <c r="R401" s="19" t="s">
        <v>47</v>
      </c>
      <c r="S401" s="21"/>
      <c r="T401" s="32"/>
      <c r="U401" s="21"/>
      <c r="V401" s="7"/>
      <c r="W401" s="7"/>
      <c r="X401" s="7"/>
      <c r="Y401" s="7"/>
    </row>
    <row r="402" spans="1:25" ht="14.25" customHeight="1" x14ac:dyDescent="0.3">
      <c r="A402" s="18">
        <v>100.1</v>
      </c>
      <c r="B402" s="19"/>
      <c r="C402" s="19"/>
      <c r="D402" s="19"/>
      <c r="E402" s="19"/>
      <c r="F402" s="19"/>
      <c r="G402" s="21"/>
      <c r="H402" s="21"/>
      <c r="I402" s="21"/>
      <c r="J402" s="21"/>
      <c r="K402" s="19"/>
      <c r="L402" s="19"/>
      <c r="M402" s="22"/>
      <c r="N402" s="19"/>
      <c r="O402" s="19"/>
      <c r="P402" s="23"/>
      <c r="Q402" s="21" t="s">
        <v>46</v>
      </c>
      <c r="R402" s="19" t="s">
        <v>47</v>
      </c>
      <c r="S402" s="21"/>
      <c r="T402" s="32"/>
      <c r="U402" s="21"/>
      <c r="V402" s="7"/>
      <c r="W402" s="7"/>
      <c r="X402" s="7"/>
      <c r="Y402" s="7"/>
    </row>
    <row r="403" spans="1:25" ht="14.25" customHeight="1" x14ac:dyDescent="0.3">
      <c r="A403" s="18">
        <v>100.2</v>
      </c>
      <c r="B403" s="19"/>
      <c r="C403" s="19"/>
      <c r="D403" s="19"/>
      <c r="E403" s="19"/>
      <c r="F403" s="19"/>
      <c r="G403" s="21"/>
      <c r="H403" s="21"/>
      <c r="I403" s="21"/>
      <c r="J403" s="21"/>
      <c r="K403" s="19"/>
      <c r="L403" s="19"/>
      <c r="M403" s="22"/>
      <c r="N403" s="19"/>
      <c r="O403" s="19"/>
      <c r="P403" s="23"/>
      <c r="Q403" s="21" t="s">
        <v>46</v>
      </c>
      <c r="R403" s="19" t="s">
        <v>47</v>
      </c>
      <c r="S403" s="21"/>
      <c r="T403" s="32"/>
      <c r="U403" s="21"/>
      <c r="V403" s="7"/>
      <c r="W403" s="7"/>
      <c r="X403" s="7"/>
      <c r="Y403" s="7"/>
    </row>
    <row r="404" spans="1:25" ht="14.25" customHeight="1" x14ac:dyDescent="0.3">
      <c r="A404" s="18">
        <v>100.3</v>
      </c>
      <c r="B404" s="19"/>
      <c r="C404" s="19"/>
      <c r="D404" s="19"/>
      <c r="E404" s="19"/>
      <c r="F404" s="19"/>
      <c r="G404" s="21"/>
      <c r="H404" s="21"/>
      <c r="I404" s="21"/>
      <c r="J404" s="21"/>
      <c r="K404" s="19"/>
      <c r="L404" s="19"/>
      <c r="M404" s="22"/>
      <c r="N404" s="19"/>
      <c r="O404" s="19"/>
      <c r="P404" s="23"/>
      <c r="Q404" s="21" t="s">
        <v>46</v>
      </c>
      <c r="R404" s="19" t="s">
        <v>47</v>
      </c>
      <c r="S404" s="21"/>
      <c r="T404" s="32"/>
      <c r="U404" s="21"/>
      <c r="V404" s="7"/>
      <c r="W404" s="7"/>
      <c r="X404" s="7"/>
      <c r="Y404" s="7"/>
    </row>
    <row r="405" spans="1:25" ht="14.25" customHeight="1" x14ac:dyDescent="0.3">
      <c r="A405" s="18">
        <v>100.4</v>
      </c>
      <c r="B405" s="19"/>
      <c r="C405" s="19"/>
      <c r="D405" s="19"/>
      <c r="E405" s="19"/>
      <c r="F405" s="19"/>
      <c r="G405" s="21"/>
      <c r="H405" s="21"/>
      <c r="I405" s="21"/>
      <c r="J405" s="21"/>
      <c r="K405" s="19"/>
      <c r="L405" s="19"/>
      <c r="M405" s="22"/>
      <c r="N405" s="19"/>
      <c r="O405" s="19"/>
      <c r="P405" s="23"/>
      <c r="Q405" s="21" t="s">
        <v>46</v>
      </c>
      <c r="R405" s="19" t="s">
        <v>47</v>
      </c>
      <c r="S405" s="21"/>
      <c r="T405" s="32"/>
      <c r="U405" s="21"/>
      <c r="V405" s="7"/>
      <c r="W405" s="7"/>
      <c r="X405" s="7"/>
      <c r="Y405" s="7"/>
    </row>
    <row r="406" spans="1:25" ht="14.25" customHeight="1" x14ac:dyDescent="0.3">
      <c r="A406" s="18">
        <v>101.1</v>
      </c>
      <c r="B406" s="19"/>
      <c r="C406" s="19"/>
      <c r="D406" s="19"/>
      <c r="E406" s="19"/>
      <c r="F406" s="19"/>
      <c r="G406" s="21"/>
      <c r="H406" s="21"/>
      <c r="I406" s="21"/>
      <c r="J406" s="21"/>
      <c r="K406" s="19"/>
      <c r="L406" s="19"/>
      <c r="M406" s="22"/>
      <c r="N406" s="19"/>
      <c r="O406" s="19"/>
      <c r="P406" s="23"/>
      <c r="Q406" s="21" t="s">
        <v>46</v>
      </c>
      <c r="R406" s="19" t="s">
        <v>47</v>
      </c>
      <c r="S406" s="21"/>
      <c r="T406" s="32"/>
      <c r="U406" s="21"/>
      <c r="V406" s="7"/>
      <c r="W406" s="7"/>
      <c r="X406" s="7"/>
      <c r="Y406" s="7"/>
    </row>
    <row r="407" spans="1:25" ht="14.25" customHeight="1" x14ac:dyDescent="0.3">
      <c r="A407" s="18">
        <v>101.2</v>
      </c>
      <c r="B407" s="19"/>
      <c r="C407" s="19"/>
      <c r="D407" s="19"/>
      <c r="E407" s="19"/>
      <c r="F407" s="19"/>
      <c r="G407" s="21"/>
      <c r="H407" s="21"/>
      <c r="I407" s="21"/>
      <c r="J407" s="21"/>
      <c r="K407" s="19"/>
      <c r="L407" s="19"/>
      <c r="M407" s="22"/>
      <c r="N407" s="19"/>
      <c r="O407" s="19"/>
      <c r="P407" s="23"/>
      <c r="Q407" s="21" t="s">
        <v>46</v>
      </c>
      <c r="R407" s="19" t="s">
        <v>47</v>
      </c>
      <c r="S407" s="21"/>
      <c r="T407" s="32"/>
      <c r="U407" s="21"/>
      <c r="V407" s="7"/>
      <c r="W407" s="7"/>
      <c r="X407" s="7"/>
      <c r="Y407" s="7"/>
    </row>
    <row r="408" spans="1:25" ht="14.25" customHeight="1" x14ac:dyDescent="0.3">
      <c r="A408" s="18">
        <v>101.3</v>
      </c>
      <c r="B408" s="19"/>
      <c r="C408" s="19"/>
      <c r="D408" s="19"/>
      <c r="E408" s="19"/>
      <c r="F408" s="19"/>
      <c r="G408" s="21"/>
      <c r="H408" s="21"/>
      <c r="I408" s="21"/>
      <c r="J408" s="21"/>
      <c r="K408" s="19"/>
      <c r="L408" s="19"/>
      <c r="M408" s="22"/>
      <c r="N408" s="19"/>
      <c r="O408" s="19"/>
      <c r="P408" s="23"/>
      <c r="Q408" s="21" t="s">
        <v>46</v>
      </c>
      <c r="R408" s="19" t="s">
        <v>47</v>
      </c>
      <c r="S408" s="21"/>
      <c r="T408" s="32"/>
      <c r="U408" s="21"/>
      <c r="V408" s="7"/>
      <c r="W408" s="7"/>
      <c r="X408" s="7"/>
      <c r="Y408" s="7"/>
    </row>
    <row r="409" spans="1:25" ht="14.25" customHeight="1" x14ac:dyDescent="0.3">
      <c r="A409" s="18">
        <v>101.4</v>
      </c>
      <c r="B409" s="19"/>
      <c r="C409" s="19"/>
      <c r="D409" s="19"/>
      <c r="E409" s="19"/>
      <c r="F409" s="19"/>
      <c r="G409" s="21"/>
      <c r="H409" s="21"/>
      <c r="I409" s="21"/>
      <c r="J409" s="21"/>
      <c r="K409" s="19"/>
      <c r="L409" s="19"/>
      <c r="M409" s="22"/>
      <c r="N409" s="19"/>
      <c r="O409" s="19"/>
      <c r="P409" s="23"/>
      <c r="Q409" s="21" t="s">
        <v>46</v>
      </c>
      <c r="R409" s="19" t="s">
        <v>47</v>
      </c>
      <c r="S409" s="21"/>
      <c r="T409" s="32"/>
      <c r="U409" s="21"/>
      <c r="V409" s="7"/>
      <c r="W409" s="7"/>
      <c r="X409" s="7"/>
      <c r="Y409" s="7"/>
    </row>
    <row r="410" spans="1:25" ht="14.25" customHeight="1" x14ac:dyDescent="0.3">
      <c r="A410" s="18">
        <v>102.1</v>
      </c>
      <c r="B410" s="19"/>
      <c r="C410" s="19"/>
      <c r="D410" s="19"/>
      <c r="E410" s="19"/>
      <c r="F410" s="19"/>
      <c r="G410" s="21"/>
      <c r="H410" s="21"/>
      <c r="I410" s="21"/>
      <c r="J410" s="21"/>
      <c r="K410" s="19"/>
      <c r="L410" s="19"/>
      <c r="M410" s="22"/>
      <c r="N410" s="19"/>
      <c r="O410" s="19"/>
      <c r="P410" s="23"/>
      <c r="Q410" s="21" t="s">
        <v>46</v>
      </c>
      <c r="R410" s="19" t="s">
        <v>47</v>
      </c>
      <c r="S410" s="21"/>
      <c r="T410" s="32"/>
      <c r="U410" s="21"/>
      <c r="V410" s="7"/>
      <c r="W410" s="7"/>
      <c r="X410" s="7"/>
      <c r="Y410" s="7"/>
    </row>
    <row r="411" spans="1:25" ht="14.25" customHeight="1" x14ac:dyDescent="0.3">
      <c r="A411" s="18">
        <v>102.2</v>
      </c>
      <c r="B411" s="19"/>
      <c r="C411" s="19"/>
      <c r="D411" s="19"/>
      <c r="E411" s="19"/>
      <c r="F411" s="19"/>
      <c r="G411" s="21"/>
      <c r="H411" s="21"/>
      <c r="I411" s="21"/>
      <c r="J411" s="21"/>
      <c r="K411" s="19"/>
      <c r="L411" s="19"/>
      <c r="M411" s="22"/>
      <c r="N411" s="19"/>
      <c r="O411" s="19"/>
      <c r="P411" s="23"/>
      <c r="Q411" s="21" t="s">
        <v>46</v>
      </c>
      <c r="R411" s="19" t="s">
        <v>47</v>
      </c>
      <c r="S411" s="21"/>
      <c r="T411" s="32"/>
      <c r="U411" s="21"/>
      <c r="V411" s="7"/>
      <c r="W411" s="7"/>
      <c r="X411" s="7"/>
      <c r="Y411" s="7"/>
    </row>
    <row r="412" spans="1:25" ht="14.25" customHeight="1" x14ac:dyDescent="0.3">
      <c r="A412" s="18">
        <v>102.3</v>
      </c>
      <c r="B412" s="19"/>
      <c r="C412" s="19"/>
      <c r="D412" s="19"/>
      <c r="E412" s="19"/>
      <c r="F412" s="19"/>
      <c r="G412" s="21"/>
      <c r="H412" s="21"/>
      <c r="I412" s="21"/>
      <c r="J412" s="21"/>
      <c r="K412" s="19"/>
      <c r="L412" s="19"/>
      <c r="M412" s="22"/>
      <c r="N412" s="19"/>
      <c r="O412" s="19"/>
      <c r="P412" s="23"/>
      <c r="Q412" s="21" t="s">
        <v>46</v>
      </c>
      <c r="R412" s="19" t="s">
        <v>47</v>
      </c>
      <c r="S412" s="21"/>
      <c r="T412" s="32"/>
      <c r="U412" s="21"/>
      <c r="V412" s="7"/>
      <c r="W412" s="7"/>
      <c r="X412" s="7"/>
      <c r="Y412" s="7"/>
    </row>
    <row r="413" spans="1:25" ht="14.25" customHeight="1" x14ac:dyDescent="0.3">
      <c r="A413" s="18">
        <v>102.4</v>
      </c>
      <c r="B413" s="19"/>
      <c r="C413" s="19"/>
      <c r="D413" s="19"/>
      <c r="E413" s="19"/>
      <c r="F413" s="19"/>
      <c r="G413" s="21"/>
      <c r="H413" s="21"/>
      <c r="I413" s="21"/>
      <c r="J413" s="21"/>
      <c r="K413" s="19"/>
      <c r="L413" s="19"/>
      <c r="M413" s="22"/>
      <c r="N413" s="19"/>
      <c r="O413" s="19"/>
      <c r="P413" s="23"/>
      <c r="Q413" s="21" t="s">
        <v>46</v>
      </c>
      <c r="R413" s="19" t="s">
        <v>47</v>
      </c>
      <c r="S413" s="21"/>
      <c r="T413" s="32"/>
      <c r="U413" s="21"/>
      <c r="V413" s="7"/>
      <c r="W413" s="7"/>
      <c r="X413" s="7"/>
      <c r="Y413" s="7"/>
    </row>
    <row r="414" spans="1:25" ht="14.25" customHeight="1" x14ac:dyDescent="0.3">
      <c r="A414" s="18">
        <v>103.1</v>
      </c>
      <c r="B414" s="19"/>
      <c r="C414" s="19"/>
      <c r="D414" s="19"/>
      <c r="E414" s="19"/>
      <c r="F414" s="19"/>
      <c r="G414" s="21"/>
      <c r="H414" s="21"/>
      <c r="I414" s="21"/>
      <c r="J414" s="21"/>
      <c r="K414" s="19"/>
      <c r="L414" s="19"/>
      <c r="M414" s="22"/>
      <c r="N414" s="19"/>
      <c r="O414" s="19"/>
      <c r="P414" s="23"/>
      <c r="Q414" s="21" t="s">
        <v>46</v>
      </c>
      <c r="R414" s="19" t="s">
        <v>47</v>
      </c>
      <c r="S414" s="21"/>
      <c r="T414" s="32"/>
      <c r="U414" s="21"/>
      <c r="V414" s="7"/>
      <c r="W414" s="7"/>
      <c r="X414" s="7"/>
      <c r="Y414" s="7"/>
    </row>
    <row r="415" spans="1:25" ht="14.25" customHeight="1" x14ac:dyDescent="0.3">
      <c r="A415" s="18">
        <v>103.2</v>
      </c>
      <c r="B415" s="19"/>
      <c r="C415" s="19"/>
      <c r="D415" s="19"/>
      <c r="E415" s="19"/>
      <c r="F415" s="19"/>
      <c r="G415" s="21"/>
      <c r="H415" s="21"/>
      <c r="I415" s="21"/>
      <c r="J415" s="21"/>
      <c r="K415" s="19"/>
      <c r="L415" s="19"/>
      <c r="M415" s="22"/>
      <c r="N415" s="19"/>
      <c r="O415" s="19"/>
      <c r="P415" s="23"/>
      <c r="Q415" s="21" t="s">
        <v>46</v>
      </c>
      <c r="R415" s="19" t="s">
        <v>47</v>
      </c>
      <c r="S415" s="21"/>
      <c r="T415" s="32"/>
      <c r="U415" s="21"/>
      <c r="V415" s="7"/>
      <c r="W415" s="7"/>
      <c r="X415" s="7"/>
      <c r="Y415" s="7"/>
    </row>
    <row r="416" spans="1:25" ht="14.25" customHeight="1" x14ac:dyDescent="0.3">
      <c r="A416" s="18">
        <v>103.3</v>
      </c>
      <c r="B416" s="19"/>
      <c r="C416" s="19"/>
      <c r="D416" s="19"/>
      <c r="E416" s="19"/>
      <c r="F416" s="19"/>
      <c r="G416" s="21"/>
      <c r="H416" s="21"/>
      <c r="I416" s="21"/>
      <c r="J416" s="21"/>
      <c r="K416" s="19"/>
      <c r="L416" s="19"/>
      <c r="M416" s="22"/>
      <c r="N416" s="19"/>
      <c r="O416" s="19"/>
      <c r="P416" s="23"/>
      <c r="Q416" s="21" t="s">
        <v>46</v>
      </c>
      <c r="R416" s="19" t="s">
        <v>47</v>
      </c>
      <c r="S416" s="21"/>
      <c r="T416" s="32"/>
      <c r="U416" s="21"/>
      <c r="V416" s="7"/>
      <c r="W416" s="7"/>
      <c r="X416" s="7"/>
      <c r="Y416" s="7"/>
    </row>
    <row r="417" spans="1:25" ht="14.25" customHeight="1" x14ac:dyDescent="0.3">
      <c r="A417" s="18">
        <v>103.4</v>
      </c>
      <c r="B417" s="19"/>
      <c r="C417" s="19"/>
      <c r="D417" s="19"/>
      <c r="E417" s="19"/>
      <c r="F417" s="19"/>
      <c r="G417" s="21"/>
      <c r="H417" s="21"/>
      <c r="I417" s="21"/>
      <c r="J417" s="21"/>
      <c r="K417" s="19"/>
      <c r="L417" s="19"/>
      <c r="M417" s="22"/>
      <c r="N417" s="19"/>
      <c r="O417" s="19"/>
      <c r="P417" s="23"/>
      <c r="Q417" s="21" t="s">
        <v>46</v>
      </c>
      <c r="R417" s="19" t="s">
        <v>47</v>
      </c>
      <c r="S417" s="21"/>
      <c r="T417" s="32"/>
      <c r="U417" s="21"/>
      <c r="V417" s="7"/>
      <c r="W417" s="7"/>
      <c r="X417" s="7"/>
      <c r="Y417" s="7"/>
    </row>
    <row r="418" spans="1:25" ht="14.25" customHeight="1" x14ac:dyDescent="0.3">
      <c r="A418" s="18">
        <v>104.1</v>
      </c>
      <c r="B418" s="19"/>
      <c r="C418" s="19"/>
      <c r="D418" s="19"/>
      <c r="E418" s="19"/>
      <c r="F418" s="19"/>
      <c r="G418" s="21"/>
      <c r="H418" s="21"/>
      <c r="I418" s="21"/>
      <c r="J418" s="21"/>
      <c r="K418" s="19"/>
      <c r="L418" s="19"/>
      <c r="M418" s="22"/>
      <c r="N418" s="19"/>
      <c r="O418" s="19"/>
      <c r="P418" s="23"/>
      <c r="Q418" s="21" t="s">
        <v>46</v>
      </c>
      <c r="R418" s="19" t="s">
        <v>47</v>
      </c>
      <c r="S418" s="21"/>
      <c r="T418" s="32"/>
      <c r="U418" s="21"/>
      <c r="V418" s="7"/>
      <c r="W418" s="7"/>
      <c r="X418" s="7"/>
      <c r="Y418" s="7"/>
    </row>
    <row r="419" spans="1:25" ht="14.25" customHeight="1" x14ac:dyDescent="0.3">
      <c r="A419" s="18">
        <v>104.2</v>
      </c>
      <c r="B419" s="19"/>
      <c r="C419" s="19"/>
      <c r="D419" s="19"/>
      <c r="E419" s="19"/>
      <c r="F419" s="19"/>
      <c r="G419" s="21"/>
      <c r="H419" s="21"/>
      <c r="I419" s="21"/>
      <c r="J419" s="21"/>
      <c r="K419" s="19"/>
      <c r="L419" s="19"/>
      <c r="M419" s="22"/>
      <c r="N419" s="19"/>
      <c r="O419" s="19"/>
      <c r="P419" s="23"/>
      <c r="Q419" s="21" t="s">
        <v>46</v>
      </c>
      <c r="R419" s="19" t="s">
        <v>47</v>
      </c>
      <c r="S419" s="21"/>
      <c r="T419" s="32"/>
      <c r="U419" s="21"/>
      <c r="V419" s="7"/>
      <c r="W419" s="7"/>
      <c r="X419" s="7"/>
      <c r="Y419" s="7"/>
    </row>
    <row r="420" spans="1:25" ht="14.25" customHeight="1" x14ac:dyDescent="0.3">
      <c r="A420" s="18">
        <v>104.3</v>
      </c>
      <c r="B420" s="19"/>
      <c r="C420" s="19"/>
      <c r="D420" s="19"/>
      <c r="E420" s="19"/>
      <c r="F420" s="19"/>
      <c r="G420" s="21"/>
      <c r="H420" s="21"/>
      <c r="I420" s="21"/>
      <c r="J420" s="21"/>
      <c r="K420" s="19"/>
      <c r="L420" s="19"/>
      <c r="M420" s="22"/>
      <c r="N420" s="19"/>
      <c r="O420" s="19"/>
      <c r="P420" s="23"/>
      <c r="Q420" s="21" t="s">
        <v>46</v>
      </c>
      <c r="R420" s="19" t="s">
        <v>47</v>
      </c>
      <c r="S420" s="21"/>
      <c r="T420" s="32"/>
      <c r="U420" s="21"/>
      <c r="V420" s="7"/>
      <c r="W420" s="7"/>
      <c r="X420" s="7"/>
      <c r="Y420" s="7"/>
    </row>
    <row r="421" spans="1:25" ht="14.25" customHeight="1" x14ac:dyDescent="0.3">
      <c r="A421" s="18">
        <v>104.4</v>
      </c>
      <c r="B421" s="19"/>
      <c r="C421" s="19"/>
      <c r="D421" s="19"/>
      <c r="E421" s="19"/>
      <c r="F421" s="19"/>
      <c r="G421" s="21"/>
      <c r="H421" s="21"/>
      <c r="I421" s="21"/>
      <c r="J421" s="21"/>
      <c r="K421" s="19"/>
      <c r="L421" s="19"/>
      <c r="M421" s="22"/>
      <c r="N421" s="19"/>
      <c r="O421" s="19"/>
      <c r="P421" s="23"/>
      <c r="Q421" s="21" t="s">
        <v>46</v>
      </c>
      <c r="R421" s="19" t="s">
        <v>47</v>
      </c>
      <c r="S421" s="21"/>
      <c r="T421" s="32"/>
      <c r="U421" s="21"/>
      <c r="V421" s="7"/>
      <c r="W421" s="7"/>
      <c r="X421" s="7"/>
      <c r="Y421" s="7"/>
    </row>
    <row r="422" spans="1:25" ht="14.25" customHeight="1" x14ac:dyDescent="0.3">
      <c r="A422" s="18">
        <v>105.1</v>
      </c>
      <c r="B422" s="19"/>
      <c r="C422" s="19"/>
      <c r="D422" s="19"/>
      <c r="E422" s="19"/>
      <c r="F422" s="19"/>
      <c r="G422" s="21"/>
      <c r="H422" s="21"/>
      <c r="I422" s="21"/>
      <c r="J422" s="21"/>
      <c r="K422" s="19"/>
      <c r="L422" s="19"/>
      <c r="M422" s="22"/>
      <c r="N422" s="19"/>
      <c r="O422" s="19"/>
      <c r="P422" s="23"/>
      <c r="Q422" s="21" t="s">
        <v>46</v>
      </c>
      <c r="R422" s="19" t="s">
        <v>47</v>
      </c>
      <c r="S422" s="21"/>
      <c r="T422" s="32"/>
      <c r="U422" s="21"/>
      <c r="V422" s="7"/>
      <c r="W422" s="7"/>
      <c r="X422" s="7"/>
      <c r="Y422" s="7"/>
    </row>
    <row r="423" spans="1:25" ht="14.25" customHeight="1" x14ac:dyDescent="0.3">
      <c r="A423" s="18">
        <v>105.2</v>
      </c>
      <c r="B423" s="19"/>
      <c r="C423" s="19"/>
      <c r="D423" s="19"/>
      <c r="E423" s="19"/>
      <c r="F423" s="19"/>
      <c r="G423" s="21"/>
      <c r="H423" s="21"/>
      <c r="I423" s="21"/>
      <c r="J423" s="21"/>
      <c r="K423" s="19"/>
      <c r="L423" s="19"/>
      <c r="M423" s="22"/>
      <c r="N423" s="19"/>
      <c r="O423" s="19"/>
      <c r="P423" s="23"/>
      <c r="Q423" s="21" t="s">
        <v>46</v>
      </c>
      <c r="R423" s="19" t="s">
        <v>47</v>
      </c>
      <c r="S423" s="21"/>
      <c r="T423" s="32"/>
      <c r="U423" s="21"/>
      <c r="V423" s="7"/>
      <c r="W423" s="7"/>
      <c r="X423" s="7"/>
      <c r="Y423" s="7"/>
    </row>
    <row r="424" spans="1:25" ht="14.25" customHeight="1" x14ac:dyDescent="0.3">
      <c r="A424" s="18">
        <v>105.3</v>
      </c>
      <c r="B424" s="19"/>
      <c r="C424" s="19"/>
      <c r="D424" s="19"/>
      <c r="E424" s="19"/>
      <c r="F424" s="19"/>
      <c r="G424" s="21"/>
      <c r="H424" s="21"/>
      <c r="I424" s="21"/>
      <c r="J424" s="21"/>
      <c r="K424" s="19"/>
      <c r="L424" s="19"/>
      <c r="M424" s="22"/>
      <c r="N424" s="19"/>
      <c r="O424" s="19"/>
      <c r="P424" s="23"/>
      <c r="Q424" s="21" t="s">
        <v>46</v>
      </c>
      <c r="R424" s="19" t="s">
        <v>47</v>
      </c>
      <c r="S424" s="21"/>
      <c r="T424" s="32"/>
      <c r="U424" s="21"/>
      <c r="V424" s="7"/>
      <c r="W424" s="7"/>
      <c r="X424" s="7"/>
      <c r="Y424" s="7"/>
    </row>
    <row r="425" spans="1:25" ht="14.25" customHeight="1" x14ac:dyDescent="0.3">
      <c r="A425" s="18">
        <v>105.4</v>
      </c>
      <c r="B425" s="19"/>
      <c r="C425" s="19"/>
      <c r="D425" s="19"/>
      <c r="E425" s="19"/>
      <c r="F425" s="19"/>
      <c r="G425" s="21"/>
      <c r="H425" s="21"/>
      <c r="I425" s="21"/>
      <c r="J425" s="21"/>
      <c r="K425" s="19"/>
      <c r="L425" s="19"/>
      <c r="M425" s="22"/>
      <c r="N425" s="19"/>
      <c r="O425" s="19"/>
      <c r="P425" s="23"/>
      <c r="Q425" s="21" t="s">
        <v>46</v>
      </c>
      <c r="R425" s="19" t="s">
        <v>47</v>
      </c>
      <c r="S425" s="21"/>
      <c r="T425" s="32"/>
      <c r="U425" s="21"/>
      <c r="V425" s="7"/>
      <c r="W425" s="7"/>
      <c r="X425" s="7"/>
      <c r="Y425" s="7"/>
    </row>
    <row r="426" spans="1:25" ht="14.25" customHeight="1" x14ac:dyDescent="0.3">
      <c r="A426" s="18">
        <v>106.1</v>
      </c>
      <c r="B426" s="19"/>
      <c r="C426" s="19"/>
      <c r="D426" s="19"/>
      <c r="E426" s="19"/>
      <c r="F426" s="19"/>
      <c r="G426" s="21"/>
      <c r="H426" s="21"/>
      <c r="I426" s="21"/>
      <c r="J426" s="21"/>
      <c r="K426" s="19"/>
      <c r="L426" s="19"/>
      <c r="M426" s="22"/>
      <c r="N426" s="19"/>
      <c r="O426" s="19"/>
      <c r="P426" s="23"/>
      <c r="Q426" s="21" t="s">
        <v>46</v>
      </c>
      <c r="R426" s="19" t="s">
        <v>47</v>
      </c>
      <c r="S426" s="21"/>
      <c r="T426" s="32"/>
      <c r="U426" s="21"/>
      <c r="V426" s="7"/>
      <c r="W426" s="7"/>
      <c r="X426" s="7"/>
      <c r="Y426" s="7"/>
    </row>
    <row r="427" spans="1:25" ht="14.25" customHeight="1" x14ac:dyDescent="0.3">
      <c r="A427" s="18">
        <v>106.2</v>
      </c>
      <c r="B427" s="19"/>
      <c r="C427" s="19"/>
      <c r="D427" s="19"/>
      <c r="E427" s="19"/>
      <c r="F427" s="19"/>
      <c r="G427" s="21"/>
      <c r="H427" s="21"/>
      <c r="I427" s="21"/>
      <c r="J427" s="21"/>
      <c r="K427" s="19"/>
      <c r="L427" s="19"/>
      <c r="M427" s="22"/>
      <c r="N427" s="19"/>
      <c r="O427" s="19"/>
      <c r="P427" s="23"/>
      <c r="Q427" s="21" t="s">
        <v>46</v>
      </c>
      <c r="R427" s="19" t="s">
        <v>47</v>
      </c>
      <c r="S427" s="21"/>
      <c r="T427" s="32"/>
      <c r="U427" s="21"/>
      <c r="V427" s="7"/>
      <c r="W427" s="7"/>
      <c r="X427" s="7"/>
      <c r="Y427" s="7"/>
    </row>
    <row r="428" spans="1:25" ht="14.25" customHeight="1" x14ac:dyDescent="0.3">
      <c r="A428" s="18">
        <v>106.3</v>
      </c>
      <c r="B428" s="19"/>
      <c r="C428" s="19"/>
      <c r="D428" s="19"/>
      <c r="E428" s="19"/>
      <c r="F428" s="19"/>
      <c r="G428" s="21"/>
      <c r="H428" s="21"/>
      <c r="I428" s="21"/>
      <c r="J428" s="21"/>
      <c r="K428" s="19"/>
      <c r="L428" s="19"/>
      <c r="M428" s="22"/>
      <c r="N428" s="19"/>
      <c r="O428" s="19"/>
      <c r="P428" s="23"/>
      <c r="Q428" s="21" t="s">
        <v>46</v>
      </c>
      <c r="R428" s="19" t="s">
        <v>47</v>
      </c>
      <c r="S428" s="21"/>
      <c r="T428" s="32"/>
      <c r="U428" s="21"/>
      <c r="V428" s="7"/>
      <c r="W428" s="7"/>
      <c r="X428" s="7"/>
      <c r="Y428" s="7"/>
    </row>
    <row r="429" spans="1:25" ht="14.25" customHeight="1" x14ac:dyDescent="0.3">
      <c r="A429" s="18">
        <v>106.4</v>
      </c>
      <c r="B429" s="19"/>
      <c r="C429" s="19"/>
      <c r="D429" s="19"/>
      <c r="E429" s="19"/>
      <c r="F429" s="19"/>
      <c r="G429" s="21"/>
      <c r="H429" s="21"/>
      <c r="I429" s="21"/>
      <c r="J429" s="21"/>
      <c r="K429" s="19"/>
      <c r="L429" s="19"/>
      <c r="M429" s="22"/>
      <c r="N429" s="19"/>
      <c r="O429" s="19"/>
      <c r="P429" s="23"/>
      <c r="Q429" s="21" t="s">
        <v>46</v>
      </c>
      <c r="R429" s="19" t="s">
        <v>47</v>
      </c>
      <c r="S429" s="21"/>
      <c r="T429" s="32"/>
      <c r="U429" s="21"/>
      <c r="V429" s="7"/>
      <c r="W429" s="7"/>
      <c r="X429" s="7"/>
      <c r="Y429" s="7"/>
    </row>
    <row r="430" spans="1:25" ht="14.25" customHeight="1" x14ac:dyDescent="0.3">
      <c r="A430" s="18">
        <v>107.1</v>
      </c>
      <c r="B430" s="19"/>
      <c r="C430" s="19"/>
      <c r="D430" s="19"/>
      <c r="E430" s="19"/>
      <c r="F430" s="19"/>
      <c r="G430" s="21"/>
      <c r="H430" s="21"/>
      <c r="I430" s="21"/>
      <c r="J430" s="21"/>
      <c r="K430" s="19"/>
      <c r="L430" s="19"/>
      <c r="M430" s="22"/>
      <c r="N430" s="19"/>
      <c r="O430" s="19"/>
      <c r="P430" s="23"/>
      <c r="Q430" s="21" t="s">
        <v>46</v>
      </c>
      <c r="R430" s="19" t="s">
        <v>47</v>
      </c>
      <c r="S430" s="21"/>
      <c r="T430" s="32"/>
      <c r="U430" s="21"/>
      <c r="V430" s="7"/>
      <c r="W430" s="7"/>
      <c r="X430" s="7"/>
      <c r="Y430" s="7"/>
    </row>
    <row r="431" spans="1:25" ht="14.25" customHeight="1" x14ac:dyDescent="0.3">
      <c r="A431" s="18">
        <v>107.2</v>
      </c>
      <c r="B431" s="19"/>
      <c r="C431" s="19"/>
      <c r="D431" s="19"/>
      <c r="E431" s="19"/>
      <c r="F431" s="19"/>
      <c r="G431" s="21"/>
      <c r="H431" s="21"/>
      <c r="I431" s="21"/>
      <c r="J431" s="21"/>
      <c r="K431" s="19"/>
      <c r="L431" s="19"/>
      <c r="M431" s="22"/>
      <c r="N431" s="19"/>
      <c r="O431" s="19"/>
      <c r="P431" s="23"/>
      <c r="Q431" s="21" t="s">
        <v>46</v>
      </c>
      <c r="R431" s="19" t="s">
        <v>47</v>
      </c>
      <c r="S431" s="21"/>
      <c r="T431" s="32"/>
      <c r="U431" s="21"/>
      <c r="V431" s="7"/>
      <c r="W431" s="7"/>
      <c r="X431" s="7"/>
      <c r="Y431" s="7"/>
    </row>
    <row r="432" spans="1:25" ht="14.25" customHeight="1" x14ac:dyDescent="0.3">
      <c r="A432" s="18">
        <v>107.3</v>
      </c>
      <c r="B432" s="19"/>
      <c r="C432" s="19"/>
      <c r="D432" s="19"/>
      <c r="E432" s="19"/>
      <c r="F432" s="19"/>
      <c r="G432" s="21"/>
      <c r="H432" s="21"/>
      <c r="I432" s="21"/>
      <c r="J432" s="21"/>
      <c r="K432" s="19"/>
      <c r="L432" s="19"/>
      <c r="M432" s="22"/>
      <c r="N432" s="19"/>
      <c r="O432" s="19"/>
      <c r="P432" s="23"/>
      <c r="Q432" s="21" t="s">
        <v>46</v>
      </c>
      <c r="R432" s="19" t="s">
        <v>47</v>
      </c>
      <c r="S432" s="21"/>
      <c r="T432" s="32"/>
      <c r="U432" s="21"/>
      <c r="V432" s="7"/>
      <c r="W432" s="7"/>
      <c r="X432" s="7"/>
      <c r="Y432" s="7"/>
    </row>
    <row r="433" spans="1:25" ht="14.25" customHeight="1" x14ac:dyDescent="0.3">
      <c r="A433" s="18">
        <v>107.4</v>
      </c>
      <c r="B433" s="19"/>
      <c r="C433" s="19"/>
      <c r="D433" s="19"/>
      <c r="E433" s="19"/>
      <c r="F433" s="19"/>
      <c r="G433" s="21"/>
      <c r="H433" s="21"/>
      <c r="I433" s="21"/>
      <c r="J433" s="21"/>
      <c r="K433" s="19"/>
      <c r="L433" s="19"/>
      <c r="M433" s="22"/>
      <c r="N433" s="19"/>
      <c r="O433" s="19"/>
      <c r="P433" s="23"/>
      <c r="Q433" s="21" t="s">
        <v>46</v>
      </c>
      <c r="R433" s="19" t="s">
        <v>47</v>
      </c>
      <c r="S433" s="21"/>
      <c r="T433" s="32"/>
      <c r="U433" s="21"/>
      <c r="V433" s="7"/>
      <c r="W433" s="7"/>
      <c r="X433" s="7"/>
      <c r="Y433" s="7"/>
    </row>
    <row r="434" spans="1:25" ht="14.25" customHeight="1" x14ac:dyDescent="0.3">
      <c r="A434" s="18">
        <v>108.1</v>
      </c>
      <c r="B434" s="19"/>
      <c r="C434" s="19"/>
      <c r="D434" s="19"/>
      <c r="E434" s="19"/>
      <c r="F434" s="19"/>
      <c r="G434" s="21"/>
      <c r="H434" s="21"/>
      <c r="I434" s="21"/>
      <c r="J434" s="21"/>
      <c r="K434" s="19"/>
      <c r="L434" s="19"/>
      <c r="M434" s="22"/>
      <c r="N434" s="19"/>
      <c r="O434" s="19"/>
      <c r="P434" s="23"/>
      <c r="Q434" s="21" t="s">
        <v>46</v>
      </c>
      <c r="R434" s="19" t="s">
        <v>47</v>
      </c>
      <c r="S434" s="21"/>
      <c r="T434" s="32"/>
      <c r="U434" s="21"/>
      <c r="V434" s="7"/>
      <c r="W434" s="7"/>
      <c r="X434" s="7"/>
      <c r="Y434" s="7"/>
    </row>
    <row r="435" spans="1:25" ht="14.25" customHeight="1" x14ac:dyDescent="0.3">
      <c r="A435" s="18">
        <v>108.2</v>
      </c>
      <c r="B435" s="19"/>
      <c r="C435" s="19"/>
      <c r="D435" s="19"/>
      <c r="E435" s="19"/>
      <c r="F435" s="19"/>
      <c r="G435" s="21"/>
      <c r="H435" s="21"/>
      <c r="I435" s="21"/>
      <c r="J435" s="21"/>
      <c r="K435" s="19"/>
      <c r="L435" s="19"/>
      <c r="M435" s="22"/>
      <c r="N435" s="19"/>
      <c r="O435" s="19"/>
      <c r="P435" s="23"/>
      <c r="Q435" s="21" t="s">
        <v>46</v>
      </c>
      <c r="R435" s="19" t="s">
        <v>47</v>
      </c>
      <c r="S435" s="21"/>
      <c r="T435" s="32"/>
      <c r="U435" s="21"/>
      <c r="V435" s="7"/>
      <c r="W435" s="7"/>
      <c r="X435" s="7"/>
      <c r="Y435" s="7"/>
    </row>
    <row r="436" spans="1:25" ht="14.25" customHeight="1" x14ac:dyDescent="0.3">
      <c r="A436" s="18">
        <v>108.3</v>
      </c>
      <c r="B436" s="19"/>
      <c r="C436" s="19"/>
      <c r="D436" s="19"/>
      <c r="E436" s="19"/>
      <c r="F436" s="19"/>
      <c r="G436" s="21"/>
      <c r="H436" s="21"/>
      <c r="I436" s="21"/>
      <c r="J436" s="21"/>
      <c r="K436" s="19"/>
      <c r="L436" s="19"/>
      <c r="M436" s="22"/>
      <c r="N436" s="19"/>
      <c r="O436" s="19"/>
      <c r="P436" s="23"/>
      <c r="Q436" s="21" t="s">
        <v>46</v>
      </c>
      <c r="R436" s="19" t="s">
        <v>47</v>
      </c>
      <c r="S436" s="21"/>
      <c r="T436" s="32"/>
      <c r="U436" s="21"/>
      <c r="V436" s="7"/>
      <c r="W436" s="7"/>
      <c r="X436" s="7"/>
      <c r="Y436" s="7"/>
    </row>
    <row r="437" spans="1:25" ht="14.25" customHeight="1" x14ac:dyDescent="0.3">
      <c r="A437" s="18">
        <v>108.4</v>
      </c>
      <c r="B437" s="19"/>
      <c r="C437" s="19"/>
      <c r="D437" s="19"/>
      <c r="E437" s="19"/>
      <c r="F437" s="19"/>
      <c r="G437" s="21"/>
      <c r="H437" s="21"/>
      <c r="I437" s="21"/>
      <c r="J437" s="21"/>
      <c r="K437" s="19"/>
      <c r="L437" s="19"/>
      <c r="M437" s="22"/>
      <c r="N437" s="19"/>
      <c r="O437" s="19"/>
      <c r="P437" s="23"/>
      <c r="Q437" s="21" t="s">
        <v>46</v>
      </c>
      <c r="R437" s="19" t="s">
        <v>47</v>
      </c>
      <c r="S437" s="21"/>
      <c r="T437" s="32"/>
      <c r="U437" s="21"/>
      <c r="V437" s="7"/>
      <c r="W437" s="7"/>
      <c r="X437" s="7"/>
      <c r="Y437" s="7"/>
    </row>
    <row r="438" spans="1:25" ht="14.25" customHeight="1" x14ac:dyDescent="0.3">
      <c r="A438" s="18">
        <v>109.1</v>
      </c>
      <c r="B438" s="19"/>
      <c r="C438" s="19"/>
      <c r="D438" s="19"/>
      <c r="E438" s="19"/>
      <c r="F438" s="19"/>
      <c r="G438" s="21"/>
      <c r="H438" s="21"/>
      <c r="I438" s="21"/>
      <c r="J438" s="21"/>
      <c r="K438" s="19"/>
      <c r="L438" s="19"/>
      <c r="M438" s="22"/>
      <c r="N438" s="19"/>
      <c r="O438" s="19"/>
      <c r="P438" s="23"/>
      <c r="Q438" s="21" t="s">
        <v>46</v>
      </c>
      <c r="R438" s="19" t="s">
        <v>47</v>
      </c>
      <c r="S438" s="21"/>
      <c r="T438" s="32"/>
      <c r="U438" s="21"/>
      <c r="V438" s="7"/>
      <c r="W438" s="7"/>
      <c r="X438" s="7"/>
      <c r="Y438" s="7"/>
    </row>
    <row r="439" spans="1:25" ht="14.25" customHeight="1" x14ac:dyDescent="0.3">
      <c r="A439" s="18">
        <v>109.2</v>
      </c>
      <c r="B439" s="19"/>
      <c r="C439" s="19"/>
      <c r="D439" s="19"/>
      <c r="E439" s="19"/>
      <c r="F439" s="19"/>
      <c r="G439" s="21"/>
      <c r="H439" s="21"/>
      <c r="I439" s="21"/>
      <c r="J439" s="21"/>
      <c r="K439" s="19"/>
      <c r="L439" s="19"/>
      <c r="M439" s="22"/>
      <c r="N439" s="19"/>
      <c r="O439" s="19"/>
      <c r="P439" s="23"/>
      <c r="Q439" s="21" t="s">
        <v>46</v>
      </c>
      <c r="R439" s="19" t="s">
        <v>47</v>
      </c>
      <c r="S439" s="21"/>
      <c r="T439" s="32"/>
      <c r="U439" s="21"/>
      <c r="V439" s="7"/>
      <c r="W439" s="7"/>
      <c r="X439" s="7"/>
      <c r="Y439" s="7"/>
    </row>
    <row r="440" spans="1:25" ht="14.25" customHeight="1" x14ac:dyDescent="0.3">
      <c r="A440" s="18">
        <v>109.3</v>
      </c>
      <c r="B440" s="19"/>
      <c r="C440" s="19"/>
      <c r="D440" s="19"/>
      <c r="E440" s="19"/>
      <c r="F440" s="19"/>
      <c r="G440" s="21"/>
      <c r="H440" s="21"/>
      <c r="I440" s="21"/>
      <c r="J440" s="21"/>
      <c r="K440" s="19"/>
      <c r="L440" s="19"/>
      <c r="M440" s="22"/>
      <c r="N440" s="19"/>
      <c r="O440" s="19"/>
      <c r="P440" s="23"/>
      <c r="Q440" s="21" t="s">
        <v>46</v>
      </c>
      <c r="R440" s="19" t="s">
        <v>47</v>
      </c>
      <c r="S440" s="21"/>
      <c r="T440" s="32"/>
      <c r="U440" s="21"/>
      <c r="V440" s="7"/>
      <c r="W440" s="7"/>
      <c r="X440" s="7"/>
      <c r="Y440" s="7"/>
    </row>
    <row r="441" spans="1:25" ht="14.25" customHeight="1" x14ac:dyDescent="0.3">
      <c r="A441" s="18">
        <v>109.4</v>
      </c>
      <c r="B441" s="19"/>
      <c r="C441" s="19"/>
      <c r="D441" s="19"/>
      <c r="E441" s="19"/>
      <c r="F441" s="19"/>
      <c r="G441" s="21"/>
      <c r="H441" s="21"/>
      <c r="I441" s="21"/>
      <c r="J441" s="21"/>
      <c r="K441" s="19"/>
      <c r="L441" s="19"/>
      <c r="M441" s="22"/>
      <c r="N441" s="19"/>
      <c r="O441" s="19"/>
      <c r="P441" s="23"/>
      <c r="Q441" s="21" t="s">
        <v>46</v>
      </c>
      <c r="R441" s="19" t="s">
        <v>47</v>
      </c>
      <c r="S441" s="21"/>
      <c r="T441" s="32"/>
      <c r="U441" s="21"/>
      <c r="V441" s="7"/>
      <c r="W441" s="7"/>
      <c r="X441" s="7"/>
      <c r="Y441" s="7"/>
    </row>
    <row r="442" spans="1:25" ht="14.25" customHeight="1" x14ac:dyDescent="0.3">
      <c r="A442" s="18">
        <v>110.1</v>
      </c>
      <c r="B442" s="19"/>
      <c r="C442" s="19"/>
      <c r="D442" s="19"/>
      <c r="E442" s="19"/>
      <c r="F442" s="19"/>
      <c r="G442" s="21"/>
      <c r="H442" s="21"/>
      <c r="I442" s="21"/>
      <c r="J442" s="21"/>
      <c r="K442" s="19"/>
      <c r="L442" s="19"/>
      <c r="M442" s="22"/>
      <c r="N442" s="19"/>
      <c r="O442" s="19"/>
      <c r="P442" s="23"/>
      <c r="Q442" s="21" t="s">
        <v>46</v>
      </c>
      <c r="R442" s="19" t="s">
        <v>47</v>
      </c>
      <c r="S442" s="21"/>
      <c r="T442" s="32"/>
      <c r="U442" s="21"/>
      <c r="V442" s="7"/>
      <c r="W442" s="7"/>
      <c r="X442" s="7"/>
      <c r="Y442" s="7"/>
    </row>
    <row r="443" spans="1:25" ht="14.25" customHeight="1" x14ac:dyDescent="0.3">
      <c r="A443" s="18">
        <v>110.2</v>
      </c>
      <c r="B443" s="19"/>
      <c r="C443" s="19"/>
      <c r="D443" s="19"/>
      <c r="E443" s="19"/>
      <c r="F443" s="19"/>
      <c r="G443" s="21"/>
      <c r="H443" s="21"/>
      <c r="I443" s="21"/>
      <c r="J443" s="21"/>
      <c r="K443" s="19"/>
      <c r="L443" s="19"/>
      <c r="M443" s="22"/>
      <c r="N443" s="19"/>
      <c r="O443" s="19"/>
      <c r="P443" s="23"/>
      <c r="Q443" s="21" t="s">
        <v>46</v>
      </c>
      <c r="R443" s="19" t="s">
        <v>47</v>
      </c>
      <c r="S443" s="21"/>
      <c r="T443" s="32"/>
      <c r="U443" s="21"/>
      <c r="V443" s="7"/>
      <c r="W443" s="7"/>
      <c r="X443" s="7"/>
      <c r="Y443" s="7"/>
    </row>
    <row r="444" spans="1:25" ht="14.25" customHeight="1" x14ac:dyDescent="0.3">
      <c r="A444" s="18">
        <v>110.3</v>
      </c>
      <c r="B444" s="19"/>
      <c r="C444" s="19"/>
      <c r="D444" s="19"/>
      <c r="E444" s="19"/>
      <c r="F444" s="19"/>
      <c r="G444" s="21"/>
      <c r="H444" s="21"/>
      <c r="I444" s="21"/>
      <c r="J444" s="21"/>
      <c r="K444" s="19"/>
      <c r="L444" s="19"/>
      <c r="M444" s="22"/>
      <c r="N444" s="19"/>
      <c r="O444" s="19"/>
      <c r="P444" s="23"/>
      <c r="Q444" s="21" t="s">
        <v>46</v>
      </c>
      <c r="R444" s="19" t="s">
        <v>47</v>
      </c>
      <c r="S444" s="21"/>
      <c r="T444" s="32"/>
      <c r="U444" s="21"/>
      <c r="V444" s="7"/>
      <c r="W444" s="7"/>
      <c r="X444" s="7"/>
      <c r="Y444" s="7"/>
    </row>
    <row r="445" spans="1:25" ht="14.25" customHeight="1" x14ac:dyDescent="0.3">
      <c r="A445" s="18">
        <v>110.4</v>
      </c>
      <c r="B445" s="19"/>
      <c r="C445" s="19"/>
      <c r="D445" s="19"/>
      <c r="E445" s="19"/>
      <c r="F445" s="19"/>
      <c r="G445" s="21"/>
      <c r="H445" s="21"/>
      <c r="I445" s="21"/>
      <c r="J445" s="21"/>
      <c r="K445" s="19"/>
      <c r="L445" s="19"/>
      <c r="M445" s="22"/>
      <c r="N445" s="19"/>
      <c r="O445" s="19"/>
      <c r="P445" s="23"/>
      <c r="Q445" s="21" t="s">
        <v>46</v>
      </c>
      <c r="R445" s="19" t="s">
        <v>47</v>
      </c>
      <c r="S445" s="21"/>
      <c r="T445" s="32"/>
      <c r="U445" s="21"/>
      <c r="V445" s="7"/>
      <c r="W445" s="7"/>
      <c r="X445" s="7"/>
      <c r="Y445" s="7"/>
    </row>
    <row r="446" spans="1:25" ht="14.25" customHeight="1" x14ac:dyDescent="0.3">
      <c r="A446" s="18">
        <v>111.1</v>
      </c>
      <c r="B446" s="19"/>
      <c r="C446" s="19"/>
      <c r="D446" s="19"/>
      <c r="E446" s="19"/>
      <c r="F446" s="19"/>
      <c r="G446" s="21"/>
      <c r="H446" s="21"/>
      <c r="I446" s="21"/>
      <c r="J446" s="21"/>
      <c r="K446" s="19"/>
      <c r="L446" s="19"/>
      <c r="M446" s="22"/>
      <c r="N446" s="19"/>
      <c r="O446" s="19"/>
      <c r="P446" s="23"/>
      <c r="Q446" s="21" t="s">
        <v>46</v>
      </c>
      <c r="R446" s="19" t="s">
        <v>47</v>
      </c>
      <c r="S446" s="21"/>
      <c r="T446" s="32"/>
      <c r="U446" s="21"/>
      <c r="V446" s="7"/>
      <c r="W446" s="7"/>
      <c r="X446" s="7"/>
      <c r="Y446" s="7"/>
    </row>
    <row r="447" spans="1:25" ht="14.25" customHeight="1" x14ac:dyDescent="0.3">
      <c r="A447" s="18">
        <v>111.2</v>
      </c>
      <c r="B447" s="19"/>
      <c r="C447" s="19"/>
      <c r="D447" s="19"/>
      <c r="E447" s="19"/>
      <c r="F447" s="19"/>
      <c r="G447" s="21"/>
      <c r="H447" s="21"/>
      <c r="I447" s="21"/>
      <c r="J447" s="21"/>
      <c r="K447" s="19"/>
      <c r="L447" s="19"/>
      <c r="M447" s="22"/>
      <c r="N447" s="19"/>
      <c r="O447" s="19"/>
      <c r="P447" s="23"/>
      <c r="Q447" s="21" t="s">
        <v>46</v>
      </c>
      <c r="R447" s="19" t="s">
        <v>47</v>
      </c>
      <c r="S447" s="21"/>
      <c r="T447" s="32"/>
      <c r="U447" s="21"/>
      <c r="V447" s="7"/>
      <c r="W447" s="7"/>
      <c r="X447" s="7"/>
      <c r="Y447" s="7"/>
    </row>
    <row r="448" spans="1:25" ht="14.25" customHeight="1" x14ac:dyDescent="0.3">
      <c r="A448" s="18">
        <v>111.3</v>
      </c>
      <c r="B448" s="19"/>
      <c r="C448" s="19"/>
      <c r="D448" s="19"/>
      <c r="E448" s="19"/>
      <c r="F448" s="19"/>
      <c r="G448" s="21"/>
      <c r="H448" s="21"/>
      <c r="I448" s="21"/>
      <c r="J448" s="21"/>
      <c r="K448" s="19"/>
      <c r="L448" s="19"/>
      <c r="M448" s="22"/>
      <c r="N448" s="19"/>
      <c r="O448" s="19"/>
      <c r="P448" s="23"/>
      <c r="Q448" s="21" t="s">
        <v>46</v>
      </c>
      <c r="R448" s="19" t="s">
        <v>47</v>
      </c>
      <c r="S448" s="21"/>
      <c r="T448" s="32"/>
      <c r="U448" s="21"/>
      <c r="V448" s="7"/>
      <c r="W448" s="7"/>
      <c r="X448" s="7"/>
      <c r="Y448" s="7"/>
    </row>
    <row r="449" spans="1:25" ht="14.25" customHeight="1" x14ac:dyDescent="0.3">
      <c r="A449" s="18">
        <v>111.4</v>
      </c>
      <c r="B449" s="19"/>
      <c r="C449" s="19"/>
      <c r="D449" s="19"/>
      <c r="E449" s="19"/>
      <c r="F449" s="19"/>
      <c r="G449" s="21"/>
      <c r="H449" s="21"/>
      <c r="I449" s="21"/>
      <c r="J449" s="21"/>
      <c r="K449" s="19"/>
      <c r="L449" s="19"/>
      <c r="M449" s="22"/>
      <c r="N449" s="19"/>
      <c r="O449" s="19"/>
      <c r="P449" s="23"/>
      <c r="Q449" s="21" t="s">
        <v>46</v>
      </c>
      <c r="R449" s="19" t="s">
        <v>47</v>
      </c>
      <c r="S449" s="21"/>
      <c r="T449" s="32"/>
      <c r="U449" s="21"/>
      <c r="V449" s="7"/>
      <c r="W449" s="7"/>
      <c r="X449" s="7"/>
      <c r="Y449" s="7"/>
    </row>
    <row r="450" spans="1:25" ht="14.25" customHeight="1" x14ac:dyDescent="0.3">
      <c r="A450" s="18">
        <v>112.1</v>
      </c>
      <c r="B450" s="19"/>
      <c r="C450" s="19"/>
      <c r="D450" s="19"/>
      <c r="E450" s="19"/>
      <c r="F450" s="19"/>
      <c r="G450" s="21"/>
      <c r="H450" s="21"/>
      <c r="I450" s="21"/>
      <c r="J450" s="21"/>
      <c r="K450" s="19"/>
      <c r="L450" s="19"/>
      <c r="M450" s="22"/>
      <c r="N450" s="19"/>
      <c r="O450" s="19"/>
      <c r="P450" s="23"/>
      <c r="Q450" s="21" t="s">
        <v>46</v>
      </c>
      <c r="R450" s="19" t="s">
        <v>47</v>
      </c>
      <c r="S450" s="21"/>
      <c r="T450" s="32"/>
      <c r="U450" s="21"/>
      <c r="V450" s="7"/>
      <c r="W450" s="7"/>
      <c r="X450" s="7"/>
      <c r="Y450" s="7"/>
    </row>
    <row r="451" spans="1:25" ht="14.25" customHeight="1" x14ac:dyDescent="0.3">
      <c r="A451" s="18">
        <v>112.2</v>
      </c>
      <c r="B451" s="19"/>
      <c r="C451" s="19"/>
      <c r="D451" s="19"/>
      <c r="E451" s="19"/>
      <c r="F451" s="19"/>
      <c r="G451" s="21"/>
      <c r="H451" s="21"/>
      <c r="I451" s="21"/>
      <c r="J451" s="21"/>
      <c r="K451" s="19"/>
      <c r="L451" s="19"/>
      <c r="M451" s="22"/>
      <c r="N451" s="19"/>
      <c r="O451" s="19"/>
      <c r="P451" s="23"/>
      <c r="Q451" s="21" t="s">
        <v>46</v>
      </c>
      <c r="R451" s="19" t="s">
        <v>47</v>
      </c>
      <c r="S451" s="21"/>
      <c r="T451" s="32"/>
      <c r="U451" s="21"/>
      <c r="V451" s="7"/>
      <c r="W451" s="7"/>
      <c r="X451" s="7"/>
      <c r="Y451" s="7"/>
    </row>
    <row r="452" spans="1:25" ht="14.25" customHeight="1" x14ac:dyDescent="0.3">
      <c r="A452" s="18">
        <v>112.3</v>
      </c>
      <c r="B452" s="19"/>
      <c r="C452" s="19"/>
      <c r="D452" s="19"/>
      <c r="E452" s="19"/>
      <c r="F452" s="19"/>
      <c r="G452" s="21"/>
      <c r="H452" s="21"/>
      <c r="I452" s="21"/>
      <c r="J452" s="21"/>
      <c r="K452" s="19"/>
      <c r="L452" s="19"/>
      <c r="M452" s="22"/>
      <c r="N452" s="19"/>
      <c r="O452" s="19"/>
      <c r="P452" s="23"/>
      <c r="Q452" s="21" t="s">
        <v>46</v>
      </c>
      <c r="R452" s="19" t="s">
        <v>47</v>
      </c>
      <c r="S452" s="21"/>
      <c r="T452" s="32"/>
      <c r="U452" s="21"/>
      <c r="V452" s="7"/>
      <c r="W452" s="7"/>
      <c r="X452" s="7"/>
      <c r="Y452" s="7"/>
    </row>
    <row r="453" spans="1:25" ht="14.25" customHeight="1" x14ac:dyDescent="0.3">
      <c r="A453" s="18">
        <v>112.4</v>
      </c>
      <c r="B453" s="19"/>
      <c r="C453" s="19"/>
      <c r="D453" s="19"/>
      <c r="E453" s="19"/>
      <c r="F453" s="19"/>
      <c r="G453" s="21"/>
      <c r="H453" s="21"/>
      <c r="I453" s="21"/>
      <c r="J453" s="21"/>
      <c r="K453" s="19"/>
      <c r="L453" s="19"/>
      <c r="M453" s="22"/>
      <c r="N453" s="19"/>
      <c r="O453" s="19"/>
      <c r="P453" s="23"/>
      <c r="Q453" s="21" t="s">
        <v>46</v>
      </c>
      <c r="R453" s="19" t="s">
        <v>47</v>
      </c>
      <c r="S453" s="21"/>
      <c r="T453" s="32"/>
      <c r="U453" s="21"/>
      <c r="V453" s="7"/>
      <c r="W453" s="7"/>
      <c r="X453" s="7"/>
      <c r="Y453" s="7"/>
    </row>
    <row r="454" spans="1:25" ht="14.25" customHeight="1" x14ac:dyDescent="0.3">
      <c r="A454" s="18">
        <v>113.1</v>
      </c>
      <c r="B454" s="19"/>
      <c r="C454" s="19"/>
      <c r="D454" s="19"/>
      <c r="E454" s="19"/>
      <c r="F454" s="19"/>
      <c r="G454" s="21"/>
      <c r="H454" s="21"/>
      <c r="I454" s="21"/>
      <c r="J454" s="21"/>
      <c r="K454" s="19"/>
      <c r="L454" s="19"/>
      <c r="M454" s="22"/>
      <c r="N454" s="19"/>
      <c r="O454" s="19"/>
      <c r="P454" s="23"/>
      <c r="Q454" s="21" t="s">
        <v>46</v>
      </c>
      <c r="R454" s="19" t="s">
        <v>47</v>
      </c>
      <c r="S454" s="21"/>
      <c r="T454" s="32"/>
      <c r="U454" s="21"/>
      <c r="V454" s="7"/>
      <c r="W454" s="7"/>
      <c r="X454" s="7"/>
      <c r="Y454" s="7"/>
    </row>
    <row r="455" spans="1:25" ht="14.25" customHeight="1" x14ac:dyDescent="0.3">
      <c r="A455" s="18">
        <v>113.2</v>
      </c>
      <c r="B455" s="19"/>
      <c r="C455" s="19"/>
      <c r="D455" s="19"/>
      <c r="E455" s="19"/>
      <c r="F455" s="19"/>
      <c r="G455" s="21"/>
      <c r="H455" s="21"/>
      <c r="I455" s="21"/>
      <c r="J455" s="21"/>
      <c r="K455" s="19"/>
      <c r="L455" s="19"/>
      <c r="M455" s="22"/>
      <c r="N455" s="19"/>
      <c r="O455" s="19"/>
      <c r="P455" s="23"/>
      <c r="Q455" s="21" t="s">
        <v>46</v>
      </c>
      <c r="R455" s="19" t="s">
        <v>47</v>
      </c>
      <c r="S455" s="21"/>
      <c r="T455" s="32"/>
      <c r="U455" s="21"/>
      <c r="V455" s="7"/>
      <c r="W455" s="7"/>
      <c r="X455" s="7"/>
      <c r="Y455" s="7"/>
    </row>
    <row r="456" spans="1:25" ht="14.25" customHeight="1" x14ac:dyDescent="0.3">
      <c r="A456" s="18">
        <v>113.3</v>
      </c>
      <c r="B456" s="19"/>
      <c r="C456" s="19"/>
      <c r="D456" s="19"/>
      <c r="E456" s="19"/>
      <c r="F456" s="19"/>
      <c r="G456" s="21"/>
      <c r="H456" s="21"/>
      <c r="I456" s="21"/>
      <c r="J456" s="21"/>
      <c r="K456" s="19"/>
      <c r="L456" s="19"/>
      <c r="M456" s="22"/>
      <c r="N456" s="19"/>
      <c r="O456" s="19"/>
      <c r="P456" s="23"/>
      <c r="Q456" s="21" t="s">
        <v>46</v>
      </c>
      <c r="R456" s="19" t="s">
        <v>47</v>
      </c>
      <c r="S456" s="21"/>
      <c r="T456" s="32"/>
      <c r="U456" s="21"/>
      <c r="V456" s="7"/>
      <c r="W456" s="7"/>
      <c r="X456" s="7"/>
      <c r="Y456" s="7"/>
    </row>
    <row r="457" spans="1:25" ht="14.25" customHeight="1" x14ac:dyDescent="0.3">
      <c r="A457" s="18">
        <v>113.4</v>
      </c>
      <c r="B457" s="19"/>
      <c r="C457" s="19"/>
      <c r="D457" s="19"/>
      <c r="E457" s="19"/>
      <c r="F457" s="19"/>
      <c r="G457" s="21"/>
      <c r="H457" s="21"/>
      <c r="I457" s="21"/>
      <c r="J457" s="21"/>
      <c r="K457" s="19"/>
      <c r="L457" s="19"/>
      <c r="M457" s="22"/>
      <c r="N457" s="19"/>
      <c r="O457" s="19"/>
      <c r="P457" s="23"/>
      <c r="Q457" s="21" t="s">
        <v>46</v>
      </c>
      <c r="R457" s="19" t="s">
        <v>47</v>
      </c>
      <c r="S457" s="21"/>
      <c r="T457" s="32"/>
      <c r="U457" s="21"/>
      <c r="V457" s="7"/>
      <c r="W457" s="7"/>
      <c r="X457" s="7"/>
      <c r="Y457" s="7"/>
    </row>
    <row r="458" spans="1:25" ht="14.25" customHeight="1" x14ac:dyDescent="0.3">
      <c r="A458" s="18">
        <v>114.1</v>
      </c>
      <c r="B458" s="19"/>
      <c r="C458" s="19"/>
      <c r="D458" s="19"/>
      <c r="E458" s="19"/>
      <c r="F458" s="19"/>
      <c r="G458" s="21"/>
      <c r="H458" s="21"/>
      <c r="I458" s="21"/>
      <c r="J458" s="21"/>
      <c r="K458" s="19"/>
      <c r="L458" s="19"/>
      <c r="M458" s="22"/>
      <c r="N458" s="19"/>
      <c r="O458" s="19"/>
      <c r="P458" s="23"/>
      <c r="Q458" s="21" t="s">
        <v>46</v>
      </c>
      <c r="R458" s="19" t="s">
        <v>47</v>
      </c>
      <c r="S458" s="21"/>
      <c r="T458" s="32"/>
      <c r="U458" s="21"/>
      <c r="V458" s="7"/>
      <c r="W458" s="7"/>
      <c r="X458" s="7"/>
      <c r="Y458" s="7"/>
    </row>
    <row r="459" spans="1:25" ht="14.25" customHeight="1" x14ac:dyDescent="0.3">
      <c r="A459" s="18">
        <v>114.2</v>
      </c>
      <c r="B459" s="19"/>
      <c r="C459" s="19"/>
      <c r="D459" s="19"/>
      <c r="E459" s="19"/>
      <c r="F459" s="19"/>
      <c r="G459" s="21"/>
      <c r="H459" s="21"/>
      <c r="I459" s="21"/>
      <c r="J459" s="21"/>
      <c r="K459" s="19"/>
      <c r="L459" s="19"/>
      <c r="M459" s="22"/>
      <c r="N459" s="19"/>
      <c r="O459" s="19"/>
      <c r="P459" s="23"/>
      <c r="Q459" s="21" t="s">
        <v>46</v>
      </c>
      <c r="R459" s="19" t="s">
        <v>47</v>
      </c>
      <c r="S459" s="21"/>
      <c r="T459" s="32"/>
      <c r="U459" s="21"/>
      <c r="V459" s="7"/>
      <c r="W459" s="7"/>
      <c r="X459" s="7"/>
      <c r="Y459" s="7"/>
    </row>
    <row r="460" spans="1:25" ht="14.25" customHeight="1" x14ac:dyDescent="0.3">
      <c r="A460" s="18">
        <v>114.3</v>
      </c>
      <c r="B460" s="19"/>
      <c r="C460" s="19"/>
      <c r="D460" s="19"/>
      <c r="E460" s="19"/>
      <c r="F460" s="19"/>
      <c r="G460" s="21"/>
      <c r="H460" s="21"/>
      <c r="I460" s="21"/>
      <c r="J460" s="21"/>
      <c r="K460" s="19"/>
      <c r="L460" s="19"/>
      <c r="M460" s="22"/>
      <c r="N460" s="19"/>
      <c r="O460" s="19"/>
      <c r="P460" s="23"/>
      <c r="Q460" s="21" t="s">
        <v>46</v>
      </c>
      <c r="R460" s="19" t="s">
        <v>47</v>
      </c>
      <c r="S460" s="21"/>
      <c r="T460" s="32"/>
      <c r="U460" s="21"/>
      <c r="V460" s="7"/>
      <c r="W460" s="7"/>
      <c r="X460" s="7"/>
      <c r="Y460" s="7"/>
    </row>
    <row r="461" spans="1:25" ht="14.25" customHeight="1" x14ac:dyDescent="0.3">
      <c r="A461" s="18">
        <v>114.4</v>
      </c>
      <c r="B461" s="19"/>
      <c r="C461" s="19"/>
      <c r="D461" s="19"/>
      <c r="E461" s="19"/>
      <c r="F461" s="19"/>
      <c r="G461" s="21"/>
      <c r="H461" s="21"/>
      <c r="I461" s="21"/>
      <c r="J461" s="21"/>
      <c r="K461" s="19"/>
      <c r="L461" s="19"/>
      <c r="M461" s="22"/>
      <c r="N461" s="19"/>
      <c r="O461" s="19"/>
      <c r="P461" s="23"/>
      <c r="Q461" s="21" t="s">
        <v>46</v>
      </c>
      <c r="R461" s="19" t="s">
        <v>47</v>
      </c>
      <c r="S461" s="21"/>
      <c r="T461" s="32"/>
      <c r="U461" s="21"/>
      <c r="V461" s="7"/>
      <c r="W461" s="7"/>
      <c r="X461" s="7"/>
      <c r="Y461" s="7"/>
    </row>
    <row r="462" spans="1:25" ht="14.25" customHeight="1" x14ac:dyDescent="0.3">
      <c r="A462" s="18">
        <v>115.1</v>
      </c>
      <c r="B462" s="19"/>
      <c r="C462" s="19"/>
      <c r="D462" s="19"/>
      <c r="E462" s="19"/>
      <c r="F462" s="19"/>
      <c r="G462" s="21"/>
      <c r="H462" s="21"/>
      <c r="I462" s="21"/>
      <c r="J462" s="21"/>
      <c r="K462" s="19"/>
      <c r="L462" s="19"/>
      <c r="M462" s="22"/>
      <c r="N462" s="19"/>
      <c r="O462" s="19"/>
      <c r="P462" s="23"/>
      <c r="Q462" s="21" t="s">
        <v>46</v>
      </c>
      <c r="R462" s="19" t="s">
        <v>47</v>
      </c>
      <c r="S462" s="21"/>
      <c r="T462" s="32"/>
      <c r="U462" s="21"/>
      <c r="V462" s="7"/>
      <c r="W462" s="7"/>
      <c r="X462" s="7"/>
      <c r="Y462" s="7"/>
    </row>
    <row r="463" spans="1:25" ht="14.25" customHeight="1" x14ac:dyDescent="0.3">
      <c r="A463" s="18">
        <v>115.2</v>
      </c>
      <c r="B463" s="19"/>
      <c r="C463" s="19"/>
      <c r="D463" s="19"/>
      <c r="E463" s="19"/>
      <c r="F463" s="19"/>
      <c r="G463" s="21"/>
      <c r="H463" s="21"/>
      <c r="I463" s="21"/>
      <c r="J463" s="21"/>
      <c r="K463" s="19"/>
      <c r="L463" s="19"/>
      <c r="M463" s="22"/>
      <c r="N463" s="19"/>
      <c r="O463" s="19"/>
      <c r="P463" s="23"/>
      <c r="Q463" s="21" t="s">
        <v>46</v>
      </c>
      <c r="R463" s="19" t="s">
        <v>47</v>
      </c>
      <c r="S463" s="21"/>
      <c r="T463" s="32"/>
      <c r="U463" s="21"/>
      <c r="V463" s="7"/>
      <c r="W463" s="7"/>
      <c r="X463" s="7"/>
      <c r="Y463" s="7"/>
    </row>
    <row r="464" spans="1:25" ht="14.25" customHeight="1" x14ac:dyDescent="0.3">
      <c r="A464" s="18">
        <v>115.3</v>
      </c>
      <c r="B464" s="19"/>
      <c r="C464" s="19"/>
      <c r="D464" s="19"/>
      <c r="E464" s="19"/>
      <c r="F464" s="19"/>
      <c r="G464" s="21"/>
      <c r="H464" s="21"/>
      <c r="I464" s="21"/>
      <c r="J464" s="21"/>
      <c r="K464" s="19"/>
      <c r="L464" s="19"/>
      <c r="M464" s="22"/>
      <c r="N464" s="19"/>
      <c r="O464" s="19"/>
      <c r="P464" s="23"/>
      <c r="Q464" s="21" t="s">
        <v>46</v>
      </c>
      <c r="R464" s="19" t="s">
        <v>47</v>
      </c>
      <c r="S464" s="21"/>
      <c r="T464" s="32"/>
      <c r="U464" s="21"/>
      <c r="V464" s="7"/>
      <c r="W464" s="7"/>
      <c r="X464" s="7"/>
      <c r="Y464" s="7"/>
    </row>
    <row r="465" spans="1:25" ht="14.25" customHeight="1" x14ac:dyDescent="0.3">
      <c r="A465" s="18">
        <v>115.4</v>
      </c>
      <c r="B465" s="19"/>
      <c r="C465" s="19"/>
      <c r="D465" s="19"/>
      <c r="E465" s="19"/>
      <c r="F465" s="19"/>
      <c r="G465" s="21"/>
      <c r="H465" s="21"/>
      <c r="I465" s="21"/>
      <c r="J465" s="21"/>
      <c r="K465" s="19"/>
      <c r="L465" s="19"/>
      <c r="M465" s="22"/>
      <c r="N465" s="19"/>
      <c r="O465" s="19"/>
      <c r="P465" s="23"/>
      <c r="Q465" s="21" t="s">
        <v>46</v>
      </c>
      <c r="R465" s="19" t="s">
        <v>47</v>
      </c>
      <c r="S465" s="21"/>
      <c r="T465" s="32"/>
      <c r="U465" s="21"/>
      <c r="V465" s="7"/>
      <c r="W465" s="7"/>
      <c r="X465" s="7"/>
      <c r="Y465" s="7"/>
    </row>
    <row r="466" spans="1:25" ht="14.25" customHeight="1" x14ac:dyDescent="0.3">
      <c r="A466" s="18">
        <v>116.1</v>
      </c>
      <c r="B466" s="19"/>
      <c r="C466" s="19"/>
      <c r="D466" s="19"/>
      <c r="E466" s="19"/>
      <c r="F466" s="19"/>
      <c r="G466" s="21"/>
      <c r="H466" s="21"/>
      <c r="I466" s="21"/>
      <c r="J466" s="21"/>
      <c r="K466" s="19"/>
      <c r="L466" s="19"/>
      <c r="M466" s="22"/>
      <c r="N466" s="19"/>
      <c r="O466" s="19"/>
      <c r="P466" s="23"/>
      <c r="Q466" s="21" t="s">
        <v>46</v>
      </c>
      <c r="R466" s="19" t="s">
        <v>47</v>
      </c>
      <c r="S466" s="21"/>
      <c r="T466" s="32"/>
      <c r="U466" s="21"/>
      <c r="V466" s="7"/>
      <c r="W466" s="7"/>
      <c r="X466" s="7"/>
      <c r="Y466" s="7"/>
    </row>
    <row r="467" spans="1:25" ht="14.25" customHeight="1" x14ac:dyDescent="0.3">
      <c r="A467" s="18">
        <v>116.2</v>
      </c>
      <c r="B467" s="19"/>
      <c r="C467" s="19"/>
      <c r="D467" s="19"/>
      <c r="E467" s="19"/>
      <c r="F467" s="19"/>
      <c r="G467" s="21"/>
      <c r="H467" s="21"/>
      <c r="I467" s="21"/>
      <c r="J467" s="21"/>
      <c r="K467" s="19"/>
      <c r="L467" s="19"/>
      <c r="M467" s="22"/>
      <c r="N467" s="19"/>
      <c r="O467" s="19"/>
      <c r="P467" s="23"/>
      <c r="Q467" s="21" t="s">
        <v>46</v>
      </c>
      <c r="R467" s="19" t="s">
        <v>47</v>
      </c>
      <c r="S467" s="21"/>
      <c r="T467" s="32"/>
      <c r="U467" s="21"/>
      <c r="V467" s="7"/>
      <c r="W467" s="7"/>
      <c r="X467" s="7"/>
      <c r="Y467" s="7"/>
    </row>
    <row r="468" spans="1:25" ht="14.25" customHeight="1" x14ac:dyDescent="0.3">
      <c r="A468" s="18">
        <v>116.3</v>
      </c>
      <c r="B468" s="19"/>
      <c r="C468" s="19"/>
      <c r="D468" s="19"/>
      <c r="E468" s="19"/>
      <c r="F468" s="19"/>
      <c r="G468" s="21"/>
      <c r="H468" s="21"/>
      <c r="I468" s="21"/>
      <c r="J468" s="21"/>
      <c r="K468" s="19"/>
      <c r="L468" s="19"/>
      <c r="M468" s="22"/>
      <c r="N468" s="19"/>
      <c r="O468" s="19"/>
      <c r="P468" s="23"/>
      <c r="Q468" s="21" t="s">
        <v>46</v>
      </c>
      <c r="R468" s="19" t="s">
        <v>47</v>
      </c>
      <c r="S468" s="21"/>
      <c r="T468" s="32"/>
      <c r="U468" s="21"/>
      <c r="V468" s="7"/>
      <c r="W468" s="7"/>
      <c r="X468" s="7"/>
      <c r="Y468" s="7"/>
    </row>
    <row r="469" spans="1:25" ht="14.25" customHeight="1" x14ac:dyDescent="0.3">
      <c r="A469" s="18">
        <v>116.4</v>
      </c>
      <c r="B469" s="19"/>
      <c r="C469" s="19"/>
      <c r="D469" s="19"/>
      <c r="E469" s="19"/>
      <c r="F469" s="19"/>
      <c r="G469" s="21"/>
      <c r="H469" s="21"/>
      <c r="I469" s="21"/>
      <c r="J469" s="21"/>
      <c r="K469" s="19"/>
      <c r="L469" s="19"/>
      <c r="M469" s="22"/>
      <c r="N469" s="19"/>
      <c r="O469" s="19"/>
      <c r="P469" s="23"/>
      <c r="Q469" s="21" t="s">
        <v>46</v>
      </c>
      <c r="R469" s="19" t="s">
        <v>47</v>
      </c>
      <c r="S469" s="21"/>
      <c r="T469" s="32"/>
      <c r="U469" s="21"/>
      <c r="V469" s="7"/>
      <c r="W469" s="7"/>
      <c r="X469" s="7"/>
      <c r="Y469" s="7"/>
    </row>
    <row r="470" spans="1:25" ht="14.25" customHeight="1" x14ac:dyDescent="0.3">
      <c r="A470" s="18">
        <v>117.1</v>
      </c>
      <c r="B470" s="19"/>
      <c r="C470" s="19"/>
      <c r="D470" s="19"/>
      <c r="E470" s="19"/>
      <c r="F470" s="19"/>
      <c r="G470" s="21"/>
      <c r="H470" s="21"/>
      <c r="I470" s="21"/>
      <c r="J470" s="21"/>
      <c r="K470" s="19"/>
      <c r="L470" s="19"/>
      <c r="M470" s="22"/>
      <c r="N470" s="19"/>
      <c r="O470" s="19"/>
      <c r="P470" s="23"/>
      <c r="Q470" s="21" t="s">
        <v>46</v>
      </c>
      <c r="R470" s="19" t="s">
        <v>47</v>
      </c>
      <c r="S470" s="21"/>
      <c r="T470" s="32"/>
      <c r="U470" s="21"/>
      <c r="V470" s="7"/>
      <c r="W470" s="7"/>
      <c r="X470" s="7"/>
      <c r="Y470" s="7"/>
    </row>
    <row r="471" spans="1:25" ht="14.25" customHeight="1" x14ac:dyDescent="0.3">
      <c r="A471" s="18">
        <v>117.2</v>
      </c>
      <c r="B471" s="19"/>
      <c r="C471" s="19"/>
      <c r="D471" s="19"/>
      <c r="E471" s="19"/>
      <c r="F471" s="19"/>
      <c r="G471" s="21"/>
      <c r="H471" s="21"/>
      <c r="I471" s="21"/>
      <c r="J471" s="21"/>
      <c r="K471" s="19"/>
      <c r="L471" s="19"/>
      <c r="M471" s="22"/>
      <c r="N471" s="19"/>
      <c r="O471" s="19"/>
      <c r="P471" s="23"/>
      <c r="Q471" s="21" t="s">
        <v>46</v>
      </c>
      <c r="R471" s="19" t="s">
        <v>47</v>
      </c>
      <c r="S471" s="21"/>
      <c r="T471" s="32"/>
      <c r="U471" s="21"/>
      <c r="V471" s="7"/>
      <c r="W471" s="7"/>
      <c r="X471" s="7"/>
      <c r="Y471" s="7"/>
    </row>
    <row r="472" spans="1:25" ht="14.25" customHeight="1" x14ac:dyDescent="0.3">
      <c r="A472" s="18">
        <v>117.3</v>
      </c>
      <c r="B472" s="19"/>
      <c r="C472" s="19"/>
      <c r="D472" s="19"/>
      <c r="E472" s="19"/>
      <c r="F472" s="19"/>
      <c r="G472" s="21"/>
      <c r="H472" s="21"/>
      <c r="I472" s="21"/>
      <c r="J472" s="21"/>
      <c r="K472" s="19"/>
      <c r="L472" s="19"/>
      <c r="M472" s="22"/>
      <c r="N472" s="19"/>
      <c r="O472" s="19"/>
      <c r="P472" s="23"/>
      <c r="Q472" s="21" t="s">
        <v>46</v>
      </c>
      <c r="R472" s="19" t="s">
        <v>47</v>
      </c>
      <c r="S472" s="21"/>
      <c r="T472" s="32"/>
      <c r="U472" s="21"/>
      <c r="V472" s="7"/>
      <c r="W472" s="7"/>
      <c r="X472" s="7"/>
      <c r="Y472" s="7"/>
    </row>
    <row r="473" spans="1:25" ht="14.25" customHeight="1" x14ac:dyDescent="0.3">
      <c r="A473" s="18">
        <v>117.4</v>
      </c>
      <c r="B473" s="19"/>
      <c r="C473" s="19"/>
      <c r="D473" s="19"/>
      <c r="E473" s="19"/>
      <c r="F473" s="19"/>
      <c r="G473" s="21"/>
      <c r="H473" s="21"/>
      <c r="I473" s="21"/>
      <c r="J473" s="21"/>
      <c r="K473" s="19"/>
      <c r="L473" s="19"/>
      <c r="M473" s="22"/>
      <c r="N473" s="19"/>
      <c r="O473" s="19"/>
      <c r="P473" s="23"/>
      <c r="Q473" s="21" t="s">
        <v>46</v>
      </c>
      <c r="R473" s="19" t="s">
        <v>47</v>
      </c>
      <c r="S473" s="21"/>
      <c r="T473" s="32"/>
      <c r="U473" s="21"/>
      <c r="V473" s="7"/>
      <c r="W473" s="7"/>
      <c r="X473" s="7"/>
      <c r="Y473" s="7"/>
    </row>
    <row r="474" spans="1:25" ht="14.25" customHeight="1" x14ac:dyDescent="0.3">
      <c r="A474" s="18">
        <v>118.1</v>
      </c>
      <c r="B474" s="19"/>
      <c r="C474" s="19"/>
      <c r="D474" s="19"/>
      <c r="E474" s="19"/>
      <c r="F474" s="19"/>
      <c r="G474" s="21"/>
      <c r="H474" s="21"/>
      <c r="I474" s="21"/>
      <c r="J474" s="21"/>
      <c r="K474" s="19"/>
      <c r="L474" s="19"/>
      <c r="M474" s="22"/>
      <c r="N474" s="19"/>
      <c r="O474" s="19"/>
      <c r="P474" s="23"/>
      <c r="Q474" s="21" t="s">
        <v>46</v>
      </c>
      <c r="R474" s="19" t="s">
        <v>47</v>
      </c>
      <c r="S474" s="21"/>
      <c r="T474" s="32"/>
      <c r="U474" s="21"/>
      <c r="V474" s="7"/>
      <c r="W474" s="7"/>
      <c r="X474" s="7"/>
      <c r="Y474" s="7"/>
    </row>
    <row r="475" spans="1:25" ht="14.25" customHeight="1" x14ac:dyDescent="0.3">
      <c r="A475" s="18">
        <v>118.2</v>
      </c>
      <c r="B475" s="19"/>
      <c r="C475" s="19"/>
      <c r="D475" s="19"/>
      <c r="E475" s="19"/>
      <c r="F475" s="19"/>
      <c r="G475" s="21"/>
      <c r="H475" s="21"/>
      <c r="I475" s="21"/>
      <c r="J475" s="21"/>
      <c r="K475" s="19"/>
      <c r="L475" s="19"/>
      <c r="M475" s="22"/>
      <c r="N475" s="19"/>
      <c r="O475" s="19"/>
      <c r="P475" s="23"/>
      <c r="Q475" s="21" t="s">
        <v>46</v>
      </c>
      <c r="R475" s="19" t="s">
        <v>47</v>
      </c>
      <c r="S475" s="21"/>
      <c r="T475" s="32"/>
      <c r="U475" s="21"/>
      <c r="V475" s="7"/>
      <c r="W475" s="7"/>
      <c r="X475" s="7"/>
      <c r="Y475" s="7"/>
    </row>
    <row r="476" spans="1:25" ht="14.25" customHeight="1" x14ac:dyDescent="0.3">
      <c r="A476" s="18">
        <v>118.3</v>
      </c>
      <c r="B476" s="19"/>
      <c r="C476" s="19"/>
      <c r="D476" s="19"/>
      <c r="E476" s="19"/>
      <c r="F476" s="19"/>
      <c r="G476" s="21"/>
      <c r="H476" s="21"/>
      <c r="I476" s="21"/>
      <c r="J476" s="21"/>
      <c r="K476" s="19"/>
      <c r="L476" s="19"/>
      <c r="M476" s="22"/>
      <c r="N476" s="19"/>
      <c r="O476" s="19"/>
      <c r="P476" s="23"/>
      <c r="Q476" s="21" t="s">
        <v>46</v>
      </c>
      <c r="R476" s="19" t="s">
        <v>47</v>
      </c>
      <c r="S476" s="21"/>
      <c r="T476" s="32"/>
      <c r="U476" s="21"/>
      <c r="V476" s="7"/>
      <c r="W476" s="7"/>
      <c r="X476" s="7"/>
      <c r="Y476" s="7"/>
    </row>
    <row r="477" spans="1:25" ht="14.25" customHeight="1" x14ac:dyDescent="0.3">
      <c r="A477" s="18">
        <v>118.4</v>
      </c>
      <c r="B477" s="19"/>
      <c r="C477" s="19"/>
      <c r="D477" s="19"/>
      <c r="E477" s="19"/>
      <c r="F477" s="19"/>
      <c r="G477" s="21"/>
      <c r="H477" s="21"/>
      <c r="I477" s="21"/>
      <c r="J477" s="21"/>
      <c r="K477" s="19"/>
      <c r="L477" s="19"/>
      <c r="M477" s="22"/>
      <c r="N477" s="19"/>
      <c r="O477" s="19"/>
      <c r="P477" s="23"/>
      <c r="Q477" s="21" t="s">
        <v>46</v>
      </c>
      <c r="R477" s="19" t="s">
        <v>47</v>
      </c>
      <c r="S477" s="21"/>
      <c r="T477" s="32"/>
      <c r="U477" s="21"/>
      <c r="V477" s="7"/>
      <c r="W477" s="7"/>
      <c r="X477" s="7"/>
      <c r="Y477" s="7"/>
    </row>
    <row r="478" spans="1:25" ht="14.25" customHeight="1" x14ac:dyDescent="0.3">
      <c r="A478" s="18">
        <v>119.1</v>
      </c>
      <c r="B478" s="19"/>
      <c r="C478" s="19"/>
      <c r="D478" s="19"/>
      <c r="E478" s="19"/>
      <c r="F478" s="19"/>
      <c r="G478" s="21"/>
      <c r="H478" s="21"/>
      <c r="I478" s="21"/>
      <c r="J478" s="21"/>
      <c r="K478" s="19"/>
      <c r="L478" s="19"/>
      <c r="M478" s="22"/>
      <c r="N478" s="19"/>
      <c r="O478" s="19"/>
      <c r="P478" s="23"/>
      <c r="Q478" s="21" t="s">
        <v>46</v>
      </c>
      <c r="R478" s="19" t="s">
        <v>47</v>
      </c>
      <c r="S478" s="21"/>
      <c r="T478" s="32"/>
      <c r="U478" s="21"/>
      <c r="V478" s="7"/>
      <c r="W478" s="7"/>
      <c r="X478" s="7"/>
      <c r="Y478" s="7"/>
    </row>
    <row r="479" spans="1:25" ht="14.25" customHeight="1" x14ac:dyDescent="0.3">
      <c r="A479" s="18">
        <v>119.2</v>
      </c>
      <c r="B479" s="19"/>
      <c r="C479" s="19"/>
      <c r="D479" s="19"/>
      <c r="E479" s="19"/>
      <c r="F479" s="19"/>
      <c r="G479" s="21"/>
      <c r="H479" s="21"/>
      <c r="I479" s="21"/>
      <c r="J479" s="21"/>
      <c r="K479" s="19"/>
      <c r="L479" s="19"/>
      <c r="M479" s="22"/>
      <c r="N479" s="19"/>
      <c r="O479" s="19"/>
      <c r="P479" s="23"/>
      <c r="Q479" s="21" t="s">
        <v>46</v>
      </c>
      <c r="R479" s="19" t="s">
        <v>47</v>
      </c>
      <c r="S479" s="21"/>
      <c r="T479" s="32"/>
      <c r="U479" s="21"/>
      <c r="V479" s="7"/>
      <c r="W479" s="7"/>
      <c r="X479" s="7"/>
      <c r="Y479" s="7"/>
    </row>
    <row r="480" spans="1:25" ht="14.25" customHeight="1" x14ac:dyDescent="0.3">
      <c r="A480" s="18">
        <v>119.3</v>
      </c>
      <c r="B480" s="19"/>
      <c r="C480" s="19"/>
      <c r="D480" s="19"/>
      <c r="E480" s="19"/>
      <c r="F480" s="19"/>
      <c r="G480" s="21"/>
      <c r="H480" s="21"/>
      <c r="I480" s="21"/>
      <c r="J480" s="21"/>
      <c r="K480" s="19"/>
      <c r="L480" s="19"/>
      <c r="M480" s="22"/>
      <c r="N480" s="19"/>
      <c r="O480" s="19"/>
      <c r="P480" s="23"/>
      <c r="Q480" s="21" t="s">
        <v>46</v>
      </c>
      <c r="R480" s="19" t="s">
        <v>47</v>
      </c>
      <c r="S480" s="21"/>
      <c r="T480" s="32"/>
      <c r="U480" s="21"/>
      <c r="V480" s="7"/>
      <c r="W480" s="7"/>
      <c r="X480" s="7"/>
      <c r="Y480" s="7"/>
    </row>
    <row r="481" spans="1:25" ht="14.25" customHeight="1" x14ac:dyDescent="0.3">
      <c r="A481" s="18">
        <v>119.4</v>
      </c>
      <c r="B481" s="19"/>
      <c r="C481" s="19"/>
      <c r="D481" s="19"/>
      <c r="E481" s="19"/>
      <c r="F481" s="19"/>
      <c r="G481" s="21"/>
      <c r="H481" s="21"/>
      <c r="I481" s="21"/>
      <c r="J481" s="21"/>
      <c r="K481" s="19"/>
      <c r="L481" s="19"/>
      <c r="M481" s="22"/>
      <c r="N481" s="19"/>
      <c r="O481" s="19"/>
      <c r="P481" s="23"/>
      <c r="Q481" s="21" t="s">
        <v>46</v>
      </c>
      <c r="R481" s="19" t="s">
        <v>47</v>
      </c>
      <c r="S481" s="21"/>
      <c r="T481" s="32"/>
      <c r="U481" s="21"/>
      <c r="V481" s="7"/>
      <c r="W481" s="7"/>
      <c r="X481" s="7"/>
      <c r="Y481" s="7"/>
    </row>
    <row r="482" spans="1:25" ht="14.25" customHeight="1" x14ac:dyDescent="0.3">
      <c r="A482" s="18">
        <v>120.1</v>
      </c>
      <c r="B482" s="19"/>
      <c r="C482" s="19"/>
      <c r="D482" s="19"/>
      <c r="E482" s="19"/>
      <c r="F482" s="19"/>
      <c r="G482" s="21"/>
      <c r="H482" s="21"/>
      <c r="I482" s="21"/>
      <c r="J482" s="21"/>
      <c r="K482" s="19"/>
      <c r="L482" s="19"/>
      <c r="M482" s="22"/>
      <c r="N482" s="19"/>
      <c r="O482" s="19"/>
      <c r="P482" s="23"/>
      <c r="Q482" s="21" t="s">
        <v>46</v>
      </c>
      <c r="R482" s="19" t="s">
        <v>47</v>
      </c>
      <c r="S482" s="21"/>
      <c r="T482" s="32"/>
      <c r="U482" s="21"/>
      <c r="V482" s="7"/>
      <c r="W482" s="7"/>
      <c r="X482" s="7"/>
      <c r="Y482" s="7"/>
    </row>
    <row r="483" spans="1:25" ht="14.25" customHeight="1" x14ac:dyDescent="0.3">
      <c r="A483" s="18">
        <v>120.2</v>
      </c>
      <c r="B483" s="19"/>
      <c r="C483" s="19"/>
      <c r="D483" s="19"/>
      <c r="E483" s="19"/>
      <c r="F483" s="19"/>
      <c r="G483" s="21"/>
      <c r="H483" s="21"/>
      <c r="I483" s="21"/>
      <c r="J483" s="21"/>
      <c r="K483" s="19"/>
      <c r="L483" s="19"/>
      <c r="M483" s="22"/>
      <c r="N483" s="19"/>
      <c r="O483" s="19"/>
      <c r="P483" s="23"/>
      <c r="Q483" s="21" t="s">
        <v>46</v>
      </c>
      <c r="R483" s="19" t="s">
        <v>47</v>
      </c>
      <c r="S483" s="21"/>
      <c r="T483" s="32"/>
      <c r="U483" s="21"/>
      <c r="V483" s="7"/>
      <c r="W483" s="7"/>
      <c r="X483" s="7"/>
      <c r="Y483" s="7"/>
    </row>
    <row r="484" spans="1:25" ht="14.25" customHeight="1" x14ac:dyDescent="0.3">
      <c r="A484" s="18">
        <v>120.3</v>
      </c>
      <c r="B484" s="19"/>
      <c r="C484" s="19"/>
      <c r="D484" s="19"/>
      <c r="E484" s="19"/>
      <c r="F484" s="19"/>
      <c r="G484" s="21"/>
      <c r="H484" s="21"/>
      <c r="I484" s="21"/>
      <c r="J484" s="21"/>
      <c r="K484" s="19"/>
      <c r="L484" s="19"/>
      <c r="M484" s="22"/>
      <c r="N484" s="19"/>
      <c r="O484" s="19"/>
      <c r="P484" s="23"/>
      <c r="Q484" s="21" t="s">
        <v>46</v>
      </c>
      <c r="R484" s="19" t="s">
        <v>47</v>
      </c>
      <c r="S484" s="21"/>
      <c r="T484" s="32"/>
      <c r="U484" s="21"/>
      <c r="V484" s="7"/>
      <c r="W484" s="7"/>
      <c r="X484" s="7"/>
      <c r="Y484" s="7"/>
    </row>
    <row r="485" spans="1:25" ht="14.25" customHeight="1" x14ac:dyDescent="0.3">
      <c r="A485" s="18">
        <v>120.4</v>
      </c>
      <c r="B485" s="19"/>
      <c r="C485" s="19"/>
      <c r="D485" s="19"/>
      <c r="E485" s="19"/>
      <c r="F485" s="19"/>
      <c r="G485" s="21"/>
      <c r="H485" s="21"/>
      <c r="I485" s="21"/>
      <c r="J485" s="21"/>
      <c r="K485" s="19"/>
      <c r="L485" s="19"/>
      <c r="M485" s="22"/>
      <c r="N485" s="19"/>
      <c r="O485" s="19"/>
      <c r="P485" s="23"/>
      <c r="Q485" s="21" t="s">
        <v>46</v>
      </c>
      <c r="R485" s="19" t="s">
        <v>47</v>
      </c>
      <c r="S485" s="21"/>
      <c r="T485" s="32"/>
      <c r="U485" s="21"/>
      <c r="V485" s="7"/>
      <c r="W485" s="7"/>
      <c r="X485" s="7"/>
      <c r="Y485" s="7"/>
    </row>
    <row r="486" spans="1:25" ht="14.25" customHeight="1" x14ac:dyDescent="0.3">
      <c r="A486" s="18">
        <v>121.1</v>
      </c>
      <c r="B486" s="19"/>
      <c r="C486" s="19"/>
      <c r="D486" s="19"/>
      <c r="E486" s="19"/>
      <c r="F486" s="19"/>
      <c r="G486" s="21"/>
      <c r="H486" s="21"/>
      <c r="I486" s="21"/>
      <c r="J486" s="21"/>
      <c r="K486" s="19"/>
      <c r="L486" s="19"/>
      <c r="M486" s="22"/>
      <c r="N486" s="19"/>
      <c r="O486" s="19"/>
      <c r="P486" s="23"/>
      <c r="Q486" s="21" t="s">
        <v>46</v>
      </c>
      <c r="R486" s="19" t="s">
        <v>47</v>
      </c>
      <c r="S486" s="21"/>
      <c r="T486" s="32"/>
      <c r="U486" s="21"/>
      <c r="V486" s="7"/>
      <c r="W486" s="7"/>
      <c r="X486" s="7"/>
      <c r="Y486" s="7"/>
    </row>
    <row r="487" spans="1:25" ht="14.25" customHeight="1" x14ac:dyDescent="0.3">
      <c r="A487" s="18">
        <v>121.2</v>
      </c>
      <c r="B487" s="19"/>
      <c r="C487" s="19"/>
      <c r="D487" s="19"/>
      <c r="E487" s="19"/>
      <c r="F487" s="19"/>
      <c r="G487" s="21"/>
      <c r="H487" s="21"/>
      <c r="I487" s="21"/>
      <c r="J487" s="21"/>
      <c r="K487" s="19"/>
      <c r="L487" s="19"/>
      <c r="M487" s="22"/>
      <c r="N487" s="19"/>
      <c r="O487" s="19"/>
      <c r="P487" s="23"/>
      <c r="Q487" s="21" t="s">
        <v>46</v>
      </c>
      <c r="R487" s="19" t="s">
        <v>47</v>
      </c>
      <c r="S487" s="21"/>
      <c r="T487" s="32"/>
      <c r="U487" s="21"/>
      <c r="V487" s="7"/>
      <c r="W487" s="7"/>
      <c r="X487" s="7"/>
      <c r="Y487" s="7"/>
    </row>
    <row r="488" spans="1:25" ht="14.25" customHeight="1" x14ac:dyDescent="0.3">
      <c r="A488" s="18">
        <v>121.3</v>
      </c>
      <c r="B488" s="19"/>
      <c r="C488" s="19"/>
      <c r="D488" s="19"/>
      <c r="E488" s="19"/>
      <c r="F488" s="19"/>
      <c r="G488" s="21"/>
      <c r="H488" s="21"/>
      <c r="I488" s="21"/>
      <c r="J488" s="21"/>
      <c r="K488" s="19"/>
      <c r="L488" s="19"/>
      <c r="M488" s="22"/>
      <c r="N488" s="19"/>
      <c r="O488" s="19"/>
      <c r="P488" s="23"/>
      <c r="Q488" s="21" t="s">
        <v>46</v>
      </c>
      <c r="R488" s="19" t="s">
        <v>47</v>
      </c>
      <c r="S488" s="21"/>
      <c r="T488" s="32"/>
      <c r="U488" s="21"/>
      <c r="V488" s="7"/>
      <c r="W488" s="7"/>
      <c r="X488" s="7"/>
      <c r="Y488" s="7"/>
    </row>
    <row r="489" spans="1:25" ht="14.25" customHeight="1" x14ac:dyDescent="0.3">
      <c r="A489" s="18">
        <v>121.4</v>
      </c>
      <c r="B489" s="19"/>
      <c r="C489" s="19"/>
      <c r="D489" s="19"/>
      <c r="E489" s="19"/>
      <c r="F489" s="19"/>
      <c r="G489" s="21"/>
      <c r="H489" s="21"/>
      <c r="I489" s="21"/>
      <c r="J489" s="21"/>
      <c r="K489" s="19"/>
      <c r="L489" s="19"/>
      <c r="M489" s="22"/>
      <c r="N489" s="19"/>
      <c r="O489" s="19"/>
      <c r="P489" s="23"/>
      <c r="Q489" s="21" t="s">
        <v>46</v>
      </c>
      <c r="R489" s="19" t="s">
        <v>47</v>
      </c>
      <c r="S489" s="21"/>
      <c r="T489" s="32"/>
      <c r="U489" s="21"/>
      <c r="V489" s="7"/>
      <c r="W489" s="7"/>
      <c r="X489" s="7"/>
      <c r="Y489" s="7"/>
    </row>
    <row r="490" spans="1:25" ht="14.25" customHeight="1" x14ac:dyDescent="0.3">
      <c r="A490" s="18">
        <v>122.1</v>
      </c>
      <c r="B490" s="19"/>
      <c r="C490" s="19"/>
      <c r="D490" s="19"/>
      <c r="E490" s="19"/>
      <c r="F490" s="19"/>
      <c r="G490" s="21"/>
      <c r="H490" s="21"/>
      <c r="I490" s="21"/>
      <c r="J490" s="21"/>
      <c r="K490" s="19"/>
      <c r="L490" s="19"/>
      <c r="M490" s="22"/>
      <c r="N490" s="19"/>
      <c r="O490" s="19"/>
      <c r="P490" s="23"/>
      <c r="Q490" s="21" t="s">
        <v>46</v>
      </c>
      <c r="R490" s="19" t="s">
        <v>47</v>
      </c>
      <c r="S490" s="21"/>
      <c r="T490" s="32"/>
      <c r="U490" s="21"/>
      <c r="V490" s="7"/>
      <c r="W490" s="7"/>
      <c r="X490" s="7"/>
      <c r="Y490" s="7"/>
    </row>
    <row r="491" spans="1:25" ht="14.25" customHeight="1" x14ac:dyDescent="0.3">
      <c r="A491" s="18">
        <v>122.2</v>
      </c>
      <c r="B491" s="19"/>
      <c r="C491" s="19"/>
      <c r="D491" s="19"/>
      <c r="E491" s="19"/>
      <c r="F491" s="19"/>
      <c r="G491" s="21"/>
      <c r="H491" s="21"/>
      <c r="I491" s="21"/>
      <c r="J491" s="21"/>
      <c r="K491" s="19"/>
      <c r="L491" s="19"/>
      <c r="M491" s="22"/>
      <c r="N491" s="19"/>
      <c r="O491" s="19"/>
      <c r="P491" s="23"/>
      <c r="Q491" s="21" t="s">
        <v>46</v>
      </c>
      <c r="R491" s="19" t="s">
        <v>47</v>
      </c>
      <c r="S491" s="21"/>
      <c r="T491" s="32"/>
      <c r="U491" s="21"/>
      <c r="V491" s="7"/>
      <c r="W491" s="7"/>
      <c r="X491" s="7"/>
      <c r="Y491" s="7"/>
    </row>
    <row r="492" spans="1:25" ht="14.25" customHeight="1" x14ac:dyDescent="0.3">
      <c r="A492" s="18">
        <v>122.3</v>
      </c>
      <c r="B492" s="19"/>
      <c r="C492" s="19"/>
      <c r="D492" s="19"/>
      <c r="E492" s="19"/>
      <c r="F492" s="19"/>
      <c r="G492" s="21"/>
      <c r="H492" s="21"/>
      <c r="I492" s="21"/>
      <c r="J492" s="21"/>
      <c r="K492" s="19"/>
      <c r="L492" s="19"/>
      <c r="M492" s="22"/>
      <c r="N492" s="19"/>
      <c r="O492" s="19"/>
      <c r="P492" s="23"/>
      <c r="Q492" s="21" t="s">
        <v>46</v>
      </c>
      <c r="R492" s="19" t="s">
        <v>47</v>
      </c>
      <c r="S492" s="21"/>
      <c r="T492" s="32"/>
      <c r="U492" s="21"/>
      <c r="V492" s="7"/>
      <c r="W492" s="7"/>
      <c r="X492" s="7"/>
      <c r="Y492" s="7"/>
    </row>
    <row r="493" spans="1:25" ht="14.25" customHeight="1" x14ac:dyDescent="0.3">
      <c r="A493" s="18">
        <v>122.4</v>
      </c>
      <c r="B493" s="19"/>
      <c r="C493" s="19"/>
      <c r="D493" s="19"/>
      <c r="E493" s="19"/>
      <c r="F493" s="19"/>
      <c r="G493" s="21"/>
      <c r="H493" s="21"/>
      <c r="I493" s="21"/>
      <c r="J493" s="21"/>
      <c r="K493" s="19"/>
      <c r="L493" s="19"/>
      <c r="M493" s="22"/>
      <c r="N493" s="19"/>
      <c r="O493" s="19"/>
      <c r="P493" s="23"/>
      <c r="Q493" s="21" t="s">
        <v>46</v>
      </c>
      <c r="R493" s="19" t="s">
        <v>47</v>
      </c>
      <c r="S493" s="21"/>
      <c r="T493" s="32"/>
      <c r="U493" s="21"/>
      <c r="V493" s="7"/>
      <c r="W493" s="7"/>
      <c r="X493" s="7"/>
      <c r="Y493" s="7"/>
    </row>
    <row r="494" spans="1:25" ht="14.25" customHeight="1" x14ac:dyDescent="0.3">
      <c r="A494" s="18">
        <v>123.1</v>
      </c>
      <c r="B494" s="19"/>
      <c r="C494" s="19"/>
      <c r="D494" s="19"/>
      <c r="E494" s="19"/>
      <c r="F494" s="19"/>
      <c r="G494" s="21"/>
      <c r="H494" s="21"/>
      <c r="I494" s="21"/>
      <c r="J494" s="21"/>
      <c r="K494" s="19"/>
      <c r="L494" s="19"/>
      <c r="M494" s="22"/>
      <c r="N494" s="19"/>
      <c r="O494" s="19"/>
      <c r="P494" s="23"/>
      <c r="Q494" s="21" t="s">
        <v>46</v>
      </c>
      <c r="R494" s="19" t="s">
        <v>47</v>
      </c>
      <c r="S494" s="21"/>
      <c r="T494" s="32"/>
      <c r="U494" s="21"/>
      <c r="V494" s="7"/>
      <c r="W494" s="7"/>
      <c r="X494" s="7"/>
      <c r="Y494" s="7"/>
    </row>
    <row r="495" spans="1:25" ht="14.25" customHeight="1" x14ac:dyDescent="0.3">
      <c r="A495" s="18">
        <v>123.2</v>
      </c>
      <c r="B495" s="19"/>
      <c r="C495" s="19"/>
      <c r="D495" s="19"/>
      <c r="E495" s="19"/>
      <c r="F495" s="19"/>
      <c r="G495" s="21"/>
      <c r="H495" s="21"/>
      <c r="I495" s="21"/>
      <c r="J495" s="21"/>
      <c r="K495" s="19"/>
      <c r="L495" s="19"/>
      <c r="M495" s="22"/>
      <c r="N495" s="19"/>
      <c r="O495" s="19"/>
      <c r="P495" s="23"/>
      <c r="Q495" s="21" t="s">
        <v>46</v>
      </c>
      <c r="R495" s="19" t="s">
        <v>47</v>
      </c>
      <c r="S495" s="21"/>
      <c r="T495" s="32"/>
      <c r="U495" s="21"/>
      <c r="V495" s="7"/>
      <c r="W495" s="7"/>
      <c r="X495" s="7"/>
      <c r="Y495" s="7"/>
    </row>
    <row r="496" spans="1:25" ht="14.25" customHeight="1" x14ac:dyDescent="0.3">
      <c r="A496" s="18">
        <v>123.3</v>
      </c>
      <c r="B496" s="19"/>
      <c r="C496" s="19"/>
      <c r="D496" s="19"/>
      <c r="E496" s="19"/>
      <c r="F496" s="19"/>
      <c r="G496" s="21"/>
      <c r="H496" s="21"/>
      <c r="I496" s="21"/>
      <c r="J496" s="21"/>
      <c r="K496" s="19"/>
      <c r="L496" s="19"/>
      <c r="M496" s="22"/>
      <c r="N496" s="19"/>
      <c r="O496" s="19"/>
      <c r="P496" s="23"/>
      <c r="Q496" s="21" t="s">
        <v>46</v>
      </c>
      <c r="R496" s="19" t="s">
        <v>47</v>
      </c>
      <c r="S496" s="21"/>
      <c r="T496" s="32"/>
      <c r="U496" s="21"/>
      <c r="V496" s="7"/>
      <c r="W496" s="7"/>
      <c r="X496" s="7"/>
      <c r="Y496" s="7"/>
    </row>
    <row r="497" spans="1:25" ht="14.25" customHeight="1" x14ac:dyDescent="0.3">
      <c r="A497" s="18">
        <v>123.4</v>
      </c>
      <c r="B497" s="19"/>
      <c r="C497" s="19"/>
      <c r="D497" s="19"/>
      <c r="E497" s="19"/>
      <c r="F497" s="19"/>
      <c r="G497" s="21"/>
      <c r="H497" s="21"/>
      <c r="I497" s="21"/>
      <c r="J497" s="21"/>
      <c r="K497" s="19"/>
      <c r="L497" s="19"/>
      <c r="M497" s="22"/>
      <c r="N497" s="19"/>
      <c r="O497" s="19"/>
      <c r="P497" s="23"/>
      <c r="Q497" s="21" t="s">
        <v>46</v>
      </c>
      <c r="R497" s="19" t="s">
        <v>47</v>
      </c>
      <c r="S497" s="21"/>
      <c r="T497" s="32"/>
      <c r="U497" s="21"/>
      <c r="V497" s="7"/>
      <c r="W497" s="7"/>
      <c r="X497" s="7"/>
      <c r="Y497" s="7"/>
    </row>
    <row r="498" spans="1:25" ht="14.25" customHeight="1" x14ac:dyDescent="0.3">
      <c r="A498" s="18">
        <v>124.1</v>
      </c>
      <c r="B498" s="19"/>
      <c r="C498" s="19"/>
      <c r="D498" s="19"/>
      <c r="E498" s="19"/>
      <c r="F498" s="19"/>
      <c r="G498" s="21"/>
      <c r="H498" s="21"/>
      <c r="I498" s="21"/>
      <c r="J498" s="21"/>
      <c r="K498" s="19"/>
      <c r="L498" s="19"/>
      <c r="M498" s="22"/>
      <c r="N498" s="19"/>
      <c r="O498" s="19"/>
      <c r="P498" s="23"/>
      <c r="Q498" s="21" t="s">
        <v>46</v>
      </c>
      <c r="R498" s="19" t="s">
        <v>47</v>
      </c>
      <c r="S498" s="21"/>
      <c r="T498" s="32"/>
      <c r="U498" s="21"/>
      <c r="V498" s="7"/>
      <c r="W498" s="7"/>
      <c r="X498" s="7"/>
      <c r="Y498" s="7"/>
    </row>
    <row r="499" spans="1:25" ht="14.25" customHeight="1" x14ac:dyDescent="0.3">
      <c r="A499" s="18">
        <v>124.2</v>
      </c>
      <c r="B499" s="19"/>
      <c r="C499" s="19"/>
      <c r="D499" s="19"/>
      <c r="E499" s="19"/>
      <c r="F499" s="19"/>
      <c r="G499" s="21"/>
      <c r="H499" s="21"/>
      <c r="I499" s="21"/>
      <c r="J499" s="21"/>
      <c r="K499" s="19"/>
      <c r="L499" s="19"/>
      <c r="M499" s="22"/>
      <c r="N499" s="19"/>
      <c r="O499" s="19"/>
      <c r="P499" s="23"/>
      <c r="Q499" s="21" t="s">
        <v>46</v>
      </c>
      <c r="R499" s="19" t="s">
        <v>47</v>
      </c>
      <c r="S499" s="21"/>
      <c r="T499" s="32"/>
      <c r="U499" s="21"/>
      <c r="V499" s="7"/>
      <c r="W499" s="7"/>
      <c r="X499" s="7"/>
      <c r="Y499" s="7"/>
    </row>
    <row r="500" spans="1:25" ht="14.25" customHeight="1" x14ac:dyDescent="0.3">
      <c r="A500" s="18">
        <v>124.3</v>
      </c>
      <c r="B500" s="19"/>
      <c r="C500" s="19"/>
      <c r="D500" s="19"/>
      <c r="E500" s="19"/>
      <c r="F500" s="19"/>
      <c r="G500" s="21"/>
      <c r="H500" s="21"/>
      <c r="I500" s="21"/>
      <c r="J500" s="21"/>
      <c r="K500" s="19"/>
      <c r="L500" s="19"/>
      <c r="M500" s="22"/>
      <c r="N500" s="19"/>
      <c r="O500" s="19"/>
      <c r="P500" s="23"/>
      <c r="Q500" s="21" t="s">
        <v>46</v>
      </c>
      <c r="R500" s="19" t="s">
        <v>47</v>
      </c>
      <c r="S500" s="21"/>
      <c r="T500" s="32"/>
      <c r="U500" s="21"/>
      <c r="V500" s="7"/>
      <c r="W500" s="7"/>
      <c r="X500" s="7"/>
      <c r="Y500" s="7"/>
    </row>
    <row r="501" spans="1:25" ht="14.25" customHeight="1" x14ac:dyDescent="0.3">
      <c r="A501" s="18">
        <v>124.4</v>
      </c>
      <c r="B501" s="19"/>
      <c r="C501" s="19"/>
      <c r="D501" s="19"/>
      <c r="E501" s="19"/>
      <c r="F501" s="19"/>
      <c r="G501" s="21"/>
      <c r="H501" s="21"/>
      <c r="I501" s="21"/>
      <c r="J501" s="21"/>
      <c r="K501" s="19"/>
      <c r="L501" s="19"/>
      <c r="M501" s="22"/>
      <c r="N501" s="19"/>
      <c r="O501" s="19"/>
      <c r="P501" s="23"/>
      <c r="Q501" s="21" t="s">
        <v>46</v>
      </c>
      <c r="R501" s="19" t="s">
        <v>47</v>
      </c>
      <c r="S501" s="21"/>
      <c r="T501" s="32"/>
      <c r="U501" s="21"/>
      <c r="V501" s="7"/>
      <c r="W501" s="7"/>
      <c r="X501" s="7"/>
      <c r="Y501" s="7"/>
    </row>
    <row r="502" spans="1:25" ht="14.25" customHeight="1" x14ac:dyDescent="0.3">
      <c r="A502" s="18">
        <v>125.1</v>
      </c>
      <c r="B502" s="19"/>
      <c r="C502" s="19"/>
      <c r="D502" s="19"/>
      <c r="E502" s="19"/>
      <c r="F502" s="19"/>
      <c r="G502" s="21"/>
      <c r="H502" s="21"/>
      <c r="I502" s="21"/>
      <c r="J502" s="21"/>
      <c r="K502" s="19"/>
      <c r="L502" s="19"/>
      <c r="M502" s="22"/>
      <c r="N502" s="19"/>
      <c r="O502" s="19"/>
      <c r="P502" s="23"/>
      <c r="Q502" s="21" t="s">
        <v>46</v>
      </c>
      <c r="R502" s="19" t="s">
        <v>47</v>
      </c>
      <c r="S502" s="21"/>
      <c r="T502" s="32"/>
      <c r="U502" s="21"/>
      <c r="V502" s="7"/>
      <c r="W502" s="7"/>
      <c r="X502" s="7"/>
      <c r="Y502" s="7"/>
    </row>
    <row r="503" spans="1:25" ht="14.25" customHeight="1" x14ac:dyDescent="0.3">
      <c r="A503" s="18">
        <v>125.2</v>
      </c>
      <c r="B503" s="19"/>
      <c r="C503" s="19"/>
      <c r="D503" s="19"/>
      <c r="E503" s="19"/>
      <c r="F503" s="19"/>
      <c r="G503" s="21"/>
      <c r="H503" s="21"/>
      <c r="I503" s="21"/>
      <c r="J503" s="21"/>
      <c r="K503" s="19"/>
      <c r="L503" s="19"/>
      <c r="M503" s="22"/>
      <c r="N503" s="19"/>
      <c r="O503" s="19"/>
      <c r="P503" s="23"/>
      <c r="Q503" s="21" t="s">
        <v>46</v>
      </c>
      <c r="R503" s="19" t="s">
        <v>47</v>
      </c>
      <c r="S503" s="21"/>
      <c r="T503" s="32"/>
      <c r="U503" s="21"/>
      <c r="V503" s="7"/>
      <c r="W503" s="7"/>
      <c r="X503" s="7"/>
      <c r="Y503" s="7"/>
    </row>
    <row r="504" spans="1:25" ht="14.25" customHeight="1" x14ac:dyDescent="0.3">
      <c r="A504" s="18">
        <v>125.3</v>
      </c>
      <c r="B504" s="19"/>
      <c r="C504" s="19"/>
      <c r="D504" s="19"/>
      <c r="E504" s="19"/>
      <c r="F504" s="19"/>
      <c r="G504" s="21"/>
      <c r="H504" s="21"/>
      <c r="I504" s="21"/>
      <c r="J504" s="21"/>
      <c r="K504" s="19"/>
      <c r="L504" s="19"/>
      <c r="M504" s="22"/>
      <c r="N504" s="19"/>
      <c r="O504" s="19"/>
      <c r="P504" s="23"/>
      <c r="Q504" s="21" t="s">
        <v>46</v>
      </c>
      <c r="R504" s="19" t="s">
        <v>47</v>
      </c>
      <c r="S504" s="21"/>
      <c r="T504" s="32"/>
      <c r="U504" s="21"/>
      <c r="V504" s="7"/>
      <c r="W504" s="7"/>
      <c r="X504" s="7"/>
      <c r="Y504" s="7"/>
    </row>
    <row r="505" spans="1:25" ht="14.25" customHeight="1" x14ac:dyDescent="0.3">
      <c r="A505" s="18">
        <v>125.4</v>
      </c>
      <c r="B505" s="19"/>
      <c r="C505" s="19"/>
      <c r="D505" s="19"/>
      <c r="E505" s="19"/>
      <c r="F505" s="19"/>
      <c r="G505" s="21"/>
      <c r="H505" s="21"/>
      <c r="I505" s="21"/>
      <c r="J505" s="21"/>
      <c r="K505" s="19"/>
      <c r="L505" s="19"/>
      <c r="M505" s="22"/>
      <c r="N505" s="19"/>
      <c r="O505" s="19"/>
      <c r="P505" s="23"/>
      <c r="Q505" s="21" t="s">
        <v>46</v>
      </c>
      <c r="R505" s="19" t="s">
        <v>47</v>
      </c>
      <c r="S505" s="21"/>
      <c r="T505" s="32"/>
      <c r="U505" s="21"/>
      <c r="V505" s="7"/>
      <c r="W505" s="7"/>
      <c r="X505" s="7"/>
      <c r="Y505" s="7"/>
    </row>
    <row r="506" spans="1:25" ht="14.25" customHeight="1" x14ac:dyDescent="0.3">
      <c r="A506" s="18">
        <v>126.1</v>
      </c>
      <c r="B506" s="19"/>
      <c r="C506" s="19"/>
      <c r="D506" s="19"/>
      <c r="E506" s="19"/>
      <c r="F506" s="19"/>
      <c r="G506" s="21"/>
      <c r="H506" s="21"/>
      <c r="I506" s="21"/>
      <c r="J506" s="21"/>
      <c r="K506" s="19"/>
      <c r="L506" s="19"/>
      <c r="M506" s="22"/>
      <c r="N506" s="19"/>
      <c r="O506" s="19"/>
      <c r="P506" s="23"/>
      <c r="Q506" s="21" t="s">
        <v>46</v>
      </c>
      <c r="R506" s="19" t="s">
        <v>47</v>
      </c>
      <c r="S506" s="21"/>
      <c r="T506" s="32"/>
      <c r="U506" s="21"/>
      <c r="V506" s="7"/>
      <c r="W506" s="7"/>
      <c r="X506" s="7"/>
      <c r="Y506" s="7"/>
    </row>
    <row r="507" spans="1:25" ht="14.25" customHeight="1" x14ac:dyDescent="0.3">
      <c r="A507" s="18">
        <v>126.2</v>
      </c>
      <c r="B507" s="19"/>
      <c r="C507" s="19"/>
      <c r="D507" s="19"/>
      <c r="E507" s="19"/>
      <c r="F507" s="19"/>
      <c r="G507" s="21"/>
      <c r="H507" s="21"/>
      <c r="I507" s="21"/>
      <c r="J507" s="21"/>
      <c r="K507" s="19"/>
      <c r="L507" s="19"/>
      <c r="M507" s="22"/>
      <c r="N507" s="19"/>
      <c r="O507" s="19"/>
      <c r="P507" s="23"/>
      <c r="Q507" s="21" t="s">
        <v>46</v>
      </c>
      <c r="R507" s="19" t="s">
        <v>47</v>
      </c>
      <c r="S507" s="21"/>
      <c r="T507" s="32"/>
      <c r="U507" s="21"/>
      <c r="V507" s="7"/>
      <c r="W507" s="7"/>
      <c r="X507" s="7"/>
      <c r="Y507" s="7"/>
    </row>
    <row r="508" spans="1:25" ht="14.25" customHeight="1" x14ac:dyDescent="0.3">
      <c r="A508" s="18">
        <v>126.3</v>
      </c>
      <c r="B508" s="19"/>
      <c r="C508" s="19"/>
      <c r="D508" s="19"/>
      <c r="E508" s="19"/>
      <c r="F508" s="19"/>
      <c r="G508" s="21"/>
      <c r="H508" s="21"/>
      <c r="I508" s="21"/>
      <c r="J508" s="21"/>
      <c r="K508" s="19"/>
      <c r="L508" s="19"/>
      <c r="M508" s="22"/>
      <c r="N508" s="19"/>
      <c r="O508" s="19"/>
      <c r="P508" s="23"/>
      <c r="Q508" s="21" t="s">
        <v>46</v>
      </c>
      <c r="R508" s="19" t="s">
        <v>47</v>
      </c>
      <c r="S508" s="21"/>
      <c r="T508" s="32"/>
      <c r="U508" s="21"/>
      <c r="V508" s="7"/>
      <c r="W508" s="7"/>
      <c r="X508" s="7"/>
      <c r="Y508" s="7"/>
    </row>
    <row r="509" spans="1:25" ht="14.25" customHeight="1" x14ac:dyDescent="0.3">
      <c r="A509" s="18">
        <v>126.4</v>
      </c>
      <c r="B509" s="19"/>
      <c r="C509" s="19"/>
      <c r="D509" s="19"/>
      <c r="E509" s="19"/>
      <c r="F509" s="19"/>
      <c r="G509" s="21"/>
      <c r="H509" s="21"/>
      <c r="I509" s="21"/>
      <c r="J509" s="21"/>
      <c r="K509" s="19"/>
      <c r="L509" s="19"/>
      <c r="M509" s="22"/>
      <c r="N509" s="19"/>
      <c r="O509" s="19"/>
      <c r="P509" s="23"/>
      <c r="Q509" s="21" t="s">
        <v>46</v>
      </c>
      <c r="R509" s="19" t="s">
        <v>47</v>
      </c>
      <c r="S509" s="21"/>
      <c r="T509" s="32"/>
      <c r="U509" s="21"/>
      <c r="V509" s="7"/>
      <c r="W509" s="7"/>
      <c r="X509" s="7"/>
      <c r="Y509" s="7"/>
    </row>
    <row r="510" spans="1:25" ht="14.25" customHeight="1" x14ac:dyDescent="0.3">
      <c r="A510" s="18">
        <v>127.1</v>
      </c>
      <c r="B510" s="19"/>
      <c r="C510" s="19"/>
      <c r="D510" s="19"/>
      <c r="E510" s="19"/>
      <c r="F510" s="19"/>
      <c r="G510" s="21"/>
      <c r="H510" s="21"/>
      <c r="I510" s="21"/>
      <c r="J510" s="21"/>
      <c r="K510" s="19"/>
      <c r="L510" s="19"/>
      <c r="M510" s="22"/>
      <c r="N510" s="19"/>
      <c r="O510" s="19"/>
      <c r="P510" s="23"/>
      <c r="Q510" s="21" t="s">
        <v>46</v>
      </c>
      <c r="R510" s="19" t="s">
        <v>47</v>
      </c>
      <c r="S510" s="21"/>
      <c r="T510" s="32"/>
      <c r="U510" s="21"/>
      <c r="V510" s="7"/>
      <c r="W510" s="7"/>
      <c r="X510" s="7"/>
      <c r="Y510" s="7"/>
    </row>
    <row r="511" spans="1:25" ht="14.25" customHeight="1" x14ac:dyDescent="0.3">
      <c r="A511" s="18">
        <v>127.2</v>
      </c>
      <c r="B511" s="19"/>
      <c r="C511" s="19"/>
      <c r="D511" s="19"/>
      <c r="E511" s="19"/>
      <c r="F511" s="19"/>
      <c r="G511" s="21"/>
      <c r="H511" s="21"/>
      <c r="I511" s="21"/>
      <c r="J511" s="21"/>
      <c r="K511" s="19"/>
      <c r="L511" s="19"/>
      <c r="M511" s="22"/>
      <c r="N511" s="19"/>
      <c r="O511" s="19"/>
      <c r="P511" s="23"/>
      <c r="Q511" s="21" t="s">
        <v>46</v>
      </c>
      <c r="R511" s="19" t="s">
        <v>47</v>
      </c>
      <c r="S511" s="21"/>
      <c r="T511" s="32"/>
      <c r="U511" s="21"/>
      <c r="V511" s="7"/>
      <c r="W511" s="7"/>
      <c r="X511" s="7"/>
      <c r="Y511" s="7"/>
    </row>
    <row r="512" spans="1:25" ht="14.25" customHeight="1" x14ac:dyDescent="0.3">
      <c r="A512" s="18">
        <v>127.3</v>
      </c>
      <c r="B512" s="19"/>
      <c r="C512" s="19"/>
      <c r="D512" s="19"/>
      <c r="E512" s="19"/>
      <c r="F512" s="19"/>
      <c r="G512" s="21"/>
      <c r="H512" s="21"/>
      <c r="I512" s="21"/>
      <c r="J512" s="21"/>
      <c r="K512" s="19"/>
      <c r="L512" s="19"/>
      <c r="M512" s="22"/>
      <c r="N512" s="19"/>
      <c r="O512" s="19"/>
      <c r="P512" s="23"/>
      <c r="Q512" s="21" t="s">
        <v>46</v>
      </c>
      <c r="R512" s="19" t="s">
        <v>47</v>
      </c>
      <c r="S512" s="21"/>
      <c r="T512" s="32"/>
      <c r="U512" s="21"/>
      <c r="V512" s="7"/>
      <c r="W512" s="7"/>
      <c r="X512" s="7"/>
      <c r="Y512" s="7"/>
    </row>
    <row r="513" spans="1:25" ht="14.25" customHeight="1" x14ac:dyDescent="0.3">
      <c r="A513" s="18">
        <v>127.4</v>
      </c>
      <c r="B513" s="19"/>
      <c r="C513" s="19"/>
      <c r="D513" s="19"/>
      <c r="E513" s="19"/>
      <c r="F513" s="19"/>
      <c r="G513" s="21"/>
      <c r="H513" s="21"/>
      <c r="I513" s="21"/>
      <c r="J513" s="21"/>
      <c r="K513" s="19"/>
      <c r="L513" s="19"/>
      <c r="M513" s="22"/>
      <c r="N513" s="19"/>
      <c r="O513" s="19"/>
      <c r="P513" s="23"/>
      <c r="Q513" s="21" t="s">
        <v>46</v>
      </c>
      <c r="R513" s="19" t="s">
        <v>47</v>
      </c>
      <c r="S513" s="21"/>
      <c r="T513" s="32"/>
      <c r="U513" s="21"/>
      <c r="V513" s="7"/>
      <c r="W513" s="7"/>
      <c r="X513" s="7"/>
      <c r="Y513" s="7"/>
    </row>
    <row r="514" spans="1:25" ht="14.25" customHeight="1" x14ac:dyDescent="0.3">
      <c r="A514" s="18">
        <v>128.1</v>
      </c>
      <c r="B514" s="19"/>
      <c r="C514" s="19"/>
      <c r="D514" s="19"/>
      <c r="E514" s="19"/>
      <c r="F514" s="19"/>
      <c r="G514" s="21"/>
      <c r="H514" s="21"/>
      <c r="I514" s="21"/>
      <c r="J514" s="21"/>
      <c r="K514" s="19"/>
      <c r="L514" s="19"/>
      <c r="M514" s="22"/>
      <c r="N514" s="19"/>
      <c r="O514" s="19"/>
      <c r="P514" s="23"/>
      <c r="Q514" s="21" t="s">
        <v>46</v>
      </c>
      <c r="R514" s="19" t="s">
        <v>47</v>
      </c>
      <c r="S514" s="21"/>
      <c r="T514" s="32"/>
      <c r="U514" s="21"/>
      <c r="V514" s="7"/>
      <c r="W514" s="7"/>
      <c r="X514" s="7"/>
      <c r="Y514" s="7"/>
    </row>
    <row r="515" spans="1:25" ht="14.25" customHeight="1" x14ac:dyDescent="0.3">
      <c r="A515" s="18">
        <v>128.19999999999999</v>
      </c>
      <c r="B515" s="19"/>
      <c r="C515" s="19"/>
      <c r="D515" s="19"/>
      <c r="E515" s="19"/>
      <c r="F515" s="19"/>
      <c r="G515" s="21"/>
      <c r="H515" s="21"/>
      <c r="I515" s="21"/>
      <c r="J515" s="21"/>
      <c r="K515" s="19"/>
      <c r="L515" s="19"/>
      <c r="M515" s="22"/>
      <c r="N515" s="19"/>
      <c r="O515" s="19"/>
      <c r="P515" s="23"/>
      <c r="Q515" s="21" t="s">
        <v>46</v>
      </c>
      <c r="R515" s="19" t="s">
        <v>47</v>
      </c>
      <c r="S515" s="21"/>
      <c r="T515" s="32"/>
      <c r="U515" s="21"/>
      <c r="V515" s="7"/>
      <c r="W515" s="7"/>
      <c r="X515" s="7"/>
      <c r="Y515" s="7"/>
    </row>
    <row r="516" spans="1:25" ht="14.25" customHeight="1" x14ac:dyDescent="0.3">
      <c r="A516" s="18">
        <v>128.30000000000001</v>
      </c>
      <c r="B516" s="19"/>
      <c r="C516" s="19"/>
      <c r="D516" s="19"/>
      <c r="E516" s="19"/>
      <c r="F516" s="19"/>
      <c r="G516" s="21"/>
      <c r="H516" s="21"/>
      <c r="I516" s="21"/>
      <c r="J516" s="21"/>
      <c r="K516" s="19"/>
      <c r="L516" s="19"/>
      <c r="M516" s="22"/>
      <c r="N516" s="19"/>
      <c r="O516" s="19"/>
      <c r="P516" s="23"/>
      <c r="Q516" s="21" t="s">
        <v>46</v>
      </c>
      <c r="R516" s="19" t="s">
        <v>47</v>
      </c>
      <c r="S516" s="21"/>
      <c r="T516" s="32"/>
      <c r="U516" s="21"/>
      <c r="V516" s="7"/>
      <c r="W516" s="7"/>
      <c r="X516" s="7"/>
      <c r="Y516" s="7"/>
    </row>
    <row r="517" spans="1:25" ht="14.25" customHeight="1" x14ac:dyDescent="0.3">
      <c r="A517" s="18">
        <v>128.4</v>
      </c>
      <c r="B517" s="19"/>
      <c r="C517" s="19"/>
      <c r="D517" s="19"/>
      <c r="E517" s="19"/>
      <c r="F517" s="19"/>
      <c r="G517" s="21"/>
      <c r="H517" s="21"/>
      <c r="I517" s="21"/>
      <c r="J517" s="21"/>
      <c r="K517" s="19"/>
      <c r="L517" s="19"/>
      <c r="M517" s="22"/>
      <c r="N517" s="19"/>
      <c r="O517" s="19"/>
      <c r="P517" s="23"/>
      <c r="Q517" s="21" t="s">
        <v>46</v>
      </c>
      <c r="R517" s="19" t="s">
        <v>47</v>
      </c>
      <c r="S517" s="21"/>
      <c r="T517" s="32"/>
      <c r="U517" s="21"/>
      <c r="V517" s="7"/>
      <c r="W517" s="7"/>
      <c r="X517" s="7"/>
      <c r="Y517" s="7"/>
    </row>
    <row r="518" spans="1:25" ht="14.25" customHeight="1" x14ac:dyDescent="0.3">
      <c r="A518" s="18">
        <v>129.1</v>
      </c>
      <c r="B518" s="19"/>
      <c r="C518" s="19"/>
      <c r="D518" s="19"/>
      <c r="E518" s="19"/>
      <c r="F518" s="19"/>
      <c r="G518" s="21"/>
      <c r="H518" s="21"/>
      <c r="I518" s="21"/>
      <c r="J518" s="21"/>
      <c r="K518" s="19"/>
      <c r="L518" s="19"/>
      <c r="M518" s="22"/>
      <c r="N518" s="19"/>
      <c r="O518" s="19"/>
      <c r="P518" s="23"/>
      <c r="Q518" s="21" t="s">
        <v>46</v>
      </c>
      <c r="R518" s="19" t="s">
        <v>47</v>
      </c>
      <c r="S518" s="21"/>
      <c r="T518" s="32"/>
      <c r="U518" s="21"/>
      <c r="V518" s="7"/>
      <c r="W518" s="7"/>
      <c r="X518" s="7"/>
      <c r="Y518" s="7"/>
    </row>
    <row r="519" spans="1:25" ht="14.25" customHeight="1" x14ac:dyDescent="0.3">
      <c r="A519" s="18">
        <v>129.19999999999999</v>
      </c>
      <c r="B519" s="19"/>
      <c r="C519" s="19"/>
      <c r="D519" s="19"/>
      <c r="E519" s="19"/>
      <c r="F519" s="19"/>
      <c r="G519" s="21"/>
      <c r="H519" s="21"/>
      <c r="I519" s="21"/>
      <c r="J519" s="21"/>
      <c r="K519" s="19"/>
      <c r="L519" s="19"/>
      <c r="M519" s="22"/>
      <c r="N519" s="19"/>
      <c r="O519" s="19"/>
      <c r="P519" s="23"/>
      <c r="Q519" s="21" t="s">
        <v>46</v>
      </c>
      <c r="R519" s="19" t="s">
        <v>47</v>
      </c>
      <c r="S519" s="21"/>
      <c r="T519" s="32"/>
      <c r="U519" s="21"/>
      <c r="V519" s="7"/>
      <c r="W519" s="7"/>
      <c r="X519" s="7"/>
      <c r="Y519" s="7"/>
    </row>
    <row r="520" spans="1:25" ht="14.25" customHeight="1" x14ac:dyDescent="0.3">
      <c r="A520" s="18">
        <v>129.30000000000001</v>
      </c>
      <c r="B520" s="19"/>
      <c r="C520" s="19"/>
      <c r="D520" s="19"/>
      <c r="E520" s="19"/>
      <c r="F520" s="19"/>
      <c r="G520" s="21"/>
      <c r="H520" s="21"/>
      <c r="I520" s="21"/>
      <c r="J520" s="21"/>
      <c r="K520" s="19"/>
      <c r="L520" s="19"/>
      <c r="M520" s="22"/>
      <c r="N520" s="19"/>
      <c r="O520" s="19"/>
      <c r="P520" s="23"/>
      <c r="Q520" s="21" t="s">
        <v>46</v>
      </c>
      <c r="R520" s="19" t="s">
        <v>47</v>
      </c>
      <c r="S520" s="21"/>
      <c r="T520" s="32"/>
      <c r="U520" s="21"/>
      <c r="V520" s="7"/>
      <c r="W520" s="7"/>
      <c r="X520" s="7"/>
      <c r="Y520" s="7"/>
    </row>
    <row r="521" spans="1:25" ht="14.25" customHeight="1" x14ac:dyDescent="0.3">
      <c r="A521" s="18">
        <v>129.4</v>
      </c>
      <c r="B521" s="19"/>
      <c r="C521" s="19"/>
      <c r="D521" s="19"/>
      <c r="E521" s="19"/>
      <c r="F521" s="19"/>
      <c r="G521" s="21"/>
      <c r="H521" s="21"/>
      <c r="I521" s="21"/>
      <c r="J521" s="21"/>
      <c r="K521" s="19"/>
      <c r="L521" s="19"/>
      <c r="M521" s="22"/>
      <c r="N521" s="19"/>
      <c r="O521" s="19"/>
      <c r="P521" s="23"/>
      <c r="Q521" s="21" t="s">
        <v>46</v>
      </c>
      <c r="R521" s="19" t="s">
        <v>47</v>
      </c>
      <c r="S521" s="21"/>
      <c r="T521" s="32"/>
      <c r="U521" s="21"/>
      <c r="V521" s="7"/>
      <c r="W521" s="7"/>
      <c r="X521" s="7"/>
      <c r="Y521" s="7"/>
    </row>
    <row r="522" spans="1:25" ht="14.25" customHeight="1" x14ac:dyDescent="0.3">
      <c r="A522" s="18">
        <v>130.1</v>
      </c>
      <c r="B522" s="19"/>
      <c r="C522" s="19"/>
      <c r="D522" s="19"/>
      <c r="E522" s="19"/>
      <c r="F522" s="19"/>
      <c r="G522" s="21"/>
      <c r="H522" s="21"/>
      <c r="I522" s="21"/>
      <c r="J522" s="21"/>
      <c r="K522" s="19"/>
      <c r="L522" s="19"/>
      <c r="M522" s="22"/>
      <c r="N522" s="19"/>
      <c r="O522" s="19"/>
      <c r="P522" s="23"/>
      <c r="Q522" s="21" t="s">
        <v>46</v>
      </c>
      <c r="R522" s="19" t="s">
        <v>47</v>
      </c>
      <c r="S522" s="21"/>
      <c r="T522" s="32"/>
      <c r="U522" s="21"/>
      <c r="V522" s="7"/>
      <c r="W522" s="7"/>
      <c r="X522" s="7"/>
      <c r="Y522" s="7"/>
    </row>
    <row r="523" spans="1:25" ht="14.25" customHeight="1" x14ac:dyDescent="0.3">
      <c r="A523" s="18">
        <v>130.19999999999999</v>
      </c>
      <c r="B523" s="19"/>
      <c r="C523" s="19"/>
      <c r="D523" s="19"/>
      <c r="E523" s="19"/>
      <c r="F523" s="19"/>
      <c r="G523" s="21"/>
      <c r="H523" s="21"/>
      <c r="I523" s="21"/>
      <c r="J523" s="21"/>
      <c r="K523" s="19"/>
      <c r="L523" s="19"/>
      <c r="M523" s="22"/>
      <c r="N523" s="19"/>
      <c r="O523" s="19"/>
      <c r="P523" s="23"/>
      <c r="Q523" s="21" t="s">
        <v>46</v>
      </c>
      <c r="R523" s="19" t="s">
        <v>47</v>
      </c>
      <c r="S523" s="21"/>
      <c r="T523" s="32"/>
      <c r="U523" s="21"/>
      <c r="V523" s="7"/>
      <c r="W523" s="7"/>
      <c r="X523" s="7"/>
      <c r="Y523" s="7"/>
    </row>
    <row r="524" spans="1:25" ht="14.25" customHeight="1" x14ac:dyDescent="0.3">
      <c r="A524" s="18">
        <v>130.30000000000001</v>
      </c>
      <c r="B524" s="19"/>
      <c r="C524" s="19"/>
      <c r="D524" s="19"/>
      <c r="E524" s="19"/>
      <c r="F524" s="19"/>
      <c r="G524" s="21"/>
      <c r="H524" s="21"/>
      <c r="I524" s="21"/>
      <c r="J524" s="21"/>
      <c r="K524" s="19"/>
      <c r="L524" s="19"/>
      <c r="M524" s="22"/>
      <c r="N524" s="19"/>
      <c r="O524" s="19"/>
      <c r="P524" s="23"/>
      <c r="Q524" s="21" t="s">
        <v>46</v>
      </c>
      <c r="R524" s="19" t="s">
        <v>47</v>
      </c>
      <c r="S524" s="21"/>
      <c r="T524" s="32"/>
      <c r="U524" s="21"/>
      <c r="V524" s="7"/>
      <c r="W524" s="7"/>
      <c r="X524" s="7"/>
      <c r="Y524" s="7"/>
    </row>
    <row r="525" spans="1:25" ht="14.25" customHeight="1" x14ac:dyDescent="0.3">
      <c r="A525" s="18">
        <v>130.4</v>
      </c>
      <c r="B525" s="19"/>
      <c r="C525" s="19"/>
      <c r="D525" s="19"/>
      <c r="E525" s="19"/>
      <c r="F525" s="19"/>
      <c r="G525" s="21"/>
      <c r="H525" s="21"/>
      <c r="I525" s="21"/>
      <c r="J525" s="21"/>
      <c r="K525" s="19"/>
      <c r="L525" s="19"/>
      <c r="M525" s="22"/>
      <c r="N525" s="19"/>
      <c r="O525" s="19"/>
      <c r="P525" s="23"/>
      <c r="Q525" s="21" t="s">
        <v>46</v>
      </c>
      <c r="R525" s="19" t="s">
        <v>47</v>
      </c>
      <c r="S525" s="21"/>
      <c r="T525" s="32"/>
      <c r="U525" s="21"/>
      <c r="V525" s="7"/>
      <c r="W525" s="7"/>
      <c r="X525" s="7"/>
      <c r="Y525" s="7"/>
    </row>
    <row r="526" spans="1:25" ht="14.25" customHeight="1" x14ac:dyDescent="0.3">
      <c r="A526" s="18">
        <v>131.1</v>
      </c>
      <c r="B526" s="19"/>
      <c r="C526" s="19"/>
      <c r="D526" s="19"/>
      <c r="E526" s="19"/>
      <c r="F526" s="19"/>
      <c r="G526" s="21"/>
      <c r="H526" s="21"/>
      <c r="I526" s="21"/>
      <c r="J526" s="21"/>
      <c r="K526" s="19"/>
      <c r="L526" s="19"/>
      <c r="M526" s="22"/>
      <c r="N526" s="19"/>
      <c r="O526" s="19"/>
      <c r="P526" s="23"/>
      <c r="Q526" s="21" t="s">
        <v>46</v>
      </c>
      <c r="R526" s="19" t="s">
        <v>47</v>
      </c>
      <c r="S526" s="21"/>
      <c r="T526" s="32"/>
      <c r="U526" s="21"/>
      <c r="V526" s="7"/>
      <c r="W526" s="7"/>
      <c r="X526" s="7"/>
      <c r="Y526" s="7"/>
    </row>
    <row r="527" spans="1:25" ht="14.25" customHeight="1" x14ac:dyDescent="0.3">
      <c r="A527" s="18">
        <v>131.19999999999999</v>
      </c>
      <c r="B527" s="19"/>
      <c r="C527" s="19"/>
      <c r="D527" s="19"/>
      <c r="E527" s="19"/>
      <c r="F527" s="19"/>
      <c r="G527" s="21"/>
      <c r="H527" s="21"/>
      <c r="I527" s="21"/>
      <c r="J527" s="21"/>
      <c r="K527" s="19"/>
      <c r="L527" s="19"/>
      <c r="M527" s="22"/>
      <c r="N527" s="19"/>
      <c r="O527" s="19"/>
      <c r="P527" s="23"/>
      <c r="Q527" s="21" t="s">
        <v>46</v>
      </c>
      <c r="R527" s="19" t="s">
        <v>47</v>
      </c>
      <c r="S527" s="21"/>
      <c r="T527" s="32"/>
      <c r="U527" s="21"/>
      <c r="V527" s="7"/>
      <c r="W527" s="7"/>
      <c r="X527" s="7"/>
      <c r="Y527" s="7"/>
    </row>
    <row r="528" spans="1:25" ht="14.25" customHeight="1" x14ac:dyDescent="0.3">
      <c r="A528" s="18">
        <v>131.30000000000001</v>
      </c>
      <c r="B528" s="19"/>
      <c r="C528" s="19"/>
      <c r="D528" s="19"/>
      <c r="E528" s="19"/>
      <c r="F528" s="19"/>
      <c r="G528" s="21"/>
      <c r="H528" s="21"/>
      <c r="I528" s="21"/>
      <c r="J528" s="21"/>
      <c r="K528" s="19"/>
      <c r="L528" s="19"/>
      <c r="M528" s="22"/>
      <c r="N528" s="19"/>
      <c r="O528" s="19"/>
      <c r="P528" s="23"/>
      <c r="Q528" s="21" t="s">
        <v>46</v>
      </c>
      <c r="R528" s="19" t="s">
        <v>47</v>
      </c>
      <c r="S528" s="21"/>
      <c r="T528" s="32"/>
      <c r="U528" s="21"/>
      <c r="V528" s="7"/>
      <c r="W528" s="7"/>
      <c r="X528" s="7"/>
      <c r="Y528" s="7"/>
    </row>
    <row r="529" spans="1:25" ht="14.25" customHeight="1" x14ac:dyDescent="0.3">
      <c r="A529" s="18">
        <v>131.4</v>
      </c>
      <c r="B529" s="19"/>
      <c r="C529" s="19"/>
      <c r="D529" s="19"/>
      <c r="E529" s="19"/>
      <c r="F529" s="19"/>
      <c r="G529" s="21"/>
      <c r="H529" s="21"/>
      <c r="I529" s="21"/>
      <c r="J529" s="21"/>
      <c r="K529" s="19"/>
      <c r="L529" s="19"/>
      <c r="M529" s="22"/>
      <c r="N529" s="19"/>
      <c r="O529" s="19"/>
      <c r="P529" s="23"/>
      <c r="Q529" s="21" t="s">
        <v>46</v>
      </c>
      <c r="R529" s="19" t="s">
        <v>47</v>
      </c>
      <c r="S529" s="21"/>
      <c r="T529" s="32"/>
      <c r="U529" s="21"/>
      <c r="V529" s="7"/>
      <c r="W529" s="7"/>
      <c r="X529" s="7"/>
      <c r="Y529" s="7"/>
    </row>
    <row r="530" spans="1:25" ht="14.25" customHeight="1" x14ac:dyDescent="0.3">
      <c r="A530" s="18">
        <v>132.1</v>
      </c>
      <c r="B530" s="19"/>
      <c r="C530" s="19"/>
      <c r="D530" s="19"/>
      <c r="E530" s="19"/>
      <c r="F530" s="19"/>
      <c r="G530" s="21"/>
      <c r="H530" s="21"/>
      <c r="I530" s="21"/>
      <c r="J530" s="21"/>
      <c r="K530" s="19"/>
      <c r="L530" s="19"/>
      <c r="M530" s="22"/>
      <c r="N530" s="19"/>
      <c r="O530" s="19"/>
      <c r="P530" s="23"/>
      <c r="Q530" s="21" t="s">
        <v>46</v>
      </c>
      <c r="R530" s="19" t="s">
        <v>47</v>
      </c>
      <c r="S530" s="21"/>
      <c r="T530" s="32"/>
      <c r="U530" s="21"/>
      <c r="V530" s="7"/>
      <c r="W530" s="7"/>
      <c r="X530" s="7"/>
      <c r="Y530" s="7"/>
    </row>
    <row r="531" spans="1:25" ht="14.25" customHeight="1" x14ac:dyDescent="0.3">
      <c r="A531" s="18">
        <v>132.19999999999999</v>
      </c>
      <c r="B531" s="19"/>
      <c r="C531" s="19"/>
      <c r="D531" s="19"/>
      <c r="E531" s="19"/>
      <c r="F531" s="19"/>
      <c r="G531" s="21"/>
      <c r="H531" s="21"/>
      <c r="I531" s="21"/>
      <c r="J531" s="21"/>
      <c r="K531" s="19"/>
      <c r="L531" s="19"/>
      <c r="M531" s="22"/>
      <c r="N531" s="19"/>
      <c r="O531" s="19"/>
      <c r="P531" s="23"/>
      <c r="Q531" s="21" t="s">
        <v>46</v>
      </c>
      <c r="R531" s="19" t="s">
        <v>47</v>
      </c>
      <c r="S531" s="21"/>
      <c r="T531" s="32"/>
      <c r="U531" s="21"/>
      <c r="V531" s="7"/>
      <c r="W531" s="7"/>
      <c r="X531" s="7"/>
      <c r="Y531" s="7"/>
    </row>
    <row r="532" spans="1:25" ht="14.25" customHeight="1" x14ac:dyDescent="0.3">
      <c r="A532" s="18">
        <v>132.30000000000001</v>
      </c>
      <c r="B532" s="19"/>
      <c r="C532" s="19"/>
      <c r="D532" s="19"/>
      <c r="E532" s="19"/>
      <c r="F532" s="19"/>
      <c r="G532" s="21"/>
      <c r="H532" s="21"/>
      <c r="I532" s="21"/>
      <c r="J532" s="21"/>
      <c r="K532" s="19"/>
      <c r="L532" s="19"/>
      <c r="M532" s="22"/>
      <c r="N532" s="19"/>
      <c r="O532" s="19"/>
      <c r="P532" s="23"/>
      <c r="Q532" s="21" t="s">
        <v>46</v>
      </c>
      <c r="R532" s="19" t="s">
        <v>47</v>
      </c>
      <c r="S532" s="21"/>
      <c r="T532" s="32"/>
      <c r="U532" s="21"/>
      <c r="V532" s="7"/>
      <c r="W532" s="7"/>
      <c r="X532" s="7"/>
      <c r="Y532" s="7"/>
    </row>
    <row r="533" spans="1:25" ht="14.25" customHeight="1" x14ac:dyDescent="0.3">
      <c r="A533" s="18">
        <v>132.4</v>
      </c>
      <c r="B533" s="19"/>
      <c r="C533" s="19"/>
      <c r="D533" s="19"/>
      <c r="E533" s="19"/>
      <c r="F533" s="19"/>
      <c r="G533" s="21"/>
      <c r="H533" s="21"/>
      <c r="I533" s="21"/>
      <c r="J533" s="21"/>
      <c r="K533" s="19"/>
      <c r="L533" s="19"/>
      <c r="M533" s="22"/>
      <c r="N533" s="19"/>
      <c r="O533" s="19"/>
      <c r="P533" s="23"/>
      <c r="Q533" s="21" t="s">
        <v>46</v>
      </c>
      <c r="R533" s="19" t="s">
        <v>47</v>
      </c>
      <c r="S533" s="21"/>
      <c r="T533" s="32"/>
      <c r="U533" s="21"/>
      <c r="V533" s="7"/>
      <c r="W533" s="7"/>
      <c r="X533" s="7"/>
      <c r="Y533" s="7"/>
    </row>
    <row r="534" spans="1:25" ht="14.25" customHeight="1" x14ac:dyDescent="0.3">
      <c r="A534" s="18">
        <v>133.1</v>
      </c>
      <c r="B534" s="19"/>
      <c r="C534" s="19"/>
      <c r="D534" s="19"/>
      <c r="E534" s="19"/>
      <c r="F534" s="19"/>
      <c r="G534" s="21"/>
      <c r="H534" s="21"/>
      <c r="I534" s="21"/>
      <c r="J534" s="21"/>
      <c r="K534" s="19"/>
      <c r="L534" s="19"/>
      <c r="M534" s="22"/>
      <c r="N534" s="19"/>
      <c r="O534" s="19"/>
      <c r="P534" s="23"/>
      <c r="Q534" s="21" t="s">
        <v>46</v>
      </c>
      <c r="R534" s="19" t="s">
        <v>47</v>
      </c>
      <c r="S534" s="21"/>
      <c r="T534" s="32"/>
      <c r="U534" s="21"/>
      <c r="V534" s="7"/>
      <c r="W534" s="7"/>
      <c r="X534" s="7"/>
      <c r="Y534" s="7"/>
    </row>
    <row r="535" spans="1:25" ht="14.25" customHeight="1" x14ac:dyDescent="0.3">
      <c r="A535" s="18">
        <v>133.19999999999999</v>
      </c>
      <c r="B535" s="19"/>
      <c r="C535" s="19"/>
      <c r="D535" s="19"/>
      <c r="E535" s="19"/>
      <c r="F535" s="19"/>
      <c r="G535" s="21"/>
      <c r="H535" s="21"/>
      <c r="I535" s="21"/>
      <c r="J535" s="21"/>
      <c r="K535" s="19"/>
      <c r="L535" s="19"/>
      <c r="M535" s="22"/>
      <c r="N535" s="19"/>
      <c r="O535" s="19"/>
      <c r="P535" s="23"/>
      <c r="Q535" s="21" t="s">
        <v>46</v>
      </c>
      <c r="R535" s="19" t="s">
        <v>47</v>
      </c>
      <c r="S535" s="21"/>
      <c r="T535" s="32"/>
      <c r="U535" s="21"/>
      <c r="V535" s="7"/>
      <c r="W535" s="7"/>
      <c r="X535" s="7"/>
      <c r="Y535" s="7"/>
    </row>
    <row r="536" spans="1:25" ht="14.25" customHeight="1" x14ac:dyDescent="0.3">
      <c r="A536" s="18">
        <v>133.30000000000001</v>
      </c>
      <c r="B536" s="19"/>
      <c r="C536" s="19"/>
      <c r="D536" s="19"/>
      <c r="E536" s="19"/>
      <c r="F536" s="19"/>
      <c r="G536" s="21"/>
      <c r="H536" s="21"/>
      <c r="I536" s="21"/>
      <c r="J536" s="21"/>
      <c r="K536" s="19"/>
      <c r="L536" s="19"/>
      <c r="M536" s="22"/>
      <c r="N536" s="19"/>
      <c r="O536" s="19"/>
      <c r="P536" s="23"/>
      <c r="Q536" s="21" t="s">
        <v>46</v>
      </c>
      <c r="R536" s="19" t="s">
        <v>47</v>
      </c>
      <c r="S536" s="21"/>
      <c r="T536" s="32"/>
      <c r="U536" s="21"/>
      <c r="V536" s="7"/>
      <c r="W536" s="7"/>
      <c r="X536" s="7"/>
      <c r="Y536" s="7"/>
    </row>
    <row r="537" spans="1:25" ht="14.25" customHeight="1" x14ac:dyDescent="0.3">
      <c r="A537" s="18">
        <v>133.4</v>
      </c>
      <c r="B537" s="19"/>
      <c r="C537" s="19"/>
      <c r="D537" s="19"/>
      <c r="E537" s="19"/>
      <c r="F537" s="19"/>
      <c r="G537" s="21"/>
      <c r="H537" s="21"/>
      <c r="I537" s="21"/>
      <c r="J537" s="21"/>
      <c r="K537" s="19"/>
      <c r="L537" s="19"/>
      <c r="M537" s="22"/>
      <c r="N537" s="19"/>
      <c r="O537" s="19"/>
      <c r="P537" s="23"/>
      <c r="Q537" s="21" t="s">
        <v>46</v>
      </c>
      <c r="R537" s="19" t="s">
        <v>47</v>
      </c>
      <c r="S537" s="21"/>
      <c r="T537" s="32"/>
      <c r="U537" s="21"/>
      <c r="V537" s="7"/>
      <c r="W537" s="7"/>
      <c r="X537" s="7"/>
      <c r="Y537" s="7"/>
    </row>
    <row r="538" spans="1:25" ht="14.25" customHeight="1" x14ac:dyDescent="0.3">
      <c r="A538" s="18">
        <v>134.1</v>
      </c>
      <c r="B538" s="19"/>
      <c r="C538" s="19"/>
      <c r="D538" s="19"/>
      <c r="E538" s="19"/>
      <c r="F538" s="19"/>
      <c r="G538" s="21"/>
      <c r="H538" s="21"/>
      <c r="I538" s="21"/>
      <c r="J538" s="21"/>
      <c r="K538" s="19"/>
      <c r="L538" s="19"/>
      <c r="M538" s="22"/>
      <c r="N538" s="19"/>
      <c r="O538" s="19"/>
      <c r="P538" s="23"/>
      <c r="Q538" s="21" t="s">
        <v>46</v>
      </c>
      <c r="R538" s="19" t="s">
        <v>47</v>
      </c>
      <c r="S538" s="21"/>
      <c r="T538" s="32"/>
      <c r="U538" s="21"/>
      <c r="V538" s="7"/>
      <c r="W538" s="7"/>
      <c r="X538" s="7"/>
      <c r="Y538" s="7"/>
    </row>
    <row r="539" spans="1:25" ht="14.25" customHeight="1" x14ac:dyDescent="0.3">
      <c r="A539" s="18">
        <v>134.19999999999999</v>
      </c>
      <c r="B539" s="19"/>
      <c r="C539" s="19"/>
      <c r="D539" s="19"/>
      <c r="E539" s="19"/>
      <c r="F539" s="19"/>
      <c r="G539" s="21"/>
      <c r="H539" s="21"/>
      <c r="I539" s="21"/>
      <c r="J539" s="21"/>
      <c r="K539" s="19"/>
      <c r="L539" s="19"/>
      <c r="M539" s="22"/>
      <c r="N539" s="19"/>
      <c r="O539" s="19"/>
      <c r="P539" s="23"/>
      <c r="Q539" s="21" t="s">
        <v>46</v>
      </c>
      <c r="R539" s="19" t="s">
        <v>47</v>
      </c>
      <c r="S539" s="21"/>
      <c r="T539" s="32"/>
      <c r="U539" s="21"/>
      <c r="V539" s="7"/>
      <c r="W539" s="7"/>
      <c r="X539" s="7"/>
      <c r="Y539" s="7"/>
    </row>
    <row r="540" spans="1:25" ht="14.25" customHeight="1" x14ac:dyDescent="0.3">
      <c r="A540" s="18">
        <v>134.30000000000001</v>
      </c>
      <c r="B540" s="19"/>
      <c r="C540" s="19"/>
      <c r="D540" s="19"/>
      <c r="E540" s="19"/>
      <c r="F540" s="19"/>
      <c r="G540" s="21"/>
      <c r="H540" s="21"/>
      <c r="I540" s="21"/>
      <c r="J540" s="21"/>
      <c r="K540" s="19"/>
      <c r="L540" s="19"/>
      <c r="M540" s="22"/>
      <c r="N540" s="19"/>
      <c r="O540" s="19"/>
      <c r="P540" s="23"/>
      <c r="Q540" s="21" t="s">
        <v>46</v>
      </c>
      <c r="R540" s="19" t="s">
        <v>47</v>
      </c>
      <c r="S540" s="21"/>
      <c r="T540" s="32"/>
      <c r="U540" s="21"/>
      <c r="V540" s="7"/>
      <c r="W540" s="7"/>
      <c r="X540" s="7"/>
      <c r="Y540" s="7"/>
    </row>
    <row r="541" spans="1:25" ht="14.25" customHeight="1" x14ac:dyDescent="0.3">
      <c r="A541" s="18">
        <v>134.4</v>
      </c>
      <c r="B541" s="19"/>
      <c r="C541" s="19"/>
      <c r="D541" s="19"/>
      <c r="E541" s="19"/>
      <c r="F541" s="19"/>
      <c r="G541" s="21"/>
      <c r="H541" s="21"/>
      <c r="I541" s="21"/>
      <c r="J541" s="21"/>
      <c r="K541" s="19"/>
      <c r="L541" s="19"/>
      <c r="M541" s="22"/>
      <c r="N541" s="19"/>
      <c r="O541" s="19"/>
      <c r="P541" s="23"/>
      <c r="Q541" s="21" t="s">
        <v>46</v>
      </c>
      <c r="R541" s="19" t="s">
        <v>47</v>
      </c>
      <c r="S541" s="21"/>
      <c r="T541" s="32"/>
      <c r="U541" s="21"/>
      <c r="V541" s="7"/>
      <c r="W541" s="7"/>
      <c r="X541" s="7"/>
      <c r="Y541" s="7"/>
    </row>
    <row r="542" spans="1:25" ht="14.25" customHeight="1" x14ac:dyDescent="0.3">
      <c r="A542" s="18">
        <v>135.1</v>
      </c>
      <c r="B542" s="19"/>
      <c r="C542" s="19"/>
      <c r="D542" s="19"/>
      <c r="E542" s="19"/>
      <c r="F542" s="19"/>
      <c r="G542" s="21"/>
      <c r="H542" s="21"/>
      <c r="I542" s="21"/>
      <c r="J542" s="21"/>
      <c r="K542" s="19"/>
      <c r="L542" s="19"/>
      <c r="M542" s="22"/>
      <c r="N542" s="19"/>
      <c r="O542" s="19"/>
      <c r="P542" s="23"/>
      <c r="Q542" s="21" t="s">
        <v>46</v>
      </c>
      <c r="R542" s="19" t="s">
        <v>47</v>
      </c>
      <c r="S542" s="21"/>
      <c r="T542" s="32"/>
      <c r="U542" s="21"/>
      <c r="V542" s="7"/>
      <c r="W542" s="7"/>
      <c r="X542" s="7"/>
      <c r="Y542" s="7"/>
    </row>
    <row r="543" spans="1:25" ht="14.25" customHeight="1" x14ac:dyDescent="0.3">
      <c r="A543" s="18">
        <v>135.19999999999999</v>
      </c>
      <c r="B543" s="19"/>
      <c r="C543" s="19"/>
      <c r="D543" s="19"/>
      <c r="E543" s="19"/>
      <c r="F543" s="19"/>
      <c r="G543" s="21"/>
      <c r="H543" s="21"/>
      <c r="I543" s="21"/>
      <c r="J543" s="21"/>
      <c r="K543" s="19"/>
      <c r="L543" s="19"/>
      <c r="M543" s="22"/>
      <c r="N543" s="19"/>
      <c r="O543" s="19"/>
      <c r="P543" s="23"/>
      <c r="Q543" s="21" t="s">
        <v>46</v>
      </c>
      <c r="R543" s="19" t="s">
        <v>47</v>
      </c>
      <c r="S543" s="21"/>
      <c r="T543" s="32"/>
      <c r="U543" s="21"/>
      <c r="V543" s="7"/>
      <c r="W543" s="7"/>
      <c r="X543" s="7"/>
      <c r="Y543" s="7"/>
    </row>
    <row r="544" spans="1:25" ht="14.25" customHeight="1" x14ac:dyDescent="0.3">
      <c r="A544" s="18">
        <v>135.30000000000001</v>
      </c>
      <c r="B544" s="19"/>
      <c r="C544" s="19"/>
      <c r="D544" s="19"/>
      <c r="E544" s="19"/>
      <c r="F544" s="19"/>
      <c r="G544" s="21"/>
      <c r="H544" s="21"/>
      <c r="I544" s="21"/>
      <c r="J544" s="21"/>
      <c r="K544" s="19"/>
      <c r="L544" s="19"/>
      <c r="M544" s="22"/>
      <c r="N544" s="19"/>
      <c r="O544" s="19"/>
      <c r="P544" s="23"/>
      <c r="Q544" s="21" t="s">
        <v>46</v>
      </c>
      <c r="R544" s="19" t="s">
        <v>47</v>
      </c>
      <c r="S544" s="21"/>
      <c r="T544" s="32"/>
      <c r="U544" s="21"/>
      <c r="V544" s="7"/>
      <c r="W544" s="7"/>
      <c r="X544" s="7"/>
      <c r="Y544" s="7"/>
    </row>
    <row r="545" spans="1:25" ht="14.25" customHeight="1" x14ac:dyDescent="0.3">
      <c r="A545" s="18">
        <v>135.4</v>
      </c>
      <c r="B545" s="19"/>
      <c r="C545" s="19"/>
      <c r="D545" s="19"/>
      <c r="E545" s="19"/>
      <c r="F545" s="19"/>
      <c r="G545" s="21"/>
      <c r="H545" s="21"/>
      <c r="I545" s="21"/>
      <c r="J545" s="21"/>
      <c r="K545" s="19"/>
      <c r="L545" s="19"/>
      <c r="M545" s="22"/>
      <c r="N545" s="19"/>
      <c r="O545" s="19"/>
      <c r="P545" s="23"/>
      <c r="Q545" s="21" t="s">
        <v>46</v>
      </c>
      <c r="R545" s="19" t="s">
        <v>47</v>
      </c>
      <c r="S545" s="21"/>
      <c r="T545" s="32"/>
      <c r="U545" s="21"/>
      <c r="V545" s="7"/>
      <c r="W545" s="7"/>
      <c r="X545" s="7"/>
      <c r="Y545" s="7"/>
    </row>
    <row r="546" spans="1:25" ht="14.25" customHeight="1" x14ac:dyDescent="0.3">
      <c r="A546" s="18">
        <v>136.1</v>
      </c>
      <c r="B546" s="19"/>
      <c r="C546" s="19"/>
      <c r="D546" s="19"/>
      <c r="E546" s="19"/>
      <c r="F546" s="19"/>
      <c r="G546" s="21"/>
      <c r="H546" s="21"/>
      <c r="I546" s="21"/>
      <c r="J546" s="21"/>
      <c r="K546" s="19"/>
      <c r="L546" s="19"/>
      <c r="M546" s="22"/>
      <c r="N546" s="19"/>
      <c r="O546" s="19"/>
      <c r="P546" s="23"/>
      <c r="Q546" s="21" t="s">
        <v>46</v>
      </c>
      <c r="R546" s="19" t="s">
        <v>47</v>
      </c>
      <c r="S546" s="21"/>
      <c r="T546" s="32"/>
      <c r="U546" s="21"/>
      <c r="V546" s="7"/>
      <c r="W546" s="7"/>
      <c r="X546" s="7"/>
      <c r="Y546" s="7"/>
    </row>
    <row r="547" spans="1:25" ht="14.25" customHeight="1" x14ac:dyDescent="0.3">
      <c r="A547" s="18">
        <v>136.19999999999999</v>
      </c>
      <c r="B547" s="19"/>
      <c r="C547" s="19"/>
      <c r="D547" s="19"/>
      <c r="E547" s="19"/>
      <c r="F547" s="19"/>
      <c r="G547" s="21"/>
      <c r="H547" s="21"/>
      <c r="I547" s="21"/>
      <c r="J547" s="21"/>
      <c r="K547" s="19"/>
      <c r="L547" s="19"/>
      <c r="M547" s="22"/>
      <c r="N547" s="19"/>
      <c r="O547" s="19"/>
      <c r="P547" s="23"/>
      <c r="Q547" s="21" t="s">
        <v>46</v>
      </c>
      <c r="R547" s="19" t="s">
        <v>47</v>
      </c>
      <c r="S547" s="21"/>
      <c r="T547" s="32"/>
      <c r="U547" s="21"/>
      <c r="V547" s="7"/>
      <c r="W547" s="7"/>
      <c r="X547" s="7"/>
      <c r="Y547" s="7"/>
    </row>
    <row r="548" spans="1:25" ht="14.25" customHeight="1" x14ac:dyDescent="0.3">
      <c r="A548" s="18">
        <v>136.30000000000001</v>
      </c>
      <c r="B548" s="19"/>
      <c r="C548" s="19"/>
      <c r="D548" s="19"/>
      <c r="E548" s="19"/>
      <c r="F548" s="19"/>
      <c r="G548" s="21"/>
      <c r="H548" s="21"/>
      <c r="I548" s="21"/>
      <c r="J548" s="21"/>
      <c r="K548" s="19"/>
      <c r="L548" s="19"/>
      <c r="M548" s="22"/>
      <c r="N548" s="19"/>
      <c r="O548" s="19"/>
      <c r="P548" s="23"/>
      <c r="Q548" s="21" t="s">
        <v>46</v>
      </c>
      <c r="R548" s="19" t="s">
        <v>47</v>
      </c>
      <c r="S548" s="21"/>
      <c r="T548" s="32"/>
      <c r="U548" s="21"/>
      <c r="V548" s="7"/>
      <c r="W548" s="7"/>
      <c r="X548" s="7"/>
      <c r="Y548" s="7"/>
    </row>
    <row r="549" spans="1:25" ht="14.25" customHeight="1" x14ac:dyDescent="0.3">
      <c r="A549" s="18">
        <v>136.4</v>
      </c>
      <c r="B549" s="19"/>
      <c r="C549" s="19"/>
      <c r="D549" s="19"/>
      <c r="E549" s="19"/>
      <c r="F549" s="19"/>
      <c r="G549" s="21"/>
      <c r="H549" s="21"/>
      <c r="I549" s="21"/>
      <c r="J549" s="21"/>
      <c r="K549" s="19"/>
      <c r="L549" s="19"/>
      <c r="M549" s="22"/>
      <c r="N549" s="19"/>
      <c r="O549" s="19"/>
      <c r="P549" s="23"/>
      <c r="Q549" s="21" t="s">
        <v>46</v>
      </c>
      <c r="R549" s="19" t="s">
        <v>47</v>
      </c>
      <c r="S549" s="21"/>
      <c r="T549" s="32"/>
      <c r="U549" s="21"/>
      <c r="V549" s="7"/>
      <c r="W549" s="7"/>
      <c r="X549" s="7"/>
      <c r="Y549" s="7"/>
    </row>
    <row r="550" spans="1:25" ht="14.25" customHeight="1" x14ac:dyDescent="0.3">
      <c r="A550" s="18">
        <v>137.1</v>
      </c>
      <c r="B550" s="19"/>
      <c r="C550" s="19"/>
      <c r="D550" s="19"/>
      <c r="E550" s="19"/>
      <c r="F550" s="19"/>
      <c r="G550" s="21"/>
      <c r="H550" s="21"/>
      <c r="I550" s="21"/>
      <c r="J550" s="21"/>
      <c r="K550" s="19"/>
      <c r="L550" s="19"/>
      <c r="M550" s="22"/>
      <c r="N550" s="19"/>
      <c r="O550" s="19"/>
      <c r="P550" s="23"/>
      <c r="Q550" s="21" t="s">
        <v>46</v>
      </c>
      <c r="R550" s="19" t="s">
        <v>47</v>
      </c>
      <c r="S550" s="21"/>
      <c r="T550" s="32"/>
      <c r="U550" s="21"/>
      <c r="V550" s="7"/>
      <c r="W550" s="7"/>
      <c r="X550" s="7"/>
      <c r="Y550" s="7"/>
    </row>
    <row r="551" spans="1:25" ht="14.25" customHeight="1" x14ac:dyDescent="0.3">
      <c r="A551" s="18">
        <v>137.19999999999999</v>
      </c>
      <c r="B551" s="19"/>
      <c r="C551" s="19"/>
      <c r="D551" s="19"/>
      <c r="E551" s="19"/>
      <c r="F551" s="19"/>
      <c r="G551" s="21"/>
      <c r="H551" s="21"/>
      <c r="I551" s="21"/>
      <c r="J551" s="21"/>
      <c r="K551" s="19"/>
      <c r="L551" s="19"/>
      <c r="M551" s="22"/>
      <c r="N551" s="19"/>
      <c r="O551" s="19"/>
      <c r="P551" s="23"/>
      <c r="Q551" s="21" t="s">
        <v>46</v>
      </c>
      <c r="R551" s="19" t="s">
        <v>47</v>
      </c>
      <c r="S551" s="21"/>
      <c r="T551" s="32"/>
      <c r="U551" s="21"/>
      <c r="V551" s="7"/>
      <c r="W551" s="7"/>
      <c r="X551" s="7"/>
      <c r="Y551" s="7"/>
    </row>
    <row r="552" spans="1:25" ht="14.25" customHeight="1" x14ac:dyDescent="0.3">
      <c r="A552" s="18">
        <v>137.30000000000001</v>
      </c>
      <c r="B552" s="19"/>
      <c r="C552" s="19"/>
      <c r="D552" s="19"/>
      <c r="E552" s="19"/>
      <c r="F552" s="19"/>
      <c r="G552" s="21"/>
      <c r="H552" s="21"/>
      <c r="I552" s="21"/>
      <c r="J552" s="21"/>
      <c r="K552" s="19"/>
      <c r="L552" s="19"/>
      <c r="M552" s="22"/>
      <c r="N552" s="19"/>
      <c r="O552" s="19"/>
      <c r="P552" s="23"/>
      <c r="Q552" s="21" t="s">
        <v>46</v>
      </c>
      <c r="R552" s="19" t="s">
        <v>47</v>
      </c>
      <c r="S552" s="21"/>
      <c r="T552" s="32"/>
      <c r="U552" s="21"/>
      <c r="V552" s="7"/>
      <c r="W552" s="7"/>
      <c r="X552" s="7"/>
      <c r="Y552" s="7"/>
    </row>
    <row r="553" spans="1:25" ht="14.25" customHeight="1" x14ac:dyDescent="0.3">
      <c r="A553" s="18">
        <v>137.4</v>
      </c>
      <c r="B553" s="19"/>
      <c r="C553" s="19"/>
      <c r="D553" s="19"/>
      <c r="E553" s="19"/>
      <c r="F553" s="19"/>
      <c r="G553" s="21"/>
      <c r="H553" s="21"/>
      <c r="I553" s="21"/>
      <c r="J553" s="21"/>
      <c r="K553" s="19"/>
      <c r="L553" s="19"/>
      <c r="M553" s="22"/>
      <c r="N553" s="19"/>
      <c r="O553" s="19"/>
      <c r="P553" s="23"/>
      <c r="Q553" s="21" t="s">
        <v>46</v>
      </c>
      <c r="R553" s="19" t="s">
        <v>47</v>
      </c>
      <c r="S553" s="21"/>
      <c r="T553" s="32"/>
      <c r="U553" s="21"/>
      <c r="V553" s="7"/>
      <c r="W553" s="7"/>
      <c r="X553" s="7"/>
      <c r="Y553" s="7"/>
    </row>
    <row r="554" spans="1:25" ht="14.25" customHeight="1" x14ac:dyDescent="0.3">
      <c r="A554" s="18">
        <v>138.1</v>
      </c>
      <c r="B554" s="19"/>
      <c r="C554" s="19"/>
      <c r="D554" s="19"/>
      <c r="E554" s="19"/>
      <c r="F554" s="19"/>
      <c r="G554" s="21"/>
      <c r="H554" s="21"/>
      <c r="I554" s="21"/>
      <c r="J554" s="21"/>
      <c r="K554" s="19"/>
      <c r="L554" s="19"/>
      <c r="M554" s="22"/>
      <c r="N554" s="19"/>
      <c r="O554" s="19"/>
      <c r="P554" s="23"/>
      <c r="Q554" s="21" t="s">
        <v>46</v>
      </c>
      <c r="R554" s="19" t="s">
        <v>47</v>
      </c>
      <c r="S554" s="21"/>
      <c r="T554" s="32"/>
      <c r="U554" s="21"/>
      <c r="V554" s="7"/>
      <c r="W554" s="7"/>
      <c r="X554" s="7"/>
      <c r="Y554" s="7"/>
    </row>
    <row r="555" spans="1:25" ht="14.25" customHeight="1" x14ac:dyDescent="0.3">
      <c r="A555" s="18">
        <v>138.19999999999999</v>
      </c>
      <c r="B555" s="19"/>
      <c r="C555" s="19"/>
      <c r="D555" s="19"/>
      <c r="E555" s="19"/>
      <c r="F555" s="19"/>
      <c r="G555" s="21"/>
      <c r="H555" s="21"/>
      <c r="I555" s="21"/>
      <c r="J555" s="21"/>
      <c r="K555" s="19"/>
      <c r="L555" s="19"/>
      <c r="M555" s="22"/>
      <c r="N555" s="19"/>
      <c r="O555" s="19"/>
      <c r="P555" s="23"/>
      <c r="Q555" s="21" t="s">
        <v>46</v>
      </c>
      <c r="R555" s="19" t="s">
        <v>47</v>
      </c>
      <c r="S555" s="21"/>
      <c r="T555" s="32"/>
      <c r="U555" s="21"/>
      <c r="V555" s="7"/>
      <c r="W555" s="7"/>
      <c r="X555" s="7"/>
      <c r="Y555" s="7"/>
    </row>
    <row r="556" spans="1:25" ht="14.25" customHeight="1" x14ac:dyDescent="0.3">
      <c r="A556" s="18">
        <v>138.30000000000001</v>
      </c>
      <c r="B556" s="19"/>
      <c r="C556" s="19"/>
      <c r="D556" s="19"/>
      <c r="E556" s="19"/>
      <c r="F556" s="19"/>
      <c r="G556" s="21"/>
      <c r="H556" s="21"/>
      <c r="I556" s="21"/>
      <c r="J556" s="21"/>
      <c r="K556" s="19"/>
      <c r="L556" s="19"/>
      <c r="M556" s="22"/>
      <c r="N556" s="19"/>
      <c r="O556" s="19"/>
      <c r="P556" s="23"/>
      <c r="Q556" s="21" t="s">
        <v>46</v>
      </c>
      <c r="R556" s="19" t="s">
        <v>47</v>
      </c>
      <c r="S556" s="21"/>
      <c r="T556" s="32"/>
      <c r="U556" s="21"/>
      <c r="V556" s="7"/>
      <c r="W556" s="7"/>
      <c r="X556" s="7"/>
      <c r="Y556" s="7"/>
    </row>
    <row r="557" spans="1:25" ht="14.25" customHeight="1" x14ac:dyDescent="0.3">
      <c r="A557" s="18">
        <v>138.4</v>
      </c>
      <c r="B557" s="19"/>
      <c r="C557" s="19"/>
      <c r="D557" s="19"/>
      <c r="E557" s="19"/>
      <c r="F557" s="19"/>
      <c r="G557" s="21"/>
      <c r="H557" s="21"/>
      <c r="I557" s="21"/>
      <c r="J557" s="21"/>
      <c r="K557" s="19"/>
      <c r="L557" s="19"/>
      <c r="M557" s="22"/>
      <c r="N557" s="19"/>
      <c r="O557" s="19"/>
      <c r="P557" s="23"/>
      <c r="Q557" s="21" t="s">
        <v>46</v>
      </c>
      <c r="R557" s="19" t="s">
        <v>47</v>
      </c>
      <c r="S557" s="21"/>
      <c r="T557" s="32"/>
      <c r="U557" s="21"/>
      <c r="V557" s="7"/>
      <c r="W557" s="7"/>
      <c r="X557" s="7"/>
      <c r="Y557" s="7"/>
    </row>
    <row r="558" spans="1:25" ht="14.25" customHeight="1" x14ac:dyDescent="0.3">
      <c r="A558" s="18">
        <v>139.1</v>
      </c>
      <c r="B558" s="19"/>
      <c r="C558" s="19"/>
      <c r="D558" s="19"/>
      <c r="E558" s="19"/>
      <c r="F558" s="19"/>
      <c r="G558" s="21"/>
      <c r="H558" s="21"/>
      <c r="I558" s="21"/>
      <c r="J558" s="21"/>
      <c r="K558" s="19"/>
      <c r="L558" s="19"/>
      <c r="M558" s="22"/>
      <c r="N558" s="19"/>
      <c r="O558" s="19"/>
      <c r="P558" s="23"/>
      <c r="Q558" s="21" t="s">
        <v>46</v>
      </c>
      <c r="R558" s="19" t="s">
        <v>47</v>
      </c>
      <c r="S558" s="21"/>
      <c r="T558" s="32"/>
      <c r="U558" s="21"/>
      <c r="V558" s="7"/>
      <c r="W558" s="7"/>
      <c r="X558" s="7"/>
      <c r="Y558" s="7"/>
    </row>
    <row r="559" spans="1:25" ht="14.25" customHeight="1" x14ac:dyDescent="0.3">
      <c r="A559" s="18">
        <v>139.19999999999999</v>
      </c>
      <c r="B559" s="19"/>
      <c r="C559" s="19"/>
      <c r="D559" s="19"/>
      <c r="E559" s="19"/>
      <c r="F559" s="19"/>
      <c r="G559" s="21"/>
      <c r="H559" s="21"/>
      <c r="I559" s="21"/>
      <c r="J559" s="21"/>
      <c r="K559" s="19"/>
      <c r="L559" s="19"/>
      <c r="M559" s="22"/>
      <c r="N559" s="19"/>
      <c r="O559" s="19"/>
      <c r="P559" s="23"/>
      <c r="Q559" s="21" t="s">
        <v>46</v>
      </c>
      <c r="R559" s="19" t="s">
        <v>47</v>
      </c>
      <c r="S559" s="21"/>
      <c r="T559" s="32"/>
      <c r="U559" s="21"/>
      <c r="V559" s="7"/>
      <c r="W559" s="7"/>
      <c r="X559" s="7"/>
      <c r="Y559" s="7"/>
    </row>
    <row r="560" spans="1:25" ht="14.25" customHeight="1" x14ac:dyDescent="0.3">
      <c r="A560" s="18">
        <v>139.30000000000001</v>
      </c>
      <c r="B560" s="19"/>
      <c r="C560" s="19"/>
      <c r="D560" s="19"/>
      <c r="E560" s="19"/>
      <c r="F560" s="19"/>
      <c r="G560" s="21"/>
      <c r="H560" s="21"/>
      <c r="I560" s="21"/>
      <c r="J560" s="21"/>
      <c r="K560" s="19"/>
      <c r="L560" s="19"/>
      <c r="M560" s="22"/>
      <c r="N560" s="19"/>
      <c r="O560" s="19"/>
      <c r="P560" s="23"/>
      <c r="Q560" s="21" t="s">
        <v>46</v>
      </c>
      <c r="R560" s="19" t="s">
        <v>47</v>
      </c>
      <c r="S560" s="21"/>
      <c r="T560" s="32"/>
      <c r="U560" s="21"/>
      <c r="V560" s="7"/>
      <c r="W560" s="7"/>
      <c r="X560" s="7"/>
      <c r="Y560" s="7"/>
    </row>
    <row r="561" spans="1:25" ht="14.25" customHeight="1" x14ac:dyDescent="0.3">
      <c r="A561" s="18">
        <v>139.4</v>
      </c>
      <c r="B561" s="19"/>
      <c r="C561" s="19"/>
      <c r="D561" s="19"/>
      <c r="E561" s="19"/>
      <c r="F561" s="19"/>
      <c r="G561" s="21"/>
      <c r="H561" s="21"/>
      <c r="I561" s="21"/>
      <c r="J561" s="21"/>
      <c r="K561" s="19"/>
      <c r="L561" s="19"/>
      <c r="M561" s="22"/>
      <c r="N561" s="19"/>
      <c r="O561" s="19"/>
      <c r="P561" s="23"/>
      <c r="Q561" s="21" t="s">
        <v>46</v>
      </c>
      <c r="R561" s="19" t="s">
        <v>47</v>
      </c>
      <c r="S561" s="21"/>
      <c r="T561" s="32"/>
      <c r="U561" s="21"/>
      <c r="V561" s="7"/>
      <c r="W561" s="7"/>
      <c r="X561" s="7"/>
      <c r="Y561" s="7"/>
    </row>
    <row r="562" spans="1:25" ht="14.25" customHeight="1" x14ac:dyDescent="0.3">
      <c r="A562" s="18">
        <v>140.1</v>
      </c>
      <c r="B562" s="19"/>
      <c r="C562" s="19"/>
      <c r="D562" s="19"/>
      <c r="E562" s="19"/>
      <c r="F562" s="19"/>
      <c r="G562" s="21"/>
      <c r="H562" s="21"/>
      <c r="I562" s="21"/>
      <c r="J562" s="21"/>
      <c r="K562" s="19"/>
      <c r="L562" s="19"/>
      <c r="M562" s="22"/>
      <c r="N562" s="19"/>
      <c r="O562" s="19"/>
      <c r="P562" s="23"/>
      <c r="Q562" s="21" t="s">
        <v>46</v>
      </c>
      <c r="R562" s="19" t="s">
        <v>47</v>
      </c>
      <c r="S562" s="21"/>
      <c r="T562" s="32"/>
      <c r="U562" s="21"/>
      <c r="V562" s="7"/>
      <c r="W562" s="7"/>
      <c r="X562" s="7"/>
      <c r="Y562" s="7"/>
    </row>
    <row r="563" spans="1:25" ht="14.25" customHeight="1" x14ac:dyDescent="0.3">
      <c r="A563" s="18">
        <v>140.19999999999999</v>
      </c>
      <c r="B563" s="19"/>
      <c r="C563" s="19"/>
      <c r="D563" s="19"/>
      <c r="E563" s="19"/>
      <c r="F563" s="19"/>
      <c r="G563" s="21"/>
      <c r="H563" s="21"/>
      <c r="I563" s="21"/>
      <c r="J563" s="21"/>
      <c r="K563" s="19"/>
      <c r="L563" s="19"/>
      <c r="M563" s="22"/>
      <c r="N563" s="19"/>
      <c r="O563" s="19"/>
      <c r="P563" s="23"/>
      <c r="Q563" s="21" t="s">
        <v>46</v>
      </c>
      <c r="R563" s="19" t="s">
        <v>47</v>
      </c>
      <c r="S563" s="21"/>
      <c r="T563" s="32"/>
      <c r="U563" s="21"/>
      <c r="V563" s="7"/>
      <c r="W563" s="7"/>
      <c r="X563" s="7"/>
      <c r="Y563" s="7"/>
    </row>
    <row r="564" spans="1:25" ht="14.25" customHeight="1" x14ac:dyDescent="0.3">
      <c r="A564" s="18">
        <v>140.30000000000001</v>
      </c>
      <c r="B564" s="19"/>
      <c r="C564" s="19"/>
      <c r="D564" s="19"/>
      <c r="E564" s="19"/>
      <c r="F564" s="19"/>
      <c r="G564" s="21"/>
      <c r="H564" s="21"/>
      <c r="I564" s="21"/>
      <c r="J564" s="21"/>
      <c r="K564" s="19"/>
      <c r="L564" s="19"/>
      <c r="M564" s="22"/>
      <c r="N564" s="19"/>
      <c r="O564" s="19"/>
      <c r="P564" s="23"/>
      <c r="Q564" s="21" t="s">
        <v>46</v>
      </c>
      <c r="R564" s="19" t="s">
        <v>47</v>
      </c>
      <c r="S564" s="21"/>
      <c r="T564" s="32"/>
      <c r="U564" s="21"/>
      <c r="V564" s="7"/>
      <c r="W564" s="7"/>
      <c r="X564" s="7"/>
      <c r="Y564" s="7"/>
    </row>
    <row r="565" spans="1:25" ht="14.25" customHeight="1" x14ac:dyDescent="0.3">
      <c r="A565" s="18">
        <v>140.4</v>
      </c>
      <c r="B565" s="19"/>
      <c r="C565" s="19"/>
      <c r="D565" s="19"/>
      <c r="E565" s="19"/>
      <c r="F565" s="19"/>
      <c r="G565" s="21"/>
      <c r="H565" s="21"/>
      <c r="I565" s="21"/>
      <c r="J565" s="21"/>
      <c r="K565" s="19"/>
      <c r="L565" s="19"/>
      <c r="M565" s="22"/>
      <c r="N565" s="19"/>
      <c r="O565" s="19"/>
      <c r="P565" s="23"/>
      <c r="Q565" s="21" t="s">
        <v>46</v>
      </c>
      <c r="R565" s="19" t="s">
        <v>47</v>
      </c>
      <c r="S565" s="21"/>
      <c r="T565" s="32"/>
      <c r="U565" s="21"/>
      <c r="V565" s="7"/>
      <c r="W565" s="7"/>
      <c r="X565" s="7"/>
      <c r="Y565" s="7"/>
    </row>
    <row r="566" spans="1:25" ht="14.25" customHeight="1" x14ac:dyDescent="0.3">
      <c r="A566" s="18">
        <v>141.1</v>
      </c>
      <c r="B566" s="19"/>
      <c r="C566" s="19"/>
      <c r="D566" s="19"/>
      <c r="E566" s="19"/>
      <c r="F566" s="19"/>
      <c r="G566" s="21"/>
      <c r="H566" s="21"/>
      <c r="I566" s="21"/>
      <c r="J566" s="21"/>
      <c r="K566" s="19"/>
      <c r="L566" s="19"/>
      <c r="M566" s="22"/>
      <c r="N566" s="19"/>
      <c r="O566" s="19"/>
      <c r="P566" s="23"/>
      <c r="Q566" s="21" t="s">
        <v>46</v>
      </c>
      <c r="R566" s="19" t="s">
        <v>47</v>
      </c>
      <c r="S566" s="21"/>
      <c r="T566" s="32"/>
      <c r="U566" s="21"/>
      <c r="V566" s="7"/>
      <c r="W566" s="7"/>
      <c r="X566" s="7"/>
      <c r="Y566" s="7"/>
    </row>
    <row r="567" spans="1:25" ht="14.25" customHeight="1" x14ac:dyDescent="0.3">
      <c r="A567" s="18">
        <v>141.19999999999999</v>
      </c>
      <c r="B567" s="19"/>
      <c r="C567" s="19"/>
      <c r="D567" s="19"/>
      <c r="E567" s="19"/>
      <c r="F567" s="19"/>
      <c r="G567" s="21"/>
      <c r="H567" s="21"/>
      <c r="I567" s="21"/>
      <c r="J567" s="21"/>
      <c r="K567" s="19"/>
      <c r="L567" s="19"/>
      <c r="M567" s="22"/>
      <c r="N567" s="19"/>
      <c r="O567" s="19"/>
      <c r="P567" s="23"/>
      <c r="Q567" s="21" t="s">
        <v>46</v>
      </c>
      <c r="R567" s="19" t="s">
        <v>47</v>
      </c>
      <c r="S567" s="21"/>
      <c r="T567" s="32"/>
      <c r="U567" s="21"/>
      <c r="V567" s="7"/>
      <c r="W567" s="7"/>
      <c r="X567" s="7"/>
      <c r="Y567" s="7"/>
    </row>
    <row r="568" spans="1:25" ht="14.25" customHeight="1" x14ac:dyDescent="0.3">
      <c r="A568" s="18">
        <v>141.30000000000001</v>
      </c>
      <c r="B568" s="19"/>
      <c r="C568" s="19"/>
      <c r="D568" s="19"/>
      <c r="E568" s="19"/>
      <c r="F568" s="19"/>
      <c r="G568" s="21"/>
      <c r="H568" s="21"/>
      <c r="I568" s="21"/>
      <c r="J568" s="21"/>
      <c r="K568" s="19"/>
      <c r="L568" s="19"/>
      <c r="M568" s="22"/>
      <c r="N568" s="19"/>
      <c r="O568" s="19"/>
      <c r="P568" s="23"/>
      <c r="Q568" s="21" t="s">
        <v>46</v>
      </c>
      <c r="R568" s="19" t="s">
        <v>47</v>
      </c>
      <c r="S568" s="21"/>
      <c r="T568" s="32"/>
      <c r="U568" s="21"/>
      <c r="V568" s="7"/>
      <c r="W568" s="7"/>
      <c r="X568" s="7"/>
      <c r="Y568" s="7"/>
    </row>
    <row r="569" spans="1:25" ht="14.25" customHeight="1" x14ac:dyDescent="0.3">
      <c r="A569" s="18">
        <v>141.4</v>
      </c>
      <c r="B569" s="19"/>
      <c r="C569" s="19"/>
      <c r="D569" s="19"/>
      <c r="E569" s="19"/>
      <c r="F569" s="19"/>
      <c r="G569" s="21"/>
      <c r="H569" s="21"/>
      <c r="I569" s="21"/>
      <c r="J569" s="21"/>
      <c r="K569" s="19"/>
      <c r="L569" s="19"/>
      <c r="M569" s="22"/>
      <c r="N569" s="19"/>
      <c r="O569" s="19"/>
      <c r="P569" s="23"/>
      <c r="Q569" s="21" t="s">
        <v>46</v>
      </c>
      <c r="R569" s="19" t="s">
        <v>47</v>
      </c>
      <c r="S569" s="21"/>
      <c r="T569" s="32"/>
      <c r="U569" s="21"/>
      <c r="V569" s="7"/>
      <c r="W569" s="7"/>
      <c r="X569" s="7"/>
      <c r="Y569" s="7"/>
    </row>
    <row r="570" spans="1:25" ht="14.25" customHeight="1" x14ac:dyDescent="0.3">
      <c r="A570" s="18">
        <v>142.1</v>
      </c>
      <c r="B570" s="19"/>
      <c r="C570" s="19"/>
      <c r="D570" s="19"/>
      <c r="E570" s="19"/>
      <c r="F570" s="19"/>
      <c r="G570" s="21"/>
      <c r="H570" s="21"/>
      <c r="I570" s="21"/>
      <c r="J570" s="21"/>
      <c r="K570" s="19"/>
      <c r="L570" s="19"/>
      <c r="M570" s="22"/>
      <c r="N570" s="19"/>
      <c r="O570" s="19"/>
      <c r="P570" s="23"/>
      <c r="Q570" s="21" t="s">
        <v>46</v>
      </c>
      <c r="R570" s="19" t="s">
        <v>47</v>
      </c>
      <c r="S570" s="21"/>
      <c r="T570" s="32"/>
      <c r="U570" s="21"/>
      <c r="V570" s="7"/>
      <c r="W570" s="7"/>
      <c r="X570" s="7"/>
      <c r="Y570" s="7"/>
    </row>
    <row r="571" spans="1:25" ht="14.25" customHeight="1" x14ac:dyDescent="0.3">
      <c r="A571" s="18">
        <v>142.19999999999999</v>
      </c>
      <c r="B571" s="19"/>
      <c r="C571" s="19"/>
      <c r="D571" s="19"/>
      <c r="E571" s="19"/>
      <c r="F571" s="19"/>
      <c r="G571" s="21"/>
      <c r="H571" s="21"/>
      <c r="I571" s="21"/>
      <c r="J571" s="21"/>
      <c r="K571" s="19"/>
      <c r="L571" s="19"/>
      <c r="M571" s="22"/>
      <c r="N571" s="19"/>
      <c r="O571" s="19"/>
      <c r="P571" s="23"/>
      <c r="Q571" s="21" t="s">
        <v>46</v>
      </c>
      <c r="R571" s="19" t="s">
        <v>47</v>
      </c>
      <c r="S571" s="21"/>
      <c r="T571" s="32"/>
      <c r="U571" s="21"/>
      <c r="V571" s="7"/>
      <c r="W571" s="7"/>
      <c r="X571" s="7"/>
      <c r="Y571" s="7"/>
    </row>
    <row r="572" spans="1:25" ht="14.25" customHeight="1" x14ac:dyDescent="0.3">
      <c r="A572" s="18">
        <v>142.30000000000001</v>
      </c>
      <c r="B572" s="19"/>
      <c r="C572" s="19"/>
      <c r="D572" s="19"/>
      <c r="E572" s="19"/>
      <c r="F572" s="19"/>
      <c r="G572" s="21"/>
      <c r="H572" s="21"/>
      <c r="I572" s="21"/>
      <c r="J572" s="21"/>
      <c r="K572" s="19"/>
      <c r="L572" s="19"/>
      <c r="M572" s="22"/>
      <c r="N572" s="19"/>
      <c r="O572" s="19"/>
      <c r="P572" s="23"/>
      <c r="Q572" s="21" t="s">
        <v>46</v>
      </c>
      <c r="R572" s="19" t="s">
        <v>47</v>
      </c>
      <c r="S572" s="21"/>
      <c r="T572" s="32"/>
      <c r="U572" s="21"/>
      <c r="V572" s="7"/>
      <c r="W572" s="7"/>
      <c r="X572" s="7"/>
      <c r="Y572" s="7"/>
    </row>
    <row r="573" spans="1:25" ht="14.25" customHeight="1" x14ac:dyDescent="0.3">
      <c r="A573" s="18">
        <v>142.4</v>
      </c>
      <c r="B573" s="19"/>
      <c r="C573" s="19"/>
      <c r="D573" s="19"/>
      <c r="E573" s="19"/>
      <c r="F573" s="19"/>
      <c r="G573" s="21"/>
      <c r="H573" s="21"/>
      <c r="I573" s="21"/>
      <c r="J573" s="21"/>
      <c r="K573" s="19"/>
      <c r="L573" s="19"/>
      <c r="M573" s="22"/>
      <c r="N573" s="19"/>
      <c r="O573" s="19"/>
      <c r="P573" s="23"/>
      <c r="Q573" s="21" t="s">
        <v>46</v>
      </c>
      <c r="R573" s="19" t="s">
        <v>47</v>
      </c>
      <c r="S573" s="21"/>
      <c r="T573" s="32"/>
      <c r="U573" s="21"/>
      <c r="V573" s="7"/>
      <c r="W573" s="7"/>
      <c r="X573" s="7"/>
      <c r="Y573" s="7"/>
    </row>
    <row r="574" spans="1:25" ht="14.25" customHeight="1" x14ac:dyDescent="0.3">
      <c r="A574" s="18">
        <v>143.1</v>
      </c>
      <c r="B574" s="19"/>
      <c r="C574" s="19"/>
      <c r="D574" s="19"/>
      <c r="E574" s="19"/>
      <c r="F574" s="19"/>
      <c r="G574" s="21"/>
      <c r="H574" s="21"/>
      <c r="I574" s="21"/>
      <c r="J574" s="21"/>
      <c r="K574" s="19"/>
      <c r="L574" s="19"/>
      <c r="M574" s="22"/>
      <c r="N574" s="19"/>
      <c r="O574" s="19"/>
      <c r="P574" s="23"/>
      <c r="Q574" s="21" t="s">
        <v>46</v>
      </c>
      <c r="R574" s="19" t="s">
        <v>47</v>
      </c>
      <c r="S574" s="21"/>
      <c r="T574" s="32"/>
      <c r="U574" s="21"/>
      <c r="V574" s="7"/>
      <c r="W574" s="7"/>
      <c r="X574" s="7"/>
      <c r="Y574" s="7"/>
    </row>
    <row r="575" spans="1:25" ht="14.25" customHeight="1" x14ac:dyDescent="0.3">
      <c r="A575" s="18">
        <v>143.19999999999999</v>
      </c>
      <c r="B575" s="19"/>
      <c r="C575" s="19"/>
      <c r="D575" s="19"/>
      <c r="E575" s="19"/>
      <c r="F575" s="19"/>
      <c r="G575" s="21"/>
      <c r="H575" s="21"/>
      <c r="I575" s="21"/>
      <c r="J575" s="21"/>
      <c r="K575" s="19"/>
      <c r="L575" s="19"/>
      <c r="M575" s="22"/>
      <c r="N575" s="19"/>
      <c r="O575" s="19"/>
      <c r="P575" s="23"/>
      <c r="Q575" s="21" t="s">
        <v>46</v>
      </c>
      <c r="R575" s="19" t="s">
        <v>47</v>
      </c>
      <c r="S575" s="21"/>
      <c r="T575" s="32"/>
      <c r="U575" s="21"/>
      <c r="V575" s="7"/>
      <c r="W575" s="7"/>
      <c r="X575" s="7"/>
      <c r="Y575" s="7"/>
    </row>
    <row r="576" spans="1:25" ht="14.25" customHeight="1" x14ac:dyDescent="0.3">
      <c r="A576" s="18">
        <v>143.30000000000001</v>
      </c>
      <c r="B576" s="19"/>
      <c r="C576" s="19"/>
      <c r="D576" s="19"/>
      <c r="E576" s="19"/>
      <c r="F576" s="19"/>
      <c r="G576" s="21"/>
      <c r="H576" s="21"/>
      <c r="I576" s="21"/>
      <c r="J576" s="21"/>
      <c r="K576" s="19"/>
      <c r="L576" s="19"/>
      <c r="M576" s="22"/>
      <c r="N576" s="19"/>
      <c r="O576" s="19"/>
      <c r="P576" s="23"/>
      <c r="Q576" s="21" t="s">
        <v>46</v>
      </c>
      <c r="R576" s="19" t="s">
        <v>47</v>
      </c>
      <c r="S576" s="21"/>
      <c r="T576" s="32"/>
      <c r="U576" s="21"/>
      <c r="V576" s="7"/>
      <c r="W576" s="7"/>
      <c r="X576" s="7"/>
      <c r="Y576" s="7"/>
    </row>
    <row r="577" spans="1:25" ht="14.25" customHeight="1" x14ac:dyDescent="0.3">
      <c r="A577" s="18">
        <v>143.4</v>
      </c>
      <c r="B577" s="19"/>
      <c r="C577" s="19"/>
      <c r="D577" s="19"/>
      <c r="E577" s="19"/>
      <c r="F577" s="19"/>
      <c r="G577" s="21"/>
      <c r="H577" s="21"/>
      <c r="I577" s="21"/>
      <c r="J577" s="21"/>
      <c r="K577" s="19"/>
      <c r="L577" s="19"/>
      <c r="M577" s="22"/>
      <c r="N577" s="19"/>
      <c r="O577" s="19"/>
      <c r="P577" s="23"/>
      <c r="Q577" s="21" t="s">
        <v>46</v>
      </c>
      <c r="R577" s="19" t="s">
        <v>47</v>
      </c>
      <c r="S577" s="21"/>
      <c r="T577" s="32"/>
      <c r="U577" s="21"/>
      <c r="V577" s="7"/>
      <c r="W577" s="7"/>
      <c r="X577" s="7"/>
      <c r="Y577" s="7"/>
    </row>
    <row r="578" spans="1:25" ht="14.25" customHeight="1" x14ac:dyDescent="0.3">
      <c r="A578" s="18">
        <v>144.1</v>
      </c>
      <c r="B578" s="19"/>
      <c r="C578" s="19"/>
      <c r="D578" s="19"/>
      <c r="E578" s="19"/>
      <c r="F578" s="19"/>
      <c r="G578" s="21"/>
      <c r="H578" s="21"/>
      <c r="I578" s="21"/>
      <c r="J578" s="21"/>
      <c r="K578" s="19"/>
      <c r="L578" s="19"/>
      <c r="M578" s="22"/>
      <c r="N578" s="19"/>
      <c r="O578" s="19"/>
      <c r="P578" s="23"/>
      <c r="Q578" s="21" t="s">
        <v>46</v>
      </c>
      <c r="R578" s="19" t="s">
        <v>47</v>
      </c>
      <c r="S578" s="21"/>
      <c r="T578" s="32"/>
      <c r="U578" s="21"/>
      <c r="V578" s="7"/>
      <c r="W578" s="7"/>
      <c r="X578" s="7"/>
      <c r="Y578" s="7"/>
    </row>
    <row r="579" spans="1:25" ht="14.25" customHeight="1" x14ac:dyDescent="0.3">
      <c r="A579" s="18">
        <v>144.19999999999999</v>
      </c>
      <c r="B579" s="19"/>
      <c r="C579" s="19"/>
      <c r="D579" s="19"/>
      <c r="E579" s="19"/>
      <c r="F579" s="19"/>
      <c r="G579" s="21"/>
      <c r="H579" s="21"/>
      <c r="I579" s="21"/>
      <c r="J579" s="21"/>
      <c r="K579" s="19"/>
      <c r="L579" s="19"/>
      <c r="M579" s="22"/>
      <c r="N579" s="19"/>
      <c r="O579" s="19"/>
      <c r="P579" s="23"/>
      <c r="Q579" s="21" t="s">
        <v>46</v>
      </c>
      <c r="R579" s="19" t="s">
        <v>47</v>
      </c>
      <c r="S579" s="21"/>
      <c r="T579" s="32"/>
      <c r="U579" s="21"/>
      <c r="V579" s="7"/>
      <c r="W579" s="7"/>
      <c r="X579" s="7"/>
      <c r="Y579" s="7"/>
    </row>
    <row r="580" spans="1:25" ht="14.25" customHeight="1" x14ac:dyDescent="0.3">
      <c r="A580" s="18">
        <v>144.30000000000001</v>
      </c>
      <c r="B580" s="19"/>
      <c r="C580" s="19"/>
      <c r="D580" s="19"/>
      <c r="E580" s="19"/>
      <c r="F580" s="19"/>
      <c r="G580" s="21"/>
      <c r="H580" s="21"/>
      <c r="I580" s="21"/>
      <c r="J580" s="21"/>
      <c r="K580" s="19"/>
      <c r="L580" s="19"/>
      <c r="M580" s="22"/>
      <c r="N580" s="19"/>
      <c r="O580" s="19"/>
      <c r="P580" s="23"/>
      <c r="Q580" s="21" t="s">
        <v>46</v>
      </c>
      <c r="R580" s="19" t="s">
        <v>47</v>
      </c>
      <c r="S580" s="21"/>
      <c r="T580" s="32"/>
      <c r="U580" s="21"/>
      <c r="V580" s="7"/>
      <c r="W580" s="7"/>
      <c r="X580" s="7"/>
      <c r="Y580" s="7"/>
    </row>
    <row r="581" spans="1:25" ht="14.25" customHeight="1" x14ac:dyDescent="0.3">
      <c r="A581" s="18">
        <v>144.4</v>
      </c>
      <c r="B581" s="19"/>
      <c r="C581" s="19"/>
      <c r="D581" s="19"/>
      <c r="E581" s="19"/>
      <c r="F581" s="19"/>
      <c r="G581" s="21"/>
      <c r="H581" s="21"/>
      <c r="I581" s="21"/>
      <c r="J581" s="21"/>
      <c r="K581" s="19"/>
      <c r="L581" s="19"/>
      <c r="M581" s="22"/>
      <c r="N581" s="19"/>
      <c r="O581" s="19"/>
      <c r="P581" s="23"/>
      <c r="Q581" s="21" t="s">
        <v>46</v>
      </c>
      <c r="R581" s="19" t="s">
        <v>47</v>
      </c>
      <c r="S581" s="21"/>
      <c r="T581" s="32"/>
      <c r="U581" s="21"/>
      <c r="V581" s="7"/>
      <c r="W581" s="7"/>
      <c r="X581" s="7"/>
      <c r="Y581" s="7"/>
    </row>
    <row r="582" spans="1:25" ht="14.25" customHeight="1" x14ac:dyDescent="0.3">
      <c r="A582" s="18">
        <v>145.1</v>
      </c>
      <c r="B582" s="19"/>
      <c r="C582" s="19"/>
      <c r="D582" s="19"/>
      <c r="E582" s="19"/>
      <c r="F582" s="19"/>
      <c r="G582" s="21"/>
      <c r="H582" s="21"/>
      <c r="I582" s="21"/>
      <c r="J582" s="21"/>
      <c r="K582" s="19"/>
      <c r="L582" s="19"/>
      <c r="M582" s="22"/>
      <c r="N582" s="19"/>
      <c r="O582" s="19"/>
      <c r="P582" s="23"/>
      <c r="Q582" s="21" t="s">
        <v>46</v>
      </c>
      <c r="R582" s="19" t="s">
        <v>47</v>
      </c>
      <c r="S582" s="21"/>
      <c r="T582" s="32"/>
      <c r="U582" s="21"/>
      <c r="V582" s="7"/>
      <c r="W582" s="7"/>
      <c r="X582" s="7"/>
      <c r="Y582" s="7"/>
    </row>
    <row r="583" spans="1:25" ht="14.25" customHeight="1" x14ac:dyDescent="0.3">
      <c r="A583" s="18">
        <v>145.19999999999999</v>
      </c>
      <c r="B583" s="19"/>
      <c r="C583" s="19"/>
      <c r="D583" s="19"/>
      <c r="E583" s="19"/>
      <c r="F583" s="19"/>
      <c r="G583" s="21"/>
      <c r="H583" s="21"/>
      <c r="I583" s="21"/>
      <c r="J583" s="21"/>
      <c r="K583" s="19"/>
      <c r="L583" s="19"/>
      <c r="M583" s="22"/>
      <c r="N583" s="19"/>
      <c r="O583" s="19"/>
      <c r="P583" s="23"/>
      <c r="Q583" s="21" t="s">
        <v>46</v>
      </c>
      <c r="R583" s="19" t="s">
        <v>47</v>
      </c>
      <c r="S583" s="21"/>
      <c r="T583" s="32"/>
      <c r="U583" s="21"/>
      <c r="V583" s="7"/>
      <c r="W583" s="7"/>
      <c r="X583" s="7"/>
      <c r="Y583" s="7"/>
    </row>
    <row r="584" spans="1:25" ht="14.25" customHeight="1" x14ac:dyDescent="0.3">
      <c r="A584" s="18">
        <v>145.30000000000001</v>
      </c>
      <c r="B584" s="19"/>
      <c r="C584" s="19"/>
      <c r="D584" s="19"/>
      <c r="E584" s="19"/>
      <c r="F584" s="19"/>
      <c r="G584" s="21"/>
      <c r="H584" s="21"/>
      <c r="I584" s="21"/>
      <c r="J584" s="21"/>
      <c r="K584" s="19"/>
      <c r="L584" s="19"/>
      <c r="M584" s="22"/>
      <c r="N584" s="19"/>
      <c r="O584" s="19"/>
      <c r="P584" s="23"/>
      <c r="Q584" s="21" t="s">
        <v>46</v>
      </c>
      <c r="R584" s="19" t="s">
        <v>47</v>
      </c>
      <c r="S584" s="21"/>
      <c r="T584" s="32"/>
      <c r="U584" s="21"/>
      <c r="V584" s="7"/>
      <c r="W584" s="7"/>
      <c r="X584" s="7"/>
      <c r="Y584" s="7"/>
    </row>
    <row r="585" spans="1:25" ht="14.25" customHeight="1" x14ac:dyDescent="0.3">
      <c r="A585" s="18">
        <v>145.4</v>
      </c>
      <c r="B585" s="19"/>
      <c r="C585" s="19"/>
      <c r="D585" s="19"/>
      <c r="E585" s="19"/>
      <c r="F585" s="19"/>
      <c r="G585" s="21"/>
      <c r="H585" s="21"/>
      <c r="I585" s="21"/>
      <c r="J585" s="21"/>
      <c r="K585" s="19"/>
      <c r="L585" s="19"/>
      <c r="M585" s="22"/>
      <c r="N585" s="19"/>
      <c r="O585" s="19"/>
      <c r="P585" s="23"/>
      <c r="Q585" s="21" t="s">
        <v>46</v>
      </c>
      <c r="R585" s="19" t="s">
        <v>47</v>
      </c>
      <c r="S585" s="21"/>
      <c r="T585" s="32"/>
      <c r="U585" s="21"/>
      <c r="V585" s="7"/>
      <c r="W585" s="7"/>
      <c r="X585" s="7"/>
      <c r="Y585" s="7"/>
    </row>
    <row r="586" spans="1:25" ht="14.25" customHeight="1" x14ac:dyDescent="0.3">
      <c r="A586" s="18">
        <v>146.1</v>
      </c>
      <c r="B586" s="19"/>
      <c r="C586" s="19"/>
      <c r="D586" s="19"/>
      <c r="E586" s="19"/>
      <c r="F586" s="19"/>
      <c r="G586" s="21"/>
      <c r="H586" s="21"/>
      <c r="I586" s="21"/>
      <c r="J586" s="21"/>
      <c r="K586" s="19"/>
      <c r="L586" s="19"/>
      <c r="M586" s="22"/>
      <c r="N586" s="19"/>
      <c r="O586" s="19"/>
      <c r="P586" s="23"/>
      <c r="Q586" s="21" t="s">
        <v>46</v>
      </c>
      <c r="R586" s="19" t="s">
        <v>47</v>
      </c>
      <c r="S586" s="21"/>
      <c r="T586" s="32"/>
      <c r="U586" s="21"/>
      <c r="V586" s="7"/>
      <c r="W586" s="7"/>
      <c r="X586" s="7"/>
      <c r="Y586" s="7"/>
    </row>
    <row r="587" spans="1:25" ht="14.25" customHeight="1" x14ac:dyDescent="0.3">
      <c r="A587" s="18">
        <v>146.19999999999999</v>
      </c>
      <c r="B587" s="19"/>
      <c r="C587" s="19"/>
      <c r="D587" s="19"/>
      <c r="E587" s="19"/>
      <c r="F587" s="19"/>
      <c r="G587" s="21"/>
      <c r="H587" s="21"/>
      <c r="I587" s="21"/>
      <c r="J587" s="21"/>
      <c r="K587" s="19"/>
      <c r="L587" s="19"/>
      <c r="M587" s="22"/>
      <c r="N587" s="19"/>
      <c r="O587" s="19"/>
      <c r="P587" s="23"/>
      <c r="Q587" s="21" t="s">
        <v>46</v>
      </c>
      <c r="R587" s="19" t="s">
        <v>47</v>
      </c>
      <c r="S587" s="21"/>
      <c r="T587" s="32"/>
      <c r="U587" s="21"/>
      <c r="V587" s="7"/>
      <c r="W587" s="7"/>
      <c r="X587" s="7"/>
      <c r="Y587" s="7"/>
    </row>
    <row r="588" spans="1:25" ht="14.25" customHeight="1" x14ac:dyDescent="0.3">
      <c r="A588" s="18">
        <v>146.30000000000001</v>
      </c>
      <c r="B588" s="19"/>
      <c r="C588" s="19"/>
      <c r="D588" s="19"/>
      <c r="E588" s="19"/>
      <c r="F588" s="19"/>
      <c r="G588" s="21"/>
      <c r="H588" s="21"/>
      <c r="I588" s="21"/>
      <c r="J588" s="21"/>
      <c r="K588" s="19"/>
      <c r="L588" s="19"/>
      <c r="M588" s="22"/>
      <c r="N588" s="19"/>
      <c r="O588" s="19"/>
      <c r="P588" s="23"/>
      <c r="Q588" s="21" t="s">
        <v>46</v>
      </c>
      <c r="R588" s="19" t="s">
        <v>47</v>
      </c>
      <c r="S588" s="21"/>
      <c r="T588" s="32"/>
      <c r="U588" s="21"/>
      <c r="V588" s="7"/>
      <c r="W588" s="7"/>
      <c r="X588" s="7"/>
      <c r="Y588" s="7"/>
    </row>
    <row r="589" spans="1:25" ht="14.25" customHeight="1" x14ac:dyDescent="0.3">
      <c r="A589" s="18">
        <v>146.4</v>
      </c>
      <c r="B589" s="19"/>
      <c r="C589" s="19"/>
      <c r="D589" s="19"/>
      <c r="E589" s="19"/>
      <c r="F589" s="19"/>
      <c r="G589" s="21"/>
      <c r="H589" s="21"/>
      <c r="I589" s="21"/>
      <c r="J589" s="21"/>
      <c r="K589" s="19"/>
      <c r="L589" s="19"/>
      <c r="M589" s="22"/>
      <c r="N589" s="19"/>
      <c r="O589" s="19"/>
      <c r="P589" s="23"/>
      <c r="Q589" s="21" t="s">
        <v>46</v>
      </c>
      <c r="R589" s="19" t="s">
        <v>47</v>
      </c>
      <c r="S589" s="21"/>
      <c r="T589" s="32"/>
      <c r="U589" s="21"/>
      <c r="V589" s="7"/>
      <c r="W589" s="7"/>
      <c r="X589" s="7"/>
      <c r="Y589" s="7"/>
    </row>
    <row r="590" spans="1:25" ht="14.25" customHeight="1" x14ac:dyDescent="0.3">
      <c r="A590" s="18">
        <v>147.1</v>
      </c>
      <c r="B590" s="19"/>
      <c r="C590" s="19"/>
      <c r="D590" s="19"/>
      <c r="E590" s="19"/>
      <c r="F590" s="19"/>
      <c r="G590" s="21"/>
      <c r="H590" s="21"/>
      <c r="I590" s="21"/>
      <c r="J590" s="21"/>
      <c r="K590" s="19"/>
      <c r="L590" s="19"/>
      <c r="M590" s="22"/>
      <c r="N590" s="19"/>
      <c r="O590" s="19"/>
      <c r="P590" s="23"/>
      <c r="Q590" s="21" t="s">
        <v>46</v>
      </c>
      <c r="R590" s="19" t="s">
        <v>47</v>
      </c>
      <c r="S590" s="21"/>
      <c r="T590" s="32"/>
      <c r="U590" s="21"/>
      <c r="V590" s="7"/>
      <c r="W590" s="7"/>
      <c r="X590" s="7"/>
      <c r="Y590" s="7"/>
    </row>
    <row r="591" spans="1:25" ht="14.25" customHeight="1" x14ac:dyDescent="0.3">
      <c r="A591" s="18">
        <v>147.19999999999999</v>
      </c>
      <c r="B591" s="19"/>
      <c r="C591" s="19"/>
      <c r="D591" s="19"/>
      <c r="E591" s="19"/>
      <c r="F591" s="19"/>
      <c r="G591" s="21"/>
      <c r="H591" s="21"/>
      <c r="I591" s="21"/>
      <c r="J591" s="21"/>
      <c r="K591" s="19"/>
      <c r="L591" s="19"/>
      <c r="M591" s="22"/>
      <c r="N591" s="19"/>
      <c r="O591" s="19"/>
      <c r="P591" s="23"/>
      <c r="Q591" s="21" t="s">
        <v>46</v>
      </c>
      <c r="R591" s="19" t="s">
        <v>47</v>
      </c>
      <c r="S591" s="21"/>
      <c r="T591" s="32"/>
      <c r="U591" s="21"/>
      <c r="V591" s="7"/>
      <c r="W591" s="7"/>
      <c r="X591" s="7"/>
      <c r="Y591" s="7"/>
    </row>
    <row r="592" spans="1:25" ht="14.25" customHeight="1" x14ac:dyDescent="0.3">
      <c r="A592" s="18">
        <v>147.30000000000001</v>
      </c>
      <c r="B592" s="19"/>
      <c r="C592" s="19"/>
      <c r="D592" s="19"/>
      <c r="E592" s="19"/>
      <c r="F592" s="19"/>
      <c r="G592" s="21"/>
      <c r="H592" s="21"/>
      <c r="I592" s="21"/>
      <c r="J592" s="21"/>
      <c r="K592" s="19"/>
      <c r="L592" s="19"/>
      <c r="M592" s="22"/>
      <c r="N592" s="19"/>
      <c r="O592" s="19"/>
      <c r="P592" s="23"/>
      <c r="Q592" s="21" t="s">
        <v>46</v>
      </c>
      <c r="R592" s="19" t="s">
        <v>47</v>
      </c>
      <c r="S592" s="21"/>
      <c r="T592" s="32"/>
      <c r="U592" s="21"/>
      <c r="V592" s="7"/>
      <c r="W592" s="7"/>
      <c r="X592" s="7"/>
      <c r="Y592" s="7"/>
    </row>
    <row r="593" spans="1:25" ht="14.25" customHeight="1" x14ac:dyDescent="0.3">
      <c r="A593" s="18">
        <v>147.4</v>
      </c>
      <c r="B593" s="19"/>
      <c r="C593" s="19"/>
      <c r="D593" s="19"/>
      <c r="E593" s="19"/>
      <c r="F593" s="19"/>
      <c r="G593" s="21"/>
      <c r="H593" s="21"/>
      <c r="I593" s="21"/>
      <c r="J593" s="21"/>
      <c r="K593" s="19"/>
      <c r="L593" s="19"/>
      <c r="M593" s="22"/>
      <c r="N593" s="19"/>
      <c r="O593" s="19"/>
      <c r="P593" s="23"/>
      <c r="Q593" s="21" t="s">
        <v>46</v>
      </c>
      <c r="R593" s="19" t="s">
        <v>47</v>
      </c>
      <c r="S593" s="21"/>
      <c r="T593" s="32"/>
      <c r="U593" s="21"/>
      <c r="V593" s="7"/>
      <c r="W593" s="7"/>
      <c r="X593" s="7"/>
      <c r="Y593" s="7"/>
    </row>
    <row r="594" spans="1:25" ht="14.25" customHeight="1" x14ac:dyDescent="0.3">
      <c r="A594" s="18">
        <v>148.1</v>
      </c>
      <c r="B594" s="19"/>
      <c r="C594" s="19"/>
      <c r="D594" s="19"/>
      <c r="E594" s="19"/>
      <c r="F594" s="19"/>
      <c r="G594" s="21"/>
      <c r="H594" s="21"/>
      <c r="I594" s="21"/>
      <c r="J594" s="21"/>
      <c r="K594" s="19"/>
      <c r="L594" s="19"/>
      <c r="M594" s="22"/>
      <c r="N594" s="19"/>
      <c r="O594" s="19"/>
      <c r="P594" s="23"/>
      <c r="Q594" s="21" t="s">
        <v>46</v>
      </c>
      <c r="R594" s="19" t="s">
        <v>47</v>
      </c>
      <c r="S594" s="21"/>
      <c r="T594" s="32"/>
      <c r="U594" s="21"/>
      <c r="V594" s="7"/>
      <c r="W594" s="7"/>
      <c r="X594" s="7"/>
      <c r="Y594" s="7"/>
    </row>
    <row r="595" spans="1:25" ht="14.25" customHeight="1" x14ac:dyDescent="0.3">
      <c r="A595" s="18">
        <v>148.19999999999999</v>
      </c>
      <c r="B595" s="19"/>
      <c r="C595" s="19"/>
      <c r="D595" s="19"/>
      <c r="E595" s="19"/>
      <c r="F595" s="19"/>
      <c r="G595" s="21"/>
      <c r="H595" s="21"/>
      <c r="I595" s="21"/>
      <c r="J595" s="21"/>
      <c r="K595" s="19"/>
      <c r="L595" s="19"/>
      <c r="M595" s="22"/>
      <c r="N595" s="19"/>
      <c r="O595" s="19"/>
      <c r="P595" s="23"/>
      <c r="Q595" s="21" t="s">
        <v>46</v>
      </c>
      <c r="R595" s="19" t="s">
        <v>47</v>
      </c>
      <c r="S595" s="21"/>
      <c r="T595" s="32"/>
      <c r="U595" s="21"/>
      <c r="V595" s="7"/>
      <c r="W595" s="7"/>
      <c r="X595" s="7"/>
      <c r="Y595" s="7"/>
    </row>
    <row r="596" spans="1:25" ht="14.25" customHeight="1" x14ac:dyDescent="0.3">
      <c r="A596" s="18">
        <v>148.30000000000001</v>
      </c>
      <c r="B596" s="19"/>
      <c r="C596" s="19"/>
      <c r="D596" s="19"/>
      <c r="E596" s="19"/>
      <c r="F596" s="19"/>
      <c r="G596" s="21"/>
      <c r="H596" s="21"/>
      <c r="I596" s="21"/>
      <c r="J596" s="21"/>
      <c r="K596" s="19"/>
      <c r="L596" s="19"/>
      <c r="M596" s="22"/>
      <c r="N596" s="19"/>
      <c r="O596" s="19"/>
      <c r="P596" s="23"/>
      <c r="Q596" s="21" t="s">
        <v>46</v>
      </c>
      <c r="R596" s="19" t="s">
        <v>47</v>
      </c>
      <c r="S596" s="21"/>
      <c r="T596" s="32"/>
      <c r="U596" s="21"/>
      <c r="V596" s="7"/>
      <c r="W596" s="7"/>
      <c r="X596" s="7"/>
      <c r="Y596" s="7"/>
    </row>
    <row r="597" spans="1:25" ht="14.25" customHeight="1" x14ac:dyDescent="0.3">
      <c r="A597" s="18">
        <v>148.4</v>
      </c>
      <c r="B597" s="19"/>
      <c r="C597" s="19"/>
      <c r="D597" s="19"/>
      <c r="E597" s="19"/>
      <c r="F597" s="19"/>
      <c r="G597" s="21"/>
      <c r="H597" s="21"/>
      <c r="I597" s="21"/>
      <c r="J597" s="21"/>
      <c r="K597" s="19"/>
      <c r="L597" s="19"/>
      <c r="M597" s="22"/>
      <c r="N597" s="19"/>
      <c r="O597" s="19"/>
      <c r="P597" s="23"/>
      <c r="Q597" s="21" t="s">
        <v>46</v>
      </c>
      <c r="R597" s="19" t="s">
        <v>47</v>
      </c>
      <c r="S597" s="21"/>
      <c r="T597" s="32"/>
      <c r="U597" s="21"/>
      <c r="V597" s="7"/>
      <c r="W597" s="7"/>
      <c r="X597" s="7"/>
      <c r="Y597" s="7"/>
    </row>
    <row r="598" spans="1:25" ht="14.25" customHeight="1" x14ac:dyDescent="0.3">
      <c r="A598" s="18">
        <v>149.1</v>
      </c>
      <c r="B598" s="19"/>
      <c r="C598" s="19"/>
      <c r="D598" s="19"/>
      <c r="E598" s="19"/>
      <c r="F598" s="19"/>
      <c r="G598" s="21"/>
      <c r="H598" s="21"/>
      <c r="I598" s="21"/>
      <c r="J598" s="21"/>
      <c r="K598" s="19"/>
      <c r="L598" s="19"/>
      <c r="M598" s="22"/>
      <c r="N598" s="19"/>
      <c r="O598" s="19"/>
      <c r="P598" s="23"/>
      <c r="Q598" s="21" t="s">
        <v>46</v>
      </c>
      <c r="R598" s="19" t="s">
        <v>47</v>
      </c>
      <c r="S598" s="21"/>
      <c r="T598" s="32"/>
      <c r="U598" s="21"/>
      <c r="V598" s="7"/>
      <c r="W598" s="7"/>
      <c r="X598" s="7"/>
      <c r="Y598" s="7"/>
    </row>
    <row r="599" spans="1:25" ht="14.25" customHeight="1" x14ac:dyDescent="0.3">
      <c r="A599" s="18">
        <v>149.19999999999999</v>
      </c>
      <c r="B599" s="19"/>
      <c r="C599" s="19"/>
      <c r="D599" s="19"/>
      <c r="E599" s="19"/>
      <c r="F599" s="19"/>
      <c r="G599" s="21"/>
      <c r="H599" s="21"/>
      <c r="I599" s="21"/>
      <c r="J599" s="21"/>
      <c r="K599" s="19"/>
      <c r="L599" s="19"/>
      <c r="M599" s="22"/>
      <c r="N599" s="19"/>
      <c r="O599" s="19"/>
      <c r="P599" s="23"/>
      <c r="Q599" s="21" t="s">
        <v>46</v>
      </c>
      <c r="R599" s="19" t="s">
        <v>47</v>
      </c>
      <c r="S599" s="21"/>
      <c r="T599" s="32"/>
      <c r="U599" s="21"/>
      <c r="V599" s="7"/>
      <c r="W599" s="7"/>
      <c r="X599" s="7"/>
      <c r="Y599" s="7"/>
    </row>
    <row r="600" spans="1:25" ht="14.25" customHeight="1" x14ac:dyDescent="0.3">
      <c r="A600" s="18">
        <v>149.30000000000001</v>
      </c>
      <c r="B600" s="19"/>
      <c r="C600" s="19"/>
      <c r="D600" s="19"/>
      <c r="E600" s="19"/>
      <c r="F600" s="19"/>
      <c r="G600" s="21"/>
      <c r="H600" s="21"/>
      <c r="I600" s="21"/>
      <c r="J600" s="21"/>
      <c r="K600" s="19"/>
      <c r="L600" s="19"/>
      <c r="M600" s="22"/>
      <c r="N600" s="19"/>
      <c r="O600" s="19"/>
      <c r="P600" s="23"/>
      <c r="Q600" s="21" t="s">
        <v>46</v>
      </c>
      <c r="R600" s="19" t="s">
        <v>47</v>
      </c>
      <c r="S600" s="21"/>
      <c r="T600" s="32"/>
      <c r="U600" s="21"/>
      <c r="V600" s="7"/>
      <c r="W600" s="7"/>
      <c r="X600" s="7"/>
      <c r="Y600" s="7"/>
    </row>
    <row r="601" spans="1:25" ht="14.25" customHeight="1" x14ac:dyDescent="0.3">
      <c r="A601" s="18">
        <v>149.4</v>
      </c>
      <c r="B601" s="19"/>
      <c r="C601" s="19"/>
      <c r="D601" s="19"/>
      <c r="E601" s="19"/>
      <c r="F601" s="19"/>
      <c r="G601" s="21"/>
      <c r="H601" s="21"/>
      <c r="I601" s="21"/>
      <c r="J601" s="21"/>
      <c r="K601" s="19"/>
      <c r="L601" s="19"/>
      <c r="M601" s="22"/>
      <c r="N601" s="19"/>
      <c r="O601" s="19"/>
      <c r="P601" s="23"/>
      <c r="Q601" s="21" t="s">
        <v>46</v>
      </c>
      <c r="R601" s="19" t="s">
        <v>47</v>
      </c>
      <c r="S601" s="21"/>
      <c r="T601" s="32"/>
      <c r="U601" s="21"/>
      <c r="V601" s="7"/>
      <c r="W601" s="7"/>
      <c r="X601" s="7"/>
      <c r="Y601" s="7"/>
    </row>
    <row r="602" spans="1:25" ht="14.25" customHeight="1" x14ac:dyDescent="0.3">
      <c r="A602" s="18">
        <v>150.1</v>
      </c>
      <c r="B602" s="19"/>
      <c r="C602" s="19"/>
      <c r="D602" s="19"/>
      <c r="E602" s="19"/>
      <c r="F602" s="19"/>
      <c r="G602" s="21"/>
      <c r="H602" s="21"/>
      <c r="I602" s="21"/>
      <c r="J602" s="21"/>
      <c r="K602" s="19"/>
      <c r="L602" s="19"/>
      <c r="M602" s="22"/>
      <c r="N602" s="19"/>
      <c r="O602" s="19"/>
      <c r="P602" s="23"/>
      <c r="Q602" s="21" t="s">
        <v>46</v>
      </c>
      <c r="R602" s="19" t="s">
        <v>47</v>
      </c>
      <c r="S602" s="21"/>
      <c r="T602" s="32"/>
      <c r="U602" s="21"/>
      <c r="V602" s="7"/>
      <c r="W602" s="7"/>
      <c r="X602" s="7"/>
      <c r="Y602" s="7"/>
    </row>
    <row r="603" spans="1:25" ht="14.25" customHeight="1" x14ac:dyDescent="0.3">
      <c r="A603" s="18">
        <v>150.19999999999999</v>
      </c>
      <c r="B603" s="19"/>
      <c r="C603" s="19"/>
      <c r="D603" s="19"/>
      <c r="E603" s="19"/>
      <c r="F603" s="19"/>
      <c r="G603" s="21"/>
      <c r="H603" s="21"/>
      <c r="I603" s="21"/>
      <c r="J603" s="21"/>
      <c r="K603" s="19"/>
      <c r="L603" s="19"/>
      <c r="M603" s="22"/>
      <c r="N603" s="19"/>
      <c r="O603" s="19"/>
      <c r="P603" s="23"/>
      <c r="Q603" s="21" t="s">
        <v>46</v>
      </c>
      <c r="R603" s="19" t="s">
        <v>47</v>
      </c>
      <c r="S603" s="21"/>
      <c r="T603" s="32"/>
      <c r="U603" s="21"/>
      <c r="V603" s="7"/>
      <c r="W603" s="7"/>
      <c r="X603" s="7"/>
      <c r="Y603" s="7"/>
    </row>
    <row r="604" spans="1:25" ht="14.25" customHeight="1" x14ac:dyDescent="0.3">
      <c r="A604" s="18">
        <v>150.30000000000001</v>
      </c>
      <c r="B604" s="19"/>
      <c r="C604" s="19"/>
      <c r="D604" s="19"/>
      <c r="E604" s="19"/>
      <c r="F604" s="19"/>
      <c r="G604" s="21"/>
      <c r="H604" s="21"/>
      <c r="I604" s="21"/>
      <c r="J604" s="21"/>
      <c r="K604" s="19"/>
      <c r="L604" s="19"/>
      <c r="M604" s="22"/>
      <c r="N604" s="19"/>
      <c r="O604" s="19"/>
      <c r="P604" s="23"/>
      <c r="Q604" s="21" t="s">
        <v>46</v>
      </c>
      <c r="R604" s="19" t="s">
        <v>47</v>
      </c>
      <c r="S604" s="21"/>
      <c r="T604" s="32"/>
      <c r="U604" s="21"/>
      <c r="V604" s="7"/>
      <c r="W604" s="7"/>
      <c r="X604" s="7"/>
      <c r="Y604" s="7"/>
    </row>
    <row r="605" spans="1:25" ht="14.25" customHeight="1" x14ac:dyDescent="0.3">
      <c r="A605" s="18">
        <v>150.4</v>
      </c>
      <c r="B605" s="19"/>
      <c r="C605" s="19"/>
      <c r="D605" s="19"/>
      <c r="E605" s="19"/>
      <c r="F605" s="19"/>
      <c r="G605" s="21"/>
      <c r="H605" s="21"/>
      <c r="I605" s="21"/>
      <c r="J605" s="21"/>
      <c r="K605" s="19"/>
      <c r="L605" s="19"/>
      <c r="M605" s="22"/>
      <c r="N605" s="19"/>
      <c r="O605" s="19"/>
      <c r="P605" s="23"/>
      <c r="Q605" s="21" t="s">
        <v>46</v>
      </c>
      <c r="R605" s="19" t="s">
        <v>47</v>
      </c>
      <c r="S605" s="21"/>
      <c r="T605" s="32"/>
      <c r="U605" s="21"/>
      <c r="V605" s="7"/>
      <c r="W605" s="7"/>
      <c r="X605" s="7"/>
      <c r="Y605" s="7"/>
    </row>
    <row r="606" spans="1:25" ht="14.25" customHeight="1" x14ac:dyDescent="0.3">
      <c r="A606" s="18">
        <v>151.1</v>
      </c>
      <c r="B606" s="19"/>
      <c r="C606" s="19"/>
      <c r="D606" s="19"/>
      <c r="E606" s="19"/>
      <c r="F606" s="19"/>
      <c r="G606" s="21"/>
      <c r="H606" s="21"/>
      <c r="I606" s="21"/>
      <c r="J606" s="21"/>
      <c r="K606" s="19"/>
      <c r="L606" s="19"/>
      <c r="M606" s="22"/>
      <c r="N606" s="19"/>
      <c r="O606" s="19"/>
      <c r="P606" s="23"/>
      <c r="Q606" s="21" t="s">
        <v>46</v>
      </c>
      <c r="R606" s="19" t="s">
        <v>47</v>
      </c>
      <c r="S606" s="21"/>
      <c r="T606" s="32"/>
      <c r="U606" s="21"/>
      <c r="V606" s="7"/>
      <c r="W606" s="7"/>
      <c r="X606" s="7"/>
      <c r="Y606" s="7"/>
    </row>
    <row r="607" spans="1:25" ht="14.25" customHeight="1" x14ac:dyDescent="0.3">
      <c r="A607" s="18">
        <v>151.19999999999999</v>
      </c>
      <c r="B607" s="19"/>
      <c r="C607" s="19"/>
      <c r="D607" s="19"/>
      <c r="E607" s="19"/>
      <c r="F607" s="19"/>
      <c r="G607" s="21"/>
      <c r="H607" s="21"/>
      <c r="I607" s="21"/>
      <c r="J607" s="21"/>
      <c r="K607" s="19"/>
      <c r="L607" s="19"/>
      <c r="M607" s="22"/>
      <c r="N607" s="19"/>
      <c r="O607" s="19"/>
      <c r="P607" s="23"/>
      <c r="Q607" s="21" t="s">
        <v>46</v>
      </c>
      <c r="R607" s="19" t="s">
        <v>47</v>
      </c>
      <c r="S607" s="21"/>
      <c r="T607" s="32"/>
      <c r="U607" s="21"/>
      <c r="V607" s="7"/>
      <c r="W607" s="7"/>
      <c r="X607" s="7"/>
      <c r="Y607" s="7"/>
    </row>
    <row r="608" spans="1:25" ht="14.25" customHeight="1" x14ac:dyDescent="0.3">
      <c r="A608" s="18">
        <v>151.30000000000001</v>
      </c>
      <c r="B608" s="19"/>
      <c r="C608" s="19"/>
      <c r="D608" s="19"/>
      <c r="E608" s="19"/>
      <c r="F608" s="19"/>
      <c r="G608" s="21"/>
      <c r="H608" s="21"/>
      <c r="I608" s="21"/>
      <c r="J608" s="21"/>
      <c r="K608" s="19"/>
      <c r="L608" s="19"/>
      <c r="M608" s="22"/>
      <c r="N608" s="19"/>
      <c r="O608" s="19"/>
      <c r="P608" s="23"/>
      <c r="Q608" s="21" t="s">
        <v>46</v>
      </c>
      <c r="R608" s="19" t="s">
        <v>47</v>
      </c>
      <c r="S608" s="21"/>
      <c r="T608" s="32"/>
      <c r="U608" s="21"/>
      <c r="V608" s="7"/>
      <c r="W608" s="7"/>
      <c r="X608" s="7"/>
      <c r="Y608" s="7"/>
    </row>
    <row r="609" spans="1:25" ht="14.25" customHeight="1" x14ac:dyDescent="0.3">
      <c r="A609" s="18">
        <v>151.4</v>
      </c>
      <c r="B609" s="19"/>
      <c r="C609" s="19"/>
      <c r="D609" s="19"/>
      <c r="E609" s="19"/>
      <c r="F609" s="19"/>
      <c r="G609" s="21"/>
      <c r="H609" s="21"/>
      <c r="I609" s="21"/>
      <c r="J609" s="21"/>
      <c r="K609" s="19"/>
      <c r="L609" s="19"/>
      <c r="M609" s="22"/>
      <c r="N609" s="19"/>
      <c r="O609" s="19"/>
      <c r="P609" s="23"/>
      <c r="Q609" s="21" t="s">
        <v>46</v>
      </c>
      <c r="R609" s="19" t="s">
        <v>47</v>
      </c>
      <c r="S609" s="21"/>
      <c r="T609" s="32"/>
      <c r="U609" s="21"/>
      <c r="V609" s="7"/>
      <c r="W609" s="7"/>
      <c r="X609" s="7"/>
      <c r="Y609" s="7"/>
    </row>
    <row r="610" spans="1:25" ht="14.25" customHeight="1" x14ac:dyDescent="0.3">
      <c r="A610" s="18">
        <v>152.1</v>
      </c>
      <c r="B610" s="19"/>
      <c r="C610" s="19"/>
      <c r="D610" s="19"/>
      <c r="E610" s="19"/>
      <c r="F610" s="19"/>
      <c r="G610" s="21"/>
      <c r="H610" s="21"/>
      <c r="I610" s="21"/>
      <c r="J610" s="21"/>
      <c r="K610" s="19"/>
      <c r="L610" s="19"/>
      <c r="M610" s="22"/>
      <c r="N610" s="19"/>
      <c r="O610" s="19"/>
      <c r="P610" s="23"/>
      <c r="Q610" s="21" t="s">
        <v>46</v>
      </c>
      <c r="R610" s="19" t="s">
        <v>47</v>
      </c>
      <c r="S610" s="21"/>
      <c r="T610" s="32"/>
      <c r="U610" s="21"/>
      <c r="V610" s="7"/>
      <c r="W610" s="7"/>
      <c r="X610" s="7"/>
      <c r="Y610" s="7"/>
    </row>
    <row r="611" spans="1:25" ht="14.25" customHeight="1" x14ac:dyDescent="0.3">
      <c r="A611" s="18">
        <v>152.19999999999999</v>
      </c>
      <c r="B611" s="19"/>
      <c r="C611" s="19"/>
      <c r="D611" s="19"/>
      <c r="E611" s="19"/>
      <c r="F611" s="19"/>
      <c r="G611" s="21"/>
      <c r="H611" s="21"/>
      <c r="I611" s="21"/>
      <c r="J611" s="21"/>
      <c r="K611" s="19"/>
      <c r="L611" s="19"/>
      <c r="M611" s="22"/>
      <c r="N611" s="19"/>
      <c r="O611" s="19"/>
      <c r="P611" s="23"/>
      <c r="Q611" s="21" t="s">
        <v>46</v>
      </c>
      <c r="R611" s="19" t="s">
        <v>47</v>
      </c>
      <c r="S611" s="21"/>
      <c r="T611" s="32"/>
      <c r="U611" s="21"/>
      <c r="V611" s="7"/>
      <c r="W611" s="7"/>
      <c r="X611" s="7"/>
      <c r="Y611" s="7"/>
    </row>
    <row r="612" spans="1:25" ht="14.25" customHeight="1" x14ac:dyDescent="0.3">
      <c r="A612" s="18">
        <v>152.30000000000001</v>
      </c>
      <c r="B612" s="19"/>
      <c r="C612" s="19"/>
      <c r="D612" s="19"/>
      <c r="E612" s="19"/>
      <c r="F612" s="19"/>
      <c r="G612" s="21"/>
      <c r="H612" s="21"/>
      <c r="I612" s="21"/>
      <c r="J612" s="21"/>
      <c r="K612" s="19"/>
      <c r="L612" s="19"/>
      <c r="M612" s="22"/>
      <c r="N612" s="19"/>
      <c r="O612" s="19"/>
      <c r="P612" s="23"/>
      <c r="Q612" s="21" t="s">
        <v>46</v>
      </c>
      <c r="R612" s="19" t="s">
        <v>47</v>
      </c>
      <c r="S612" s="21"/>
      <c r="T612" s="32"/>
      <c r="U612" s="21"/>
      <c r="V612" s="7"/>
      <c r="W612" s="7"/>
      <c r="X612" s="7"/>
      <c r="Y612" s="7"/>
    </row>
    <row r="613" spans="1:25" ht="14.25" customHeight="1" x14ac:dyDescent="0.3">
      <c r="A613" s="18">
        <v>152.4</v>
      </c>
      <c r="B613" s="19"/>
      <c r="C613" s="19"/>
      <c r="D613" s="19"/>
      <c r="E613" s="19"/>
      <c r="F613" s="19"/>
      <c r="G613" s="21"/>
      <c r="H613" s="21"/>
      <c r="I613" s="21"/>
      <c r="J613" s="21"/>
      <c r="K613" s="19"/>
      <c r="L613" s="19"/>
      <c r="M613" s="22"/>
      <c r="N613" s="19"/>
      <c r="O613" s="19"/>
      <c r="P613" s="23"/>
      <c r="Q613" s="21" t="s">
        <v>46</v>
      </c>
      <c r="R613" s="19" t="s">
        <v>47</v>
      </c>
      <c r="S613" s="21"/>
      <c r="T613" s="32"/>
      <c r="U613" s="21"/>
      <c r="V613" s="7"/>
      <c r="W613" s="7"/>
      <c r="X613" s="7"/>
      <c r="Y613" s="7"/>
    </row>
    <row r="614" spans="1:25" ht="14.25" customHeight="1" x14ac:dyDescent="0.3">
      <c r="A614" s="18">
        <v>153.1</v>
      </c>
      <c r="B614" s="19"/>
      <c r="C614" s="19"/>
      <c r="D614" s="19"/>
      <c r="E614" s="19"/>
      <c r="F614" s="19"/>
      <c r="G614" s="21"/>
      <c r="H614" s="21"/>
      <c r="I614" s="21"/>
      <c r="J614" s="21"/>
      <c r="K614" s="19"/>
      <c r="L614" s="19"/>
      <c r="M614" s="22"/>
      <c r="N614" s="19"/>
      <c r="O614" s="19"/>
      <c r="P614" s="23"/>
      <c r="Q614" s="21" t="s">
        <v>46</v>
      </c>
      <c r="R614" s="19" t="s">
        <v>47</v>
      </c>
      <c r="S614" s="21"/>
      <c r="T614" s="32"/>
      <c r="U614" s="21"/>
      <c r="V614" s="7"/>
      <c r="W614" s="7"/>
      <c r="X614" s="7"/>
      <c r="Y614" s="7"/>
    </row>
    <row r="615" spans="1:25" ht="14.25" customHeight="1" x14ac:dyDescent="0.3">
      <c r="A615" s="18">
        <v>153.19999999999999</v>
      </c>
      <c r="B615" s="19"/>
      <c r="C615" s="19"/>
      <c r="D615" s="19"/>
      <c r="E615" s="19"/>
      <c r="F615" s="19"/>
      <c r="G615" s="21"/>
      <c r="H615" s="21"/>
      <c r="I615" s="21"/>
      <c r="J615" s="21"/>
      <c r="K615" s="19"/>
      <c r="L615" s="19"/>
      <c r="M615" s="22"/>
      <c r="N615" s="19"/>
      <c r="O615" s="19"/>
      <c r="P615" s="23"/>
      <c r="Q615" s="21" t="s">
        <v>46</v>
      </c>
      <c r="R615" s="19" t="s">
        <v>47</v>
      </c>
      <c r="S615" s="21"/>
      <c r="T615" s="32"/>
      <c r="U615" s="21"/>
      <c r="V615" s="7"/>
      <c r="W615" s="7"/>
      <c r="X615" s="7"/>
      <c r="Y615" s="7"/>
    </row>
    <row r="616" spans="1:25" ht="14.25" customHeight="1" x14ac:dyDescent="0.3">
      <c r="A616" s="18">
        <v>153.30000000000001</v>
      </c>
      <c r="B616" s="19"/>
      <c r="C616" s="19"/>
      <c r="D616" s="19"/>
      <c r="E616" s="19"/>
      <c r="F616" s="19"/>
      <c r="G616" s="21"/>
      <c r="H616" s="21"/>
      <c r="I616" s="21"/>
      <c r="J616" s="21"/>
      <c r="K616" s="19"/>
      <c r="L616" s="19"/>
      <c r="M616" s="22"/>
      <c r="N616" s="19"/>
      <c r="O616" s="19"/>
      <c r="P616" s="23"/>
      <c r="Q616" s="21" t="s">
        <v>46</v>
      </c>
      <c r="R616" s="19" t="s">
        <v>47</v>
      </c>
      <c r="S616" s="21"/>
      <c r="T616" s="32"/>
      <c r="U616" s="21"/>
      <c r="V616" s="7"/>
      <c r="W616" s="7"/>
      <c r="X616" s="7"/>
      <c r="Y616" s="7"/>
    </row>
    <row r="617" spans="1:25" ht="14.25" customHeight="1" x14ac:dyDescent="0.3">
      <c r="A617" s="18">
        <v>153.4</v>
      </c>
      <c r="B617" s="19"/>
      <c r="C617" s="19"/>
      <c r="D617" s="19"/>
      <c r="E617" s="19"/>
      <c r="F617" s="19"/>
      <c r="G617" s="21"/>
      <c r="H617" s="21"/>
      <c r="I617" s="21"/>
      <c r="J617" s="21"/>
      <c r="K617" s="19"/>
      <c r="L617" s="19"/>
      <c r="M617" s="22"/>
      <c r="N617" s="19"/>
      <c r="O617" s="19"/>
      <c r="P617" s="23"/>
      <c r="Q617" s="21" t="s">
        <v>46</v>
      </c>
      <c r="R617" s="19" t="s">
        <v>47</v>
      </c>
      <c r="S617" s="21"/>
      <c r="T617" s="32"/>
      <c r="U617" s="21"/>
      <c r="V617" s="7"/>
      <c r="W617" s="7"/>
      <c r="X617" s="7"/>
      <c r="Y617" s="7"/>
    </row>
    <row r="618" spans="1:25" ht="14.25" customHeight="1" x14ac:dyDescent="0.3">
      <c r="A618" s="18">
        <v>154.1</v>
      </c>
      <c r="B618" s="19"/>
      <c r="C618" s="19"/>
      <c r="D618" s="19"/>
      <c r="E618" s="19"/>
      <c r="F618" s="19"/>
      <c r="G618" s="21"/>
      <c r="H618" s="21"/>
      <c r="I618" s="21"/>
      <c r="J618" s="21"/>
      <c r="K618" s="19"/>
      <c r="L618" s="19"/>
      <c r="M618" s="22"/>
      <c r="N618" s="19"/>
      <c r="O618" s="19"/>
      <c r="P618" s="23"/>
      <c r="Q618" s="21" t="s">
        <v>46</v>
      </c>
      <c r="R618" s="19" t="s">
        <v>47</v>
      </c>
      <c r="S618" s="21"/>
      <c r="T618" s="32"/>
      <c r="U618" s="21"/>
      <c r="V618" s="7"/>
      <c r="W618" s="7"/>
      <c r="X618" s="7"/>
      <c r="Y618" s="7"/>
    </row>
    <row r="619" spans="1:25" ht="14.25" customHeight="1" x14ac:dyDescent="0.3">
      <c r="A619" s="18">
        <v>154.19999999999999</v>
      </c>
      <c r="B619" s="19"/>
      <c r="C619" s="19"/>
      <c r="D619" s="19"/>
      <c r="E619" s="19"/>
      <c r="F619" s="19"/>
      <c r="G619" s="21"/>
      <c r="H619" s="21"/>
      <c r="I619" s="21"/>
      <c r="J619" s="21"/>
      <c r="K619" s="19"/>
      <c r="L619" s="19"/>
      <c r="M619" s="22"/>
      <c r="N619" s="19"/>
      <c r="O619" s="19"/>
      <c r="P619" s="23"/>
      <c r="Q619" s="21" t="s">
        <v>46</v>
      </c>
      <c r="R619" s="19" t="s">
        <v>47</v>
      </c>
      <c r="S619" s="21"/>
      <c r="T619" s="32"/>
      <c r="U619" s="21"/>
      <c r="V619" s="7"/>
      <c r="W619" s="7"/>
      <c r="X619" s="7"/>
      <c r="Y619" s="7"/>
    </row>
    <row r="620" spans="1:25" ht="14.25" customHeight="1" x14ac:dyDescent="0.3">
      <c r="A620" s="18">
        <v>154.30000000000001</v>
      </c>
      <c r="B620" s="19"/>
      <c r="C620" s="19"/>
      <c r="D620" s="19"/>
      <c r="E620" s="19"/>
      <c r="F620" s="19"/>
      <c r="G620" s="21"/>
      <c r="H620" s="21"/>
      <c r="I620" s="21"/>
      <c r="J620" s="21"/>
      <c r="K620" s="19"/>
      <c r="L620" s="19"/>
      <c r="M620" s="22"/>
      <c r="N620" s="19"/>
      <c r="O620" s="19"/>
      <c r="P620" s="23"/>
      <c r="Q620" s="21" t="s">
        <v>46</v>
      </c>
      <c r="R620" s="19" t="s">
        <v>47</v>
      </c>
      <c r="S620" s="21"/>
      <c r="T620" s="32"/>
      <c r="U620" s="21"/>
      <c r="V620" s="7"/>
      <c r="W620" s="7"/>
      <c r="X620" s="7"/>
      <c r="Y620" s="7"/>
    </row>
    <row r="621" spans="1:25" ht="14.25" customHeight="1" x14ac:dyDescent="0.3">
      <c r="A621" s="18">
        <v>154.4</v>
      </c>
      <c r="B621" s="19"/>
      <c r="C621" s="19"/>
      <c r="D621" s="19"/>
      <c r="E621" s="19"/>
      <c r="F621" s="19"/>
      <c r="G621" s="21"/>
      <c r="H621" s="21"/>
      <c r="I621" s="21"/>
      <c r="J621" s="21"/>
      <c r="K621" s="19"/>
      <c r="L621" s="19"/>
      <c r="M621" s="22"/>
      <c r="N621" s="19"/>
      <c r="O621" s="19"/>
      <c r="P621" s="23"/>
      <c r="Q621" s="21" t="s">
        <v>46</v>
      </c>
      <c r="R621" s="19" t="s">
        <v>47</v>
      </c>
      <c r="S621" s="21"/>
      <c r="T621" s="32"/>
      <c r="U621" s="21"/>
      <c r="V621" s="7"/>
      <c r="W621" s="7"/>
      <c r="X621" s="7"/>
      <c r="Y621" s="7"/>
    </row>
    <row r="622" spans="1:25" ht="14.25" customHeight="1" x14ac:dyDescent="0.3">
      <c r="A622" s="18">
        <v>155.1</v>
      </c>
      <c r="B622" s="19"/>
      <c r="C622" s="19"/>
      <c r="D622" s="19"/>
      <c r="E622" s="19"/>
      <c r="F622" s="19"/>
      <c r="G622" s="21"/>
      <c r="H622" s="21"/>
      <c r="I622" s="21"/>
      <c r="J622" s="21"/>
      <c r="K622" s="19"/>
      <c r="L622" s="19"/>
      <c r="M622" s="22"/>
      <c r="N622" s="19"/>
      <c r="O622" s="19"/>
      <c r="P622" s="23"/>
      <c r="Q622" s="21" t="s">
        <v>46</v>
      </c>
      <c r="R622" s="19" t="s">
        <v>47</v>
      </c>
      <c r="S622" s="21"/>
      <c r="T622" s="32"/>
      <c r="U622" s="21"/>
      <c r="V622" s="7"/>
      <c r="W622" s="7"/>
      <c r="X622" s="7"/>
      <c r="Y622" s="7"/>
    </row>
    <row r="623" spans="1:25" ht="14.25" customHeight="1" x14ac:dyDescent="0.3">
      <c r="A623" s="18">
        <v>155.19999999999999</v>
      </c>
      <c r="B623" s="19"/>
      <c r="C623" s="19"/>
      <c r="D623" s="19"/>
      <c r="E623" s="19"/>
      <c r="F623" s="19"/>
      <c r="G623" s="21"/>
      <c r="H623" s="21"/>
      <c r="I623" s="21"/>
      <c r="J623" s="21"/>
      <c r="K623" s="19"/>
      <c r="L623" s="19"/>
      <c r="M623" s="22"/>
      <c r="N623" s="19"/>
      <c r="O623" s="19"/>
      <c r="P623" s="23"/>
      <c r="Q623" s="21" t="s">
        <v>46</v>
      </c>
      <c r="R623" s="19" t="s">
        <v>47</v>
      </c>
      <c r="S623" s="21"/>
      <c r="T623" s="32"/>
      <c r="U623" s="21"/>
      <c r="V623" s="7"/>
      <c r="W623" s="7"/>
      <c r="X623" s="7"/>
      <c r="Y623" s="7"/>
    </row>
    <row r="624" spans="1:25" ht="14.25" customHeight="1" x14ac:dyDescent="0.3">
      <c r="A624" s="18">
        <v>155.30000000000001</v>
      </c>
      <c r="B624" s="19"/>
      <c r="C624" s="19"/>
      <c r="D624" s="19"/>
      <c r="E624" s="19"/>
      <c r="F624" s="19"/>
      <c r="G624" s="21"/>
      <c r="H624" s="21"/>
      <c r="I624" s="21"/>
      <c r="J624" s="21"/>
      <c r="K624" s="19"/>
      <c r="L624" s="19"/>
      <c r="M624" s="22"/>
      <c r="N624" s="19"/>
      <c r="O624" s="19"/>
      <c r="P624" s="23"/>
      <c r="Q624" s="21" t="s">
        <v>46</v>
      </c>
      <c r="R624" s="19" t="s">
        <v>47</v>
      </c>
      <c r="S624" s="21"/>
      <c r="T624" s="32"/>
      <c r="U624" s="21"/>
      <c r="V624" s="7"/>
      <c r="W624" s="7"/>
      <c r="X624" s="7"/>
      <c r="Y624" s="7"/>
    </row>
    <row r="625" spans="1:25" ht="14.25" customHeight="1" x14ac:dyDescent="0.3">
      <c r="A625" s="18">
        <v>155.4</v>
      </c>
      <c r="B625" s="19"/>
      <c r="C625" s="19"/>
      <c r="D625" s="19"/>
      <c r="E625" s="19"/>
      <c r="F625" s="19"/>
      <c r="G625" s="21"/>
      <c r="H625" s="21"/>
      <c r="I625" s="21"/>
      <c r="J625" s="21"/>
      <c r="K625" s="19"/>
      <c r="L625" s="19"/>
      <c r="M625" s="22"/>
      <c r="N625" s="19"/>
      <c r="O625" s="19"/>
      <c r="P625" s="23"/>
      <c r="Q625" s="21" t="s">
        <v>46</v>
      </c>
      <c r="R625" s="19" t="s">
        <v>47</v>
      </c>
      <c r="S625" s="21"/>
      <c r="T625" s="32"/>
      <c r="U625" s="21"/>
      <c r="V625" s="7"/>
      <c r="W625" s="7"/>
      <c r="X625" s="7"/>
      <c r="Y625" s="7"/>
    </row>
    <row r="626" spans="1:25" ht="14.25" customHeight="1" x14ac:dyDescent="0.3">
      <c r="A626" s="18">
        <v>156.1</v>
      </c>
      <c r="B626" s="19"/>
      <c r="C626" s="19"/>
      <c r="D626" s="19"/>
      <c r="E626" s="19"/>
      <c r="F626" s="19"/>
      <c r="G626" s="21"/>
      <c r="H626" s="21"/>
      <c r="I626" s="21"/>
      <c r="J626" s="21"/>
      <c r="K626" s="19"/>
      <c r="L626" s="19"/>
      <c r="M626" s="22"/>
      <c r="N626" s="19"/>
      <c r="O626" s="19"/>
      <c r="P626" s="23"/>
      <c r="Q626" s="21" t="s">
        <v>46</v>
      </c>
      <c r="R626" s="19" t="s">
        <v>47</v>
      </c>
      <c r="S626" s="21"/>
      <c r="T626" s="32"/>
      <c r="U626" s="21"/>
      <c r="V626" s="7"/>
      <c r="W626" s="7"/>
      <c r="X626" s="7"/>
      <c r="Y626" s="7"/>
    </row>
    <row r="627" spans="1:25" ht="14.25" customHeight="1" x14ac:dyDescent="0.3">
      <c r="A627" s="18">
        <v>156.19999999999999</v>
      </c>
      <c r="B627" s="19"/>
      <c r="C627" s="19"/>
      <c r="D627" s="19"/>
      <c r="E627" s="19"/>
      <c r="F627" s="19"/>
      <c r="G627" s="21"/>
      <c r="H627" s="21"/>
      <c r="I627" s="21"/>
      <c r="J627" s="21"/>
      <c r="K627" s="19"/>
      <c r="L627" s="19"/>
      <c r="M627" s="22"/>
      <c r="N627" s="19"/>
      <c r="O627" s="19"/>
      <c r="P627" s="23"/>
      <c r="Q627" s="21" t="s">
        <v>46</v>
      </c>
      <c r="R627" s="19" t="s">
        <v>47</v>
      </c>
      <c r="S627" s="21"/>
      <c r="T627" s="32"/>
      <c r="U627" s="21"/>
      <c r="V627" s="7"/>
      <c r="W627" s="7"/>
      <c r="X627" s="7"/>
      <c r="Y627" s="7"/>
    </row>
    <row r="628" spans="1:25" ht="14.25" customHeight="1" x14ac:dyDescent="0.3">
      <c r="A628" s="18">
        <v>156.30000000000001</v>
      </c>
      <c r="B628" s="19"/>
      <c r="C628" s="19"/>
      <c r="D628" s="19"/>
      <c r="E628" s="19"/>
      <c r="F628" s="19"/>
      <c r="G628" s="21"/>
      <c r="H628" s="21"/>
      <c r="I628" s="21"/>
      <c r="J628" s="21"/>
      <c r="K628" s="19"/>
      <c r="L628" s="19"/>
      <c r="M628" s="22"/>
      <c r="N628" s="19"/>
      <c r="O628" s="19"/>
      <c r="P628" s="23"/>
      <c r="Q628" s="21" t="s">
        <v>46</v>
      </c>
      <c r="R628" s="19" t="s">
        <v>47</v>
      </c>
      <c r="S628" s="21"/>
      <c r="T628" s="32"/>
      <c r="U628" s="21"/>
      <c r="V628" s="7"/>
      <c r="W628" s="7"/>
      <c r="X628" s="7"/>
      <c r="Y628" s="7"/>
    </row>
    <row r="629" spans="1:25" ht="14.25" customHeight="1" x14ac:dyDescent="0.3">
      <c r="A629" s="18">
        <v>156.4</v>
      </c>
      <c r="B629" s="19"/>
      <c r="C629" s="19"/>
      <c r="D629" s="19"/>
      <c r="E629" s="19"/>
      <c r="F629" s="19"/>
      <c r="G629" s="21"/>
      <c r="H629" s="21"/>
      <c r="I629" s="21"/>
      <c r="J629" s="21"/>
      <c r="K629" s="19"/>
      <c r="L629" s="19"/>
      <c r="M629" s="22"/>
      <c r="N629" s="19"/>
      <c r="O629" s="19"/>
      <c r="P629" s="23"/>
      <c r="Q629" s="21" t="s">
        <v>46</v>
      </c>
      <c r="R629" s="19" t="s">
        <v>47</v>
      </c>
      <c r="S629" s="21"/>
      <c r="T629" s="32"/>
      <c r="U629" s="21"/>
      <c r="V629" s="7"/>
      <c r="W629" s="7"/>
      <c r="X629" s="7"/>
      <c r="Y629" s="7"/>
    </row>
    <row r="630" spans="1:25" ht="14.25" customHeight="1" x14ac:dyDescent="0.3">
      <c r="A630" s="18">
        <v>157.1</v>
      </c>
      <c r="B630" s="19"/>
      <c r="C630" s="19"/>
      <c r="D630" s="19"/>
      <c r="E630" s="19"/>
      <c r="F630" s="19"/>
      <c r="G630" s="21"/>
      <c r="H630" s="21"/>
      <c r="I630" s="21"/>
      <c r="J630" s="21"/>
      <c r="K630" s="19"/>
      <c r="L630" s="19"/>
      <c r="M630" s="22"/>
      <c r="N630" s="19"/>
      <c r="O630" s="19"/>
      <c r="P630" s="23"/>
      <c r="Q630" s="21" t="s">
        <v>46</v>
      </c>
      <c r="R630" s="19" t="s">
        <v>47</v>
      </c>
      <c r="S630" s="21"/>
      <c r="T630" s="32"/>
      <c r="U630" s="21"/>
      <c r="V630" s="7"/>
      <c r="W630" s="7"/>
      <c r="X630" s="7"/>
      <c r="Y630" s="7"/>
    </row>
    <row r="631" spans="1:25" ht="14.25" customHeight="1" x14ac:dyDescent="0.3">
      <c r="A631" s="18">
        <v>157.19999999999999</v>
      </c>
      <c r="B631" s="19"/>
      <c r="C631" s="19"/>
      <c r="D631" s="19"/>
      <c r="E631" s="19"/>
      <c r="F631" s="19"/>
      <c r="G631" s="21"/>
      <c r="H631" s="21"/>
      <c r="I631" s="21"/>
      <c r="J631" s="21"/>
      <c r="K631" s="19"/>
      <c r="L631" s="19"/>
      <c r="M631" s="22"/>
      <c r="N631" s="19"/>
      <c r="O631" s="19"/>
      <c r="P631" s="23"/>
      <c r="Q631" s="21" t="s">
        <v>46</v>
      </c>
      <c r="R631" s="19" t="s">
        <v>47</v>
      </c>
      <c r="S631" s="21"/>
      <c r="T631" s="32"/>
      <c r="U631" s="21"/>
      <c r="V631" s="7"/>
      <c r="W631" s="7"/>
      <c r="X631" s="7"/>
      <c r="Y631" s="7"/>
    </row>
    <row r="632" spans="1:25" ht="14.25" customHeight="1" x14ac:dyDescent="0.3">
      <c r="A632" s="18">
        <v>157.30000000000001</v>
      </c>
      <c r="B632" s="19"/>
      <c r="C632" s="19"/>
      <c r="D632" s="19"/>
      <c r="E632" s="19"/>
      <c r="F632" s="19"/>
      <c r="G632" s="21"/>
      <c r="H632" s="21"/>
      <c r="I632" s="21"/>
      <c r="J632" s="21"/>
      <c r="K632" s="19"/>
      <c r="L632" s="19"/>
      <c r="M632" s="22"/>
      <c r="N632" s="19"/>
      <c r="O632" s="19"/>
      <c r="P632" s="23"/>
      <c r="Q632" s="21" t="s">
        <v>46</v>
      </c>
      <c r="R632" s="19" t="s">
        <v>47</v>
      </c>
      <c r="S632" s="21"/>
      <c r="T632" s="32"/>
      <c r="U632" s="21"/>
      <c r="V632" s="7"/>
      <c r="W632" s="7"/>
      <c r="X632" s="7"/>
      <c r="Y632" s="7"/>
    </row>
    <row r="633" spans="1:25" ht="14.25" customHeight="1" x14ac:dyDescent="0.3">
      <c r="A633" s="18">
        <v>157.4</v>
      </c>
      <c r="B633" s="19"/>
      <c r="C633" s="19"/>
      <c r="D633" s="19"/>
      <c r="E633" s="19"/>
      <c r="F633" s="19"/>
      <c r="G633" s="21"/>
      <c r="H633" s="21"/>
      <c r="I633" s="21"/>
      <c r="J633" s="21"/>
      <c r="K633" s="19"/>
      <c r="L633" s="19"/>
      <c r="M633" s="22"/>
      <c r="N633" s="19"/>
      <c r="O633" s="19"/>
      <c r="P633" s="23"/>
      <c r="Q633" s="21" t="s">
        <v>46</v>
      </c>
      <c r="R633" s="19" t="s">
        <v>47</v>
      </c>
      <c r="S633" s="21"/>
      <c r="T633" s="32"/>
      <c r="U633" s="21"/>
      <c r="V633" s="7"/>
      <c r="W633" s="7"/>
      <c r="X633" s="7"/>
      <c r="Y633" s="7"/>
    </row>
    <row r="634" spans="1:25" ht="14.25" customHeight="1" x14ac:dyDescent="0.3">
      <c r="A634" s="18">
        <v>158.1</v>
      </c>
      <c r="B634" s="19"/>
      <c r="C634" s="19"/>
      <c r="D634" s="19"/>
      <c r="E634" s="19"/>
      <c r="F634" s="19"/>
      <c r="G634" s="21"/>
      <c r="H634" s="21"/>
      <c r="I634" s="21"/>
      <c r="J634" s="21"/>
      <c r="K634" s="19"/>
      <c r="L634" s="19"/>
      <c r="M634" s="22"/>
      <c r="N634" s="19"/>
      <c r="O634" s="19"/>
      <c r="P634" s="23"/>
      <c r="Q634" s="21" t="s">
        <v>46</v>
      </c>
      <c r="R634" s="19" t="s">
        <v>47</v>
      </c>
      <c r="S634" s="21"/>
      <c r="T634" s="32"/>
      <c r="U634" s="21"/>
      <c r="V634" s="7"/>
      <c r="W634" s="7"/>
      <c r="X634" s="7"/>
      <c r="Y634" s="7"/>
    </row>
    <row r="635" spans="1:25" ht="14.25" customHeight="1" x14ac:dyDescent="0.3">
      <c r="A635" s="18">
        <v>158.19999999999999</v>
      </c>
      <c r="B635" s="19"/>
      <c r="C635" s="19"/>
      <c r="D635" s="19"/>
      <c r="E635" s="19"/>
      <c r="F635" s="19"/>
      <c r="G635" s="21"/>
      <c r="H635" s="21"/>
      <c r="I635" s="21"/>
      <c r="J635" s="21"/>
      <c r="K635" s="19"/>
      <c r="L635" s="19"/>
      <c r="M635" s="22"/>
      <c r="N635" s="19"/>
      <c r="O635" s="19"/>
      <c r="P635" s="23"/>
      <c r="Q635" s="21" t="s">
        <v>46</v>
      </c>
      <c r="R635" s="19" t="s">
        <v>47</v>
      </c>
      <c r="S635" s="21"/>
      <c r="T635" s="32"/>
      <c r="U635" s="21"/>
      <c r="V635" s="7"/>
      <c r="W635" s="7"/>
      <c r="X635" s="7"/>
      <c r="Y635" s="7"/>
    </row>
    <row r="636" spans="1:25" ht="14.25" customHeight="1" x14ac:dyDescent="0.3">
      <c r="A636" s="18">
        <v>158.30000000000001</v>
      </c>
      <c r="B636" s="19"/>
      <c r="C636" s="19"/>
      <c r="D636" s="19"/>
      <c r="E636" s="19"/>
      <c r="F636" s="19"/>
      <c r="G636" s="21"/>
      <c r="H636" s="21"/>
      <c r="I636" s="21"/>
      <c r="J636" s="21"/>
      <c r="K636" s="19"/>
      <c r="L636" s="19"/>
      <c r="M636" s="22"/>
      <c r="N636" s="19"/>
      <c r="O636" s="19"/>
      <c r="P636" s="23"/>
      <c r="Q636" s="21" t="s">
        <v>46</v>
      </c>
      <c r="R636" s="19" t="s">
        <v>47</v>
      </c>
      <c r="S636" s="21"/>
      <c r="T636" s="32"/>
      <c r="U636" s="21"/>
      <c r="V636" s="7"/>
      <c r="W636" s="7"/>
      <c r="X636" s="7"/>
      <c r="Y636" s="7"/>
    </row>
    <row r="637" spans="1:25" ht="14.25" customHeight="1" x14ac:dyDescent="0.3">
      <c r="A637" s="18">
        <v>158.4</v>
      </c>
      <c r="B637" s="19"/>
      <c r="C637" s="19"/>
      <c r="D637" s="19"/>
      <c r="E637" s="19"/>
      <c r="F637" s="19"/>
      <c r="G637" s="21"/>
      <c r="H637" s="21"/>
      <c r="I637" s="21"/>
      <c r="J637" s="21"/>
      <c r="K637" s="19"/>
      <c r="L637" s="19"/>
      <c r="M637" s="22"/>
      <c r="N637" s="19"/>
      <c r="O637" s="19"/>
      <c r="P637" s="23"/>
      <c r="Q637" s="21" t="s">
        <v>46</v>
      </c>
      <c r="R637" s="19" t="s">
        <v>47</v>
      </c>
      <c r="S637" s="21"/>
      <c r="T637" s="32"/>
      <c r="U637" s="21"/>
      <c r="V637" s="7"/>
      <c r="W637" s="7"/>
      <c r="X637" s="7"/>
      <c r="Y637" s="7"/>
    </row>
    <row r="638" spans="1:25" ht="14.25" customHeight="1" x14ac:dyDescent="0.3">
      <c r="A638" s="18">
        <v>159.1</v>
      </c>
      <c r="B638" s="19"/>
      <c r="C638" s="19"/>
      <c r="D638" s="19"/>
      <c r="E638" s="19"/>
      <c r="F638" s="19"/>
      <c r="G638" s="21"/>
      <c r="H638" s="21"/>
      <c r="I638" s="21"/>
      <c r="J638" s="21"/>
      <c r="K638" s="19"/>
      <c r="L638" s="19"/>
      <c r="M638" s="22"/>
      <c r="N638" s="19"/>
      <c r="O638" s="19"/>
      <c r="P638" s="23"/>
      <c r="Q638" s="21" t="s">
        <v>46</v>
      </c>
      <c r="R638" s="19" t="s">
        <v>47</v>
      </c>
      <c r="S638" s="21"/>
      <c r="T638" s="32"/>
      <c r="U638" s="21"/>
      <c r="V638" s="7"/>
      <c r="W638" s="7"/>
      <c r="X638" s="7"/>
      <c r="Y638" s="7"/>
    </row>
    <row r="639" spans="1:25" ht="14.25" customHeight="1" x14ac:dyDescent="0.3">
      <c r="A639" s="18">
        <v>159.19999999999999</v>
      </c>
      <c r="B639" s="19"/>
      <c r="C639" s="19"/>
      <c r="D639" s="19"/>
      <c r="E639" s="19"/>
      <c r="F639" s="19"/>
      <c r="G639" s="21"/>
      <c r="H639" s="21"/>
      <c r="I639" s="21"/>
      <c r="J639" s="21"/>
      <c r="K639" s="19"/>
      <c r="L639" s="19"/>
      <c r="M639" s="22"/>
      <c r="N639" s="19"/>
      <c r="O639" s="19"/>
      <c r="P639" s="23"/>
      <c r="Q639" s="21" t="s">
        <v>46</v>
      </c>
      <c r="R639" s="19" t="s">
        <v>47</v>
      </c>
      <c r="S639" s="21"/>
      <c r="T639" s="32"/>
      <c r="U639" s="21"/>
      <c r="V639" s="7"/>
      <c r="W639" s="7"/>
      <c r="X639" s="7"/>
      <c r="Y639" s="7"/>
    </row>
    <row r="640" spans="1:25" ht="14.25" customHeight="1" x14ac:dyDescent="0.3">
      <c r="A640" s="18">
        <v>159.30000000000001</v>
      </c>
      <c r="B640" s="19"/>
      <c r="C640" s="19"/>
      <c r="D640" s="19"/>
      <c r="E640" s="19"/>
      <c r="F640" s="19"/>
      <c r="G640" s="21"/>
      <c r="H640" s="21"/>
      <c r="I640" s="21"/>
      <c r="J640" s="21"/>
      <c r="K640" s="19"/>
      <c r="L640" s="19"/>
      <c r="M640" s="22"/>
      <c r="N640" s="19"/>
      <c r="O640" s="19"/>
      <c r="P640" s="23"/>
      <c r="Q640" s="21" t="s">
        <v>46</v>
      </c>
      <c r="R640" s="19" t="s">
        <v>47</v>
      </c>
      <c r="S640" s="21"/>
      <c r="T640" s="32"/>
      <c r="U640" s="21"/>
      <c r="V640" s="7"/>
      <c r="W640" s="7"/>
      <c r="X640" s="7"/>
      <c r="Y640" s="7"/>
    </row>
    <row r="641" spans="1:25" ht="14.25" customHeight="1" x14ac:dyDescent="0.3">
      <c r="A641" s="18">
        <v>159.4</v>
      </c>
      <c r="B641" s="19"/>
      <c r="C641" s="19"/>
      <c r="D641" s="19"/>
      <c r="E641" s="19"/>
      <c r="F641" s="19"/>
      <c r="G641" s="21"/>
      <c r="H641" s="21"/>
      <c r="I641" s="21"/>
      <c r="J641" s="21"/>
      <c r="K641" s="19"/>
      <c r="L641" s="19"/>
      <c r="M641" s="22"/>
      <c r="N641" s="19"/>
      <c r="O641" s="19"/>
      <c r="P641" s="23"/>
      <c r="Q641" s="21" t="s">
        <v>46</v>
      </c>
      <c r="R641" s="19" t="s">
        <v>47</v>
      </c>
      <c r="S641" s="21"/>
      <c r="T641" s="32"/>
      <c r="U641" s="21"/>
      <c r="V641" s="7"/>
      <c r="W641" s="7"/>
      <c r="X641" s="7"/>
      <c r="Y641" s="7"/>
    </row>
    <row r="642" spans="1:25" ht="14.25" customHeight="1" x14ac:dyDescent="0.3">
      <c r="A642" s="18">
        <v>160.1</v>
      </c>
      <c r="B642" s="19"/>
      <c r="C642" s="19"/>
      <c r="D642" s="19"/>
      <c r="E642" s="19"/>
      <c r="F642" s="19"/>
      <c r="G642" s="21"/>
      <c r="H642" s="21"/>
      <c r="I642" s="21"/>
      <c r="J642" s="21"/>
      <c r="K642" s="19"/>
      <c r="L642" s="19"/>
      <c r="M642" s="22"/>
      <c r="N642" s="19"/>
      <c r="O642" s="19"/>
      <c r="P642" s="23"/>
      <c r="Q642" s="21" t="s">
        <v>46</v>
      </c>
      <c r="R642" s="19" t="s">
        <v>47</v>
      </c>
      <c r="S642" s="21"/>
      <c r="T642" s="32"/>
      <c r="U642" s="21"/>
      <c r="V642" s="7"/>
      <c r="W642" s="7"/>
      <c r="X642" s="7"/>
      <c r="Y642" s="7"/>
    </row>
    <row r="643" spans="1:25" ht="14.25" customHeight="1" x14ac:dyDescent="0.3">
      <c r="A643" s="18">
        <v>160.19999999999999</v>
      </c>
      <c r="B643" s="19"/>
      <c r="C643" s="19"/>
      <c r="D643" s="19"/>
      <c r="E643" s="19"/>
      <c r="F643" s="19"/>
      <c r="G643" s="21"/>
      <c r="H643" s="21"/>
      <c r="I643" s="21"/>
      <c r="J643" s="21"/>
      <c r="K643" s="19"/>
      <c r="L643" s="19"/>
      <c r="M643" s="22"/>
      <c r="N643" s="19"/>
      <c r="O643" s="19"/>
      <c r="P643" s="23"/>
      <c r="Q643" s="21" t="s">
        <v>46</v>
      </c>
      <c r="R643" s="19" t="s">
        <v>47</v>
      </c>
      <c r="S643" s="21"/>
      <c r="T643" s="32"/>
      <c r="U643" s="21"/>
      <c r="V643" s="7"/>
      <c r="W643" s="7"/>
      <c r="X643" s="7"/>
      <c r="Y643" s="7"/>
    </row>
    <row r="644" spans="1:25" ht="14.25" customHeight="1" x14ac:dyDescent="0.3">
      <c r="A644" s="18">
        <v>160.30000000000001</v>
      </c>
      <c r="B644" s="19"/>
      <c r="C644" s="19"/>
      <c r="D644" s="19"/>
      <c r="E644" s="19"/>
      <c r="F644" s="19"/>
      <c r="G644" s="21"/>
      <c r="H644" s="21"/>
      <c r="I644" s="21"/>
      <c r="J644" s="21"/>
      <c r="K644" s="19"/>
      <c r="L644" s="19"/>
      <c r="M644" s="22"/>
      <c r="N644" s="19"/>
      <c r="O644" s="19"/>
      <c r="P644" s="23"/>
      <c r="Q644" s="21" t="s">
        <v>46</v>
      </c>
      <c r="R644" s="19" t="s">
        <v>47</v>
      </c>
      <c r="S644" s="21"/>
      <c r="T644" s="32"/>
      <c r="U644" s="21"/>
      <c r="V644" s="7"/>
      <c r="W644" s="7"/>
      <c r="X644" s="7"/>
      <c r="Y644" s="7"/>
    </row>
    <row r="645" spans="1:25" ht="14.25" customHeight="1" x14ac:dyDescent="0.3">
      <c r="A645" s="18">
        <v>160.4</v>
      </c>
      <c r="B645" s="19"/>
      <c r="C645" s="19"/>
      <c r="D645" s="19"/>
      <c r="E645" s="19"/>
      <c r="F645" s="19"/>
      <c r="G645" s="21"/>
      <c r="H645" s="21"/>
      <c r="I645" s="21"/>
      <c r="J645" s="21"/>
      <c r="K645" s="19"/>
      <c r="L645" s="19"/>
      <c r="M645" s="22"/>
      <c r="N645" s="19"/>
      <c r="O645" s="19"/>
      <c r="P645" s="23"/>
      <c r="Q645" s="21" t="s">
        <v>46</v>
      </c>
      <c r="R645" s="19" t="s">
        <v>47</v>
      </c>
      <c r="S645" s="21"/>
      <c r="T645" s="32"/>
      <c r="U645" s="21"/>
      <c r="V645" s="7"/>
      <c r="W645" s="7"/>
      <c r="X645" s="7"/>
      <c r="Y645" s="7"/>
    </row>
    <row r="646" spans="1:25" ht="14.25" customHeight="1" x14ac:dyDescent="0.3">
      <c r="A646" s="18">
        <v>161.1</v>
      </c>
      <c r="B646" s="19"/>
      <c r="C646" s="19"/>
      <c r="D646" s="19"/>
      <c r="E646" s="19"/>
      <c r="F646" s="19"/>
      <c r="G646" s="21"/>
      <c r="H646" s="21"/>
      <c r="I646" s="21"/>
      <c r="J646" s="21"/>
      <c r="K646" s="19"/>
      <c r="L646" s="19"/>
      <c r="M646" s="22"/>
      <c r="N646" s="19"/>
      <c r="O646" s="19"/>
      <c r="P646" s="23"/>
      <c r="Q646" s="21" t="s">
        <v>46</v>
      </c>
      <c r="R646" s="19" t="s">
        <v>47</v>
      </c>
      <c r="S646" s="21"/>
      <c r="T646" s="32"/>
      <c r="U646" s="21"/>
      <c r="V646" s="7"/>
      <c r="W646" s="7"/>
      <c r="X646" s="7"/>
      <c r="Y646" s="7"/>
    </row>
    <row r="647" spans="1:25" ht="14.25" customHeight="1" x14ac:dyDescent="0.3">
      <c r="A647" s="18">
        <v>161.19999999999999</v>
      </c>
      <c r="B647" s="19"/>
      <c r="C647" s="19"/>
      <c r="D647" s="19"/>
      <c r="E647" s="19"/>
      <c r="F647" s="19"/>
      <c r="G647" s="21"/>
      <c r="H647" s="21"/>
      <c r="I647" s="21"/>
      <c r="J647" s="21"/>
      <c r="K647" s="19"/>
      <c r="L647" s="19"/>
      <c r="M647" s="22"/>
      <c r="N647" s="19"/>
      <c r="O647" s="19"/>
      <c r="P647" s="23"/>
      <c r="Q647" s="21" t="s">
        <v>46</v>
      </c>
      <c r="R647" s="19" t="s">
        <v>47</v>
      </c>
      <c r="S647" s="21"/>
      <c r="T647" s="32"/>
      <c r="U647" s="21"/>
      <c r="V647" s="7"/>
      <c r="W647" s="7"/>
      <c r="X647" s="7"/>
      <c r="Y647" s="7"/>
    </row>
    <row r="648" spans="1:25" ht="14.25" customHeight="1" x14ac:dyDescent="0.3">
      <c r="A648" s="18">
        <v>161.30000000000001</v>
      </c>
      <c r="B648" s="19"/>
      <c r="C648" s="19"/>
      <c r="D648" s="19"/>
      <c r="E648" s="19"/>
      <c r="F648" s="19"/>
      <c r="G648" s="21"/>
      <c r="H648" s="21"/>
      <c r="I648" s="21"/>
      <c r="J648" s="21"/>
      <c r="K648" s="19"/>
      <c r="L648" s="19"/>
      <c r="M648" s="22"/>
      <c r="N648" s="19"/>
      <c r="O648" s="19"/>
      <c r="P648" s="23"/>
      <c r="Q648" s="21" t="s">
        <v>46</v>
      </c>
      <c r="R648" s="19" t="s">
        <v>47</v>
      </c>
      <c r="S648" s="21"/>
      <c r="T648" s="32"/>
      <c r="U648" s="21"/>
      <c r="V648" s="7"/>
      <c r="W648" s="7"/>
      <c r="X648" s="7"/>
      <c r="Y648" s="7"/>
    </row>
    <row r="649" spans="1:25" ht="14.25" customHeight="1" x14ac:dyDescent="0.3">
      <c r="A649" s="18">
        <v>161.4</v>
      </c>
      <c r="B649" s="19"/>
      <c r="C649" s="19"/>
      <c r="D649" s="19"/>
      <c r="E649" s="19"/>
      <c r="F649" s="19"/>
      <c r="G649" s="21"/>
      <c r="H649" s="21"/>
      <c r="I649" s="21"/>
      <c r="J649" s="21"/>
      <c r="K649" s="19"/>
      <c r="L649" s="19"/>
      <c r="M649" s="22"/>
      <c r="N649" s="19"/>
      <c r="O649" s="19"/>
      <c r="P649" s="23"/>
      <c r="Q649" s="21" t="s">
        <v>46</v>
      </c>
      <c r="R649" s="19" t="s">
        <v>47</v>
      </c>
      <c r="S649" s="21"/>
      <c r="T649" s="32"/>
      <c r="U649" s="21"/>
      <c r="V649" s="7"/>
      <c r="W649" s="7"/>
      <c r="X649" s="7"/>
      <c r="Y649" s="7"/>
    </row>
    <row r="650" spans="1:25" ht="14.25" customHeight="1" x14ac:dyDescent="0.3">
      <c r="A650" s="18">
        <v>162.1</v>
      </c>
      <c r="B650" s="19"/>
      <c r="C650" s="19"/>
      <c r="D650" s="19"/>
      <c r="E650" s="19"/>
      <c r="F650" s="19"/>
      <c r="G650" s="21"/>
      <c r="H650" s="21"/>
      <c r="I650" s="21"/>
      <c r="J650" s="21"/>
      <c r="K650" s="19"/>
      <c r="L650" s="19"/>
      <c r="M650" s="22"/>
      <c r="N650" s="19"/>
      <c r="O650" s="19"/>
      <c r="P650" s="23"/>
      <c r="Q650" s="21" t="s">
        <v>46</v>
      </c>
      <c r="R650" s="19" t="s">
        <v>47</v>
      </c>
      <c r="S650" s="21"/>
      <c r="T650" s="32"/>
      <c r="U650" s="21"/>
      <c r="V650" s="7"/>
      <c r="W650" s="7"/>
      <c r="X650" s="7"/>
      <c r="Y650" s="7"/>
    </row>
    <row r="651" spans="1:25" ht="14.25" customHeight="1" x14ac:dyDescent="0.3">
      <c r="A651" s="18">
        <v>162.19999999999999</v>
      </c>
      <c r="B651" s="19"/>
      <c r="C651" s="19"/>
      <c r="D651" s="19"/>
      <c r="E651" s="19"/>
      <c r="F651" s="19"/>
      <c r="G651" s="21"/>
      <c r="H651" s="21"/>
      <c r="I651" s="21"/>
      <c r="J651" s="21"/>
      <c r="K651" s="19"/>
      <c r="L651" s="19"/>
      <c r="M651" s="22"/>
      <c r="N651" s="19"/>
      <c r="O651" s="19"/>
      <c r="P651" s="23"/>
      <c r="Q651" s="21" t="s">
        <v>46</v>
      </c>
      <c r="R651" s="19" t="s">
        <v>47</v>
      </c>
      <c r="S651" s="21"/>
      <c r="T651" s="32"/>
      <c r="U651" s="21"/>
      <c r="V651" s="7"/>
      <c r="W651" s="7"/>
      <c r="X651" s="7"/>
      <c r="Y651" s="7"/>
    </row>
    <row r="652" spans="1:25" ht="14.25" customHeight="1" x14ac:dyDescent="0.3">
      <c r="A652" s="18">
        <v>162.30000000000001</v>
      </c>
      <c r="B652" s="19"/>
      <c r="C652" s="19"/>
      <c r="D652" s="19"/>
      <c r="E652" s="19"/>
      <c r="F652" s="19"/>
      <c r="G652" s="21"/>
      <c r="H652" s="21"/>
      <c r="I652" s="21"/>
      <c r="J652" s="21"/>
      <c r="K652" s="19"/>
      <c r="L652" s="19"/>
      <c r="M652" s="22"/>
      <c r="N652" s="19"/>
      <c r="O652" s="19"/>
      <c r="P652" s="23"/>
      <c r="Q652" s="21" t="s">
        <v>46</v>
      </c>
      <c r="R652" s="19" t="s">
        <v>47</v>
      </c>
      <c r="S652" s="21"/>
      <c r="T652" s="32"/>
      <c r="U652" s="21"/>
      <c r="V652" s="7"/>
      <c r="W652" s="7"/>
      <c r="X652" s="7"/>
      <c r="Y652" s="7"/>
    </row>
    <row r="653" spans="1:25" ht="14.25" customHeight="1" x14ac:dyDescent="0.3">
      <c r="A653" s="18">
        <v>162.4</v>
      </c>
      <c r="B653" s="19"/>
      <c r="C653" s="19"/>
      <c r="D653" s="19"/>
      <c r="E653" s="19"/>
      <c r="F653" s="19"/>
      <c r="G653" s="21"/>
      <c r="H653" s="21"/>
      <c r="I653" s="21"/>
      <c r="J653" s="21"/>
      <c r="K653" s="19"/>
      <c r="L653" s="19"/>
      <c r="M653" s="22"/>
      <c r="N653" s="19"/>
      <c r="O653" s="19"/>
      <c r="P653" s="23"/>
      <c r="Q653" s="21" t="s">
        <v>46</v>
      </c>
      <c r="R653" s="19" t="s">
        <v>47</v>
      </c>
      <c r="S653" s="21"/>
      <c r="T653" s="32"/>
      <c r="U653" s="21"/>
      <c r="V653" s="7"/>
      <c r="W653" s="7"/>
      <c r="X653" s="7"/>
      <c r="Y653" s="7"/>
    </row>
    <row r="654" spans="1:25" ht="14.25" customHeight="1" x14ac:dyDescent="0.3">
      <c r="A654" s="18">
        <v>163.1</v>
      </c>
      <c r="B654" s="19"/>
      <c r="C654" s="19"/>
      <c r="D654" s="19"/>
      <c r="E654" s="19"/>
      <c r="F654" s="19"/>
      <c r="G654" s="21"/>
      <c r="H654" s="21"/>
      <c r="I654" s="21"/>
      <c r="J654" s="21"/>
      <c r="K654" s="19"/>
      <c r="L654" s="19"/>
      <c r="M654" s="22"/>
      <c r="N654" s="19"/>
      <c r="O654" s="19"/>
      <c r="P654" s="23"/>
      <c r="Q654" s="21" t="s">
        <v>46</v>
      </c>
      <c r="R654" s="19" t="s">
        <v>47</v>
      </c>
      <c r="S654" s="21"/>
      <c r="T654" s="32"/>
      <c r="U654" s="21"/>
      <c r="V654" s="7"/>
      <c r="W654" s="7"/>
      <c r="X654" s="7"/>
      <c r="Y654" s="7"/>
    </row>
    <row r="655" spans="1:25" ht="14.25" customHeight="1" x14ac:dyDescent="0.3">
      <c r="A655" s="18">
        <v>163.19999999999999</v>
      </c>
      <c r="B655" s="19"/>
      <c r="C655" s="19"/>
      <c r="D655" s="19"/>
      <c r="E655" s="19"/>
      <c r="F655" s="19"/>
      <c r="G655" s="21"/>
      <c r="H655" s="21"/>
      <c r="I655" s="21"/>
      <c r="J655" s="21"/>
      <c r="K655" s="19"/>
      <c r="L655" s="19"/>
      <c r="M655" s="22"/>
      <c r="N655" s="19"/>
      <c r="O655" s="19"/>
      <c r="P655" s="23"/>
      <c r="Q655" s="21" t="s">
        <v>46</v>
      </c>
      <c r="R655" s="19" t="s">
        <v>47</v>
      </c>
      <c r="S655" s="21"/>
      <c r="T655" s="32"/>
      <c r="U655" s="21"/>
      <c r="V655" s="7"/>
      <c r="W655" s="7"/>
      <c r="X655" s="7"/>
      <c r="Y655" s="7"/>
    </row>
    <row r="656" spans="1:25" ht="14.25" customHeight="1" x14ac:dyDescent="0.3">
      <c r="A656" s="18">
        <v>163.30000000000001</v>
      </c>
      <c r="B656" s="19"/>
      <c r="C656" s="19"/>
      <c r="D656" s="19"/>
      <c r="E656" s="19"/>
      <c r="F656" s="19"/>
      <c r="G656" s="21"/>
      <c r="H656" s="21"/>
      <c r="I656" s="21"/>
      <c r="J656" s="21"/>
      <c r="K656" s="19"/>
      <c r="L656" s="19"/>
      <c r="M656" s="22"/>
      <c r="N656" s="19"/>
      <c r="O656" s="19"/>
      <c r="P656" s="23"/>
      <c r="Q656" s="21" t="s">
        <v>46</v>
      </c>
      <c r="R656" s="19" t="s">
        <v>47</v>
      </c>
      <c r="S656" s="21"/>
      <c r="T656" s="32"/>
      <c r="U656" s="21"/>
      <c r="V656" s="7"/>
      <c r="W656" s="7"/>
      <c r="X656" s="7"/>
      <c r="Y656" s="7"/>
    </row>
    <row r="657" spans="1:25" ht="14.25" customHeight="1" x14ac:dyDescent="0.3">
      <c r="A657" s="18">
        <v>163.4</v>
      </c>
      <c r="B657" s="19"/>
      <c r="C657" s="19"/>
      <c r="D657" s="19"/>
      <c r="E657" s="19"/>
      <c r="F657" s="19"/>
      <c r="G657" s="21"/>
      <c r="H657" s="21"/>
      <c r="I657" s="21"/>
      <c r="J657" s="21"/>
      <c r="K657" s="19"/>
      <c r="L657" s="19"/>
      <c r="M657" s="22"/>
      <c r="N657" s="19"/>
      <c r="O657" s="19"/>
      <c r="P657" s="23"/>
      <c r="Q657" s="21" t="s">
        <v>46</v>
      </c>
      <c r="R657" s="19" t="s">
        <v>47</v>
      </c>
      <c r="S657" s="21"/>
      <c r="T657" s="32"/>
      <c r="U657" s="21"/>
      <c r="V657" s="7"/>
      <c r="W657" s="7"/>
      <c r="X657" s="7"/>
      <c r="Y657" s="7"/>
    </row>
    <row r="658" spans="1:25" ht="14.25" customHeight="1" x14ac:dyDescent="0.3">
      <c r="A658" s="18">
        <v>164.1</v>
      </c>
      <c r="B658" s="19"/>
      <c r="C658" s="19"/>
      <c r="D658" s="19"/>
      <c r="E658" s="19"/>
      <c r="F658" s="19"/>
      <c r="G658" s="21"/>
      <c r="H658" s="21"/>
      <c r="I658" s="21"/>
      <c r="J658" s="21"/>
      <c r="K658" s="19"/>
      <c r="L658" s="19"/>
      <c r="M658" s="22"/>
      <c r="N658" s="19"/>
      <c r="O658" s="19"/>
      <c r="P658" s="23"/>
      <c r="Q658" s="21" t="s">
        <v>46</v>
      </c>
      <c r="R658" s="19" t="s">
        <v>47</v>
      </c>
      <c r="S658" s="21"/>
      <c r="T658" s="32"/>
      <c r="U658" s="21"/>
      <c r="V658" s="7"/>
      <c r="W658" s="7"/>
      <c r="X658" s="7"/>
      <c r="Y658" s="7"/>
    </row>
    <row r="659" spans="1:25" ht="14.25" customHeight="1" x14ac:dyDescent="0.3">
      <c r="A659" s="18">
        <v>164.2</v>
      </c>
      <c r="B659" s="19"/>
      <c r="C659" s="19"/>
      <c r="D659" s="19"/>
      <c r="E659" s="19"/>
      <c r="F659" s="19"/>
      <c r="G659" s="21"/>
      <c r="H659" s="21"/>
      <c r="I659" s="21"/>
      <c r="J659" s="21"/>
      <c r="K659" s="19"/>
      <c r="L659" s="19"/>
      <c r="M659" s="22"/>
      <c r="N659" s="19"/>
      <c r="O659" s="19"/>
      <c r="P659" s="23"/>
      <c r="Q659" s="21" t="s">
        <v>46</v>
      </c>
      <c r="R659" s="19" t="s">
        <v>47</v>
      </c>
      <c r="S659" s="21"/>
      <c r="T659" s="32"/>
      <c r="U659" s="21"/>
      <c r="V659" s="7"/>
      <c r="W659" s="7"/>
      <c r="X659" s="7"/>
      <c r="Y659" s="7"/>
    </row>
    <row r="660" spans="1:25" ht="14.25" customHeight="1" x14ac:dyDescent="0.3">
      <c r="A660" s="18">
        <v>164.3</v>
      </c>
      <c r="B660" s="19"/>
      <c r="C660" s="19"/>
      <c r="D660" s="19"/>
      <c r="E660" s="19"/>
      <c r="F660" s="19"/>
      <c r="G660" s="21"/>
      <c r="H660" s="21"/>
      <c r="I660" s="21"/>
      <c r="J660" s="21"/>
      <c r="K660" s="19"/>
      <c r="L660" s="19"/>
      <c r="M660" s="22"/>
      <c r="N660" s="19"/>
      <c r="O660" s="19"/>
      <c r="P660" s="23"/>
      <c r="Q660" s="21" t="s">
        <v>46</v>
      </c>
      <c r="R660" s="19" t="s">
        <v>47</v>
      </c>
      <c r="S660" s="21"/>
      <c r="T660" s="32"/>
      <c r="U660" s="21"/>
      <c r="V660" s="7"/>
      <c r="W660" s="7"/>
      <c r="X660" s="7"/>
      <c r="Y660" s="7"/>
    </row>
    <row r="661" spans="1:25" ht="14.25" customHeight="1" x14ac:dyDescent="0.3">
      <c r="A661" s="18">
        <v>164.4</v>
      </c>
      <c r="B661" s="19"/>
      <c r="C661" s="19"/>
      <c r="D661" s="19"/>
      <c r="E661" s="19"/>
      <c r="F661" s="19"/>
      <c r="G661" s="21"/>
      <c r="H661" s="21"/>
      <c r="I661" s="21"/>
      <c r="J661" s="21"/>
      <c r="K661" s="19"/>
      <c r="L661" s="19"/>
      <c r="M661" s="22"/>
      <c r="N661" s="19"/>
      <c r="O661" s="19"/>
      <c r="P661" s="23"/>
      <c r="Q661" s="21" t="s">
        <v>46</v>
      </c>
      <c r="R661" s="19" t="s">
        <v>47</v>
      </c>
      <c r="S661" s="21"/>
      <c r="T661" s="32"/>
      <c r="U661" s="21"/>
      <c r="V661" s="7"/>
      <c r="W661" s="7"/>
      <c r="X661" s="7"/>
      <c r="Y661" s="7"/>
    </row>
    <row r="662" spans="1:25" ht="14.25" customHeight="1" x14ac:dyDescent="0.3">
      <c r="A662" s="18">
        <v>165.1</v>
      </c>
      <c r="B662" s="19"/>
      <c r="C662" s="19"/>
      <c r="D662" s="19"/>
      <c r="E662" s="19"/>
      <c r="F662" s="19"/>
      <c r="G662" s="21"/>
      <c r="H662" s="21"/>
      <c r="I662" s="21"/>
      <c r="J662" s="21"/>
      <c r="K662" s="19"/>
      <c r="L662" s="19"/>
      <c r="M662" s="22"/>
      <c r="N662" s="19"/>
      <c r="O662" s="19"/>
      <c r="P662" s="23"/>
      <c r="Q662" s="21" t="s">
        <v>46</v>
      </c>
      <c r="R662" s="19" t="s">
        <v>47</v>
      </c>
      <c r="S662" s="21"/>
      <c r="T662" s="32"/>
      <c r="U662" s="21"/>
      <c r="V662" s="7"/>
      <c r="W662" s="7"/>
      <c r="X662" s="7"/>
      <c r="Y662" s="7"/>
    </row>
    <row r="663" spans="1:25" ht="14.25" customHeight="1" x14ac:dyDescent="0.3">
      <c r="A663" s="18">
        <v>165.2</v>
      </c>
      <c r="B663" s="19"/>
      <c r="C663" s="19"/>
      <c r="D663" s="19"/>
      <c r="E663" s="19"/>
      <c r="F663" s="19"/>
      <c r="G663" s="21"/>
      <c r="H663" s="21"/>
      <c r="I663" s="21"/>
      <c r="J663" s="21"/>
      <c r="K663" s="19"/>
      <c r="L663" s="19"/>
      <c r="M663" s="22"/>
      <c r="N663" s="19"/>
      <c r="O663" s="19"/>
      <c r="P663" s="23"/>
      <c r="Q663" s="21" t="s">
        <v>46</v>
      </c>
      <c r="R663" s="19" t="s">
        <v>47</v>
      </c>
      <c r="S663" s="21"/>
      <c r="T663" s="32"/>
      <c r="U663" s="21"/>
      <c r="V663" s="7"/>
      <c r="W663" s="7"/>
      <c r="X663" s="7"/>
      <c r="Y663" s="7"/>
    </row>
    <row r="664" spans="1:25" ht="14.25" customHeight="1" x14ac:dyDescent="0.3">
      <c r="A664" s="18">
        <v>165.3</v>
      </c>
      <c r="B664" s="19"/>
      <c r="C664" s="19"/>
      <c r="D664" s="19"/>
      <c r="E664" s="19"/>
      <c r="F664" s="19"/>
      <c r="G664" s="21"/>
      <c r="H664" s="21"/>
      <c r="I664" s="21"/>
      <c r="J664" s="21"/>
      <c r="K664" s="19"/>
      <c r="L664" s="19"/>
      <c r="M664" s="22"/>
      <c r="N664" s="19"/>
      <c r="O664" s="19"/>
      <c r="P664" s="23"/>
      <c r="Q664" s="21" t="s">
        <v>46</v>
      </c>
      <c r="R664" s="19" t="s">
        <v>47</v>
      </c>
      <c r="S664" s="21"/>
      <c r="T664" s="32"/>
      <c r="U664" s="21"/>
      <c r="V664" s="7"/>
      <c r="W664" s="7"/>
      <c r="X664" s="7"/>
      <c r="Y664" s="7"/>
    </row>
    <row r="665" spans="1:25" ht="14.25" customHeight="1" x14ac:dyDescent="0.3">
      <c r="A665" s="18">
        <v>165.4</v>
      </c>
      <c r="B665" s="19"/>
      <c r="C665" s="19"/>
      <c r="D665" s="19"/>
      <c r="E665" s="19"/>
      <c r="F665" s="19"/>
      <c r="G665" s="21"/>
      <c r="H665" s="21"/>
      <c r="I665" s="21"/>
      <c r="J665" s="21"/>
      <c r="K665" s="19"/>
      <c r="L665" s="19"/>
      <c r="M665" s="22"/>
      <c r="N665" s="19"/>
      <c r="O665" s="19"/>
      <c r="P665" s="23"/>
      <c r="Q665" s="21" t="s">
        <v>46</v>
      </c>
      <c r="R665" s="19" t="s">
        <v>47</v>
      </c>
      <c r="S665" s="21"/>
      <c r="T665" s="32"/>
      <c r="U665" s="21"/>
      <c r="V665" s="7"/>
      <c r="W665" s="7"/>
      <c r="X665" s="7"/>
      <c r="Y665" s="7"/>
    </row>
    <row r="666" spans="1:25" ht="14.25" customHeight="1" x14ac:dyDescent="0.3">
      <c r="A666" s="18">
        <v>166.1</v>
      </c>
      <c r="B666" s="19"/>
      <c r="C666" s="19"/>
      <c r="D666" s="19"/>
      <c r="E666" s="19"/>
      <c r="F666" s="19"/>
      <c r="G666" s="21"/>
      <c r="H666" s="21"/>
      <c r="I666" s="21"/>
      <c r="J666" s="21"/>
      <c r="K666" s="19"/>
      <c r="L666" s="19"/>
      <c r="M666" s="22"/>
      <c r="N666" s="19"/>
      <c r="O666" s="19"/>
      <c r="P666" s="23"/>
      <c r="Q666" s="21" t="s">
        <v>46</v>
      </c>
      <c r="R666" s="19" t="s">
        <v>47</v>
      </c>
      <c r="S666" s="21"/>
      <c r="T666" s="32"/>
      <c r="U666" s="21"/>
      <c r="V666" s="7"/>
      <c r="W666" s="7"/>
      <c r="X666" s="7"/>
      <c r="Y666" s="7"/>
    </row>
    <row r="667" spans="1:25" ht="14.25" customHeight="1" x14ac:dyDescent="0.3">
      <c r="A667" s="18">
        <v>166.2</v>
      </c>
      <c r="B667" s="19"/>
      <c r="C667" s="19"/>
      <c r="D667" s="19"/>
      <c r="E667" s="19"/>
      <c r="F667" s="19"/>
      <c r="G667" s="21"/>
      <c r="H667" s="21"/>
      <c r="I667" s="21"/>
      <c r="J667" s="21"/>
      <c r="K667" s="19"/>
      <c r="L667" s="19"/>
      <c r="M667" s="22"/>
      <c r="N667" s="19"/>
      <c r="O667" s="19"/>
      <c r="P667" s="23"/>
      <c r="Q667" s="21" t="s">
        <v>46</v>
      </c>
      <c r="R667" s="19" t="s">
        <v>47</v>
      </c>
      <c r="S667" s="21"/>
      <c r="T667" s="32"/>
      <c r="U667" s="21"/>
      <c r="V667" s="7"/>
      <c r="W667" s="7"/>
      <c r="X667" s="7"/>
      <c r="Y667" s="7"/>
    </row>
    <row r="668" spans="1:25" ht="14.25" customHeight="1" x14ac:dyDescent="0.3">
      <c r="A668" s="18">
        <v>166.3</v>
      </c>
      <c r="B668" s="19"/>
      <c r="C668" s="19"/>
      <c r="D668" s="19"/>
      <c r="E668" s="19"/>
      <c r="F668" s="19"/>
      <c r="G668" s="21"/>
      <c r="H668" s="21"/>
      <c r="I668" s="21"/>
      <c r="J668" s="21"/>
      <c r="K668" s="19"/>
      <c r="L668" s="19"/>
      <c r="M668" s="22"/>
      <c r="N668" s="19"/>
      <c r="O668" s="19"/>
      <c r="P668" s="23"/>
      <c r="Q668" s="21" t="s">
        <v>46</v>
      </c>
      <c r="R668" s="19" t="s">
        <v>47</v>
      </c>
      <c r="S668" s="21"/>
      <c r="T668" s="32"/>
      <c r="U668" s="21"/>
      <c r="V668" s="7"/>
      <c r="W668" s="7"/>
      <c r="X668" s="7"/>
      <c r="Y668" s="7"/>
    </row>
    <row r="669" spans="1:25" ht="14.25" customHeight="1" x14ac:dyDescent="0.3">
      <c r="A669" s="18">
        <v>166.4</v>
      </c>
      <c r="B669" s="19"/>
      <c r="C669" s="19"/>
      <c r="D669" s="19"/>
      <c r="E669" s="19"/>
      <c r="F669" s="19"/>
      <c r="G669" s="21"/>
      <c r="H669" s="21"/>
      <c r="I669" s="21"/>
      <c r="J669" s="21"/>
      <c r="K669" s="19"/>
      <c r="L669" s="19"/>
      <c r="M669" s="22"/>
      <c r="N669" s="19"/>
      <c r="O669" s="19"/>
      <c r="P669" s="23"/>
      <c r="Q669" s="21" t="s">
        <v>46</v>
      </c>
      <c r="R669" s="19" t="s">
        <v>47</v>
      </c>
      <c r="S669" s="21"/>
      <c r="T669" s="32"/>
      <c r="U669" s="21"/>
      <c r="V669" s="7"/>
      <c r="W669" s="7"/>
      <c r="X669" s="7"/>
      <c r="Y669" s="7"/>
    </row>
    <row r="670" spans="1:25" ht="14.25" customHeight="1" x14ac:dyDescent="0.3">
      <c r="A670" s="18">
        <v>167.1</v>
      </c>
      <c r="B670" s="19"/>
      <c r="C670" s="19"/>
      <c r="D670" s="19"/>
      <c r="E670" s="19"/>
      <c r="F670" s="19"/>
      <c r="G670" s="21"/>
      <c r="H670" s="21"/>
      <c r="I670" s="21"/>
      <c r="J670" s="21"/>
      <c r="K670" s="19"/>
      <c r="L670" s="19"/>
      <c r="M670" s="22"/>
      <c r="N670" s="19"/>
      <c r="O670" s="19"/>
      <c r="P670" s="23"/>
      <c r="Q670" s="21" t="s">
        <v>46</v>
      </c>
      <c r="R670" s="19" t="s">
        <v>47</v>
      </c>
      <c r="S670" s="21"/>
      <c r="T670" s="32"/>
      <c r="U670" s="21"/>
      <c r="V670" s="7"/>
      <c r="W670" s="7"/>
      <c r="X670" s="7"/>
      <c r="Y670" s="7"/>
    </row>
    <row r="671" spans="1:25" ht="14.25" customHeight="1" x14ac:dyDescent="0.3">
      <c r="A671" s="18">
        <v>167.2</v>
      </c>
      <c r="B671" s="19"/>
      <c r="C671" s="19"/>
      <c r="D671" s="19"/>
      <c r="E671" s="19"/>
      <c r="F671" s="19"/>
      <c r="G671" s="21"/>
      <c r="H671" s="21"/>
      <c r="I671" s="21"/>
      <c r="J671" s="21"/>
      <c r="K671" s="19"/>
      <c r="L671" s="19"/>
      <c r="M671" s="22"/>
      <c r="N671" s="19"/>
      <c r="O671" s="19"/>
      <c r="P671" s="23"/>
      <c r="Q671" s="21" t="s">
        <v>46</v>
      </c>
      <c r="R671" s="19" t="s">
        <v>47</v>
      </c>
      <c r="S671" s="21"/>
      <c r="T671" s="32"/>
      <c r="U671" s="21"/>
      <c r="V671" s="7"/>
      <c r="W671" s="7"/>
      <c r="X671" s="7"/>
      <c r="Y671" s="7"/>
    </row>
    <row r="672" spans="1:25" ht="14.25" customHeight="1" x14ac:dyDescent="0.3">
      <c r="A672" s="18">
        <v>167.3</v>
      </c>
      <c r="B672" s="19"/>
      <c r="C672" s="19"/>
      <c r="D672" s="19"/>
      <c r="E672" s="19"/>
      <c r="F672" s="19"/>
      <c r="G672" s="21"/>
      <c r="H672" s="21"/>
      <c r="I672" s="21"/>
      <c r="J672" s="21"/>
      <c r="K672" s="19"/>
      <c r="L672" s="19"/>
      <c r="M672" s="22"/>
      <c r="N672" s="19"/>
      <c r="O672" s="19"/>
      <c r="P672" s="23"/>
      <c r="Q672" s="21" t="s">
        <v>46</v>
      </c>
      <c r="R672" s="19" t="s">
        <v>47</v>
      </c>
      <c r="S672" s="21"/>
      <c r="T672" s="32"/>
      <c r="U672" s="21"/>
      <c r="V672" s="7"/>
      <c r="W672" s="7"/>
      <c r="X672" s="7"/>
      <c r="Y672" s="7"/>
    </row>
    <row r="673" spans="1:25" ht="14.25" customHeight="1" x14ac:dyDescent="0.3">
      <c r="A673" s="18">
        <v>167.4</v>
      </c>
      <c r="B673" s="19"/>
      <c r="C673" s="19"/>
      <c r="D673" s="19"/>
      <c r="E673" s="19"/>
      <c r="F673" s="19"/>
      <c r="G673" s="21"/>
      <c r="H673" s="21"/>
      <c r="I673" s="21"/>
      <c r="J673" s="21"/>
      <c r="K673" s="19"/>
      <c r="L673" s="19"/>
      <c r="M673" s="22"/>
      <c r="N673" s="19"/>
      <c r="O673" s="19"/>
      <c r="P673" s="23"/>
      <c r="Q673" s="21" t="s">
        <v>46</v>
      </c>
      <c r="R673" s="19" t="s">
        <v>47</v>
      </c>
      <c r="S673" s="21"/>
      <c r="T673" s="32"/>
      <c r="U673" s="21"/>
      <c r="V673" s="7"/>
      <c r="W673" s="7"/>
      <c r="X673" s="7"/>
      <c r="Y673" s="7"/>
    </row>
    <row r="674" spans="1:25" ht="14.25" customHeight="1" x14ac:dyDescent="0.3">
      <c r="A674" s="18">
        <v>168.1</v>
      </c>
      <c r="B674" s="19"/>
      <c r="C674" s="19"/>
      <c r="D674" s="19"/>
      <c r="E674" s="19"/>
      <c r="F674" s="19"/>
      <c r="G674" s="21"/>
      <c r="H674" s="21"/>
      <c r="I674" s="21"/>
      <c r="J674" s="21"/>
      <c r="K674" s="19"/>
      <c r="L674" s="19"/>
      <c r="M674" s="22"/>
      <c r="N674" s="19"/>
      <c r="O674" s="19"/>
      <c r="P674" s="23"/>
      <c r="Q674" s="21" t="s">
        <v>46</v>
      </c>
      <c r="R674" s="19" t="s">
        <v>47</v>
      </c>
      <c r="S674" s="21"/>
      <c r="T674" s="32"/>
      <c r="U674" s="21"/>
      <c r="V674" s="7"/>
      <c r="W674" s="7"/>
      <c r="X674" s="7"/>
      <c r="Y674" s="7"/>
    </row>
    <row r="675" spans="1:25" ht="14.25" customHeight="1" x14ac:dyDescent="0.3">
      <c r="A675" s="18">
        <v>168.2</v>
      </c>
      <c r="B675" s="19"/>
      <c r="C675" s="19"/>
      <c r="D675" s="19"/>
      <c r="E675" s="19"/>
      <c r="F675" s="19"/>
      <c r="G675" s="21"/>
      <c r="H675" s="21"/>
      <c r="I675" s="21"/>
      <c r="J675" s="21"/>
      <c r="K675" s="19"/>
      <c r="L675" s="19"/>
      <c r="M675" s="22"/>
      <c r="N675" s="19"/>
      <c r="O675" s="19"/>
      <c r="P675" s="23"/>
      <c r="Q675" s="21" t="s">
        <v>46</v>
      </c>
      <c r="R675" s="19" t="s">
        <v>47</v>
      </c>
      <c r="S675" s="21"/>
      <c r="T675" s="32"/>
      <c r="U675" s="21"/>
      <c r="V675" s="7"/>
      <c r="W675" s="7"/>
      <c r="X675" s="7"/>
      <c r="Y675" s="7"/>
    </row>
    <row r="676" spans="1:25" ht="14.25" customHeight="1" x14ac:dyDescent="0.3">
      <c r="A676" s="18">
        <v>168.3</v>
      </c>
      <c r="B676" s="19"/>
      <c r="C676" s="19"/>
      <c r="D676" s="19"/>
      <c r="E676" s="19"/>
      <c r="F676" s="19"/>
      <c r="G676" s="21"/>
      <c r="H676" s="21"/>
      <c r="I676" s="21"/>
      <c r="J676" s="21"/>
      <c r="K676" s="19"/>
      <c r="L676" s="19"/>
      <c r="M676" s="22"/>
      <c r="N676" s="19"/>
      <c r="O676" s="19"/>
      <c r="P676" s="23"/>
      <c r="Q676" s="21" t="s">
        <v>46</v>
      </c>
      <c r="R676" s="19" t="s">
        <v>47</v>
      </c>
      <c r="S676" s="21"/>
      <c r="T676" s="32"/>
      <c r="U676" s="21"/>
      <c r="V676" s="7"/>
      <c r="W676" s="7"/>
      <c r="X676" s="7"/>
      <c r="Y676" s="7"/>
    </row>
    <row r="677" spans="1:25" ht="14.25" customHeight="1" x14ac:dyDescent="0.3">
      <c r="A677" s="18">
        <v>168.4</v>
      </c>
      <c r="B677" s="19"/>
      <c r="C677" s="19"/>
      <c r="D677" s="19"/>
      <c r="E677" s="19"/>
      <c r="F677" s="19"/>
      <c r="G677" s="21"/>
      <c r="H677" s="21"/>
      <c r="I677" s="21"/>
      <c r="J677" s="21"/>
      <c r="K677" s="19"/>
      <c r="L677" s="19"/>
      <c r="M677" s="22"/>
      <c r="N677" s="19"/>
      <c r="O677" s="19"/>
      <c r="P677" s="23"/>
      <c r="Q677" s="21" t="s">
        <v>46</v>
      </c>
      <c r="R677" s="19" t="s">
        <v>47</v>
      </c>
      <c r="S677" s="21"/>
      <c r="T677" s="32"/>
      <c r="U677" s="21"/>
      <c r="V677" s="7"/>
      <c r="W677" s="7"/>
      <c r="X677" s="7"/>
      <c r="Y677" s="7"/>
    </row>
    <row r="678" spans="1:25" ht="14.25" customHeight="1" x14ac:dyDescent="0.3">
      <c r="A678" s="18">
        <v>169.1</v>
      </c>
      <c r="B678" s="19"/>
      <c r="C678" s="19"/>
      <c r="D678" s="19"/>
      <c r="E678" s="19"/>
      <c r="F678" s="19"/>
      <c r="G678" s="21"/>
      <c r="H678" s="21"/>
      <c r="I678" s="21"/>
      <c r="J678" s="21"/>
      <c r="K678" s="19"/>
      <c r="L678" s="19"/>
      <c r="M678" s="22"/>
      <c r="N678" s="19"/>
      <c r="O678" s="19"/>
      <c r="P678" s="23"/>
      <c r="Q678" s="21" t="s">
        <v>46</v>
      </c>
      <c r="R678" s="19" t="s">
        <v>47</v>
      </c>
      <c r="S678" s="21"/>
      <c r="T678" s="32"/>
      <c r="U678" s="21"/>
      <c r="V678" s="7"/>
      <c r="W678" s="7"/>
      <c r="X678" s="7"/>
      <c r="Y678" s="7"/>
    </row>
    <row r="679" spans="1:25" ht="14.25" customHeight="1" x14ac:dyDescent="0.3">
      <c r="A679" s="18">
        <v>169.2</v>
      </c>
      <c r="B679" s="19"/>
      <c r="C679" s="19"/>
      <c r="D679" s="19"/>
      <c r="E679" s="19"/>
      <c r="F679" s="19"/>
      <c r="G679" s="21"/>
      <c r="H679" s="21"/>
      <c r="I679" s="21"/>
      <c r="J679" s="21"/>
      <c r="K679" s="19"/>
      <c r="L679" s="19"/>
      <c r="M679" s="22"/>
      <c r="N679" s="19"/>
      <c r="O679" s="19"/>
      <c r="P679" s="23"/>
      <c r="Q679" s="21" t="s">
        <v>46</v>
      </c>
      <c r="R679" s="19" t="s">
        <v>47</v>
      </c>
      <c r="S679" s="21"/>
      <c r="T679" s="32"/>
      <c r="U679" s="21"/>
      <c r="V679" s="7"/>
      <c r="W679" s="7"/>
      <c r="X679" s="7"/>
      <c r="Y679" s="7"/>
    </row>
    <row r="680" spans="1:25" ht="14.25" customHeight="1" x14ac:dyDescent="0.3">
      <c r="A680" s="18">
        <v>169.3</v>
      </c>
      <c r="B680" s="19"/>
      <c r="C680" s="19"/>
      <c r="D680" s="19"/>
      <c r="E680" s="19"/>
      <c r="F680" s="19"/>
      <c r="G680" s="21"/>
      <c r="H680" s="21"/>
      <c r="I680" s="21"/>
      <c r="J680" s="21"/>
      <c r="K680" s="19"/>
      <c r="L680" s="19"/>
      <c r="M680" s="22"/>
      <c r="N680" s="19"/>
      <c r="O680" s="19"/>
      <c r="P680" s="23"/>
      <c r="Q680" s="21" t="s">
        <v>46</v>
      </c>
      <c r="R680" s="19" t="s">
        <v>47</v>
      </c>
      <c r="S680" s="21"/>
      <c r="T680" s="32"/>
      <c r="U680" s="21"/>
      <c r="V680" s="7"/>
      <c r="W680" s="7"/>
      <c r="X680" s="7"/>
      <c r="Y680" s="7"/>
    </row>
    <row r="681" spans="1:25" ht="14.25" customHeight="1" x14ac:dyDescent="0.3">
      <c r="A681" s="18">
        <v>169.4</v>
      </c>
      <c r="B681" s="19"/>
      <c r="C681" s="19"/>
      <c r="D681" s="19"/>
      <c r="E681" s="19"/>
      <c r="F681" s="19"/>
      <c r="G681" s="21"/>
      <c r="H681" s="21"/>
      <c r="I681" s="21"/>
      <c r="J681" s="21"/>
      <c r="K681" s="19"/>
      <c r="L681" s="19"/>
      <c r="M681" s="22"/>
      <c r="N681" s="19"/>
      <c r="O681" s="19"/>
      <c r="P681" s="23"/>
      <c r="Q681" s="21" t="s">
        <v>46</v>
      </c>
      <c r="R681" s="19" t="s">
        <v>47</v>
      </c>
      <c r="S681" s="21"/>
      <c r="T681" s="32"/>
      <c r="U681" s="21"/>
      <c r="V681" s="7"/>
      <c r="W681" s="7"/>
      <c r="X681" s="7"/>
      <c r="Y681" s="7"/>
    </row>
    <row r="682" spans="1:25" ht="14.25" customHeight="1" x14ac:dyDescent="0.3">
      <c r="A682" s="18">
        <v>170.1</v>
      </c>
      <c r="B682" s="19"/>
      <c r="C682" s="19"/>
      <c r="D682" s="19"/>
      <c r="E682" s="19"/>
      <c r="F682" s="19"/>
      <c r="G682" s="21"/>
      <c r="H682" s="21"/>
      <c r="I682" s="21"/>
      <c r="J682" s="21"/>
      <c r="K682" s="19"/>
      <c r="L682" s="19"/>
      <c r="M682" s="22"/>
      <c r="N682" s="19"/>
      <c r="O682" s="19"/>
      <c r="P682" s="23"/>
      <c r="Q682" s="21" t="s">
        <v>46</v>
      </c>
      <c r="R682" s="19" t="s">
        <v>47</v>
      </c>
      <c r="S682" s="21"/>
      <c r="T682" s="32"/>
      <c r="U682" s="21"/>
      <c r="V682" s="7"/>
      <c r="W682" s="7"/>
      <c r="X682" s="7"/>
      <c r="Y682" s="7"/>
    </row>
    <row r="683" spans="1:25" ht="14.25" customHeight="1" x14ac:dyDescent="0.3">
      <c r="A683" s="18">
        <v>170.2</v>
      </c>
      <c r="B683" s="19"/>
      <c r="C683" s="19"/>
      <c r="D683" s="19"/>
      <c r="E683" s="19"/>
      <c r="F683" s="19"/>
      <c r="G683" s="21"/>
      <c r="H683" s="21"/>
      <c r="I683" s="21"/>
      <c r="J683" s="21"/>
      <c r="K683" s="19"/>
      <c r="L683" s="19"/>
      <c r="M683" s="22"/>
      <c r="N683" s="19"/>
      <c r="O683" s="19"/>
      <c r="P683" s="23"/>
      <c r="Q683" s="21" t="s">
        <v>46</v>
      </c>
      <c r="R683" s="19" t="s">
        <v>47</v>
      </c>
      <c r="S683" s="21"/>
      <c r="T683" s="32"/>
      <c r="U683" s="21"/>
      <c r="V683" s="7"/>
      <c r="W683" s="7"/>
      <c r="X683" s="7"/>
      <c r="Y683" s="7"/>
    </row>
    <row r="684" spans="1:25" ht="14.25" customHeight="1" x14ac:dyDescent="0.3">
      <c r="A684" s="18">
        <v>170.3</v>
      </c>
      <c r="B684" s="19"/>
      <c r="C684" s="19"/>
      <c r="D684" s="19"/>
      <c r="E684" s="19"/>
      <c r="F684" s="19"/>
      <c r="G684" s="21"/>
      <c r="H684" s="21"/>
      <c r="I684" s="21"/>
      <c r="J684" s="21"/>
      <c r="K684" s="19"/>
      <c r="L684" s="19"/>
      <c r="M684" s="22"/>
      <c r="N684" s="19"/>
      <c r="O684" s="19"/>
      <c r="P684" s="23"/>
      <c r="Q684" s="21" t="s">
        <v>46</v>
      </c>
      <c r="R684" s="19" t="s">
        <v>47</v>
      </c>
      <c r="S684" s="21"/>
      <c r="T684" s="32"/>
      <c r="U684" s="21"/>
      <c r="V684" s="7"/>
      <c r="W684" s="7"/>
      <c r="X684" s="7"/>
      <c r="Y684" s="7"/>
    </row>
    <row r="685" spans="1:25" ht="14.25" customHeight="1" x14ac:dyDescent="0.3">
      <c r="A685" s="18">
        <v>170.4</v>
      </c>
      <c r="B685" s="19"/>
      <c r="C685" s="19"/>
      <c r="D685" s="19"/>
      <c r="E685" s="19"/>
      <c r="F685" s="19"/>
      <c r="G685" s="21"/>
      <c r="H685" s="21"/>
      <c r="I685" s="21"/>
      <c r="J685" s="21"/>
      <c r="K685" s="19"/>
      <c r="L685" s="19"/>
      <c r="M685" s="22"/>
      <c r="N685" s="19"/>
      <c r="O685" s="19"/>
      <c r="P685" s="23"/>
      <c r="Q685" s="21" t="s">
        <v>46</v>
      </c>
      <c r="R685" s="19" t="s">
        <v>47</v>
      </c>
      <c r="S685" s="21"/>
      <c r="T685" s="32"/>
      <c r="U685" s="21"/>
      <c r="V685" s="7"/>
      <c r="W685" s="7"/>
      <c r="X685" s="7"/>
      <c r="Y685" s="7"/>
    </row>
    <row r="686" spans="1:25" ht="14.25" customHeight="1" x14ac:dyDescent="0.3">
      <c r="A686" s="18">
        <v>171.1</v>
      </c>
      <c r="B686" s="19"/>
      <c r="C686" s="19"/>
      <c r="D686" s="19"/>
      <c r="E686" s="19"/>
      <c r="F686" s="19"/>
      <c r="G686" s="21"/>
      <c r="H686" s="21"/>
      <c r="I686" s="21"/>
      <c r="J686" s="21"/>
      <c r="K686" s="19"/>
      <c r="L686" s="19"/>
      <c r="M686" s="22"/>
      <c r="N686" s="19"/>
      <c r="O686" s="19"/>
      <c r="P686" s="23"/>
      <c r="Q686" s="21" t="s">
        <v>46</v>
      </c>
      <c r="R686" s="19" t="s">
        <v>47</v>
      </c>
      <c r="S686" s="21"/>
      <c r="T686" s="32"/>
      <c r="U686" s="21"/>
      <c r="V686" s="7"/>
      <c r="W686" s="7"/>
      <c r="X686" s="7"/>
      <c r="Y686" s="7"/>
    </row>
    <row r="687" spans="1:25" ht="14.25" customHeight="1" x14ac:dyDescent="0.3">
      <c r="A687" s="18">
        <v>171.2</v>
      </c>
      <c r="B687" s="19"/>
      <c r="C687" s="19"/>
      <c r="D687" s="19"/>
      <c r="E687" s="19"/>
      <c r="F687" s="19"/>
      <c r="G687" s="21"/>
      <c r="H687" s="21"/>
      <c r="I687" s="21"/>
      <c r="J687" s="21"/>
      <c r="K687" s="19"/>
      <c r="L687" s="19"/>
      <c r="M687" s="22"/>
      <c r="N687" s="19"/>
      <c r="O687" s="19"/>
      <c r="P687" s="23"/>
      <c r="Q687" s="21" t="s">
        <v>46</v>
      </c>
      <c r="R687" s="19" t="s">
        <v>47</v>
      </c>
      <c r="S687" s="21"/>
      <c r="T687" s="32"/>
      <c r="U687" s="21"/>
      <c r="V687" s="7"/>
      <c r="W687" s="7"/>
      <c r="X687" s="7"/>
      <c r="Y687" s="7"/>
    </row>
    <row r="688" spans="1:25" ht="14.25" customHeight="1" x14ac:dyDescent="0.3">
      <c r="A688" s="18">
        <v>171.3</v>
      </c>
      <c r="B688" s="19"/>
      <c r="C688" s="19"/>
      <c r="D688" s="19"/>
      <c r="E688" s="19"/>
      <c r="F688" s="19"/>
      <c r="G688" s="21"/>
      <c r="H688" s="21"/>
      <c r="I688" s="21"/>
      <c r="J688" s="21"/>
      <c r="K688" s="19"/>
      <c r="L688" s="19"/>
      <c r="M688" s="22"/>
      <c r="N688" s="19"/>
      <c r="O688" s="19"/>
      <c r="P688" s="23"/>
      <c r="Q688" s="21" t="s">
        <v>46</v>
      </c>
      <c r="R688" s="19" t="s">
        <v>47</v>
      </c>
      <c r="S688" s="21"/>
      <c r="T688" s="32"/>
      <c r="U688" s="21"/>
      <c r="V688" s="7"/>
      <c r="W688" s="7"/>
      <c r="X688" s="7"/>
      <c r="Y688" s="7"/>
    </row>
    <row r="689" spans="1:25" ht="14.25" customHeight="1" x14ac:dyDescent="0.3">
      <c r="A689" s="18">
        <v>171.4</v>
      </c>
      <c r="B689" s="19"/>
      <c r="C689" s="19"/>
      <c r="D689" s="19"/>
      <c r="E689" s="19"/>
      <c r="F689" s="19"/>
      <c r="G689" s="21"/>
      <c r="H689" s="21"/>
      <c r="I689" s="21"/>
      <c r="J689" s="21"/>
      <c r="K689" s="19"/>
      <c r="L689" s="19"/>
      <c r="M689" s="22"/>
      <c r="N689" s="19"/>
      <c r="O689" s="19"/>
      <c r="P689" s="23"/>
      <c r="Q689" s="21" t="s">
        <v>46</v>
      </c>
      <c r="R689" s="19" t="s">
        <v>47</v>
      </c>
      <c r="S689" s="21"/>
      <c r="T689" s="32"/>
      <c r="U689" s="21"/>
      <c r="V689" s="7"/>
      <c r="W689" s="7"/>
      <c r="X689" s="7"/>
      <c r="Y689" s="7"/>
    </row>
    <row r="690" spans="1:25" ht="14.25" customHeight="1" x14ac:dyDescent="0.3">
      <c r="A690" s="18">
        <v>172.1</v>
      </c>
      <c r="B690" s="19"/>
      <c r="C690" s="19"/>
      <c r="D690" s="19"/>
      <c r="E690" s="19"/>
      <c r="F690" s="19"/>
      <c r="G690" s="21"/>
      <c r="H690" s="21"/>
      <c r="I690" s="21"/>
      <c r="J690" s="21"/>
      <c r="K690" s="19"/>
      <c r="L690" s="19"/>
      <c r="M690" s="22"/>
      <c r="N690" s="19"/>
      <c r="O690" s="19"/>
      <c r="P690" s="23"/>
      <c r="Q690" s="21" t="s">
        <v>46</v>
      </c>
      <c r="R690" s="19" t="s">
        <v>47</v>
      </c>
      <c r="S690" s="21"/>
      <c r="T690" s="32"/>
      <c r="U690" s="21"/>
      <c r="V690" s="7"/>
      <c r="W690" s="7"/>
      <c r="X690" s="7"/>
      <c r="Y690" s="7"/>
    </row>
    <row r="691" spans="1:25" ht="14.25" customHeight="1" x14ac:dyDescent="0.3">
      <c r="A691" s="18">
        <v>172.2</v>
      </c>
      <c r="B691" s="19"/>
      <c r="C691" s="19"/>
      <c r="D691" s="19"/>
      <c r="E691" s="19"/>
      <c r="F691" s="19"/>
      <c r="G691" s="21"/>
      <c r="H691" s="21"/>
      <c r="I691" s="21"/>
      <c r="J691" s="21"/>
      <c r="K691" s="19"/>
      <c r="L691" s="19"/>
      <c r="M691" s="22"/>
      <c r="N691" s="19"/>
      <c r="O691" s="19"/>
      <c r="P691" s="23"/>
      <c r="Q691" s="21" t="s">
        <v>46</v>
      </c>
      <c r="R691" s="19" t="s">
        <v>47</v>
      </c>
      <c r="S691" s="21"/>
      <c r="T691" s="32"/>
      <c r="U691" s="21"/>
      <c r="V691" s="7"/>
      <c r="W691" s="7"/>
      <c r="X691" s="7"/>
      <c r="Y691" s="7"/>
    </row>
    <row r="692" spans="1:25" ht="14.25" customHeight="1" x14ac:dyDescent="0.3">
      <c r="A692" s="18">
        <v>172.3</v>
      </c>
      <c r="B692" s="19"/>
      <c r="C692" s="19"/>
      <c r="D692" s="19"/>
      <c r="E692" s="19"/>
      <c r="F692" s="19"/>
      <c r="G692" s="21"/>
      <c r="H692" s="21"/>
      <c r="I692" s="21"/>
      <c r="J692" s="21"/>
      <c r="K692" s="19"/>
      <c r="L692" s="19"/>
      <c r="M692" s="22"/>
      <c r="N692" s="19"/>
      <c r="O692" s="19"/>
      <c r="P692" s="23"/>
      <c r="Q692" s="21" t="s">
        <v>46</v>
      </c>
      <c r="R692" s="19" t="s">
        <v>47</v>
      </c>
      <c r="S692" s="21"/>
      <c r="T692" s="32"/>
      <c r="U692" s="21"/>
      <c r="V692" s="7"/>
      <c r="W692" s="7"/>
      <c r="X692" s="7"/>
      <c r="Y692" s="7"/>
    </row>
    <row r="693" spans="1:25" ht="14.25" customHeight="1" x14ac:dyDescent="0.3">
      <c r="A693" s="18">
        <v>172.4</v>
      </c>
      <c r="B693" s="19"/>
      <c r="C693" s="19"/>
      <c r="D693" s="19"/>
      <c r="E693" s="19"/>
      <c r="F693" s="19"/>
      <c r="G693" s="21"/>
      <c r="H693" s="21"/>
      <c r="I693" s="21"/>
      <c r="J693" s="21"/>
      <c r="K693" s="19"/>
      <c r="L693" s="19"/>
      <c r="M693" s="22"/>
      <c r="N693" s="19"/>
      <c r="O693" s="19"/>
      <c r="P693" s="23"/>
      <c r="Q693" s="21" t="s">
        <v>46</v>
      </c>
      <c r="R693" s="19" t="s">
        <v>47</v>
      </c>
      <c r="S693" s="21"/>
      <c r="T693" s="32"/>
      <c r="U693" s="21"/>
      <c r="V693" s="7"/>
      <c r="W693" s="7"/>
      <c r="X693" s="7"/>
      <c r="Y693" s="7"/>
    </row>
    <row r="694" spans="1:25" ht="14.25" customHeight="1" x14ac:dyDescent="0.3">
      <c r="A694" s="18">
        <v>173.1</v>
      </c>
      <c r="B694" s="19"/>
      <c r="C694" s="19"/>
      <c r="D694" s="19"/>
      <c r="E694" s="19"/>
      <c r="F694" s="19"/>
      <c r="G694" s="21"/>
      <c r="H694" s="21"/>
      <c r="I694" s="21"/>
      <c r="J694" s="21"/>
      <c r="K694" s="19"/>
      <c r="L694" s="19"/>
      <c r="M694" s="22"/>
      <c r="N694" s="19"/>
      <c r="O694" s="19"/>
      <c r="P694" s="23"/>
      <c r="Q694" s="21" t="s">
        <v>46</v>
      </c>
      <c r="R694" s="19" t="s">
        <v>47</v>
      </c>
      <c r="S694" s="21"/>
      <c r="T694" s="32"/>
      <c r="U694" s="21"/>
      <c r="V694" s="7"/>
      <c r="W694" s="7"/>
      <c r="X694" s="7"/>
      <c r="Y694" s="7"/>
    </row>
    <row r="695" spans="1:25" ht="14.25" customHeight="1" x14ac:dyDescent="0.3">
      <c r="A695" s="18">
        <v>173.2</v>
      </c>
      <c r="B695" s="19"/>
      <c r="C695" s="19"/>
      <c r="D695" s="19"/>
      <c r="E695" s="19"/>
      <c r="F695" s="19"/>
      <c r="G695" s="21"/>
      <c r="H695" s="21"/>
      <c r="I695" s="21"/>
      <c r="J695" s="21"/>
      <c r="K695" s="19"/>
      <c r="L695" s="19"/>
      <c r="M695" s="22"/>
      <c r="N695" s="19"/>
      <c r="O695" s="19"/>
      <c r="P695" s="23"/>
      <c r="Q695" s="21" t="s">
        <v>46</v>
      </c>
      <c r="R695" s="19" t="s">
        <v>47</v>
      </c>
      <c r="S695" s="21"/>
      <c r="T695" s="32"/>
      <c r="U695" s="21"/>
      <c r="V695" s="7"/>
      <c r="W695" s="7"/>
      <c r="X695" s="7"/>
      <c r="Y695" s="7"/>
    </row>
    <row r="696" spans="1:25" ht="14.25" customHeight="1" x14ac:dyDescent="0.3">
      <c r="A696" s="18">
        <v>173.3</v>
      </c>
      <c r="B696" s="19"/>
      <c r="C696" s="19"/>
      <c r="D696" s="19"/>
      <c r="E696" s="19"/>
      <c r="F696" s="19"/>
      <c r="G696" s="21"/>
      <c r="H696" s="21"/>
      <c r="I696" s="21"/>
      <c r="J696" s="21"/>
      <c r="K696" s="19"/>
      <c r="L696" s="19"/>
      <c r="M696" s="22"/>
      <c r="N696" s="19"/>
      <c r="O696" s="19"/>
      <c r="P696" s="23"/>
      <c r="Q696" s="21" t="s">
        <v>46</v>
      </c>
      <c r="R696" s="19" t="s">
        <v>47</v>
      </c>
      <c r="S696" s="21"/>
      <c r="T696" s="32"/>
      <c r="U696" s="21"/>
      <c r="V696" s="7"/>
      <c r="W696" s="7"/>
      <c r="X696" s="7"/>
      <c r="Y696" s="7"/>
    </row>
    <row r="697" spans="1:25" ht="14.25" customHeight="1" x14ac:dyDescent="0.3">
      <c r="A697" s="18">
        <v>173.4</v>
      </c>
      <c r="B697" s="19"/>
      <c r="C697" s="19"/>
      <c r="D697" s="19"/>
      <c r="E697" s="19"/>
      <c r="F697" s="19"/>
      <c r="G697" s="21"/>
      <c r="H697" s="21"/>
      <c r="I697" s="21"/>
      <c r="J697" s="21"/>
      <c r="K697" s="19"/>
      <c r="L697" s="19"/>
      <c r="M697" s="22"/>
      <c r="N697" s="19"/>
      <c r="O697" s="19"/>
      <c r="P697" s="23"/>
      <c r="Q697" s="21" t="s">
        <v>46</v>
      </c>
      <c r="R697" s="19" t="s">
        <v>47</v>
      </c>
      <c r="S697" s="21"/>
      <c r="T697" s="32"/>
      <c r="U697" s="21"/>
      <c r="V697" s="7"/>
      <c r="W697" s="7"/>
      <c r="X697" s="7"/>
      <c r="Y697" s="7"/>
    </row>
    <row r="698" spans="1:25" ht="14.25" customHeight="1" x14ac:dyDescent="0.3">
      <c r="A698" s="18">
        <v>174.1</v>
      </c>
      <c r="B698" s="19"/>
      <c r="C698" s="19"/>
      <c r="D698" s="19"/>
      <c r="E698" s="19"/>
      <c r="F698" s="19"/>
      <c r="G698" s="21"/>
      <c r="H698" s="21"/>
      <c r="I698" s="21"/>
      <c r="J698" s="21"/>
      <c r="K698" s="19"/>
      <c r="L698" s="19"/>
      <c r="M698" s="22"/>
      <c r="N698" s="19"/>
      <c r="O698" s="19"/>
      <c r="P698" s="23"/>
      <c r="Q698" s="21" t="s">
        <v>46</v>
      </c>
      <c r="R698" s="19" t="s">
        <v>47</v>
      </c>
      <c r="S698" s="21"/>
      <c r="T698" s="32"/>
      <c r="U698" s="21"/>
      <c r="V698" s="7"/>
      <c r="W698" s="7"/>
      <c r="X698" s="7"/>
      <c r="Y698" s="7"/>
    </row>
    <row r="699" spans="1:25" ht="14.25" customHeight="1" x14ac:dyDescent="0.3">
      <c r="A699" s="18">
        <v>174.2</v>
      </c>
      <c r="B699" s="19"/>
      <c r="C699" s="19"/>
      <c r="D699" s="19"/>
      <c r="E699" s="19"/>
      <c r="F699" s="19"/>
      <c r="G699" s="21"/>
      <c r="H699" s="21"/>
      <c r="I699" s="21"/>
      <c r="J699" s="21"/>
      <c r="K699" s="19"/>
      <c r="L699" s="19"/>
      <c r="M699" s="22"/>
      <c r="N699" s="19"/>
      <c r="O699" s="19"/>
      <c r="P699" s="23"/>
      <c r="Q699" s="21" t="s">
        <v>46</v>
      </c>
      <c r="R699" s="19" t="s">
        <v>47</v>
      </c>
      <c r="S699" s="21"/>
      <c r="T699" s="32"/>
      <c r="U699" s="21"/>
      <c r="V699" s="7"/>
      <c r="W699" s="7"/>
      <c r="X699" s="7"/>
      <c r="Y699" s="7"/>
    </row>
    <row r="700" spans="1:25" ht="14.25" customHeight="1" x14ac:dyDescent="0.3">
      <c r="A700" s="18">
        <v>174.3</v>
      </c>
      <c r="B700" s="19"/>
      <c r="C700" s="19"/>
      <c r="D700" s="19"/>
      <c r="E700" s="19"/>
      <c r="F700" s="19"/>
      <c r="G700" s="21"/>
      <c r="H700" s="21"/>
      <c r="I700" s="21"/>
      <c r="J700" s="21"/>
      <c r="K700" s="19"/>
      <c r="L700" s="19"/>
      <c r="M700" s="22"/>
      <c r="N700" s="19"/>
      <c r="O700" s="19"/>
      <c r="P700" s="23"/>
      <c r="Q700" s="21" t="s">
        <v>46</v>
      </c>
      <c r="R700" s="19" t="s">
        <v>47</v>
      </c>
      <c r="S700" s="21"/>
      <c r="T700" s="32"/>
      <c r="U700" s="21"/>
      <c r="V700" s="7"/>
      <c r="W700" s="7"/>
      <c r="X700" s="7"/>
      <c r="Y700" s="7"/>
    </row>
    <row r="701" spans="1:25" ht="14.25" customHeight="1" x14ac:dyDescent="0.3">
      <c r="A701" s="18">
        <v>174.4</v>
      </c>
      <c r="B701" s="19"/>
      <c r="C701" s="19"/>
      <c r="D701" s="19"/>
      <c r="E701" s="19"/>
      <c r="F701" s="19"/>
      <c r="G701" s="21"/>
      <c r="H701" s="21"/>
      <c r="I701" s="21"/>
      <c r="J701" s="21"/>
      <c r="K701" s="19"/>
      <c r="L701" s="19"/>
      <c r="M701" s="22"/>
      <c r="N701" s="19"/>
      <c r="O701" s="19"/>
      <c r="P701" s="23"/>
      <c r="Q701" s="21" t="s">
        <v>46</v>
      </c>
      <c r="R701" s="19" t="s">
        <v>47</v>
      </c>
      <c r="S701" s="21"/>
      <c r="T701" s="32"/>
      <c r="U701" s="21"/>
      <c r="V701" s="7"/>
      <c r="W701" s="7"/>
      <c r="X701" s="7"/>
      <c r="Y701" s="7"/>
    </row>
    <row r="702" spans="1:25" ht="14.25" customHeight="1" x14ac:dyDescent="0.3">
      <c r="A702" s="18">
        <v>175.1</v>
      </c>
      <c r="B702" s="19"/>
      <c r="C702" s="19"/>
      <c r="D702" s="19"/>
      <c r="E702" s="19"/>
      <c r="F702" s="19"/>
      <c r="G702" s="21"/>
      <c r="H702" s="21"/>
      <c r="I702" s="21"/>
      <c r="J702" s="21"/>
      <c r="K702" s="19"/>
      <c r="L702" s="19"/>
      <c r="M702" s="22"/>
      <c r="N702" s="19"/>
      <c r="O702" s="19"/>
      <c r="P702" s="23"/>
      <c r="Q702" s="21" t="s">
        <v>46</v>
      </c>
      <c r="R702" s="19" t="s">
        <v>47</v>
      </c>
      <c r="S702" s="21"/>
      <c r="T702" s="32"/>
      <c r="U702" s="21"/>
      <c r="V702" s="7"/>
      <c r="W702" s="7"/>
      <c r="X702" s="7"/>
      <c r="Y702" s="7"/>
    </row>
    <row r="703" spans="1:25" ht="14.25" customHeight="1" x14ac:dyDescent="0.3">
      <c r="A703" s="18">
        <v>175.2</v>
      </c>
      <c r="B703" s="19"/>
      <c r="C703" s="19"/>
      <c r="D703" s="19"/>
      <c r="E703" s="19"/>
      <c r="F703" s="19"/>
      <c r="G703" s="21"/>
      <c r="H703" s="21"/>
      <c r="I703" s="21"/>
      <c r="J703" s="21"/>
      <c r="K703" s="19"/>
      <c r="L703" s="19"/>
      <c r="M703" s="22"/>
      <c r="N703" s="19"/>
      <c r="O703" s="19"/>
      <c r="P703" s="23"/>
      <c r="Q703" s="21" t="s">
        <v>46</v>
      </c>
      <c r="R703" s="19" t="s">
        <v>47</v>
      </c>
      <c r="S703" s="21"/>
      <c r="T703" s="32"/>
      <c r="U703" s="21"/>
      <c r="V703" s="7"/>
      <c r="W703" s="7"/>
      <c r="X703" s="7"/>
      <c r="Y703" s="7"/>
    </row>
    <row r="704" spans="1:25" ht="14.25" customHeight="1" x14ac:dyDescent="0.3">
      <c r="A704" s="18">
        <v>175.3</v>
      </c>
      <c r="B704" s="19"/>
      <c r="C704" s="19"/>
      <c r="D704" s="19"/>
      <c r="E704" s="19"/>
      <c r="F704" s="19"/>
      <c r="G704" s="21"/>
      <c r="H704" s="21"/>
      <c r="I704" s="21"/>
      <c r="J704" s="21"/>
      <c r="K704" s="19"/>
      <c r="L704" s="19"/>
      <c r="M704" s="22"/>
      <c r="N704" s="19"/>
      <c r="O704" s="19"/>
      <c r="P704" s="23"/>
      <c r="Q704" s="21" t="s">
        <v>46</v>
      </c>
      <c r="R704" s="19" t="s">
        <v>47</v>
      </c>
      <c r="S704" s="21"/>
      <c r="T704" s="32"/>
      <c r="U704" s="21"/>
      <c r="V704" s="7"/>
      <c r="W704" s="7"/>
      <c r="X704" s="7"/>
      <c r="Y704" s="7"/>
    </row>
    <row r="705" spans="1:25" ht="14.25" customHeight="1" x14ac:dyDescent="0.3">
      <c r="A705" s="18">
        <v>175.4</v>
      </c>
      <c r="B705" s="19"/>
      <c r="C705" s="19"/>
      <c r="D705" s="19"/>
      <c r="E705" s="19"/>
      <c r="F705" s="19"/>
      <c r="G705" s="21"/>
      <c r="H705" s="21"/>
      <c r="I705" s="21"/>
      <c r="J705" s="21"/>
      <c r="K705" s="19"/>
      <c r="L705" s="19"/>
      <c r="M705" s="22"/>
      <c r="N705" s="19"/>
      <c r="O705" s="19"/>
      <c r="P705" s="23"/>
      <c r="Q705" s="21" t="s">
        <v>46</v>
      </c>
      <c r="R705" s="19" t="s">
        <v>47</v>
      </c>
      <c r="S705" s="21"/>
      <c r="T705" s="32"/>
      <c r="U705" s="21"/>
      <c r="V705" s="7"/>
      <c r="W705" s="7"/>
      <c r="X705" s="7"/>
      <c r="Y705" s="7"/>
    </row>
    <row r="706" spans="1:25" ht="14.25" customHeight="1" x14ac:dyDescent="0.3">
      <c r="A706" s="18">
        <v>176.1</v>
      </c>
      <c r="B706" s="19"/>
      <c r="C706" s="19"/>
      <c r="D706" s="19"/>
      <c r="E706" s="19"/>
      <c r="F706" s="19"/>
      <c r="G706" s="21"/>
      <c r="H706" s="21"/>
      <c r="I706" s="21"/>
      <c r="J706" s="21"/>
      <c r="K706" s="19"/>
      <c r="L706" s="19"/>
      <c r="M706" s="22"/>
      <c r="N706" s="19"/>
      <c r="O706" s="19"/>
      <c r="P706" s="23"/>
      <c r="Q706" s="21" t="s">
        <v>46</v>
      </c>
      <c r="R706" s="19" t="s">
        <v>47</v>
      </c>
      <c r="S706" s="21"/>
      <c r="T706" s="32"/>
      <c r="U706" s="21"/>
      <c r="V706" s="7"/>
      <c r="W706" s="7"/>
      <c r="X706" s="7"/>
      <c r="Y706" s="7"/>
    </row>
    <row r="707" spans="1:25" ht="14.25" customHeight="1" x14ac:dyDescent="0.3">
      <c r="A707" s="18">
        <v>176.2</v>
      </c>
      <c r="B707" s="19"/>
      <c r="C707" s="19"/>
      <c r="D707" s="19"/>
      <c r="E707" s="19"/>
      <c r="F707" s="19"/>
      <c r="G707" s="21"/>
      <c r="H707" s="21"/>
      <c r="I707" s="21"/>
      <c r="J707" s="21"/>
      <c r="K707" s="19"/>
      <c r="L707" s="19"/>
      <c r="M707" s="22"/>
      <c r="N707" s="19"/>
      <c r="O707" s="19"/>
      <c r="P707" s="23"/>
      <c r="Q707" s="21" t="s">
        <v>46</v>
      </c>
      <c r="R707" s="19" t="s">
        <v>47</v>
      </c>
      <c r="S707" s="21"/>
      <c r="T707" s="32"/>
      <c r="U707" s="21"/>
      <c r="V707" s="7"/>
      <c r="W707" s="7"/>
      <c r="X707" s="7"/>
      <c r="Y707" s="7"/>
    </row>
    <row r="708" spans="1:25" ht="14.25" customHeight="1" x14ac:dyDescent="0.3">
      <c r="A708" s="18">
        <v>176.3</v>
      </c>
      <c r="B708" s="19"/>
      <c r="C708" s="19"/>
      <c r="D708" s="19"/>
      <c r="E708" s="19"/>
      <c r="F708" s="19"/>
      <c r="G708" s="21"/>
      <c r="H708" s="21"/>
      <c r="I708" s="21"/>
      <c r="J708" s="21"/>
      <c r="K708" s="19"/>
      <c r="L708" s="19"/>
      <c r="M708" s="22"/>
      <c r="N708" s="19"/>
      <c r="O708" s="19"/>
      <c r="P708" s="23"/>
      <c r="Q708" s="21" t="s">
        <v>46</v>
      </c>
      <c r="R708" s="19" t="s">
        <v>47</v>
      </c>
      <c r="S708" s="21"/>
      <c r="T708" s="32"/>
      <c r="U708" s="21"/>
      <c r="V708" s="7"/>
      <c r="W708" s="7"/>
      <c r="X708" s="7"/>
      <c r="Y708" s="7"/>
    </row>
    <row r="709" spans="1:25" ht="14.25" customHeight="1" x14ac:dyDescent="0.3">
      <c r="A709" s="18">
        <v>176.4</v>
      </c>
      <c r="B709" s="19"/>
      <c r="C709" s="19"/>
      <c r="D709" s="19"/>
      <c r="E709" s="19"/>
      <c r="F709" s="19"/>
      <c r="G709" s="21"/>
      <c r="H709" s="21"/>
      <c r="I709" s="21"/>
      <c r="J709" s="21"/>
      <c r="K709" s="19"/>
      <c r="L709" s="19"/>
      <c r="M709" s="22"/>
      <c r="N709" s="19"/>
      <c r="O709" s="19"/>
      <c r="P709" s="23"/>
      <c r="Q709" s="21" t="s">
        <v>46</v>
      </c>
      <c r="R709" s="19" t="s">
        <v>47</v>
      </c>
      <c r="S709" s="21"/>
      <c r="T709" s="32"/>
      <c r="U709" s="21"/>
      <c r="V709" s="7"/>
      <c r="W709" s="7"/>
      <c r="X709" s="7"/>
      <c r="Y709" s="7"/>
    </row>
    <row r="710" spans="1:25" ht="14.25" customHeight="1" x14ac:dyDescent="0.3">
      <c r="A710" s="18">
        <v>177.1</v>
      </c>
      <c r="B710" s="19"/>
      <c r="C710" s="19"/>
      <c r="D710" s="19"/>
      <c r="E710" s="19"/>
      <c r="F710" s="19"/>
      <c r="G710" s="21"/>
      <c r="H710" s="21"/>
      <c r="I710" s="21"/>
      <c r="J710" s="21"/>
      <c r="K710" s="19"/>
      <c r="L710" s="19"/>
      <c r="M710" s="22"/>
      <c r="N710" s="19"/>
      <c r="O710" s="19"/>
      <c r="P710" s="23"/>
      <c r="Q710" s="21" t="s">
        <v>46</v>
      </c>
      <c r="R710" s="19" t="s">
        <v>47</v>
      </c>
      <c r="S710" s="21"/>
      <c r="T710" s="32"/>
      <c r="U710" s="21"/>
      <c r="V710" s="7"/>
      <c r="W710" s="7"/>
      <c r="X710" s="7"/>
      <c r="Y710" s="7"/>
    </row>
    <row r="711" spans="1:25" ht="14.25" customHeight="1" x14ac:dyDescent="0.3">
      <c r="A711" s="18">
        <v>177.2</v>
      </c>
      <c r="B711" s="19"/>
      <c r="C711" s="19"/>
      <c r="D711" s="19"/>
      <c r="E711" s="19"/>
      <c r="F711" s="19"/>
      <c r="G711" s="21"/>
      <c r="H711" s="21"/>
      <c r="I711" s="21"/>
      <c r="J711" s="21"/>
      <c r="K711" s="19"/>
      <c r="L711" s="19"/>
      <c r="M711" s="22"/>
      <c r="N711" s="19"/>
      <c r="O711" s="19"/>
      <c r="P711" s="23"/>
      <c r="Q711" s="21" t="s">
        <v>46</v>
      </c>
      <c r="R711" s="19" t="s">
        <v>47</v>
      </c>
      <c r="S711" s="21"/>
      <c r="T711" s="32"/>
      <c r="U711" s="21"/>
      <c r="V711" s="7"/>
      <c r="W711" s="7"/>
      <c r="X711" s="7"/>
      <c r="Y711" s="7"/>
    </row>
    <row r="712" spans="1:25" ht="14.25" customHeight="1" x14ac:dyDescent="0.3">
      <c r="A712" s="18">
        <v>177.3</v>
      </c>
      <c r="B712" s="19"/>
      <c r="C712" s="19"/>
      <c r="D712" s="19"/>
      <c r="E712" s="19"/>
      <c r="F712" s="19"/>
      <c r="G712" s="21"/>
      <c r="H712" s="21"/>
      <c r="I712" s="21"/>
      <c r="J712" s="21"/>
      <c r="K712" s="19"/>
      <c r="L712" s="19"/>
      <c r="M712" s="22"/>
      <c r="N712" s="19"/>
      <c r="O712" s="19"/>
      <c r="P712" s="23"/>
      <c r="Q712" s="21" t="s">
        <v>46</v>
      </c>
      <c r="R712" s="19" t="s">
        <v>47</v>
      </c>
      <c r="S712" s="21"/>
      <c r="T712" s="32"/>
      <c r="U712" s="21"/>
      <c r="V712" s="7"/>
      <c r="W712" s="7"/>
      <c r="X712" s="7"/>
      <c r="Y712" s="7"/>
    </row>
    <row r="713" spans="1:25" ht="14.25" customHeight="1" x14ac:dyDescent="0.3">
      <c r="A713" s="18">
        <v>177.4</v>
      </c>
      <c r="B713" s="19"/>
      <c r="C713" s="19"/>
      <c r="D713" s="19"/>
      <c r="E713" s="19"/>
      <c r="F713" s="19"/>
      <c r="G713" s="21"/>
      <c r="H713" s="21"/>
      <c r="I713" s="21"/>
      <c r="J713" s="21"/>
      <c r="K713" s="19"/>
      <c r="L713" s="19"/>
      <c r="M713" s="22"/>
      <c r="N713" s="19"/>
      <c r="O713" s="19"/>
      <c r="P713" s="23"/>
      <c r="Q713" s="21" t="s">
        <v>46</v>
      </c>
      <c r="R713" s="19" t="s">
        <v>47</v>
      </c>
      <c r="S713" s="21"/>
      <c r="T713" s="32"/>
      <c r="U713" s="21"/>
      <c r="V713" s="7"/>
      <c r="W713" s="7"/>
      <c r="X713" s="7"/>
      <c r="Y713" s="7"/>
    </row>
    <row r="714" spans="1:25" ht="14.25" customHeight="1" x14ac:dyDescent="0.3">
      <c r="A714" s="18">
        <v>178.1</v>
      </c>
      <c r="B714" s="19"/>
      <c r="C714" s="19"/>
      <c r="D714" s="19"/>
      <c r="E714" s="19"/>
      <c r="F714" s="19"/>
      <c r="G714" s="21"/>
      <c r="H714" s="21"/>
      <c r="I714" s="21"/>
      <c r="J714" s="21"/>
      <c r="K714" s="19"/>
      <c r="L714" s="19"/>
      <c r="M714" s="22"/>
      <c r="N714" s="19"/>
      <c r="O714" s="19"/>
      <c r="P714" s="23"/>
      <c r="Q714" s="21" t="s">
        <v>46</v>
      </c>
      <c r="R714" s="19" t="s">
        <v>47</v>
      </c>
      <c r="S714" s="21"/>
      <c r="T714" s="32"/>
      <c r="U714" s="21"/>
      <c r="V714" s="7"/>
      <c r="W714" s="7"/>
      <c r="X714" s="7"/>
      <c r="Y714" s="7"/>
    </row>
    <row r="715" spans="1:25" ht="14.25" customHeight="1" x14ac:dyDescent="0.3">
      <c r="A715" s="18">
        <v>178.2</v>
      </c>
      <c r="B715" s="19"/>
      <c r="C715" s="19"/>
      <c r="D715" s="19"/>
      <c r="E715" s="19"/>
      <c r="F715" s="19"/>
      <c r="G715" s="21"/>
      <c r="H715" s="21"/>
      <c r="I715" s="21"/>
      <c r="J715" s="21"/>
      <c r="K715" s="19"/>
      <c r="L715" s="19"/>
      <c r="M715" s="22"/>
      <c r="N715" s="19"/>
      <c r="O715" s="19"/>
      <c r="P715" s="23"/>
      <c r="Q715" s="21" t="s">
        <v>46</v>
      </c>
      <c r="R715" s="19" t="s">
        <v>47</v>
      </c>
      <c r="S715" s="21"/>
      <c r="T715" s="32"/>
      <c r="U715" s="21"/>
      <c r="V715" s="7"/>
      <c r="W715" s="7"/>
      <c r="X715" s="7"/>
      <c r="Y715" s="7"/>
    </row>
    <row r="716" spans="1:25" ht="14.25" customHeight="1" x14ac:dyDescent="0.3">
      <c r="A716" s="18">
        <v>178.3</v>
      </c>
      <c r="B716" s="19"/>
      <c r="C716" s="19"/>
      <c r="D716" s="19"/>
      <c r="E716" s="19"/>
      <c r="F716" s="19"/>
      <c r="G716" s="21"/>
      <c r="H716" s="21"/>
      <c r="I716" s="21"/>
      <c r="J716" s="21"/>
      <c r="K716" s="19"/>
      <c r="L716" s="19"/>
      <c r="M716" s="22"/>
      <c r="N716" s="19"/>
      <c r="O716" s="19"/>
      <c r="P716" s="23"/>
      <c r="Q716" s="21" t="s">
        <v>46</v>
      </c>
      <c r="R716" s="19" t="s">
        <v>47</v>
      </c>
      <c r="S716" s="21"/>
      <c r="T716" s="32"/>
      <c r="U716" s="21"/>
      <c r="V716" s="7"/>
      <c r="W716" s="7"/>
      <c r="X716" s="7"/>
      <c r="Y716" s="7"/>
    </row>
    <row r="717" spans="1:25" ht="14.25" customHeight="1" x14ac:dyDescent="0.3">
      <c r="A717" s="18">
        <v>178.4</v>
      </c>
      <c r="B717" s="19"/>
      <c r="C717" s="19"/>
      <c r="D717" s="19"/>
      <c r="E717" s="19"/>
      <c r="F717" s="19"/>
      <c r="G717" s="21"/>
      <c r="H717" s="21"/>
      <c r="I717" s="21"/>
      <c r="J717" s="21"/>
      <c r="K717" s="19"/>
      <c r="L717" s="19"/>
      <c r="M717" s="22"/>
      <c r="N717" s="19"/>
      <c r="O717" s="19"/>
      <c r="P717" s="23"/>
      <c r="Q717" s="21" t="s">
        <v>46</v>
      </c>
      <c r="R717" s="19" t="s">
        <v>47</v>
      </c>
      <c r="S717" s="21"/>
      <c r="T717" s="32"/>
      <c r="U717" s="21"/>
      <c r="V717" s="7"/>
      <c r="W717" s="7"/>
      <c r="X717" s="7"/>
      <c r="Y717" s="7"/>
    </row>
    <row r="718" spans="1:25" ht="14.25" customHeight="1" x14ac:dyDescent="0.3">
      <c r="A718" s="18">
        <v>179.1</v>
      </c>
      <c r="B718" s="19"/>
      <c r="C718" s="19"/>
      <c r="D718" s="19"/>
      <c r="E718" s="19"/>
      <c r="F718" s="19"/>
      <c r="G718" s="21"/>
      <c r="H718" s="21"/>
      <c r="I718" s="21"/>
      <c r="J718" s="21"/>
      <c r="K718" s="19"/>
      <c r="L718" s="19"/>
      <c r="M718" s="22"/>
      <c r="N718" s="19"/>
      <c r="O718" s="19"/>
      <c r="P718" s="23"/>
      <c r="Q718" s="21" t="s">
        <v>46</v>
      </c>
      <c r="R718" s="19" t="s">
        <v>47</v>
      </c>
      <c r="S718" s="21"/>
      <c r="T718" s="32"/>
      <c r="U718" s="21"/>
      <c r="V718" s="7"/>
      <c r="W718" s="7"/>
      <c r="X718" s="7"/>
      <c r="Y718" s="7"/>
    </row>
    <row r="719" spans="1:25" ht="14.25" customHeight="1" x14ac:dyDescent="0.3">
      <c r="A719" s="18">
        <v>179.2</v>
      </c>
      <c r="B719" s="19"/>
      <c r="C719" s="19"/>
      <c r="D719" s="19"/>
      <c r="E719" s="19"/>
      <c r="F719" s="19"/>
      <c r="G719" s="21"/>
      <c r="H719" s="21"/>
      <c r="I719" s="21"/>
      <c r="J719" s="21"/>
      <c r="K719" s="19"/>
      <c r="L719" s="19"/>
      <c r="M719" s="22"/>
      <c r="N719" s="19"/>
      <c r="O719" s="19"/>
      <c r="P719" s="23"/>
      <c r="Q719" s="21" t="s">
        <v>46</v>
      </c>
      <c r="R719" s="19" t="s">
        <v>47</v>
      </c>
      <c r="S719" s="21"/>
      <c r="T719" s="32"/>
      <c r="U719" s="21"/>
      <c r="V719" s="7"/>
      <c r="W719" s="7"/>
      <c r="X719" s="7"/>
      <c r="Y719" s="7"/>
    </row>
    <row r="720" spans="1:25" ht="14.25" customHeight="1" x14ac:dyDescent="0.3">
      <c r="A720" s="18">
        <v>179.3</v>
      </c>
      <c r="B720" s="19"/>
      <c r="C720" s="19"/>
      <c r="D720" s="19"/>
      <c r="E720" s="19"/>
      <c r="F720" s="19"/>
      <c r="G720" s="21"/>
      <c r="H720" s="21"/>
      <c r="I720" s="21"/>
      <c r="J720" s="21"/>
      <c r="K720" s="19"/>
      <c r="L720" s="19"/>
      <c r="M720" s="22"/>
      <c r="N720" s="19"/>
      <c r="O720" s="19"/>
      <c r="P720" s="23"/>
      <c r="Q720" s="21" t="s">
        <v>46</v>
      </c>
      <c r="R720" s="19" t="s">
        <v>47</v>
      </c>
      <c r="S720" s="21"/>
      <c r="T720" s="32"/>
      <c r="U720" s="21"/>
      <c r="V720" s="7"/>
      <c r="W720" s="7"/>
      <c r="X720" s="7"/>
      <c r="Y720" s="7"/>
    </row>
    <row r="721" spans="1:25" ht="14.25" customHeight="1" x14ac:dyDescent="0.3">
      <c r="A721" s="18">
        <v>179.4</v>
      </c>
      <c r="B721" s="19"/>
      <c r="C721" s="19"/>
      <c r="D721" s="19"/>
      <c r="E721" s="19"/>
      <c r="F721" s="19"/>
      <c r="G721" s="21"/>
      <c r="H721" s="21"/>
      <c r="I721" s="21"/>
      <c r="J721" s="21"/>
      <c r="K721" s="19"/>
      <c r="L721" s="19"/>
      <c r="M721" s="22"/>
      <c r="N721" s="19"/>
      <c r="O721" s="19"/>
      <c r="P721" s="23"/>
      <c r="Q721" s="21" t="s">
        <v>46</v>
      </c>
      <c r="R721" s="19" t="s">
        <v>47</v>
      </c>
      <c r="S721" s="21"/>
      <c r="T721" s="32"/>
      <c r="U721" s="21"/>
      <c r="V721" s="7"/>
      <c r="W721" s="7"/>
      <c r="X721" s="7"/>
      <c r="Y721" s="7"/>
    </row>
    <row r="722" spans="1:25" ht="14.25" customHeight="1" x14ac:dyDescent="0.3">
      <c r="A722" s="18">
        <v>180.1</v>
      </c>
      <c r="B722" s="19"/>
      <c r="C722" s="19"/>
      <c r="D722" s="19"/>
      <c r="E722" s="19"/>
      <c r="F722" s="19"/>
      <c r="G722" s="21"/>
      <c r="H722" s="21"/>
      <c r="I722" s="21"/>
      <c r="J722" s="21"/>
      <c r="K722" s="19"/>
      <c r="L722" s="19"/>
      <c r="M722" s="22"/>
      <c r="N722" s="19"/>
      <c r="O722" s="19"/>
      <c r="P722" s="23"/>
      <c r="Q722" s="21" t="s">
        <v>46</v>
      </c>
      <c r="R722" s="19" t="s">
        <v>47</v>
      </c>
      <c r="S722" s="21"/>
      <c r="T722" s="32"/>
      <c r="U722" s="21"/>
      <c r="V722" s="7"/>
      <c r="W722" s="7"/>
      <c r="X722" s="7"/>
      <c r="Y722" s="7"/>
    </row>
    <row r="723" spans="1:25" ht="14.25" customHeight="1" x14ac:dyDescent="0.3">
      <c r="A723" s="18">
        <v>180.2</v>
      </c>
      <c r="B723" s="19"/>
      <c r="C723" s="19"/>
      <c r="D723" s="19"/>
      <c r="E723" s="19"/>
      <c r="F723" s="19"/>
      <c r="G723" s="21"/>
      <c r="H723" s="21"/>
      <c r="I723" s="21"/>
      <c r="J723" s="21"/>
      <c r="K723" s="19"/>
      <c r="L723" s="19"/>
      <c r="M723" s="22"/>
      <c r="N723" s="19"/>
      <c r="O723" s="19"/>
      <c r="P723" s="23"/>
      <c r="Q723" s="21" t="s">
        <v>46</v>
      </c>
      <c r="R723" s="19" t="s">
        <v>47</v>
      </c>
      <c r="S723" s="21"/>
      <c r="T723" s="32"/>
      <c r="U723" s="21"/>
      <c r="V723" s="7"/>
      <c r="W723" s="7"/>
      <c r="X723" s="7"/>
      <c r="Y723" s="7"/>
    </row>
    <row r="724" spans="1:25" ht="14.25" customHeight="1" x14ac:dyDescent="0.3">
      <c r="A724" s="18">
        <v>180.3</v>
      </c>
      <c r="B724" s="19"/>
      <c r="C724" s="19"/>
      <c r="D724" s="19"/>
      <c r="E724" s="19"/>
      <c r="F724" s="19"/>
      <c r="G724" s="21"/>
      <c r="H724" s="21"/>
      <c r="I724" s="21"/>
      <c r="J724" s="21"/>
      <c r="K724" s="19"/>
      <c r="L724" s="19"/>
      <c r="M724" s="22"/>
      <c r="N724" s="19"/>
      <c r="O724" s="19"/>
      <c r="P724" s="23"/>
      <c r="Q724" s="21" t="s">
        <v>46</v>
      </c>
      <c r="R724" s="19" t="s">
        <v>47</v>
      </c>
      <c r="S724" s="21"/>
      <c r="T724" s="32"/>
      <c r="U724" s="21"/>
      <c r="V724" s="7"/>
      <c r="W724" s="7"/>
      <c r="X724" s="7"/>
      <c r="Y724" s="7"/>
    </row>
    <row r="725" spans="1:25" ht="14.25" customHeight="1" x14ac:dyDescent="0.3">
      <c r="A725" s="18">
        <v>180.4</v>
      </c>
      <c r="B725" s="19"/>
      <c r="C725" s="19"/>
      <c r="D725" s="19"/>
      <c r="E725" s="19"/>
      <c r="F725" s="19"/>
      <c r="G725" s="21"/>
      <c r="H725" s="21"/>
      <c r="I725" s="21"/>
      <c r="J725" s="21"/>
      <c r="K725" s="19"/>
      <c r="L725" s="19"/>
      <c r="M725" s="22"/>
      <c r="N725" s="19"/>
      <c r="O725" s="19"/>
      <c r="P725" s="23"/>
      <c r="Q725" s="21" t="s">
        <v>46</v>
      </c>
      <c r="R725" s="19" t="s">
        <v>47</v>
      </c>
      <c r="S725" s="21"/>
      <c r="T725" s="32"/>
      <c r="U725" s="21"/>
      <c r="V725" s="7"/>
      <c r="W725" s="7"/>
      <c r="X725" s="7"/>
      <c r="Y725" s="7"/>
    </row>
    <row r="726" spans="1:25" ht="14.25" customHeight="1" x14ac:dyDescent="0.3">
      <c r="A726" s="18">
        <v>181.1</v>
      </c>
      <c r="B726" s="19"/>
      <c r="C726" s="19"/>
      <c r="D726" s="19"/>
      <c r="E726" s="19"/>
      <c r="F726" s="19"/>
      <c r="G726" s="21"/>
      <c r="H726" s="21"/>
      <c r="I726" s="21"/>
      <c r="J726" s="21"/>
      <c r="K726" s="19"/>
      <c r="L726" s="19"/>
      <c r="M726" s="22"/>
      <c r="N726" s="19"/>
      <c r="O726" s="19"/>
      <c r="P726" s="23"/>
      <c r="Q726" s="21" t="s">
        <v>46</v>
      </c>
      <c r="R726" s="19" t="s">
        <v>47</v>
      </c>
      <c r="S726" s="21"/>
      <c r="T726" s="32"/>
      <c r="U726" s="21"/>
      <c r="V726" s="7"/>
      <c r="W726" s="7"/>
      <c r="X726" s="7"/>
      <c r="Y726" s="7"/>
    </row>
    <row r="727" spans="1:25" ht="14.25" customHeight="1" x14ac:dyDescent="0.3">
      <c r="A727" s="18">
        <v>181.2</v>
      </c>
      <c r="B727" s="19"/>
      <c r="C727" s="19"/>
      <c r="D727" s="19"/>
      <c r="E727" s="19"/>
      <c r="F727" s="19"/>
      <c r="G727" s="21"/>
      <c r="H727" s="21"/>
      <c r="I727" s="21"/>
      <c r="J727" s="21"/>
      <c r="K727" s="19"/>
      <c r="L727" s="19"/>
      <c r="M727" s="22"/>
      <c r="N727" s="19"/>
      <c r="O727" s="19"/>
      <c r="P727" s="23"/>
      <c r="Q727" s="21" t="s">
        <v>46</v>
      </c>
      <c r="R727" s="19" t="s">
        <v>47</v>
      </c>
      <c r="S727" s="21"/>
      <c r="T727" s="32"/>
      <c r="U727" s="21"/>
      <c r="V727" s="7"/>
      <c r="W727" s="7"/>
      <c r="X727" s="7"/>
      <c r="Y727" s="7"/>
    </row>
    <row r="728" spans="1:25" ht="14.25" customHeight="1" x14ac:dyDescent="0.3">
      <c r="A728" s="18">
        <v>181.3</v>
      </c>
      <c r="B728" s="19"/>
      <c r="C728" s="19"/>
      <c r="D728" s="19"/>
      <c r="E728" s="19"/>
      <c r="F728" s="19"/>
      <c r="G728" s="21"/>
      <c r="H728" s="21"/>
      <c r="I728" s="21"/>
      <c r="J728" s="21"/>
      <c r="K728" s="19"/>
      <c r="L728" s="19"/>
      <c r="M728" s="22"/>
      <c r="N728" s="19"/>
      <c r="O728" s="19"/>
      <c r="P728" s="23"/>
      <c r="Q728" s="21" t="s">
        <v>46</v>
      </c>
      <c r="R728" s="19" t="s">
        <v>47</v>
      </c>
      <c r="S728" s="21"/>
      <c r="T728" s="32"/>
      <c r="U728" s="21"/>
      <c r="V728" s="7"/>
      <c r="W728" s="7"/>
      <c r="X728" s="7"/>
      <c r="Y728" s="7"/>
    </row>
    <row r="729" spans="1:25" ht="14.25" customHeight="1" x14ac:dyDescent="0.3">
      <c r="A729" s="18">
        <v>181.4</v>
      </c>
      <c r="B729" s="19"/>
      <c r="C729" s="19"/>
      <c r="D729" s="19"/>
      <c r="E729" s="19"/>
      <c r="F729" s="19"/>
      <c r="G729" s="21"/>
      <c r="H729" s="21"/>
      <c r="I729" s="21"/>
      <c r="J729" s="21"/>
      <c r="K729" s="19"/>
      <c r="L729" s="19"/>
      <c r="M729" s="22"/>
      <c r="N729" s="19"/>
      <c r="O729" s="19"/>
      <c r="P729" s="23"/>
      <c r="Q729" s="21" t="s">
        <v>46</v>
      </c>
      <c r="R729" s="19" t="s">
        <v>47</v>
      </c>
      <c r="S729" s="21"/>
      <c r="T729" s="32"/>
      <c r="U729" s="21"/>
      <c r="V729" s="7"/>
      <c r="W729" s="7"/>
      <c r="X729" s="7"/>
      <c r="Y729" s="7"/>
    </row>
    <row r="730" spans="1:25" ht="14.25" customHeight="1" x14ac:dyDescent="0.3">
      <c r="A730" s="18">
        <v>182.1</v>
      </c>
      <c r="B730" s="19"/>
      <c r="C730" s="19"/>
      <c r="D730" s="19"/>
      <c r="E730" s="19"/>
      <c r="F730" s="19"/>
      <c r="G730" s="21"/>
      <c r="H730" s="21"/>
      <c r="I730" s="21"/>
      <c r="J730" s="21"/>
      <c r="K730" s="19"/>
      <c r="L730" s="19"/>
      <c r="M730" s="22"/>
      <c r="N730" s="19"/>
      <c r="O730" s="19"/>
      <c r="P730" s="23"/>
      <c r="Q730" s="21" t="s">
        <v>46</v>
      </c>
      <c r="R730" s="19" t="s">
        <v>47</v>
      </c>
      <c r="S730" s="21"/>
      <c r="T730" s="32"/>
      <c r="U730" s="21"/>
      <c r="V730" s="7"/>
      <c r="W730" s="7"/>
      <c r="X730" s="7"/>
      <c r="Y730" s="7"/>
    </row>
    <row r="731" spans="1:25" ht="14.25" customHeight="1" x14ac:dyDescent="0.3">
      <c r="A731" s="18">
        <v>182.2</v>
      </c>
      <c r="B731" s="19"/>
      <c r="C731" s="19"/>
      <c r="D731" s="19"/>
      <c r="E731" s="19"/>
      <c r="F731" s="19"/>
      <c r="G731" s="21"/>
      <c r="H731" s="21"/>
      <c r="I731" s="21"/>
      <c r="J731" s="21"/>
      <c r="K731" s="19"/>
      <c r="L731" s="19"/>
      <c r="M731" s="22"/>
      <c r="N731" s="19"/>
      <c r="O731" s="19"/>
      <c r="P731" s="23"/>
      <c r="Q731" s="21" t="s">
        <v>46</v>
      </c>
      <c r="R731" s="19" t="s">
        <v>47</v>
      </c>
      <c r="S731" s="21"/>
      <c r="T731" s="32"/>
      <c r="U731" s="21"/>
      <c r="V731" s="7"/>
      <c r="W731" s="7"/>
      <c r="X731" s="7"/>
      <c r="Y731" s="7"/>
    </row>
    <row r="732" spans="1:25" ht="14.25" customHeight="1" x14ac:dyDescent="0.3">
      <c r="A732" s="18">
        <v>182.3</v>
      </c>
      <c r="B732" s="19"/>
      <c r="C732" s="19"/>
      <c r="D732" s="19"/>
      <c r="E732" s="19"/>
      <c r="F732" s="19"/>
      <c r="G732" s="21"/>
      <c r="H732" s="21"/>
      <c r="I732" s="21"/>
      <c r="J732" s="21"/>
      <c r="K732" s="19"/>
      <c r="L732" s="19"/>
      <c r="M732" s="22"/>
      <c r="N732" s="19"/>
      <c r="O732" s="19"/>
      <c r="P732" s="23"/>
      <c r="Q732" s="21" t="s">
        <v>46</v>
      </c>
      <c r="R732" s="19" t="s">
        <v>47</v>
      </c>
      <c r="S732" s="21"/>
      <c r="T732" s="32"/>
      <c r="U732" s="21"/>
      <c r="V732" s="7"/>
      <c r="W732" s="7"/>
      <c r="X732" s="7"/>
      <c r="Y732" s="7"/>
    </row>
    <row r="733" spans="1:25" ht="14.25" customHeight="1" x14ac:dyDescent="0.3">
      <c r="A733" s="18">
        <v>182.4</v>
      </c>
      <c r="B733" s="19"/>
      <c r="C733" s="19"/>
      <c r="D733" s="19"/>
      <c r="E733" s="19"/>
      <c r="F733" s="19"/>
      <c r="G733" s="21"/>
      <c r="H733" s="21"/>
      <c r="I733" s="21"/>
      <c r="J733" s="21"/>
      <c r="K733" s="19"/>
      <c r="L733" s="19"/>
      <c r="M733" s="22"/>
      <c r="N733" s="19"/>
      <c r="O733" s="19"/>
      <c r="P733" s="23"/>
      <c r="Q733" s="21" t="s">
        <v>46</v>
      </c>
      <c r="R733" s="19" t="s">
        <v>47</v>
      </c>
      <c r="S733" s="21"/>
      <c r="T733" s="32"/>
      <c r="U733" s="21"/>
      <c r="V733" s="7"/>
      <c r="W733" s="7"/>
      <c r="X733" s="7"/>
      <c r="Y733" s="7"/>
    </row>
    <row r="734" spans="1:25" ht="14.25" customHeight="1" x14ac:dyDescent="0.3">
      <c r="A734" s="18">
        <v>183.1</v>
      </c>
      <c r="B734" s="19"/>
      <c r="C734" s="19"/>
      <c r="D734" s="19"/>
      <c r="E734" s="19"/>
      <c r="F734" s="19"/>
      <c r="G734" s="21"/>
      <c r="H734" s="21"/>
      <c r="I734" s="21"/>
      <c r="J734" s="21"/>
      <c r="K734" s="19"/>
      <c r="L734" s="19"/>
      <c r="M734" s="22"/>
      <c r="N734" s="19"/>
      <c r="O734" s="19"/>
      <c r="P734" s="23"/>
      <c r="Q734" s="21" t="s">
        <v>46</v>
      </c>
      <c r="R734" s="19" t="s">
        <v>47</v>
      </c>
      <c r="S734" s="21"/>
      <c r="T734" s="32"/>
      <c r="U734" s="21"/>
      <c r="V734" s="7"/>
      <c r="W734" s="7"/>
      <c r="X734" s="7"/>
      <c r="Y734" s="7"/>
    </row>
    <row r="735" spans="1:25" ht="14.25" customHeight="1" x14ac:dyDescent="0.3">
      <c r="A735" s="18">
        <v>183.2</v>
      </c>
      <c r="B735" s="19"/>
      <c r="C735" s="19"/>
      <c r="D735" s="19"/>
      <c r="E735" s="19"/>
      <c r="F735" s="19"/>
      <c r="G735" s="21"/>
      <c r="H735" s="21"/>
      <c r="I735" s="21"/>
      <c r="J735" s="21"/>
      <c r="K735" s="19"/>
      <c r="L735" s="19"/>
      <c r="M735" s="22"/>
      <c r="N735" s="19"/>
      <c r="O735" s="19"/>
      <c r="P735" s="23"/>
      <c r="Q735" s="21" t="s">
        <v>46</v>
      </c>
      <c r="R735" s="19" t="s">
        <v>47</v>
      </c>
      <c r="S735" s="21"/>
      <c r="T735" s="32"/>
      <c r="U735" s="21"/>
      <c r="V735" s="7"/>
      <c r="W735" s="7"/>
      <c r="X735" s="7"/>
      <c r="Y735" s="7"/>
    </row>
    <row r="736" spans="1:25" ht="14.25" customHeight="1" x14ac:dyDescent="0.3">
      <c r="A736" s="18">
        <v>183.3</v>
      </c>
      <c r="B736" s="19"/>
      <c r="C736" s="19"/>
      <c r="D736" s="19"/>
      <c r="E736" s="19"/>
      <c r="F736" s="19"/>
      <c r="G736" s="21"/>
      <c r="H736" s="21"/>
      <c r="I736" s="21"/>
      <c r="J736" s="21"/>
      <c r="K736" s="19"/>
      <c r="L736" s="19"/>
      <c r="M736" s="22"/>
      <c r="N736" s="19"/>
      <c r="O736" s="19"/>
      <c r="P736" s="23"/>
      <c r="Q736" s="21" t="s">
        <v>46</v>
      </c>
      <c r="R736" s="19" t="s">
        <v>47</v>
      </c>
      <c r="S736" s="21"/>
      <c r="T736" s="32"/>
      <c r="U736" s="21"/>
      <c r="V736" s="7"/>
      <c r="W736" s="7"/>
      <c r="X736" s="7"/>
      <c r="Y736" s="7"/>
    </row>
    <row r="737" spans="1:25" ht="14.25" customHeight="1" x14ac:dyDescent="0.3">
      <c r="A737" s="18">
        <v>183.4</v>
      </c>
      <c r="B737" s="19"/>
      <c r="C737" s="19"/>
      <c r="D737" s="19"/>
      <c r="E737" s="19"/>
      <c r="F737" s="19"/>
      <c r="G737" s="21"/>
      <c r="H737" s="21"/>
      <c r="I737" s="21"/>
      <c r="J737" s="21"/>
      <c r="K737" s="19"/>
      <c r="L737" s="19"/>
      <c r="M737" s="22"/>
      <c r="N737" s="19"/>
      <c r="O737" s="19"/>
      <c r="P737" s="23"/>
      <c r="Q737" s="21" t="s">
        <v>46</v>
      </c>
      <c r="R737" s="19" t="s">
        <v>47</v>
      </c>
      <c r="S737" s="21"/>
      <c r="T737" s="32"/>
      <c r="U737" s="21"/>
      <c r="V737" s="7"/>
      <c r="W737" s="7"/>
      <c r="X737" s="7"/>
      <c r="Y737" s="7"/>
    </row>
    <row r="738" spans="1:25" ht="14.25" customHeight="1" x14ac:dyDescent="0.3">
      <c r="A738" s="18">
        <v>184.1</v>
      </c>
      <c r="B738" s="19"/>
      <c r="C738" s="19"/>
      <c r="D738" s="19"/>
      <c r="E738" s="19"/>
      <c r="F738" s="19"/>
      <c r="G738" s="21"/>
      <c r="H738" s="21"/>
      <c r="I738" s="21"/>
      <c r="J738" s="21"/>
      <c r="K738" s="19"/>
      <c r="L738" s="19"/>
      <c r="M738" s="22"/>
      <c r="N738" s="19"/>
      <c r="O738" s="19"/>
      <c r="P738" s="23"/>
      <c r="Q738" s="21" t="s">
        <v>46</v>
      </c>
      <c r="R738" s="19" t="s">
        <v>47</v>
      </c>
      <c r="S738" s="21"/>
      <c r="T738" s="32"/>
      <c r="U738" s="21"/>
      <c r="V738" s="7"/>
      <c r="W738" s="7"/>
      <c r="X738" s="7"/>
      <c r="Y738" s="7"/>
    </row>
    <row r="739" spans="1:25" ht="14.25" customHeight="1" x14ac:dyDescent="0.3">
      <c r="A739" s="18">
        <v>184.2</v>
      </c>
      <c r="B739" s="19"/>
      <c r="C739" s="19"/>
      <c r="D739" s="19"/>
      <c r="E739" s="19"/>
      <c r="F739" s="19"/>
      <c r="G739" s="21"/>
      <c r="H739" s="21"/>
      <c r="I739" s="21"/>
      <c r="J739" s="21"/>
      <c r="K739" s="19"/>
      <c r="L739" s="19"/>
      <c r="M739" s="22"/>
      <c r="N739" s="19"/>
      <c r="O739" s="19"/>
      <c r="P739" s="23"/>
      <c r="Q739" s="21" t="s">
        <v>46</v>
      </c>
      <c r="R739" s="19" t="s">
        <v>47</v>
      </c>
      <c r="S739" s="21"/>
      <c r="T739" s="32"/>
      <c r="U739" s="21"/>
      <c r="V739" s="7"/>
      <c r="W739" s="7"/>
      <c r="X739" s="7"/>
      <c r="Y739" s="7"/>
    </row>
    <row r="740" spans="1:25" ht="14.25" customHeight="1" x14ac:dyDescent="0.3">
      <c r="A740" s="18">
        <v>184.3</v>
      </c>
      <c r="B740" s="19"/>
      <c r="C740" s="19"/>
      <c r="D740" s="19"/>
      <c r="E740" s="19"/>
      <c r="F740" s="19"/>
      <c r="G740" s="21"/>
      <c r="H740" s="21"/>
      <c r="I740" s="21"/>
      <c r="J740" s="21"/>
      <c r="K740" s="19"/>
      <c r="L740" s="19"/>
      <c r="M740" s="22"/>
      <c r="N740" s="19"/>
      <c r="O740" s="19"/>
      <c r="P740" s="23"/>
      <c r="Q740" s="21" t="s">
        <v>46</v>
      </c>
      <c r="R740" s="19" t="s">
        <v>47</v>
      </c>
      <c r="S740" s="21"/>
      <c r="T740" s="32"/>
      <c r="U740" s="21"/>
      <c r="V740" s="7"/>
      <c r="W740" s="7"/>
      <c r="X740" s="7"/>
      <c r="Y740" s="7"/>
    </row>
    <row r="741" spans="1:25" ht="14.25" customHeight="1" x14ac:dyDescent="0.3">
      <c r="A741" s="18">
        <v>184.4</v>
      </c>
      <c r="B741" s="19"/>
      <c r="C741" s="19"/>
      <c r="D741" s="19"/>
      <c r="E741" s="19"/>
      <c r="F741" s="19"/>
      <c r="G741" s="21"/>
      <c r="H741" s="21"/>
      <c r="I741" s="21"/>
      <c r="J741" s="21"/>
      <c r="K741" s="19"/>
      <c r="L741" s="19"/>
      <c r="M741" s="22"/>
      <c r="N741" s="19"/>
      <c r="O741" s="19"/>
      <c r="P741" s="23"/>
      <c r="Q741" s="21" t="s">
        <v>46</v>
      </c>
      <c r="R741" s="19" t="s">
        <v>47</v>
      </c>
      <c r="S741" s="21"/>
      <c r="T741" s="32"/>
      <c r="U741" s="21"/>
      <c r="V741" s="7"/>
      <c r="W741" s="7"/>
      <c r="X741" s="7"/>
      <c r="Y741" s="7"/>
    </row>
    <row r="742" spans="1:25" ht="14.25" customHeight="1" x14ac:dyDescent="0.3">
      <c r="A742" s="18">
        <v>185.1</v>
      </c>
      <c r="B742" s="19"/>
      <c r="C742" s="19"/>
      <c r="D742" s="19"/>
      <c r="E742" s="19"/>
      <c r="F742" s="19"/>
      <c r="G742" s="21"/>
      <c r="H742" s="21"/>
      <c r="I742" s="21"/>
      <c r="J742" s="21"/>
      <c r="K742" s="19"/>
      <c r="L742" s="19"/>
      <c r="M742" s="22"/>
      <c r="N742" s="19"/>
      <c r="O742" s="19"/>
      <c r="P742" s="23"/>
      <c r="Q742" s="21" t="s">
        <v>46</v>
      </c>
      <c r="R742" s="19" t="s">
        <v>47</v>
      </c>
      <c r="S742" s="21"/>
      <c r="T742" s="32"/>
      <c r="U742" s="21"/>
      <c r="V742" s="7"/>
      <c r="W742" s="7"/>
      <c r="X742" s="7"/>
      <c r="Y742" s="7"/>
    </row>
    <row r="743" spans="1:25" ht="14.25" customHeight="1" x14ac:dyDescent="0.3">
      <c r="A743" s="18">
        <v>185.2</v>
      </c>
      <c r="B743" s="19"/>
      <c r="C743" s="19"/>
      <c r="D743" s="19"/>
      <c r="E743" s="19"/>
      <c r="F743" s="19"/>
      <c r="G743" s="21"/>
      <c r="H743" s="21"/>
      <c r="I743" s="21"/>
      <c r="J743" s="21"/>
      <c r="K743" s="19"/>
      <c r="L743" s="19"/>
      <c r="M743" s="22"/>
      <c r="N743" s="19"/>
      <c r="O743" s="19"/>
      <c r="P743" s="23"/>
      <c r="Q743" s="21" t="s">
        <v>46</v>
      </c>
      <c r="R743" s="19" t="s">
        <v>47</v>
      </c>
      <c r="S743" s="21"/>
      <c r="T743" s="32"/>
      <c r="U743" s="21"/>
      <c r="V743" s="7"/>
      <c r="W743" s="7"/>
      <c r="X743" s="7"/>
      <c r="Y743" s="7"/>
    </row>
    <row r="744" spans="1:25" ht="14.25" customHeight="1" x14ac:dyDescent="0.3">
      <c r="A744" s="18">
        <v>185.3</v>
      </c>
      <c r="B744" s="19"/>
      <c r="C744" s="19"/>
      <c r="D744" s="19"/>
      <c r="E744" s="19"/>
      <c r="F744" s="19"/>
      <c r="G744" s="21"/>
      <c r="H744" s="21"/>
      <c r="I744" s="21"/>
      <c r="J744" s="21"/>
      <c r="K744" s="19"/>
      <c r="L744" s="19"/>
      <c r="M744" s="22"/>
      <c r="N744" s="19"/>
      <c r="O744" s="19"/>
      <c r="P744" s="23"/>
      <c r="Q744" s="21" t="s">
        <v>46</v>
      </c>
      <c r="R744" s="19" t="s">
        <v>47</v>
      </c>
      <c r="S744" s="21"/>
      <c r="T744" s="32"/>
      <c r="U744" s="21"/>
      <c r="V744" s="7"/>
      <c r="W744" s="7"/>
      <c r="X744" s="7"/>
      <c r="Y744" s="7"/>
    </row>
    <row r="745" spans="1:25" ht="14.25" customHeight="1" x14ac:dyDescent="0.3">
      <c r="A745" s="18">
        <v>185.4</v>
      </c>
      <c r="B745" s="19"/>
      <c r="C745" s="19"/>
      <c r="D745" s="19"/>
      <c r="E745" s="19"/>
      <c r="F745" s="19"/>
      <c r="G745" s="21"/>
      <c r="H745" s="21"/>
      <c r="I745" s="21"/>
      <c r="J745" s="21"/>
      <c r="K745" s="19"/>
      <c r="L745" s="19"/>
      <c r="M745" s="22"/>
      <c r="N745" s="19"/>
      <c r="O745" s="19"/>
      <c r="P745" s="23"/>
      <c r="Q745" s="21" t="s">
        <v>46</v>
      </c>
      <c r="R745" s="19" t="s">
        <v>47</v>
      </c>
      <c r="S745" s="21"/>
      <c r="T745" s="32"/>
      <c r="U745" s="21"/>
      <c r="V745" s="7"/>
      <c r="W745" s="7"/>
      <c r="X745" s="7"/>
      <c r="Y745" s="7"/>
    </row>
    <row r="746" spans="1:25" ht="14.25" customHeight="1" x14ac:dyDescent="0.3">
      <c r="A746" s="18">
        <v>186.1</v>
      </c>
      <c r="B746" s="19"/>
      <c r="C746" s="19"/>
      <c r="D746" s="19"/>
      <c r="E746" s="19"/>
      <c r="F746" s="19"/>
      <c r="G746" s="21"/>
      <c r="H746" s="21"/>
      <c r="I746" s="21"/>
      <c r="J746" s="21"/>
      <c r="K746" s="19"/>
      <c r="L746" s="19"/>
      <c r="M746" s="22"/>
      <c r="N746" s="19"/>
      <c r="O746" s="19"/>
      <c r="P746" s="23"/>
      <c r="Q746" s="21" t="s">
        <v>46</v>
      </c>
      <c r="R746" s="19" t="s">
        <v>47</v>
      </c>
      <c r="S746" s="21"/>
      <c r="T746" s="32"/>
      <c r="U746" s="21"/>
      <c r="V746" s="7"/>
      <c r="W746" s="7"/>
      <c r="X746" s="7"/>
      <c r="Y746" s="7"/>
    </row>
    <row r="747" spans="1:25" ht="14.25" customHeight="1" x14ac:dyDescent="0.3">
      <c r="A747" s="18">
        <v>186.2</v>
      </c>
      <c r="B747" s="19"/>
      <c r="C747" s="19"/>
      <c r="D747" s="19"/>
      <c r="E747" s="19"/>
      <c r="F747" s="19"/>
      <c r="G747" s="21"/>
      <c r="H747" s="21"/>
      <c r="I747" s="21"/>
      <c r="J747" s="21"/>
      <c r="K747" s="19"/>
      <c r="L747" s="19"/>
      <c r="M747" s="22"/>
      <c r="N747" s="19"/>
      <c r="O747" s="19"/>
      <c r="P747" s="23"/>
      <c r="Q747" s="21" t="s">
        <v>46</v>
      </c>
      <c r="R747" s="19" t="s">
        <v>47</v>
      </c>
      <c r="S747" s="21"/>
      <c r="T747" s="32"/>
      <c r="U747" s="21"/>
      <c r="V747" s="7"/>
      <c r="W747" s="7"/>
      <c r="X747" s="7"/>
      <c r="Y747" s="7"/>
    </row>
    <row r="748" spans="1:25" ht="14.25" customHeight="1" x14ac:dyDescent="0.3">
      <c r="A748" s="18">
        <v>186.3</v>
      </c>
      <c r="B748" s="19"/>
      <c r="C748" s="19"/>
      <c r="D748" s="19"/>
      <c r="E748" s="19"/>
      <c r="F748" s="19"/>
      <c r="G748" s="21"/>
      <c r="H748" s="21"/>
      <c r="I748" s="21"/>
      <c r="J748" s="21"/>
      <c r="K748" s="19"/>
      <c r="L748" s="19"/>
      <c r="M748" s="22"/>
      <c r="N748" s="19"/>
      <c r="O748" s="19"/>
      <c r="P748" s="23"/>
      <c r="Q748" s="21" t="s">
        <v>46</v>
      </c>
      <c r="R748" s="19" t="s">
        <v>47</v>
      </c>
      <c r="S748" s="21"/>
      <c r="T748" s="32"/>
      <c r="U748" s="21"/>
      <c r="V748" s="7"/>
      <c r="W748" s="7"/>
      <c r="X748" s="7"/>
      <c r="Y748" s="7"/>
    </row>
    <row r="749" spans="1:25" ht="14.25" customHeight="1" x14ac:dyDescent="0.3">
      <c r="A749" s="18">
        <v>186.4</v>
      </c>
      <c r="B749" s="19"/>
      <c r="C749" s="19"/>
      <c r="D749" s="19"/>
      <c r="E749" s="19"/>
      <c r="F749" s="19"/>
      <c r="G749" s="21"/>
      <c r="H749" s="21"/>
      <c r="I749" s="21"/>
      <c r="J749" s="21"/>
      <c r="K749" s="19"/>
      <c r="L749" s="19"/>
      <c r="M749" s="22"/>
      <c r="N749" s="19"/>
      <c r="O749" s="19"/>
      <c r="P749" s="23"/>
      <c r="Q749" s="21" t="s">
        <v>46</v>
      </c>
      <c r="R749" s="19" t="s">
        <v>47</v>
      </c>
      <c r="S749" s="21"/>
      <c r="T749" s="32"/>
      <c r="U749" s="21"/>
      <c r="V749" s="7"/>
      <c r="W749" s="7"/>
      <c r="X749" s="7"/>
      <c r="Y749" s="7"/>
    </row>
    <row r="750" spans="1:25" ht="14.25" customHeight="1" x14ac:dyDescent="0.3">
      <c r="A750" s="18">
        <v>187.1</v>
      </c>
      <c r="B750" s="19"/>
      <c r="C750" s="19"/>
      <c r="D750" s="19"/>
      <c r="E750" s="19"/>
      <c r="F750" s="19"/>
      <c r="G750" s="21"/>
      <c r="H750" s="21"/>
      <c r="I750" s="21"/>
      <c r="J750" s="21"/>
      <c r="K750" s="19"/>
      <c r="L750" s="19"/>
      <c r="M750" s="22"/>
      <c r="N750" s="19"/>
      <c r="O750" s="19"/>
      <c r="P750" s="23"/>
      <c r="Q750" s="21" t="s">
        <v>46</v>
      </c>
      <c r="R750" s="19" t="s">
        <v>47</v>
      </c>
      <c r="S750" s="21"/>
      <c r="T750" s="32"/>
      <c r="U750" s="21"/>
      <c r="V750" s="7"/>
      <c r="W750" s="7"/>
      <c r="X750" s="7"/>
      <c r="Y750" s="7"/>
    </row>
    <row r="751" spans="1:25" ht="14.25" customHeight="1" x14ac:dyDescent="0.3">
      <c r="A751" s="18">
        <v>187.2</v>
      </c>
      <c r="B751" s="19"/>
      <c r="C751" s="19"/>
      <c r="D751" s="19"/>
      <c r="E751" s="19"/>
      <c r="F751" s="19"/>
      <c r="G751" s="21"/>
      <c r="H751" s="21"/>
      <c r="I751" s="21"/>
      <c r="J751" s="21"/>
      <c r="K751" s="19"/>
      <c r="L751" s="19"/>
      <c r="M751" s="22"/>
      <c r="N751" s="19"/>
      <c r="O751" s="19"/>
      <c r="P751" s="23"/>
      <c r="Q751" s="21" t="s">
        <v>46</v>
      </c>
      <c r="R751" s="19" t="s">
        <v>47</v>
      </c>
      <c r="S751" s="21"/>
      <c r="T751" s="32"/>
      <c r="U751" s="21"/>
      <c r="V751" s="7"/>
      <c r="W751" s="7"/>
      <c r="X751" s="7"/>
      <c r="Y751" s="7"/>
    </row>
    <row r="752" spans="1:25" ht="14.25" customHeight="1" x14ac:dyDescent="0.3">
      <c r="A752" s="18">
        <v>187.3</v>
      </c>
      <c r="B752" s="19"/>
      <c r="C752" s="19"/>
      <c r="D752" s="19"/>
      <c r="E752" s="19"/>
      <c r="F752" s="19"/>
      <c r="G752" s="21"/>
      <c r="H752" s="21"/>
      <c r="I752" s="21"/>
      <c r="J752" s="21"/>
      <c r="K752" s="19"/>
      <c r="L752" s="19"/>
      <c r="M752" s="22"/>
      <c r="N752" s="19"/>
      <c r="O752" s="19"/>
      <c r="P752" s="23"/>
      <c r="Q752" s="21" t="s">
        <v>46</v>
      </c>
      <c r="R752" s="19" t="s">
        <v>47</v>
      </c>
      <c r="S752" s="21"/>
      <c r="T752" s="32"/>
      <c r="U752" s="21"/>
      <c r="V752" s="7"/>
      <c r="W752" s="7"/>
      <c r="X752" s="7"/>
      <c r="Y752" s="7"/>
    </row>
    <row r="753" spans="1:25" ht="14.25" customHeight="1" x14ac:dyDescent="0.3">
      <c r="A753" s="18">
        <v>187.4</v>
      </c>
      <c r="B753" s="19"/>
      <c r="C753" s="19"/>
      <c r="D753" s="19"/>
      <c r="E753" s="19"/>
      <c r="F753" s="19"/>
      <c r="G753" s="21"/>
      <c r="H753" s="21"/>
      <c r="I753" s="21"/>
      <c r="J753" s="21"/>
      <c r="K753" s="19"/>
      <c r="L753" s="19"/>
      <c r="M753" s="22"/>
      <c r="N753" s="19"/>
      <c r="O753" s="19"/>
      <c r="P753" s="23"/>
      <c r="Q753" s="21" t="s">
        <v>46</v>
      </c>
      <c r="R753" s="19" t="s">
        <v>47</v>
      </c>
      <c r="S753" s="21"/>
      <c r="T753" s="32"/>
      <c r="U753" s="21"/>
      <c r="V753" s="7"/>
      <c r="W753" s="7"/>
      <c r="X753" s="7"/>
      <c r="Y753" s="7"/>
    </row>
    <row r="754" spans="1:25" ht="14.25" customHeight="1" x14ac:dyDescent="0.3">
      <c r="A754" s="18">
        <v>188.1</v>
      </c>
      <c r="B754" s="19"/>
      <c r="C754" s="19"/>
      <c r="D754" s="19"/>
      <c r="E754" s="19"/>
      <c r="F754" s="19"/>
      <c r="G754" s="21"/>
      <c r="H754" s="21"/>
      <c r="I754" s="21"/>
      <c r="J754" s="21"/>
      <c r="K754" s="19"/>
      <c r="L754" s="19"/>
      <c r="M754" s="22"/>
      <c r="N754" s="19"/>
      <c r="O754" s="19"/>
      <c r="P754" s="23"/>
      <c r="Q754" s="21" t="s">
        <v>46</v>
      </c>
      <c r="R754" s="19" t="s">
        <v>47</v>
      </c>
      <c r="S754" s="21"/>
      <c r="T754" s="32"/>
      <c r="U754" s="21"/>
      <c r="V754" s="7"/>
      <c r="W754" s="7"/>
      <c r="X754" s="7"/>
      <c r="Y754" s="7"/>
    </row>
    <row r="755" spans="1:25" ht="14.25" customHeight="1" x14ac:dyDescent="0.3">
      <c r="A755" s="18">
        <v>188.2</v>
      </c>
      <c r="B755" s="19"/>
      <c r="C755" s="19"/>
      <c r="D755" s="19"/>
      <c r="E755" s="19"/>
      <c r="F755" s="19"/>
      <c r="G755" s="21"/>
      <c r="H755" s="21"/>
      <c r="I755" s="21"/>
      <c r="J755" s="21"/>
      <c r="K755" s="19"/>
      <c r="L755" s="19"/>
      <c r="M755" s="22"/>
      <c r="N755" s="19"/>
      <c r="O755" s="19"/>
      <c r="P755" s="23"/>
      <c r="Q755" s="21" t="s">
        <v>46</v>
      </c>
      <c r="R755" s="19" t="s">
        <v>47</v>
      </c>
      <c r="S755" s="21"/>
      <c r="T755" s="32"/>
      <c r="U755" s="21"/>
      <c r="V755" s="7"/>
      <c r="W755" s="7"/>
      <c r="X755" s="7"/>
      <c r="Y755" s="7"/>
    </row>
    <row r="756" spans="1:25" ht="14.25" customHeight="1" x14ac:dyDescent="0.3">
      <c r="A756" s="18">
        <v>188.3</v>
      </c>
      <c r="B756" s="19"/>
      <c r="C756" s="19"/>
      <c r="D756" s="19"/>
      <c r="E756" s="19"/>
      <c r="F756" s="19"/>
      <c r="G756" s="21"/>
      <c r="H756" s="21"/>
      <c r="I756" s="21"/>
      <c r="J756" s="21"/>
      <c r="K756" s="19"/>
      <c r="L756" s="19"/>
      <c r="M756" s="22"/>
      <c r="N756" s="19"/>
      <c r="O756" s="19"/>
      <c r="P756" s="23"/>
      <c r="Q756" s="21" t="s">
        <v>46</v>
      </c>
      <c r="R756" s="19" t="s">
        <v>47</v>
      </c>
      <c r="S756" s="21"/>
      <c r="T756" s="32"/>
      <c r="U756" s="21"/>
      <c r="V756" s="7"/>
      <c r="W756" s="7"/>
      <c r="X756" s="7"/>
      <c r="Y756" s="7"/>
    </row>
    <row r="757" spans="1:25" ht="14.25" customHeight="1" x14ac:dyDescent="0.3">
      <c r="A757" s="18">
        <v>188.4</v>
      </c>
      <c r="B757" s="19"/>
      <c r="C757" s="19"/>
      <c r="D757" s="19"/>
      <c r="E757" s="19"/>
      <c r="F757" s="19"/>
      <c r="G757" s="21"/>
      <c r="H757" s="21"/>
      <c r="I757" s="21"/>
      <c r="J757" s="21"/>
      <c r="K757" s="19"/>
      <c r="L757" s="19"/>
      <c r="M757" s="22"/>
      <c r="N757" s="19"/>
      <c r="O757" s="19"/>
      <c r="P757" s="23"/>
      <c r="Q757" s="21" t="s">
        <v>46</v>
      </c>
      <c r="R757" s="19" t="s">
        <v>47</v>
      </c>
      <c r="S757" s="21"/>
      <c r="T757" s="32"/>
      <c r="U757" s="21"/>
      <c r="V757" s="7"/>
      <c r="W757" s="7"/>
      <c r="X757" s="7"/>
      <c r="Y757" s="7"/>
    </row>
    <row r="758" spans="1:25" ht="14.25" customHeight="1" x14ac:dyDescent="0.3">
      <c r="A758" s="18">
        <v>189.1</v>
      </c>
      <c r="B758" s="19"/>
      <c r="C758" s="19"/>
      <c r="D758" s="19"/>
      <c r="E758" s="19"/>
      <c r="F758" s="19"/>
      <c r="G758" s="21"/>
      <c r="H758" s="21"/>
      <c r="I758" s="21"/>
      <c r="J758" s="21"/>
      <c r="K758" s="19"/>
      <c r="L758" s="19"/>
      <c r="M758" s="22"/>
      <c r="N758" s="19"/>
      <c r="O758" s="19"/>
      <c r="P758" s="23"/>
      <c r="Q758" s="21" t="s">
        <v>46</v>
      </c>
      <c r="R758" s="19" t="s">
        <v>47</v>
      </c>
      <c r="S758" s="21"/>
      <c r="T758" s="32"/>
      <c r="U758" s="21"/>
      <c r="V758" s="7"/>
      <c r="W758" s="7"/>
      <c r="X758" s="7"/>
      <c r="Y758" s="7"/>
    </row>
    <row r="759" spans="1:25" ht="14.25" customHeight="1" x14ac:dyDescent="0.3">
      <c r="A759" s="18">
        <v>189.2</v>
      </c>
      <c r="B759" s="19"/>
      <c r="C759" s="19"/>
      <c r="D759" s="19"/>
      <c r="E759" s="19"/>
      <c r="F759" s="19"/>
      <c r="G759" s="21"/>
      <c r="H759" s="21"/>
      <c r="I759" s="21"/>
      <c r="J759" s="21"/>
      <c r="K759" s="19"/>
      <c r="L759" s="19"/>
      <c r="M759" s="22"/>
      <c r="N759" s="19"/>
      <c r="O759" s="19"/>
      <c r="P759" s="23"/>
      <c r="Q759" s="21" t="s">
        <v>46</v>
      </c>
      <c r="R759" s="19" t="s">
        <v>47</v>
      </c>
      <c r="S759" s="21"/>
      <c r="T759" s="32"/>
      <c r="U759" s="21"/>
      <c r="V759" s="7"/>
      <c r="W759" s="7"/>
      <c r="X759" s="7"/>
      <c r="Y759" s="7"/>
    </row>
    <row r="760" spans="1:25" ht="14.25" customHeight="1" x14ac:dyDescent="0.3">
      <c r="A760" s="18">
        <v>189.3</v>
      </c>
      <c r="B760" s="19"/>
      <c r="C760" s="19"/>
      <c r="D760" s="19"/>
      <c r="E760" s="19"/>
      <c r="F760" s="19"/>
      <c r="G760" s="21"/>
      <c r="H760" s="21"/>
      <c r="I760" s="21"/>
      <c r="J760" s="21"/>
      <c r="K760" s="19"/>
      <c r="L760" s="19"/>
      <c r="M760" s="22"/>
      <c r="N760" s="19"/>
      <c r="O760" s="19"/>
      <c r="P760" s="23"/>
      <c r="Q760" s="21" t="s">
        <v>46</v>
      </c>
      <c r="R760" s="19" t="s">
        <v>47</v>
      </c>
      <c r="S760" s="21"/>
      <c r="T760" s="32"/>
      <c r="U760" s="21"/>
      <c r="V760" s="7"/>
      <c r="W760" s="7"/>
      <c r="X760" s="7"/>
      <c r="Y760" s="7"/>
    </row>
    <row r="761" spans="1:25" ht="14.25" customHeight="1" x14ac:dyDescent="0.3">
      <c r="A761" s="18">
        <v>189.4</v>
      </c>
      <c r="B761" s="19"/>
      <c r="C761" s="19"/>
      <c r="D761" s="19"/>
      <c r="E761" s="19"/>
      <c r="F761" s="19"/>
      <c r="G761" s="21"/>
      <c r="H761" s="21"/>
      <c r="I761" s="21"/>
      <c r="J761" s="21"/>
      <c r="K761" s="19"/>
      <c r="L761" s="19"/>
      <c r="M761" s="22"/>
      <c r="N761" s="19"/>
      <c r="O761" s="19"/>
      <c r="P761" s="23"/>
      <c r="Q761" s="21" t="s">
        <v>46</v>
      </c>
      <c r="R761" s="19" t="s">
        <v>47</v>
      </c>
      <c r="S761" s="21"/>
      <c r="T761" s="32"/>
      <c r="U761" s="21"/>
      <c r="V761" s="7"/>
      <c r="W761" s="7"/>
      <c r="X761" s="7"/>
      <c r="Y761" s="7"/>
    </row>
    <row r="762" spans="1:25" ht="14.25" customHeight="1" x14ac:dyDescent="0.3">
      <c r="A762" s="18">
        <v>190.1</v>
      </c>
      <c r="B762" s="19"/>
      <c r="C762" s="19"/>
      <c r="D762" s="19"/>
      <c r="E762" s="19"/>
      <c r="F762" s="19"/>
      <c r="G762" s="21"/>
      <c r="H762" s="21"/>
      <c r="I762" s="21"/>
      <c r="J762" s="21"/>
      <c r="K762" s="19"/>
      <c r="L762" s="19"/>
      <c r="M762" s="22"/>
      <c r="N762" s="19"/>
      <c r="O762" s="19"/>
      <c r="P762" s="23"/>
      <c r="Q762" s="21" t="s">
        <v>46</v>
      </c>
      <c r="R762" s="19" t="s">
        <v>47</v>
      </c>
      <c r="S762" s="21"/>
      <c r="T762" s="32"/>
      <c r="U762" s="21"/>
      <c r="V762" s="7"/>
      <c r="W762" s="7"/>
      <c r="X762" s="7"/>
      <c r="Y762" s="7"/>
    </row>
    <row r="763" spans="1:25" ht="14.25" customHeight="1" x14ac:dyDescent="0.3">
      <c r="A763" s="18">
        <v>190.2</v>
      </c>
      <c r="B763" s="19"/>
      <c r="C763" s="19"/>
      <c r="D763" s="19"/>
      <c r="E763" s="19"/>
      <c r="F763" s="19"/>
      <c r="G763" s="21"/>
      <c r="H763" s="21"/>
      <c r="I763" s="21"/>
      <c r="J763" s="21"/>
      <c r="K763" s="19"/>
      <c r="L763" s="19"/>
      <c r="M763" s="22"/>
      <c r="N763" s="19"/>
      <c r="O763" s="19"/>
      <c r="P763" s="23"/>
      <c r="Q763" s="21" t="s">
        <v>46</v>
      </c>
      <c r="R763" s="19" t="s">
        <v>47</v>
      </c>
      <c r="S763" s="21"/>
      <c r="T763" s="32"/>
      <c r="U763" s="21"/>
      <c r="V763" s="7"/>
      <c r="W763" s="7"/>
      <c r="X763" s="7"/>
      <c r="Y763" s="7"/>
    </row>
    <row r="764" spans="1:25" ht="14.25" customHeight="1" x14ac:dyDescent="0.3">
      <c r="A764" s="18">
        <v>190.3</v>
      </c>
      <c r="B764" s="19"/>
      <c r="C764" s="19"/>
      <c r="D764" s="19"/>
      <c r="E764" s="19"/>
      <c r="F764" s="19"/>
      <c r="G764" s="21"/>
      <c r="H764" s="21"/>
      <c r="I764" s="21"/>
      <c r="J764" s="21"/>
      <c r="K764" s="19"/>
      <c r="L764" s="19"/>
      <c r="M764" s="22"/>
      <c r="N764" s="19"/>
      <c r="O764" s="19"/>
      <c r="P764" s="23"/>
      <c r="Q764" s="21" t="s">
        <v>46</v>
      </c>
      <c r="R764" s="19" t="s">
        <v>47</v>
      </c>
      <c r="S764" s="21"/>
      <c r="T764" s="32"/>
      <c r="U764" s="21"/>
      <c r="V764" s="7"/>
      <c r="W764" s="7"/>
      <c r="X764" s="7"/>
      <c r="Y764" s="7"/>
    </row>
    <row r="765" spans="1:25" ht="14.25" customHeight="1" x14ac:dyDescent="0.3">
      <c r="A765" s="18">
        <v>190.4</v>
      </c>
      <c r="B765" s="19"/>
      <c r="C765" s="19"/>
      <c r="D765" s="19"/>
      <c r="E765" s="19"/>
      <c r="F765" s="19"/>
      <c r="G765" s="21"/>
      <c r="H765" s="21"/>
      <c r="I765" s="21"/>
      <c r="J765" s="21"/>
      <c r="K765" s="19"/>
      <c r="L765" s="19"/>
      <c r="M765" s="22"/>
      <c r="N765" s="19"/>
      <c r="O765" s="19"/>
      <c r="P765" s="23"/>
      <c r="Q765" s="21" t="s">
        <v>46</v>
      </c>
      <c r="R765" s="19" t="s">
        <v>47</v>
      </c>
      <c r="S765" s="21"/>
      <c r="T765" s="32"/>
      <c r="U765" s="21"/>
      <c r="V765" s="7"/>
      <c r="W765" s="7"/>
      <c r="X765" s="7"/>
      <c r="Y765" s="7"/>
    </row>
    <row r="766" spans="1:25" ht="14.25" customHeight="1" x14ac:dyDescent="0.3">
      <c r="A766" s="18">
        <v>191.1</v>
      </c>
      <c r="B766" s="19"/>
      <c r="C766" s="19"/>
      <c r="D766" s="19"/>
      <c r="E766" s="19"/>
      <c r="F766" s="19"/>
      <c r="G766" s="21"/>
      <c r="H766" s="21"/>
      <c r="I766" s="21"/>
      <c r="J766" s="21"/>
      <c r="K766" s="19"/>
      <c r="L766" s="19"/>
      <c r="M766" s="22"/>
      <c r="N766" s="19"/>
      <c r="O766" s="19"/>
      <c r="P766" s="23"/>
      <c r="Q766" s="21" t="s">
        <v>46</v>
      </c>
      <c r="R766" s="19" t="s">
        <v>47</v>
      </c>
      <c r="S766" s="21"/>
      <c r="T766" s="32"/>
      <c r="U766" s="21"/>
      <c r="V766" s="7"/>
      <c r="W766" s="7"/>
      <c r="X766" s="7"/>
      <c r="Y766" s="7"/>
    </row>
    <row r="767" spans="1:25" ht="14.25" customHeight="1" x14ac:dyDescent="0.3">
      <c r="A767" s="18">
        <v>191.2</v>
      </c>
      <c r="B767" s="19"/>
      <c r="C767" s="19"/>
      <c r="D767" s="19"/>
      <c r="E767" s="19"/>
      <c r="F767" s="19"/>
      <c r="G767" s="21"/>
      <c r="H767" s="21"/>
      <c r="I767" s="21"/>
      <c r="J767" s="21"/>
      <c r="K767" s="19"/>
      <c r="L767" s="19"/>
      <c r="M767" s="22"/>
      <c r="N767" s="19"/>
      <c r="O767" s="19"/>
      <c r="P767" s="23"/>
      <c r="Q767" s="21" t="s">
        <v>46</v>
      </c>
      <c r="R767" s="19" t="s">
        <v>47</v>
      </c>
      <c r="S767" s="21"/>
      <c r="T767" s="32"/>
      <c r="U767" s="21"/>
      <c r="V767" s="7"/>
      <c r="W767" s="7"/>
      <c r="X767" s="7"/>
      <c r="Y767" s="7"/>
    </row>
    <row r="768" spans="1:25" ht="14.25" customHeight="1" x14ac:dyDescent="0.3">
      <c r="A768" s="18">
        <v>191.3</v>
      </c>
      <c r="B768" s="19"/>
      <c r="C768" s="19"/>
      <c r="D768" s="19"/>
      <c r="E768" s="19"/>
      <c r="F768" s="19"/>
      <c r="G768" s="21"/>
      <c r="H768" s="21"/>
      <c r="I768" s="21"/>
      <c r="J768" s="21"/>
      <c r="K768" s="19"/>
      <c r="L768" s="19"/>
      <c r="M768" s="22"/>
      <c r="N768" s="19"/>
      <c r="O768" s="19"/>
      <c r="P768" s="23"/>
      <c r="Q768" s="21" t="s">
        <v>46</v>
      </c>
      <c r="R768" s="19" t="s">
        <v>47</v>
      </c>
      <c r="S768" s="21"/>
      <c r="T768" s="32"/>
      <c r="U768" s="21"/>
      <c r="V768" s="7"/>
      <c r="W768" s="7"/>
      <c r="X768" s="7"/>
      <c r="Y768" s="7"/>
    </row>
    <row r="769" spans="1:25" ht="14.25" customHeight="1" x14ac:dyDescent="0.3">
      <c r="A769" s="18">
        <v>191.4</v>
      </c>
      <c r="B769" s="19"/>
      <c r="C769" s="19"/>
      <c r="D769" s="19"/>
      <c r="E769" s="19"/>
      <c r="F769" s="19"/>
      <c r="G769" s="21"/>
      <c r="H769" s="21"/>
      <c r="I769" s="21"/>
      <c r="J769" s="21"/>
      <c r="K769" s="19"/>
      <c r="L769" s="19"/>
      <c r="M769" s="22"/>
      <c r="N769" s="19"/>
      <c r="O769" s="19"/>
      <c r="P769" s="23"/>
      <c r="Q769" s="21" t="s">
        <v>46</v>
      </c>
      <c r="R769" s="19" t="s">
        <v>47</v>
      </c>
      <c r="S769" s="21"/>
      <c r="T769" s="32"/>
      <c r="U769" s="21"/>
      <c r="V769" s="7"/>
      <c r="W769" s="7"/>
      <c r="X769" s="7"/>
      <c r="Y769" s="7"/>
    </row>
    <row r="770" spans="1:25" ht="14.25" customHeight="1" x14ac:dyDescent="0.3">
      <c r="A770" s="18">
        <v>192.1</v>
      </c>
      <c r="B770" s="19"/>
      <c r="C770" s="19"/>
      <c r="D770" s="19"/>
      <c r="E770" s="19"/>
      <c r="F770" s="19"/>
      <c r="G770" s="21"/>
      <c r="H770" s="21"/>
      <c r="I770" s="21"/>
      <c r="J770" s="21"/>
      <c r="K770" s="19"/>
      <c r="L770" s="19"/>
      <c r="M770" s="22"/>
      <c r="N770" s="19"/>
      <c r="O770" s="19"/>
      <c r="P770" s="23"/>
      <c r="Q770" s="21" t="s">
        <v>46</v>
      </c>
      <c r="R770" s="19" t="s">
        <v>47</v>
      </c>
      <c r="S770" s="21"/>
      <c r="T770" s="32"/>
      <c r="U770" s="21"/>
      <c r="V770" s="7"/>
      <c r="W770" s="7"/>
      <c r="X770" s="7"/>
      <c r="Y770" s="7"/>
    </row>
    <row r="771" spans="1:25" ht="14.25" customHeight="1" x14ac:dyDescent="0.3">
      <c r="A771" s="18">
        <v>192.2</v>
      </c>
      <c r="B771" s="19"/>
      <c r="C771" s="19"/>
      <c r="D771" s="19"/>
      <c r="E771" s="19"/>
      <c r="F771" s="19"/>
      <c r="G771" s="21"/>
      <c r="H771" s="21"/>
      <c r="I771" s="21"/>
      <c r="J771" s="21"/>
      <c r="K771" s="19"/>
      <c r="L771" s="19"/>
      <c r="M771" s="22"/>
      <c r="N771" s="19"/>
      <c r="O771" s="19"/>
      <c r="P771" s="23"/>
      <c r="Q771" s="21" t="s">
        <v>46</v>
      </c>
      <c r="R771" s="19" t="s">
        <v>47</v>
      </c>
      <c r="S771" s="21"/>
      <c r="T771" s="32"/>
      <c r="U771" s="21"/>
      <c r="V771" s="7"/>
      <c r="W771" s="7"/>
      <c r="X771" s="7"/>
      <c r="Y771" s="7"/>
    </row>
    <row r="772" spans="1:25" ht="14.25" customHeight="1" x14ac:dyDescent="0.3">
      <c r="A772" s="18">
        <v>192.3</v>
      </c>
      <c r="B772" s="19"/>
      <c r="C772" s="19"/>
      <c r="D772" s="19"/>
      <c r="E772" s="19"/>
      <c r="F772" s="19"/>
      <c r="G772" s="21"/>
      <c r="H772" s="21"/>
      <c r="I772" s="21"/>
      <c r="J772" s="21"/>
      <c r="K772" s="19"/>
      <c r="L772" s="19"/>
      <c r="M772" s="22"/>
      <c r="N772" s="19"/>
      <c r="O772" s="19"/>
      <c r="P772" s="23"/>
      <c r="Q772" s="21" t="s">
        <v>46</v>
      </c>
      <c r="R772" s="19" t="s">
        <v>47</v>
      </c>
      <c r="S772" s="21"/>
      <c r="T772" s="32"/>
      <c r="U772" s="21"/>
      <c r="V772" s="7"/>
      <c r="W772" s="7"/>
      <c r="X772" s="7"/>
      <c r="Y772" s="7"/>
    </row>
    <row r="773" spans="1:25" ht="14.25" customHeight="1" x14ac:dyDescent="0.3">
      <c r="A773" s="18">
        <v>192.4</v>
      </c>
      <c r="B773" s="19"/>
      <c r="C773" s="19"/>
      <c r="D773" s="19"/>
      <c r="E773" s="19"/>
      <c r="F773" s="19"/>
      <c r="G773" s="21"/>
      <c r="H773" s="21"/>
      <c r="I773" s="21"/>
      <c r="J773" s="21"/>
      <c r="K773" s="19"/>
      <c r="L773" s="19"/>
      <c r="M773" s="22"/>
      <c r="N773" s="19"/>
      <c r="O773" s="19"/>
      <c r="P773" s="23"/>
      <c r="Q773" s="21" t="s">
        <v>46</v>
      </c>
      <c r="R773" s="19" t="s">
        <v>47</v>
      </c>
      <c r="S773" s="21"/>
      <c r="T773" s="32"/>
      <c r="U773" s="21"/>
      <c r="V773" s="7"/>
      <c r="W773" s="7"/>
      <c r="X773" s="7"/>
      <c r="Y773" s="7"/>
    </row>
    <row r="774" spans="1:25" ht="14.25" customHeight="1" x14ac:dyDescent="0.3">
      <c r="A774" s="18">
        <v>193.1</v>
      </c>
      <c r="B774" s="19"/>
      <c r="C774" s="19"/>
      <c r="D774" s="19"/>
      <c r="E774" s="19"/>
      <c r="F774" s="19"/>
      <c r="G774" s="21"/>
      <c r="H774" s="21"/>
      <c r="I774" s="21"/>
      <c r="J774" s="21"/>
      <c r="K774" s="19"/>
      <c r="L774" s="19"/>
      <c r="M774" s="22"/>
      <c r="N774" s="19"/>
      <c r="O774" s="19"/>
      <c r="P774" s="23"/>
      <c r="Q774" s="21" t="s">
        <v>46</v>
      </c>
      <c r="R774" s="19" t="s">
        <v>47</v>
      </c>
      <c r="S774" s="21"/>
      <c r="T774" s="32"/>
      <c r="U774" s="21"/>
      <c r="V774" s="7"/>
      <c r="W774" s="7"/>
      <c r="X774" s="7"/>
      <c r="Y774" s="7"/>
    </row>
    <row r="775" spans="1:25" ht="14.25" customHeight="1" x14ac:dyDescent="0.3">
      <c r="A775" s="18">
        <v>193.2</v>
      </c>
      <c r="B775" s="19"/>
      <c r="C775" s="19"/>
      <c r="D775" s="19"/>
      <c r="E775" s="19"/>
      <c r="F775" s="19"/>
      <c r="G775" s="21"/>
      <c r="H775" s="21"/>
      <c r="I775" s="21"/>
      <c r="J775" s="21"/>
      <c r="K775" s="19"/>
      <c r="L775" s="19"/>
      <c r="M775" s="22"/>
      <c r="N775" s="19"/>
      <c r="O775" s="19"/>
      <c r="P775" s="23"/>
      <c r="Q775" s="21" t="s">
        <v>46</v>
      </c>
      <c r="R775" s="19" t="s">
        <v>47</v>
      </c>
      <c r="S775" s="21"/>
      <c r="T775" s="32"/>
      <c r="U775" s="21"/>
      <c r="V775" s="7"/>
      <c r="W775" s="7"/>
      <c r="X775" s="7"/>
      <c r="Y775" s="7"/>
    </row>
    <row r="776" spans="1:25" ht="14.25" customHeight="1" x14ac:dyDescent="0.3">
      <c r="A776" s="18">
        <v>193.3</v>
      </c>
      <c r="B776" s="19"/>
      <c r="C776" s="19"/>
      <c r="D776" s="19"/>
      <c r="E776" s="19"/>
      <c r="F776" s="19"/>
      <c r="G776" s="21"/>
      <c r="H776" s="21"/>
      <c r="I776" s="21"/>
      <c r="J776" s="21"/>
      <c r="K776" s="19"/>
      <c r="L776" s="19"/>
      <c r="M776" s="22"/>
      <c r="N776" s="19"/>
      <c r="O776" s="19"/>
      <c r="P776" s="23"/>
      <c r="Q776" s="21" t="s">
        <v>46</v>
      </c>
      <c r="R776" s="19" t="s">
        <v>47</v>
      </c>
      <c r="S776" s="21"/>
      <c r="T776" s="32"/>
      <c r="U776" s="21"/>
      <c r="V776" s="7"/>
      <c r="W776" s="7"/>
      <c r="X776" s="7"/>
      <c r="Y776" s="7"/>
    </row>
    <row r="777" spans="1:25" ht="14.25" customHeight="1" x14ac:dyDescent="0.3">
      <c r="A777" s="18">
        <v>193.4</v>
      </c>
      <c r="B777" s="19"/>
      <c r="C777" s="19"/>
      <c r="D777" s="19"/>
      <c r="E777" s="19"/>
      <c r="F777" s="19"/>
      <c r="G777" s="21"/>
      <c r="H777" s="21"/>
      <c r="I777" s="21"/>
      <c r="J777" s="21"/>
      <c r="K777" s="19"/>
      <c r="L777" s="19"/>
      <c r="M777" s="22"/>
      <c r="N777" s="19"/>
      <c r="O777" s="19"/>
      <c r="P777" s="23"/>
      <c r="Q777" s="21" t="s">
        <v>46</v>
      </c>
      <c r="R777" s="19" t="s">
        <v>47</v>
      </c>
      <c r="S777" s="21"/>
      <c r="T777" s="32"/>
      <c r="U777" s="21"/>
      <c r="V777" s="7"/>
      <c r="W777" s="7"/>
      <c r="X777" s="7"/>
      <c r="Y777" s="7"/>
    </row>
    <row r="778" spans="1:25" ht="14.25" customHeight="1" x14ac:dyDescent="0.3">
      <c r="A778" s="18">
        <v>194.1</v>
      </c>
      <c r="B778" s="19"/>
      <c r="C778" s="19"/>
      <c r="D778" s="19"/>
      <c r="E778" s="19"/>
      <c r="F778" s="19"/>
      <c r="G778" s="21"/>
      <c r="H778" s="21"/>
      <c r="I778" s="21"/>
      <c r="J778" s="21"/>
      <c r="K778" s="19"/>
      <c r="L778" s="19"/>
      <c r="M778" s="22"/>
      <c r="N778" s="19"/>
      <c r="O778" s="19"/>
      <c r="P778" s="23"/>
      <c r="Q778" s="21" t="s">
        <v>46</v>
      </c>
      <c r="R778" s="19" t="s">
        <v>47</v>
      </c>
      <c r="S778" s="21"/>
      <c r="T778" s="32"/>
      <c r="U778" s="21"/>
      <c r="V778" s="7"/>
      <c r="W778" s="7"/>
      <c r="X778" s="7"/>
      <c r="Y778" s="7"/>
    </row>
    <row r="779" spans="1:25" ht="14.25" customHeight="1" x14ac:dyDescent="0.3">
      <c r="A779" s="18">
        <v>194.2</v>
      </c>
      <c r="B779" s="19"/>
      <c r="C779" s="19"/>
      <c r="D779" s="19"/>
      <c r="E779" s="19"/>
      <c r="F779" s="19"/>
      <c r="G779" s="21"/>
      <c r="H779" s="21"/>
      <c r="I779" s="21"/>
      <c r="J779" s="21"/>
      <c r="K779" s="19"/>
      <c r="L779" s="19"/>
      <c r="M779" s="22"/>
      <c r="N779" s="19"/>
      <c r="O779" s="19"/>
      <c r="P779" s="23"/>
      <c r="Q779" s="21" t="s">
        <v>46</v>
      </c>
      <c r="R779" s="19" t="s">
        <v>47</v>
      </c>
      <c r="S779" s="21"/>
      <c r="T779" s="32"/>
      <c r="U779" s="21"/>
      <c r="V779" s="7"/>
      <c r="W779" s="7"/>
      <c r="X779" s="7"/>
      <c r="Y779" s="7"/>
    </row>
    <row r="780" spans="1:25" ht="14.25" customHeight="1" x14ac:dyDescent="0.3">
      <c r="A780" s="18">
        <v>194.3</v>
      </c>
      <c r="B780" s="19"/>
      <c r="C780" s="19"/>
      <c r="D780" s="19"/>
      <c r="E780" s="19"/>
      <c r="F780" s="19"/>
      <c r="G780" s="21"/>
      <c r="H780" s="21"/>
      <c r="I780" s="21"/>
      <c r="J780" s="21"/>
      <c r="K780" s="19"/>
      <c r="L780" s="19"/>
      <c r="M780" s="22"/>
      <c r="N780" s="19"/>
      <c r="O780" s="19"/>
      <c r="P780" s="23"/>
      <c r="Q780" s="21" t="s">
        <v>46</v>
      </c>
      <c r="R780" s="19" t="s">
        <v>47</v>
      </c>
      <c r="S780" s="21"/>
      <c r="T780" s="32"/>
      <c r="U780" s="21"/>
      <c r="V780" s="7"/>
      <c r="W780" s="7"/>
      <c r="X780" s="7"/>
      <c r="Y780" s="7"/>
    </row>
    <row r="781" spans="1:25" ht="14.25" customHeight="1" x14ac:dyDescent="0.3">
      <c r="A781" s="18">
        <v>194.4</v>
      </c>
      <c r="B781" s="19"/>
      <c r="C781" s="19"/>
      <c r="D781" s="19"/>
      <c r="E781" s="19"/>
      <c r="F781" s="19"/>
      <c r="G781" s="21"/>
      <c r="H781" s="21"/>
      <c r="I781" s="21"/>
      <c r="J781" s="21"/>
      <c r="K781" s="19"/>
      <c r="L781" s="19"/>
      <c r="M781" s="22"/>
      <c r="N781" s="19"/>
      <c r="O781" s="19"/>
      <c r="P781" s="23"/>
      <c r="Q781" s="21" t="s">
        <v>46</v>
      </c>
      <c r="R781" s="19" t="s">
        <v>47</v>
      </c>
      <c r="S781" s="21"/>
      <c r="T781" s="32"/>
      <c r="U781" s="21"/>
      <c r="V781" s="7"/>
      <c r="W781" s="7"/>
      <c r="X781" s="7"/>
      <c r="Y781" s="7"/>
    </row>
    <row r="782" spans="1:25" ht="14.25" customHeight="1" x14ac:dyDescent="0.3">
      <c r="A782" s="18">
        <v>195.1</v>
      </c>
      <c r="B782" s="19"/>
      <c r="C782" s="19"/>
      <c r="D782" s="19"/>
      <c r="E782" s="19"/>
      <c r="F782" s="19"/>
      <c r="G782" s="21"/>
      <c r="H782" s="21"/>
      <c r="I782" s="21"/>
      <c r="J782" s="21"/>
      <c r="K782" s="19"/>
      <c r="L782" s="19"/>
      <c r="M782" s="22"/>
      <c r="N782" s="19"/>
      <c r="O782" s="19"/>
      <c r="P782" s="23"/>
      <c r="Q782" s="21" t="s">
        <v>46</v>
      </c>
      <c r="R782" s="19" t="s">
        <v>47</v>
      </c>
      <c r="S782" s="21"/>
      <c r="T782" s="32"/>
      <c r="U782" s="21"/>
      <c r="V782" s="7"/>
      <c r="W782" s="7"/>
      <c r="X782" s="7"/>
      <c r="Y782" s="7"/>
    </row>
    <row r="783" spans="1:25" ht="14.25" customHeight="1" x14ac:dyDescent="0.3">
      <c r="A783" s="18">
        <v>195.2</v>
      </c>
      <c r="B783" s="19"/>
      <c r="C783" s="19"/>
      <c r="D783" s="19"/>
      <c r="E783" s="19"/>
      <c r="F783" s="19"/>
      <c r="G783" s="21"/>
      <c r="H783" s="21"/>
      <c r="I783" s="21"/>
      <c r="J783" s="21"/>
      <c r="K783" s="19"/>
      <c r="L783" s="19"/>
      <c r="M783" s="22"/>
      <c r="N783" s="19"/>
      <c r="O783" s="19"/>
      <c r="P783" s="23"/>
      <c r="Q783" s="21" t="s">
        <v>46</v>
      </c>
      <c r="R783" s="19" t="s">
        <v>47</v>
      </c>
      <c r="S783" s="21"/>
      <c r="T783" s="32"/>
      <c r="U783" s="21"/>
      <c r="V783" s="7"/>
      <c r="W783" s="7"/>
      <c r="X783" s="7"/>
      <c r="Y783" s="7"/>
    </row>
    <row r="784" spans="1:25" ht="14.25" customHeight="1" x14ac:dyDescent="0.3">
      <c r="A784" s="18">
        <v>195.3</v>
      </c>
      <c r="B784" s="19"/>
      <c r="C784" s="19"/>
      <c r="D784" s="19"/>
      <c r="E784" s="19"/>
      <c r="F784" s="19"/>
      <c r="G784" s="21"/>
      <c r="H784" s="21"/>
      <c r="I784" s="21"/>
      <c r="J784" s="21"/>
      <c r="K784" s="19"/>
      <c r="L784" s="19"/>
      <c r="M784" s="22"/>
      <c r="N784" s="19"/>
      <c r="O784" s="19"/>
      <c r="P784" s="23"/>
      <c r="Q784" s="21" t="s">
        <v>46</v>
      </c>
      <c r="R784" s="19" t="s">
        <v>47</v>
      </c>
      <c r="S784" s="21"/>
      <c r="T784" s="32"/>
      <c r="U784" s="21"/>
      <c r="V784" s="7"/>
      <c r="W784" s="7"/>
      <c r="X784" s="7"/>
      <c r="Y784" s="7"/>
    </row>
    <row r="785" spans="1:25" ht="14.25" customHeight="1" x14ac:dyDescent="0.3">
      <c r="A785" s="18">
        <v>195.4</v>
      </c>
      <c r="B785" s="19"/>
      <c r="C785" s="19"/>
      <c r="D785" s="19"/>
      <c r="E785" s="19"/>
      <c r="F785" s="19"/>
      <c r="G785" s="21"/>
      <c r="H785" s="21"/>
      <c r="I785" s="21"/>
      <c r="J785" s="21"/>
      <c r="K785" s="19"/>
      <c r="L785" s="19"/>
      <c r="M785" s="22"/>
      <c r="N785" s="19"/>
      <c r="O785" s="19"/>
      <c r="P785" s="23"/>
      <c r="Q785" s="21" t="s">
        <v>46</v>
      </c>
      <c r="R785" s="19" t="s">
        <v>47</v>
      </c>
      <c r="S785" s="21"/>
      <c r="T785" s="32"/>
      <c r="U785" s="21"/>
      <c r="V785" s="7"/>
      <c r="W785" s="7"/>
      <c r="X785" s="7"/>
      <c r="Y785" s="7"/>
    </row>
    <row r="786" spans="1:25" ht="14.25" customHeight="1" x14ac:dyDescent="0.3">
      <c r="A786" s="18">
        <v>196.1</v>
      </c>
      <c r="B786" s="19"/>
      <c r="C786" s="19"/>
      <c r="D786" s="19"/>
      <c r="E786" s="19"/>
      <c r="F786" s="19"/>
      <c r="G786" s="21"/>
      <c r="H786" s="21"/>
      <c r="I786" s="21"/>
      <c r="J786" s="21"/>
      <c r="K786" s="19"/>
      <c r="L786" s="19"/>
      <c r="M786" s="22"/>
      <c r="N786" s="19"/>
      <c r="O786" s="19"/>
      <c r="P786" s="23"/>
      <c r="Q786" s="21" t="s">
        <v>46</v>
      </c>
      <c r="R786" s="19" t="s">
        <v>47</v>
      </c>
      <c r="S786" s="21"/>
      <c r="T786" s="32"/>
      <c r="U786" s="21"/>
      <c r="V786" s="7"/>
      <c r="W786" s="7"/>
      <c r="X786" s="7"/>
      <c r="Y786" s="7"/>
    </row>
    <row r="787" spans="1:25" ht="14.25" customHeight="1" x14ac:dyDescent="0.3">
      <c r="A787" s="18">
        <v>196.2</v>
      </c>
      <c r="B787" s="19"/>
      <c r="C787" s="19"/>
      <c r="D787" s="19"/>
      <c r="E787" s="19"/>
      <c r="F787" s="19"/>
      <c r="G787" s="21"/>
      <c r="H787" s="21"/>
      <c r="I787" s="21"/>
      <c r="J787" s="21"/>
      <c r="K787" s="19"/>
      <c r="L787" s="19"/>
      <c r="M787" s="22"/>
      <c r="N787" s="19"/>
      <c r="O787" s="19"/>
      <c r="P787" s="23"/>
      <c r="Q787" s="21" t="s">
        <v>46</v>
      </c>
      <c r="R787" s="19" t="s">
        <v>47</v>
      </c>
      <c r="S787" s="21"/>
      <c r="T787" s="32"/>
      <c r="U787" s="21"/>
      <c r="V787" s="7"/>
      <c r="W787" s="7"/>
      <c r="X787" s="7"/>
      <c r="Y787" s="7"/>
    </row>
    <row r="788" spans="1:25" ht="14.25" customHeight="1" x14ac:dyDescent="0.3">
      <c r="A788" s="18">
        <v>196.3</v>
      </c>
      <c r="B788" s="19"/>
      <c r="C788" s="19"/>
      <c r="D788" s="19"/>
      <c r="E788" s="19"/>
      <c r="F788" s="19"/>
      <c r="G788" s="21"/>
      <c r="H788" s="21"/>
      <c r="I788" s="21"/>
      <c r="J788" s="21"/>
      <c r="K788" s="19"/>
      <c r="L788" s="19"/>
      <c r="M788" s="22"/>
      <c r="N788" s="19"/>
      <c r="O788" s="19"/>
      <c r="P788" s="23"/>
      <c r="Q788" s="21" t="s">
        <v>46</v>
      </c>
      <c r="R788" s="19" t="s">
        <v>47</v>
      </c>
      <c r="S788" s="21"/>
      <c r="T788" s="32"/>
      <c r="U788" s="21"/>
      <c r="V788" s="7"/>
      <c r="W788" s="7"/>
      <c r="X788" s="7"/>
      <c r="Y788" s="7"/>
    </row>
    <row r="789" spans="1:25" ht="14.25" customHeight="1" x14ac:dyDescent="0.3">
      <c r="A789" s="18">
        <v>196.4</v>
      </c>
      <c r="B789" s="19"/>
      <c r="C789" s="19"/>
      <c r="D789" s="19"/>
      <c r="E789" s="19"/>
      <c r="F789" s="19"/>
      <c r="G789" s="21"/>
      <c r="H789" s="21"/>
      <c r="I789" s="21"/>
      <c r="J789" s="21"/>
      <c r="K789" s="19"/>
      <c r="L789" s="19"/>
      <c r="M789" s="22"/>
      <c r="N789" s="19"/>
      <c r="O789" s="19"/>
      <c r="P789" s="23"/>
      <c r="Q789" s="21" t="s">
        <v>46</v>
      </c>
      <c r="R789" s="19" t="s">
        <v>47</v>
      </c>
      <c r="S789" s="21"/>
      <c r="T789" s="32"/>
      <c r="U789" s="21"/>
      <c r="V789" s="7"/>
      <c r="W789" s="7"/>
      <c r="X789" s="7"/>
      <c r="Y789" s="7"/>
    </row>
    <row r="790" spans="1:25" ht="14.25" customHeight="1" x14ac:dyDescent="0.3">
      <c r="A790" s="18">
        <v>197.1</v>
      </c>
      <c r="B790" s="19"/>
      <c r="C790" s="19"/>
      <c r="D790" s="19"/>
      <c r="E790" s="19"/>
      <c r="F790" s="19"/>
      <c r="G790" s="21"/>
      <c r="H790" s="21"/>
      <c r="I790" s="21"/>
      <c r="J790" s="21"/>
      <c r="K790" s="19"/>
      <c r="L790" s="19"/>
      <c r="M790" s="22"/>
      <c r="N790" s="19"/>
      <c r="O790" s="19"/>
      <c r="P790" s="23"/>
      <c r="Q790" s="21" t="s">
        <v>46</v>
      </c>
      <c r="R790" s="19" t="s">
        <v>47</v>
      </c>
      <c r="S790" s="21"/>
      <c r="T790" s="32"/>
      <c r="U790" s="21"/>
      <c r="V790" s="7"/>
      <c r="W790" s="7"/>
      <c r="X790" s="7"/>
      <c r="Y790" s="7"/>
    </row>
    <row r="791" spans="1:25" ht="14.25" customHeight="1" x14ac:dyDescent="0.3">
      <c r="A791" s="18">
        <v>197.2</v>
      </c>
      <c r="B791" s="19"/>
      <c r="C791" s="19"/>
      <c r="D791" s="19"/>
      <c r="E791" s="19"/>
      <c r="F791" s="19"/>
      <c r="G791" s="21"/>
      <c r="H791" s="21"/>
      <c r="I791" s="21"/>
      <c r="J791" s="21"/>
      <c r="K791" s="19"/>
      <c r="L791" s="19"/>
      <c r="M791" s="22"/>
      <c r="N791" s="19"/>
      <c r="O791" s="19"/>
      <c r="P791" s="23"/>
      <c r="Q791" s="21" t="s">
        <v>46</v>
      </c>
      <c r="R791" s="19" t="s">
        <v>47</v>
      </c>
      <c r="S791" s="21"/>
      <c r="T791" s="32"/>
      <c r="U791" s="21"/>
      <c r="V791" s="7"/>
      <c r="W791" s="7"/>
      <c r="X791" s="7"/>
      <c r="Y791" s="7"/>
    </row>
    <row r="792" spans="1:25" ht="14.25" customHeight="1" x14ac:dyDescent="0.3">
      <c r="A792" s="18">
        <v>197.3</v>
      </c>
      <c r="B792" s="19"/>
      <c r="C792" s="19"/>
      <c r="D792" s="19"/>
      <c r="E792" s="19"/>
      <c r="F792" s="19"/>
      <c r="G792" s="21"/>
      <c r="H792" s="21"/>
      <c r="I792" s="21"/>
      <c r="J792" s="21"/>
      <c r="K792" s="19"/>
      <c r="L792" s="19"/>
      <c r="M792" s="22"/>
      <c r="N792" s="19"/>
      <c r="O792" s="19"/>
      <c r="P792" s="23"/>
      <c r="Q792" s="21" t="s">
        <v>46</v>
      </c>
      <c r="R792" s="19" t="s">
        <v>47</v>
      </c>
      <c r="S792" s="21"/>
      <c r="T792" s="32"/>
      <c r="U792" s="21"/>
      <c r="V792" s="7"/>
      <c r="W792" s="7"/>
      <c r="X792" s="7"/>
      <c r="Y792" s="7"/>
    </row>
    <row r="793" spans="1:25" ht="14.25" customHeight="1" x14ac:dyDescent="0.3">
      <c r="A793" s="18">
        <v>197.4</v>
      </c>
      <c r="B793" s="19"/>
      <c r="C793" s="19"/>
      <c r="D793" s="19"/>
      <c r="E793" s="19"/>
      <c r="F793" s="19"/>
      <c r="G793" s="21"/>
      <c r="H793" s="21"/>
      <c r="I793" s="21"/>
      <c r="J793" s="21"/>
      <c r="K793" s="19"/>
      <c r="L793" s="19"/>
      <c r="M793" s="22"/>
      <c r="N793" s="19"/>
      <c r="O793" s="19"/>
      <c r="P793" s="23"/>
      <c r="Q793" s="21" t="s">
        <v>46</v>
      </c>
      <c r="R793" s="19" t="s">
        <v>47</v>
      </c>
      <c r="S793" s="21"/>
      <c r="T793" s="32"/>
      <c r="U793" s="21"/>
      <c r="V793" s="7"/>
      <c r="W793" s="7"/>
      <c r="X793" s="7"/>
      <c r="Y793" s="7"/>
    </row>
    <row r="794" spans="1:25" ht="14.25" customHeight="1" x14ac:dyDescent="0.3">
      <c r="A794" s="18">
        <v>198.1</v>
      </c>
      <c r="B794" s="19"/>
      <c r="C794" s="19"/>
      <c r="D794" s="19"/>
      <c r="E794" s="19"/>
      <c r="F794" s="19"/>
      <c r="G794" s="21"/>
      <c r="H794" s="21"/>
      <c r="I794" s="21"/>
      <c r="J794" s="21"/>
      <c r="K794" s="19"/>
      <c r="L794" s="19"/>
      <c r="M794" s="22"/>
      <c r="N794" s="19"/>
      <c r="O794" s="19"/>
      <c r="P794" s="23"/>
      <c r="Q794" s="21" t="s">
        <v>46</v>
      </c>
      <c r="R794" s="19" t="s">
        <v>47</v>
      </c>
      <c r="S794" s="21"/>
      <c r="T794" s="32"/>
      <c r="U794" s="21"/>
      <c r="V794" s="7"/>
      <c r="W794" s="7"/>
      <c r="X794" s="7"/>
      <c r="Y794" s="7"/>
    </row>
    <row r="795" spans="1:25" ht="14.25" customHeight="1" x14ac:dyDescent="0.3">
      <c r="A795" s="18">
        <v>198.2</v>
      </c>
      <c r="B795" s="19"/>
      <c r="C795" s="19"/>
      <c r="D795" s="19"/>
      <c r="E795" s="19"/>
      <c r="F795" s="19"/>
      <c r="G795" s="21"/>
      <c r="H795" s="21"/>
      <c r="I795" s="21"/>
      <c r="J795" s="21"/>
      <c r="K795" s="19"/>
      <c r="L795" s="19"/>
      <c r="M795" s="22"/>
      <c r="N795" s="19"/>
      <c r="O795" s="19"/>
      <c r="P795" s="23"/>
      <c r="Q795" s="21" t="s">
        <v>46</v>
      </c>
      <c r="R795" s="19" t="s">
        <v>47</v>
      </c>
      <c r="S795" s="21"/>
      <c r="T795" s="32"/>
      <c r="U795" s="21"/>
      <c r="V795" s="7"/>
      <c r="W795" s="7"/>
      <c r="X795" s="7"/>
      <c r="Y795" s="7"/>
    </row>
    <row r="796" spans="1:25" ht="14.25" customHeight="1" x14ac:dyDescent="0.3">
      <c r="A796" s="18">
        <v>198.3</v>
      </c>
      <c r="B796" s="19"/>
      <c r="C796" s="19"/>
      <c r="D796" s="19"/>
      <c r="E796" s="19"/>
      <c r="F796" s="19"/>
      <c r="G796" s="21"/>
      <c r="H796" s="21"/>
      <c r="I796" s="21"/>
      <c r="J796" s="21"/>
      <c r="K796" s="19"/>
      <c r="L796" s="19"/>
      <c r="M796" s="22"/>
      <c r="N796" s="19"/>
      <c r="O796" s="19"/>
      <c r="P796" s="23"/>
      <c r="Q796" s="21" t="s">
        <v>46</v>
      </c>
      <c r="R796" s="19" t="s">
        <v>47</v>
      </c>
      <c r="S796" s="21"/>
      <c r="T796" s="32"/>
      <c r="U796" s="21"/>
      <c r="V796" s="7"/>
      <c r="W796" s="7"/>
      <c r="X796" s="7"/>
      <c r="Y796" s="7"/>
    </row>
    <row r="797" spans="1:25" ht="14.25" customHeight="1" x14ac:dyDescent="0.3">
      <c r="A797" s="18">
        <v>198.4</v>
      </c>
      <c r="B797" s="19"/>
      <c r="C797" s="19"/>
      <c r="D797" s="19"/>
      <c r="E797" s="19"/>
      <c r="F797" s="19"/>
      <c r="G797" s="21"/>
      <c r="H797" s="21"/>
      <c r="I797" s="21"/>
      <c r="J797" s="21"/>
      <c r="K797" s="19"/>
      <c r="L797" s="19"/>
      <c r="M797" s="22"/>
      <c r="N797" s="19"/>
      <c r="O797" s="19"/>
      <c r="P797" s="23"/>
      <c r="Q797" s="21" t="s">
        <v>46</v>
      </c>
      <c r="R797" s="19" t="s">
        <v>47</v>
      </c>
      <c r="S797" s="21"/>
      <c r="T797" s="32"/>
      <c r="U797" s="21"/>
      <c r="V797" s="7"/>
      <c r="W797" s="7"/>
      <c r="X797" s="7"/>
      <c r="Y797" s="7"/>
    </row>
    <row r="798" spans="1:25" ht="14.25" customHeight="1" x14ac:dyDescent="0.3">
      <c r="A798" s="18">
        <v>199.1</v>
      </c>
      <c r="B798" s="19"/>
      <c r="C798" s="19"/>
      <c r="D798" s="19"/>
      <c r="E798" s="19"/>
      <c r="F798" s="19"/>
      <c r="G798" s="21"/>
      <c r="H798" s="21"/>
      <c r="I798" s="21"/>
      <c r="J798" s="21"/>
      <c r="K798" s="19"/>
      <c r="L798" s="19"/>
      <c r="M798" s="22"/>
      <c r="N798" s="19"/>
      <c r="O798" s="19"/>
      <c r="P798" s="23"/>
      <c r="Q798" s="21" t="s">
        <v>46</v>
      </c>
      <c r="R798" s="19" t="s">
        <v>47</v>
      </c>
      <c r="S798" s="21"/>
      <c r="T798" s="32"/>
      <c r="U798" s="21"/>
      <c r="V798" s="7"/>
      <c r="W798" s="7"/>
      <c r="X798" s="7"/>
      <c r="Y798" s="7"/>
    </row>
    <row r="799" spans="1:25" ht="14.25" customHeight="1" x14ac:dyDescent="0.3">
      <c r="A799" s="18">
        <v>199.2</v>
      </c>
      <c r="B799" s="19"/>
      <c r="C799" s="19"/>
      <c r="D799" s="19"/>
      <c r="E799" s="19"/>
      <c r="F799" s="19"/>
      <c r="G799" s="21"/>
      <c r="H799" s="21"/>
      <c r="I799" s="21"/>
      <c r="J799" s="21"/>
      <c r="K799" s="19"/>
      <c r="L799" s="19"/>
      <c r="M799" s="22"/>
      <c r="N799" s="19"/>
      <c r="O799" s="19"/>
      <c r="P799" s="23"/>
      <c r="Q799" s="21" t="s">
        <v>46</v>
      </c>
      <c r="R799" s="19" t="s">
        <v>47</v>
      </c>
      <c r="S799" s="21"/>
      <c r="T799" s="32"/>
      <c r="U799" s="21"/>
      <c r="V799" s="7"/>
      <c r="W799" s="7"/>
      <c r="X799" s="7"/>
      <c r="Y799" s="7"/>
    </row>
    <row r="800" spans="1:25" ht="14.25" customHeight="1" x14ac:dyDescent="0.3">
      <c r="A800" s="18">
        <v>199.3</v>
      </c>
      <c r="B800" s="19"/>
      <c r="C800" s="19"/>
      <c r="D800" s="19"/>
      <c r="E800" s="19"/>
      <c r="F800" s="19"/>
      <c r="G800" s="21"/>
      <c r="H800" s="21"/>
      <c r="I800" s="21"/>
      <c r="J800" s="21"/>
      <c r="K800" s="19"/>
      <c r="L800" s="19"/>
      <c r="M800" s="22"/>
      <c r="N800" s="19"/>
      <c r="O800" s="19"/>
      <c r="P800" s="23"/>
      <c r="Q800" s="21" t="s">
        <v>46</v>
      </c>
      <c r="R800" s="19" t="s">
        <v>47</v>
      </c>
      <c r="S800" s="21"/>
      <c r="T800" s="32"/>
      <c r="U800" s="21"/>
      <c r="V800" s="7"/>
      <c r="W800" s="7"/>
      <c r="X800" s="7"/>
      <c r="Y800" s="7"/>
    </row>
    <row r="801" spans="1:25" ht="14.25" customHeight="1" x14ac:dyDescent="0.3">
      <c r="A801" s="18">
        <v>199.4</v>
      </c>
      <c r="B801" s="19"/>
      <c r="C801" s="19"/>
      <c r="D801" s="19"/>
      <c r="E801" s="19"/>
      <c r="F801" s="19"/>
      <c r="G801" s="21"/>
      <c r="H801" s="21"/>
      <c r="I801" s="21"/>
      <c r="J801" s="21"/>
      <c r="K801" s="19"/>
      <c r="L801" s="19"/>
      <c r="M801" s="22"/>
      <c r="N801" s="19"/>
      <c r="O801" s="19"/>
      <c r="P801" s="23"/>
      <c r="Q801" s="21" t="s">
        <v>46</v>
      </c>
      <c r="R801" s="19" t="s">
        <v>47</v>
      </c>
      <c r="S801" s="21"/>
      <c r="T801" s="32"/>
      <c r="U801" s="21"/>
      <c r="V801" s="7"/>
      <c r="W801" s="7"/>
      <c r="X801" s="7"/>
      <c r="Y801" s="7"/>
    </row>
    <row r="802" spans="1:25" ht="14.25" customHeight="1" x14ac:dyDescent="0.3">
      <c r="A802" s="18">
        <v>200.1</v>
      </c>
      <c r="B802" s="19"/>
      <c r="C802" s="19"/>
      <c r="D802" s="19"/>
      <c r="E802" s="19"/>
      <c r="F802" s="19"/>
      <c r="G802" s="21"/>
      <c r="H802" s="21"/>
      <c r="I802" s="21"/>
      <c r="J802" s="21"/>
      <c r="K802" s="19"/>
      <c r="L802" s="19"/>
      <c r="M802" s="22"/>
      <c r="N802" s="19"/>
      <c r="O802" s="19"/>
      <c r="P802" s="23"/>
      <c r="Q802" s="21" t="s">
        <v>46</v>
      </c>
      <c r="R802" s="19" t="s">
        <v>47</v>
      </c>
      <c r="S802" s="21"/>
      <c r="T802" s="32"/>
      <c r="U802" s="21"/>
      <c r="V802" s="7"/>
      <c r="W802" s="7"/>
      <c r="X802" s="7"/>
      <c r="Y802" s="7"/>
    </row>
    <row r="803" spans="1:25" ht="14.25" customHeight="1" x14ac:dyDescent="0.3">
      <c r="A803" s="18">
        <v>200.2</v>
      </c>
      <c r="B803" s="19"/>
      <c r="C803" s="19"/>
      <c r="D803" s="19"/>
      <c r="E803" s="19"/>
      <c r="F803" s="19"/>
      <c r="G803" s="21"/>
      <c r="H803" s="21"/>
      <c r="I803" s="21"/>
      <c r="J803" s="21"/>
      <c r="K803" s="19"/>
      <c r="L803" s="19"/>
      <c r="M803" s="22"/>
      <c r="N803" s="19"/>
      <c r="O803" s="19"/>
      <c r="P803" s="23"/>
      <c r="Q803" s="21" t="s">
        <v>46</v>
      </c>
      <c r="R803" s="19" t="s">
        <v>47</v>
      </c>
      <c r="S803" s="21"/>
      <c r="T803" s="32"/>
      <c r="U803" s="21"/>
      <c r="V803" s="7"/>
      <c r="W803" s="7"/>
      <c r="X803" s="7"/>
      <c r="Y803" s="7"/>
    </row>
    <row r="804" spans="1:25" ht="14.25" customHeight="1" x14ac:dyDescent="0.3">
      <c r="A804" s="18">
        <v>200.3</v>
      </c>
      <c r="B804" s="19"/>
      <c r="C804" s="19"/>
      <c r="D804" s="19"/>
      <c r="E804" s="19"/>
      <c r="F804" s="19"/>
      <c r="G804" s="21"/>
      <c r="H804" s="21"/>
      <c r="I804" s="21"/>
      <c r="J804" s="21"/>
      <c r="K804" s="19"/>
      <c r="L804" s="19"/>
      <c r="M804" s="22"/>
      <c r="N804" s="19"/>
      <c r="O804" s="19"/>
      <c r="P804" s="23"/>
      <c r="Q804" s="21" t="s">
        <v>46</v>
      </c>
      <c r="R804" s="19" t="s">
        <v>47</v>
      </c>
      <c r="S804" s="21"/>
      <c r="T804" s="32"/>
      <c r="U804" s="21"/>
      <c r="V804" s="7"/>
      <c r="W804" s="7"/>
      <c r="X804" s="7"/>
      <c r="Y804" s="7"/>
    </row>
    <row r="805" spans="1:25" ht="14.25" customHeight="1" x14ac:dyDescent="0.3">
      <c r="A805" s="18">
        <v>200.4</v>
      </c>
      <c r="B805" s="19"/>
      <c r="C805" s="19"/>
      <c r="D805" s="19"/>
      <c r="E805" s="19"/>
      <c r="F805" s="19"/>
      <c r="G805" s="21"/>
      <c r="H805" s="21"/>
      <c r="I805" s="21"/>
      <c r="J805" s="21"/>
      <c r="K805" s="19"/>
      <c r="L805" s="19"/>
      <c r="M805" s="22"/>
      <c r="N805" s="19"/>
      <c r="O805" s="19"/>
      <c r="P805" s="23"/>
      <c r="Q805" s="21" t="s">
        <v>46</v>
      </c>
      <c r="R805" s="19" t="s">
        <v>47</v>
      </c>
      <c r="S805" s="21"/>
      <c r="T805" s="32"/>
      <c r="U805" s="21"/>
      <c r="V805" s="7"/>
      <c r="W805" s="7"/>
      <c r="X805" s="7"/>
      <c r="Y805" s="7"/>
    </row>
    <row r="806" spans="1:25" ht="14.25" customHeight="1" x14ac:dyDescent="0.3">
      <c r="A806" s="18">
        <v>201.1</v>
      </c>
      <c r="B806" s="19"/>
      <c r="C806" s="19"/>
      <c r="D806" s="19"/>
      <c r="E806" s="19"/>
      <c r="F806" s="19"/>
      <c r="G806" s="21"/>
      <c r="H806" s="21"/>
      <c r="I806" s="21"/>
      <c r="J806" s="21"/>
      <c r="K806" s="19"/>
      <c r="L806" s="19"/>
      <c r="M806" s="22"/>
      <c r="N806" s="19"/>
      <c r="O806" s="19"/>
      <c r="P806" s="23"/>
      <c r="Q806" s="21" t="s">
        <v>46</v>
      </c>
      <c r="R806" s="19" t="s">
        <v>47</v>
      </c>
      <c r="S806" s="21"/>
      <c r="T806" s="32"/>
      <c r="U806" s="21"/>
      <c r="V806" s="7"/>
      <c r="W806" s="7"/>
      <c r="X806" s="7"/>
      <c r="Y806" s="7"/>
    </row>
    <row r="807" spans="1:25" ht="14.25" customHeight="1" x14ac:dyDescent="0.3">
      <c r="A807" s="18">
        <v>201.2</v>
      </c>
      <c r="B807" s="19"/>
      <c r="C807" s="19"/>
      <c r="D807" s="19"/>
      <c r="E807" s="19"/>
      <c r="F807" s="19"/>
      <c r="G807" s="21"/>
      <c r="H807" s="21"/>
      <c r="I807" s="21"/>
      <c r="J807" s="21"/>
      <c r="K807" s="19"/>
      <c r="L807" s="19"/>
      <c r="M807" s="22"/>
      <c r="N807" s="19"/>
      <c r="O807" s="19"/>
      <c r="P807" s="23"/>
      <c r="Q807" s="21" t="s">
        <v>46</v>
      </c>
      <c r="R807" s="19" t="s">
        <v>47</v>
      </c>
      <c r="S807" s="21"/>
      <c r="T807" s="32"/>
      <c r="U807" s="21"/>
      <c r="V807" s="7"/>
      <c r="W807" s="7"/>
      <c r="X807" s="7"/>
      <c r="Y807" s="7"/>
    </row>
    <row r="808" spans="1:25" ht="14.25" customHeight="1" x14ac:dyDescent="0.3">
      <c r="A808" s="18">
        <v>201.3</v>
      </c>
      <c r="B808" s="19"/>
      <c r="C808" s="19"/>
      <c r="D808" s="19"/>
      <c r="E808" s="19"/>
      <c r="F808" s="19"/>
      <c r="G808" s="21"/>
      <c r="H808" s="21"/>
      <c r="I808" s="21"/>
      <c r="J808" s="21"/>
      <c r="K808" s="19"/>
      <c r="L808" s="19"/>
      <c r="M808" s="22"/>
      <c r="N808" s="19"/>
      <c r="O808" s="19"/>
      <c r="P808" s="23"/>
      <c r="Q808" s="21" t="s">
        <v>46</v>
      </c>
      <c r="R808" s="19" t="s">
        <v>47</v>
      </c>
      <c r="S808" s="21"/>
      <c r="T808" s="32"/>
      <c r="U808" s="21"/>
      <c r="V808" s="7"/>
      <c r="W808" s="7"/>
      <c r="X808" s="7"/>
      <c r="Y808" s="7"/>
    </row>
    <row r="809" spans="1:25" ht="14.25" customHeight="1" x14ac:dyDescent="0.3">
      <c r="A809" s="18">
        <v>201.4</v>
      </c>
      <c r="B809" s="19"/>
      <c r="C809" s="19"/>
      <c r="D809" s="19"/>
      <c r="E809" s="19"/>
      <c r="F809" s="19"/>
      <c r="G809" s="21"/>
      <c r="H809" s="21"/>
      <c r="I809" s="21"/>
      <c r="J809" s="21"/>
      <c r="K809" s="19"/>
      <c r="L809" s="19"/>
      <c r="M809" s="22"/>
      <c r="N809" s="19"/>
      <c r="O809" s="19"/>
      <c r="P809" s="23"/>
      <c r="Q809" s="21" t="s">
        <v>46</v>
      </c>
      <c r="R809" s="19" t="s">
        <v>47</v>
      </c>
      <c r="S809" s="21"/>
      <c r="T809" s="32"/>
      <c r="U809" s="21"/>
      <c r="V809" s="7"/>
      <c r="W809" s="7"/>
      <c r="X809" s="7"/>
      <c r="Y809" s="7"/>
    </row>
    <row r="810" spans="1:25" ht="14.25" customHeight="1" x14ac:dyDescent="0.3">
      <c r="A810" s="18">
        <v>202.1</v>
      </c>
      <c r="B810" s="19"/>
      <c r="C810" s="19"/>
      <c r="D810" s="19"/>
      <c r="E810" s="19"/>
      <c r="F810" s="19"/>
      <c r="G810" s="21"/>
      <c r="H810" s="21"/>
      <c r="I810" s="21"/>
      <c r="J810" s="21"/>
      <c r="K810" s="19"/>
      <c r="L810" s="19"/>
      <c r="M810" s="22"/>
      <c r="N810" s="19"/>
      <c r="O810" s="19"/>
      <c r="P810" s="23"/>
      <c r="Q810" s="21" t="s">
        <v>46</v>
      </c>
      <c r="R810" s="19" t="s">
        <v>47</v>
      </c>
      <c r="S810" s="21"/>
      <c r="T810" s="32"/>
      <c r="U810" s="21"/>
      <c r="V810" s="7"/>
      <c r="W810" s="7"/>
      <c r="X810" s="7"/>
      <c r="Y810" s="7"/>
    </row>
    <row r="811" spans="1:25" ht="14.25" customHeight="1" x14ac:dyDescent="0.3">
      <c r="A811" s="18">
        <v>202.2</v>
      </c>
      <c r="B811" s="19"/>
      <c r="C811" s="19"/>
      <c r="D811" s="19"/>
      <c r="E811" s="19"/>
      <c r="F811" s="19"/>
      <c r="G811" s="21"/>
      <c r="H811" s="21"/>
      <c r="I811" s="21"/>
      <c r="J811" s="21"/>
      <c r="K811" s="19"/>
      <c r="L811" s="19"/>
      <c r="M811" s="22"/>
      <c r="N811" s="19"/>
      <c r="O811" s="19"/>
      <c r="P811" s="23"/>
      <c r="Q811" s="21" t="s">
        <v>46</v>
      </c>
      <c r="R811" s="19" t="s">
        <v>47</v>
      </c>
      <c r="S811" s="21"/>
      <c r="T811" s="32"/>
      <c r="U811" s="21"/>
      <c r="V811" s="7"/>
      <c r="W811" s="7"/>
      <c r="X811" s="7"/>
      <c r="Y811" s="7"/>
    </row>
    <row r="812" spans="1:25" ht="14.25" customHeight="1" x14ac:dyDescent="0.3">
      <c r="A812" s="18">
        <v>202.3</v>
      </c>
      <c r="B812" s="19"/>
      <c r="C812" s="19"/>
      <c r="D812" s="19"/>
      <c r="E812" s="19"/>
      <c r="F812" s="19"/>
      <c r="G812" s="21"/>
      <c r="H812" s="21"/>
      <c r="I812" s="21"/>
      <c r="J812" s="21"/>
      <c r="K812" s="19"/>
      <c r="L812" s="19"/>
      <c r="M812" s="22"/>
      <c r="N812" s="19"/>
      <c r="O812" s="19"/>
      <c r="P812" s="23"/>
      <c r="Q812" s="21" t="s">
        <v>46</v>
      </c>
      <c r="R812" s="19" t="s">
        <v>47</v>
      </c>
      <c r="S812" s="21"/>
      <c r="T812" s="32"/>
      <c r="U812" s="21"/>
      <c r="V812" s="7"/>
      <c r="W812" s="7"/>
      <c r="X812" s="7"/>
      <c r="Y812" s="7"/>
    </row>
    <row r="813" spans="1:25" ht="14.25" customHeight="1" x14ac:dyDescent="0.3">
      <c r="A813" s="18">
        <v>202.4</v>
      </c>
      <c r="B813" s="19"/>
      <c r="C813" s="19"/>
      <c r="D813" s="19"/>
      <c r="E813" s="19"/>
      <c r="F813" s="19"/>
      <c r="G813" s="21"/>
      <c r="H813" s="21"/>
      <c r="I813" s="21"/>
      <c r="J813" s="21"/>
      <c r="K813" s="19"/>
      <c r="L813" s="19"/>
      <c r="M813" s="22"/>
      <c r="N813" s="19"/>
      <c r="O813" s="19"/>
      <c r="P813" s="23"/>
      <c r="Q813" s="21" t="s">
        <v>46</v>
      </c>
      <c r="R813" s="19" t="s">
        <v>47</v>
      </c>
      <c r="S813" s="21"/>
      <c r="T813" s="32"/>
      <c r="U813" s="21"/>
      <c r="V813" s="7"/>
      <c r="W813" s="7"/>
      <c r="X813" s="7"/>
      <c r="Y813" s="7"/>
    </row>
    <row r="814" spans="1:25" ht="14.25" customHeight="1" x14ac:dyDescent="0.3">
      <c r="A814" s="18">
        <v>203.1</v>
      </c>
      <c r="B814" s="19"/>
      <c r="C814" s="19"/>
      <c r="D814" s="19"/>
      <c r="E814" s="19"/>
      <c r="F814" s="19"/>
      <c r="G814" s="21"/>
      <c r="H814" s="21"/>
      <c r="I814" s="21"/>
      <c r="J814" s="21"/>
      <c r="K814" s="19"/>
      <c r="L814" s="19"/>
      <c r="M814" s="22"/>
      <c r="N814" s="19"/>
      <c r="O814" s="19"/>
      <c r="P814" s="23"/>
      <c r="Q814" s="21" t="s">
        <v>46</v>
      </c>
      <c r="R814" s="19" t="s">
        <v>47</v>
      </c>
      <c r="S814" s="21"/>
      <c r="T814" s="32"/>
      <c r="U814" s="21"/>
      <c r="V814" s="7"/>
      <c r="W814" s="7"/>
      <c r="X814" s="7"/>
      <c r="Y814" s="7"/>
    </row>
    <row r="815" spans="1:25" ht="14.25" customHeight="1" x14ac:dyDescent="0.3">
      <c r="A815" s="18">
        <v>203.2</v>
      </c>
      <c r="B815" s="19"/>
      <c r="C815" s="19"/>
      <c r="D815" s="19"/>
      <c r="E815" s="19"/>
      <c r="F815" s="19"/>
      <c r="G815" s="21"/>
      <c r="H815" s="21"/>
      <c r="I815" s="21"/>
      <c r="J815" s="21"/>
      <c r="K815" s="19"/>
      <c r="L815" s="19"/>
      <c r="M815" s="22"/>
      <c r="N815" s="19"/>
      <c r="O815" s="19"/>
      <c r="P815" s="23"/>
      <c r="Q815" s="21" t="s">
        <v>46</v>
      </c>
      <c r="R815" s="19" t="s">
        <v>47</v>
      </c>
      <c r="S815" s="21"/>
      <c r="T815" s="32"/>
      <c r="U815" s="21"/>
      <c r="V815" s="7"/>
      <c r="W815" s="7"/>
      <c r="X815" s="7"/>
      <c r="Y815" s="7"/>
    </row>
    <row r="816" spans="1:25" ht="14.25" customHeight="1" x14ac:dyDescent="0.3">
      <c r="A816" s="18">
        <v>203.3</v>
      </c>
      <c r="B816" s="19"/>
      <c r="C816" s="19"/>
      <c r="D816" s="19"/>
      <c r="E816" s="19"/>
      <c r="F816" s="19"/>
      <c r="G816" s="21"/>
      <c r="H816" s="21"/>
      <c r="I816" s="21"/>
      <c r="J816" s="21"/>
      <c r="K816" s="19"/>
      <c r="L816" s="19"/>
      <c r="M816" s="22"/>
      <c r="N816" s="19"/>
      <c r="O816" s="19"/>
      <c r="P816" s="23"/>
      <c r="Q816" s="21" t="s">
        <v>46</v>
      </c>
      <c r="R816" s="19" t="s">
        <v>47</v>
      </c>
      <c r="S816" s="21"/>
      <c r="T816" s="32"/>
      <c r="U816" s="21"/>
      <c r="V816" s="7"/>
      <c r="W816" s="7"/>
      <c r="X816" s="7"/>
      <c r="Y816" s="7"/>
    </row>
    <row r="817" spans="1:25" ht="14.25" customHeight="1" x14ac:dyDescent="0.3">
      <c r="A817" s="18">
        <v>203.4</v>
      </c>
      <c r="B817" s="19"/>
      <c r="C817" s="19"/>
      <c r="D817" s="19"/>
      <c r="E817" s="19"/>
      <c r="F817" s="19"/>
      <c r="G817" s="21"/>
      <c r="H817" s="21"/>
      <c r="I817" s="21"/>
      <c r="J817" s="21"/>
      <c r="K817" s="19"/>
      <c r="L817" s="19"/>
      <c r="M817" s="22"/>
      <c r="N817" s="19"/>
      <c r="O817" s="19"/>
      <c r="P817" s="23"/>
      <c r="Q817" s="21" t="s">
        <v>46</v>
      </c>
      <c r="R817" s="19" t="s">
        <v>47</v>
      </c>
      <c r="S817" s="21"/>
      <c r="T817" s="32"/>
      <c r="U817" s="21"/>
      <c r="V817" s="7"/>
      <c r="W817" s="7"/>
      <c r="X817" s="7"/>
      <c r="Y817" s="7"/>
    </row>
    <row r="818" spans="1:25" ht="14.25" customHeight="1" x14ac:dyDescent="0.3">
      <c r="A818" s="18">
        <v>204.1</v>
      </c>
      <c r="B818" s="19"/>
      <c r="C818" s="19"/>
      <c r="D818" s="19"/>
      <c r="E818" s="19"/>
      <c r="F818" s="19"/>
      <c r="G818" s="21"/>
      <c r="H818" s="21"/>
      <c r="I818" s="21"/>
      <c r="J818" s="21"/>
      <c r="K818" s="19"/>
      <c r="L818" s="19"/>
      <c r="M818" s="22"/>
      <c r="N818" s="19"/>
      <c r="O818" s="19"/>
      <c r="P818" s="23"/>
      <c r="Q818" s="21" t="s">
        <v>46</v>
      </c>
      <c r="R818" s="19" t="s">
        <v>47</v>
      </c>
      <c r="S818" s="21"/>
      <c r="T818" s="32"/>
      <c r="U818" s="21"/>
      <c r="V818" s="7"/>
      <c r="W818" s="7"/>
      <c r="X818" s="7"/>
      <c r="Y818" s="7"/>
    </row>
    <row r="819" spans="1:25" ht="14.25" customHeight="1" x14ac:dyDescent="0.3">
      <c r="A819" s="18">
        <v>204.2</v>
      </c>
      <c r="B819" s="19"/>
      <c r="C819" s="19"/>
      <c r="D819" s="19"/>
      <c r="E819" s="19"/>
      <c r="F819" s="19"/>
      <c r="G819" s="21"/>
      <c r="H819" s="21"/>
      <c r="I819" s="21"/>
      <c r="J819" s="21"/>
      <c r="K819" s="19"/>
      <c r="L819" s="19"/>
      <c r="M819" s="22"/>
      <c r="N819" s="19"/>
      <c r="O819" s="19"/>
      <c r="P819" s="23"/>
      <c r="Q819" s="21" t="s">
        <v>46</v>
      </c>
      <c r="R819" s="19" t="s">
        <v>47</v>
      </c>
      <c r="S819" s="21"/>
      <c r="T819" s="32"/>
      <c r="U819" s="21"/>
      <c r="V819" s="7"/>
      <c r="W819" s="7"/>
      <c r="X819" s="7"/>
      <c r="Y819" s="7"/>
    </row>
    <row r="820" spans="1:25" ht="14.25" customHeight="1" x14ac:dyDescent="0.3">
      <c r="A820" s="18">
        <v>204.3</v>
      </c>
      <c r="B820" s="19"/>
      <c r="C820" s="19"/>
      <c r="D820" s="19"/>
      <c r="E820" s="19"/>
      <c r="F820" s="19"/>
      <c r="G820" s="21"/>
      <c r="H820" s="21"/>
      <c r="I820" s="21"/>
      <c r="J820" s="21"/>
      <c r="K820" s="19"/>
      <c r="L820" s="19"/>
      <c r="M820" s="22"/>
      <c r="N820" s="19"/>
      <c r="O820" s="19"/>
      <c r="P820" s="23"/>
      <c r="Q820" s="21" t="s">
        <v>46</v>
      </c>
      <c r="R820" s="19" t="s">
        <v>47</v>
      </c>
      <c r="S820" s="21"/>
      <c r="T820" s="32"/>
      <c r="U820" s="21"/>
      <c r="V820" s="7"/>
      <c r="W820" s="7"/>
      <c r="X820" s="7"/>
      <c r="Y820" s="7"/>
    </row>
    <row r="821" spans="1:25" ht="14.25" customHeight="1" x14ac:dyDescent="0.3">
      <c r="A821" s="18">
        <v>204.4</v>
      </c>
      <c r="B821" s="19"/>
      <c r="C821" s="19"/>
      <c r="D821" s="19"/>
      <c r="E821" s="19"/>
      <c r="F821" s="19"/>
      <c r="G821" s="21"/>
      <c r="H821" s="21"/>
      <c r="I821" s="21"/>
      <c r="J821" s="21"/>
      <c r="K821" s="19"/>
      <c r="L821" s="19"/>
      <c r="M821" s="22"/>
      <c r="N821" s="19"/>
      <c r="O821" s="19"/>
      <c r="P821" s="23"/>
      <c r="Q821" s="21" t="s">
        <v>46</v>
      </c>
      <c r="R821" s="19" t="s">
        <v>47</v>
      </c>
      <c r="S821" s="21"/>
      <c r="T821" s="32"/>
      <c r="U821" s="21"/>
      <c r="V821" s="7"/>
      <c r="W821" s="7"/>
      <c r="X821" s="7"/>
      <c r="Y821" s="7"/>
    </row>
    <row r="822" spans="1:25" ht="14.25" customHeight="1" x14ac:dyDescent="0.3">
      <c r="A822" s="18">
        <v>205.1</v>
      </c>
      <c r="B822" s="19"/>
      <c r="C822" s="19"/>
      <c r="D822" s="19"/>
      <c r="E822" s="19"/>
      <c r="F822" s="19"/>
      <c r="G822" s="21"/>
      <c r="H822" s="21"/>
      <c r="I822" s="21"/>
      <c r="J822" s="21"/>
      <c r="K822" s="19"/>
      <c r="L822" s="19"/>
      <c r="M822" s="22"/>
      <c r="N822" s="19"/>
      <c r="O822" s="19"/>
      <c r="P822" s="23"/>
      <c r="Q822" s="21" t="s">
        <v>46</v>
      </c>
      <c r="R822" s="19" t="s">
        <v>47</v>
      </c>
      <c r="S822" s="21"/>
      <c r="T822" s="32"/>
      <c r="U822" s="21"/>
      <c r="V822" s="7"/>
      <c r="W822" s="7"/>
      <c r="X822" s="7"/>
      <c r="Y822" s="7"/>
    </row>
    <row r="823" spans="1:25" ht="14.25" customHeight="1" x14ac:dyDescent="0.3">
      <c r="A823" s="18">
        <v>205.2</v>
      </c>
      <c r="B823" s="19"/>
      <c r="C823" s="19"/>
      <c r="D823" s="19"/>
      <c r="E823" s="19"/>
      <c r="F823" s="19"/>
      <c r="G823" s="21"/>
      <c r="H823" s="21"/>
      <c r="I823" s="21"/>
      <c r="J823" s="21"/>
      <c r="K823" s="19"/>
      <c r="L823" s="19"/>
      <c r="M823" s="22"/>
      <c r="N823" s="19"/>
      <c r="O823" s="19"/>
      <c r="P823" s="23"/>
      <c r="Q823" s="21" t="s">
        <v>46</v>
      </c>
      <c r="R823" s="19" t="s">
        <v>47</v>
      </c>
      <c r="S823" s="21"/>
      <c r="T823" s="32"/>
      <c r="U823" s="21"/>
      <c r="V823" s="7"/>
      <c r="W823" s="7"/>
      <c r="X823" s="7"/>
      <c r="Y823" s="7"/>
    </row>
    <row r="824" spans="1:25" ht="14.25" customHeight="1" x14ac:dyDescent="0.3">
      <c r="A824" s="18">
        <v>205.3</v>
      </c>
      <c r="B824" s="19"/>
      <c r="C824" s="19"/>
      <c r="D824" s="19"/>
      <c r="E824" s="19"/>
      <c r="F824" s="19"/>
      <c r="G824" s="21"/>
      <c r="H824" s="21"/>
      <c r="I824" s="21"/>
      <c r="J824" s="21"/>
      <c r="K824" s="19"/>
      <c r="L824" s="19"/>
      <c r="M824" s="22"/>
      <c r="N824" s="19"/>
      <c r="O824" s="19"/>
      <c r="P824" s="23"/>
      <c r="Q824" s="21" t="s">
        <v>46</v>
      </c>
      <c r="R824" s="19" t="s">
        <v>47</v>
      </c>
      <c r="S824" s="21"/>
      <c r="T824" s="32"/>
      <c r="U824" s="21"/>
      <c r="V824" s="7"/>
      <c r="W824" s="7"/>
      <c r="X824" s="7"/>
      <c r="Y824" s="7"/>
    </row>
    <row r="825" spans="1:25" ht="14.25" customHeight="1" x14ac:dyDescent="0.3">
      <c r="A825" s="18">
        <v>205.4</v>
      </c>
      <c r="B825" s="19"/>
      <c r="C825" s="19"/>
      <c r="D825" s="19"/>
      <c r="E825" s="19"/>
      <c r="F825" s="19"/>
      <c r="G825" s="21"/>
      <c r="H825" s="21"/>
      <c r="I825" s="21"/>
      <c r="J825" s="21"/>
      <c r="K825" s="19"/>
      <c r="L825" s="19"/>
      <c r="M825" s="22"/>
      <c r="N825" s="19"/>
      <c r="O825" s="19"/>
      <c r="P825" s="23"/>
      <c r="Q825" s="21" t="s">
        <v>46</v>
      </c>
      <c r="R825" s="19" t="s">
        <v>47</v>
      </c>
      <c r="S825" s="21"/>
      <c r="T825" s="32"/>
      <c r="U825" s="21"/>
      <c r="V825" s="7"/>
      <c r="W825" s="7"/>
      <c r="X825" s="7"/>
      <c r="Y825" s="7"/>
    </row>
    <row r="826" spans="1:25" ht="14.25" customHeight="1" x14ac:dyDescent="0.3">
      <c r="A826" s="18">
        <v>206.1</v>
      </c>
      <c r="B826" s="19"/>
      <c r="C826" s="19"/>
      <c r="D826" s="19"/>
      <c r="E826" s="19"/>
      <c r="F826" s="19"/>
      <c r="G826" s="21"/>
      <c r="H826" s="21"/>
      <c r="I826" s="21"/>
      <c r="J826" s="21"/>
      <c r="K826" s="19"/>
      <c r="L826" s="19"/>
      <c r="M826" s="22"/>
      <c r="N826" s="19"/>
      <c r="O826" s="19"/>
      <c r="P826" s="23"/>
      <c r="Q826" s="21" t="s">
        <v>46</v>
      </c>
      <c r="R826" s="19" t="s">
        <v>47</v>
      </c>
      <c r="S826" s="21"/>
      <c r="T826" s="32"/>
      <c r="U826" s="21"/>
      <c r="V826" s="7"/>
      <c r="W826" s="7"/>
      <c r="X826" s="7"/>
      <c r="Y826" s="7"/>
    </row>
    <row r="827" spans="1:25" ht="14.25" customHeight="1" x14ac:dyDescent="0.3">
      <c r="A827" s="18">
        <v>206.2</v>
      </c>
      <c r="B827" s="19"/>
      <c r="C827" s="19"/>
      <c r="D827" s="19"/>
      <c r="E827" s="19"/>
      <c r="F827" s="19"/>
      <c r="G827" s="21"/>
      <c r="H827" s="21"/>
      <c r="I827" s="21"/>
      <c r="J827" s="21"/>
      <c r="K827" s="19"/>
      <c r="L827" s="19"/>
      <c r="M827" s="22"/>
      <c r="N827" s="19"/>
      <c r="O827" s="19"/>
      <c r="P827" s="23"/>
      <c r="Q827" s="21" t="s">
        <v>46</v>
      </c>
      <c r="R827" s="19" t="s">
        <v>47</v>
      </c>
      <c r="S827" s="21"/>
      <c r="T827" s="32"/>
      <c r="U827" s="21"/>
      <c r="V827" s="7"/>
      <c r="W827" s="7"/>
      <c r="X827" s="7"/>
      <c r="Y827" s="7"/>
    </row>
    <row r="828" spans="1:25" ht="14.25" customHeight="1" x14ac:dyDescent="0.3">
      <c r="A828" s="18">
        <v>206.3</v>
      </c>
      <c r="B828" s="19"/>
      <c r="C828" s="19"/>
      <c r="D828" s="19"/>
      <c r="E828" s="19"/>
      <c r="F828" s="19"/>
      <c r="G828" s="21"/>
      <c r="H828" s="21"/>
      <c r="I828" s="21"/>
      <c r="J828" s="21"/>
      <c r="K828" s="19"/>
      <c r="L828" s="19"/>
      <c r="M828" s="22"/>
      <c r="N828" s="19"/>
      <c r="O828" s="19"/>
      <c r="P828" s="23"/>
      <c r="Q828" s="21" t="s">
        <v>46</v>
      </c>
      <c r="R828" s="19" t="s">
        <v>47</v>
      </c>
      <c r="S828" s="21"/>
      <c r="T828" s="32"/>
      <c r="U828" s="21"/>
      <c r="V828" s="7"/>
      <c r="W828" s="7"/>
      <c r="X828" s="7"/>
      <c r="Y828" s="7"/>
    </row>
    <row r="829" spans="1:25" ht="14.25" customHeight="1" x14ac:dyDescent="0.3">
      <c r="A829" s="18">
        <v>206.4</v>
      </c>
      <c r="B829" s="19"/>
      <c r="C829" s="19"/>
      <c r="D829" s="19"/>
      <c r="E829" s="19"/>
      <c r="F829" s="19"/>
      <c r="G829" s="21"/>
      <c r="H829" s="21"/>
      <c r="I829" s="21"/>
      <c r="J829" s="21"/>
      <c r="K829" s="19"/>
      <c r="L829" s="19"/>
      <c r="M829" s="22"/>
      <c r="N829" s="19"/>
      <c r="O829" s="19"/>
      <c r="P829" s="23"/>
      <c r="Q829" s="21" t="s">
        <v>46</v>
      </c>
      <c r="R829" s="19" t="s">
        <v>47</v>
      </c>
      <c r="S829" s="21"/>
      <c r="T829" s="32"/>
      <c r="U829" s="21"/>
      <c r="V829" s="7"/>
      <c r="W829" s="7"/>
      <c r="X829" s="7"/>
      <c r="Y829" s="7"/>
    </row>
    <row r="830" spans="1:25" ht="14.25" customHeight="1" x14ac:dyDescent="0.3">
      <c r="A830" s="18">
        <v>207.1</v>
      </c>
      <c r="B830" s="19"/>
      <c r="C830" s="19"/>
      <c r="D830" s="19"/>
      <c r="E830" s="19"/>
      <c r="F830" s="19"/>
      <c r="G830" s="21"/>
      <c r="H830" s="21"/>
      <c r="I830" s="21"/>
      <c r="J830" s="21"/>
      <c r="K830" s="19"/>
      <c r="L830" s="19"/>
      <c r="M830" s="22"/>
      <c r="N830" s="19"/>
      <c r="O830" s="19"/>
      <c r="P830" s="23"/>
      <c r="Q830" s="21" t="s">
        <v>46</v>
      </c>
      <c r="R830" s="19" t="s">
        <v>47</v>
      </c>
      <c r="S830" s="21"/>
      <c r="T830" s="32"/>
      <c r="U830" s="21"/>
      <c r="V830" s="7"/>
      <c r="W830" s="7"/>
      <c r="X830" s="7"/>
      <c r="Y830" s="7"/>
    </row>
    <row r="831" spans="1:25" ht="14.25" customHeight="1" x14ac:dyDescent="0.3">
      <c r="A831" s="18">
        <v>207.2</v>
      </c>
      <c r="B831" s="19"/>
      <c r="C831" s="19"/>
      <c r="D831" s="19"/>
      <c r="E831" s="19"/>
      <c r="F831" s="19"/>
      <c r="G831" s="21"/>
      <c r="H831" s="21"/>
      <c r="I831" s="21"/>
      <c r="J831" s="21"/>
      <c r="K831" s="19"/>
      <c r="L831" s="19"/>
      <c r="M831" s="22"/>
      <c r="N831" s="19"/>
      <c r="O831" s="19"/>
      <c r="P831" s="23"/>
      <c r="Q831" s="21" t="s">
        <v>46</v>
      </c>
      <c r="R831" s="19" t="s">
        <v>47</v>
      </c>
      <c r="S831" s="21"/>
      <c r="T831" s="32"/>
      <c r="U831" s="21"/>
      <c r="V831" s="7"/>
      <c r="W831" s="7"/>
      <c r="X831" s="7"/>
      <c r="Y831" s="7"/>
    </row>
    <row r="832" spans="1:25" ht="14.25" customHeight="1" x14ac:dyDescent="0.3">
      <c r="A832" s="18">
        <v>207.3</v>
      </c>
      <c r="B832" s="19"/>
      <c r="C832" s="19"/>
      <c r="D832" s="19"/>
      <c r="E832" s="19"/>
      <c r="F832" s="19"/>
      <c r="G832" s="21"/>
      <c r="H832" s="21"/>
      <c r="I832" s="21"/>
      <c r="J832" s="21"/>
      <c r="K832" s="19"/>
      <c r="L832" s="19"/>
      <c r="M832" s="22"/>
      <c r="N832" s="19"/>
      <c r="O832" s="19"/>
      <c r="P832" s="23"/>
      <c r="Q832" s="21" t="s">
        <v>46</v>
      </c>
      <c r="R832" s="19" t="s">
        <v>47</v>
      </c>
      <c r="S832" s="21"/>
      <c r="T832" s="32"/>
      <c r="U832" s="21"/>
      <c r="V832" s="7"/>
      <c r="W832" s="7"/>
      <c r="X832" s="7"/>
      <c r="Y832" s="7"/>
    </row>
    <row r="833" spans="1:25" ht="14.25" customHeight="1" x14ac:dyDescent="0.3">
      <c r="A833" s="18">
        <v>207.4</v>
      </c>
      <c r="B833" s="19"/>
      <c r="C833" s="19"/>
      <c r="D833" s="19"/>
      <c r="E833" s="19"/>
      <c r="F833" s="19"/>
      <c r="G833" s="21"/>
      <c r="H833" s="21"/>
      <c r="I833" s="21"/>
      <c r="J833" s="21"/>
      <c r="K833" s="19"/>
      <c r="L833" s="19"/>
      <c r="M833" s="22"/>
      <c r="N833" s="19"/>
      <c r="O833" s="19"/>
      <c r="P833" s="23"/>
      <c r="Q833" s="21" t="s">
        <v>46</v>
      </c>
      <c r="R833" s="19" t="s">
        <v>47</v>
      </c>
      <c r="S833" s="21"/>
      <c r="T833" s="32"/>
      <c r="U833" s="21"/>
      <c r="V833" s="7"/>
      <c r="W833" s="7"/>
      <c r="X833" s="7"/>
      <c r="Y833" s="7"/>
    </row>
    <row r="834" spans="1:25" ht="14.25" customHeight="1" x14ac:dyDescent="0.3">
      <c r="A834" s="18">
        <v>208.1</v>
      </c>
      <c r="B834" s="19"/>
      <c r="C834" s="19"/>
      <c r="D834" s="19"/>
      <c r="E834" s="19"/>
      <c r="F834" s="19"/>
      <c r="G834" s="21"/>
      <c r="H834" s="21"/>
      <c r="I834" s="21"/>
      <c r="J834" s="21"/>
      <c r="K834" s="19"/>
      <c r="L834" s="19"/>
      <c r="M834" s="22"/>
      <c r="N834" s="19"/>
      <c r="O834" s="19"/>
      <c r="P834" s="23"/>
      <c r="Q834" s="21" t="s">
        <v>46</v>
      </c>
      <c r="R834" s="19" t="s">
        <v>47</v>
      </c>
      <c r="S834" s="21"/>
      <c r="T834" s="32"/>
      <c r="U834" s="21"/>
      <c r="V834" s="7"/>
      <c r="W834" s="7"/>
      <c r="X834" s="7"/>
      <c r="Y834" s="7"/>
    </row>
    <row r="835" spans="1:25" ht="14.25" customHeight="1" x14ac:dyDescent="0.3">
      <c r="A835" s="18">
        <v>208.2</v>
      </c>
      <c r="B835" s="19"/>
      <c r="C835" s="19"/>
      <c r="D835" s="19"/>
      <c r="E835" s="19"/>
      <c r="F835" s="19"/>
      <c r="G835" s="21"/>
      <c r="H835" s="21"/>
      <c r="I835" s="21"/>
      <c r="J835" s="21"/>
      <c r="K835" s="19"/>
      <c r="L835" s="19"/>
      <c r="M835" s="22"/>
      <c r="N835" s="19"/>
      <c r="O835" s="19"/>
      <c r="P835" s="23"/>
      <c r="Q835" s="21" t="s">
        <v>46</v>
      </c>
      <c r="R835" s="19" t="s">
        <v>47</v>
      </c>
      <c r="S835" s="21"/>
      <c r="T835" s="32"/>
      <c r="U835" s="21"/>
      <c r="V835" s="7"/>
      <c r="W835" s="7"/>
      <c r="X835" s="7"/>
      <c r="Y835" s="7"/>
    </row>
    <row r="836" spans="1:25" ht="14.25" customHeight="1" x14ac:dyDescent="0.3">
      <c r="A836" s="18">
        <v>208.3</v>
      </c>
      <c r="B836" s="19"/>
      <c r="C836" s="19"/>
      <c r="D836" s="19"/>
      <c r="E836" s="19"/>
      <c r="F836" s="19"/>
      <c r="G836" s="21"/>
      <c r="H836" s="21"/>
      <c r="I836" s="21"/>
      <c r="J836" s="21"/>
      <c r="K836" s="19"/>
      <c r="L836" s="19"/>
      <c r="M836" s="22"/>
      <c r="N836" s="19"/>
      <c r="O836" s="19"/>
      <c r="P836" s="23"/>
      <c r="Q836" s="21" t="s">
        <v>46</v>
      </c>
      <c r="R836" s="19" t="s">
        <v>47</v>
      </c>
      <c r="S836" s="21"/>
      <c r="T836" s="32"/>
      <c r="U836" s="21"/>
      <c r="V836" s="7"/>
      <c r="W836" s="7"/>
      <c r="X836" s="7"/>
      <c r="Y836" s="7"/>
    </row>
    <row r="837" spans="1:25" ht="14.25" customHeight="1" x14ac:dyDescent="0.3">
      <c r="A837" s="18">
        <v>208.4</v>
      </c>
      <c r="B837" s="19"/>
      <c r="C837" s="19"/>
      <c r="D837" s="19"/>
      <c r="E837" s="19"/>
      <c r="F837" s="19"/>
      <c r="G837" s="21"/>
      <c r="H837" s="21"/>
      <c r="I837" s="21"/>
      <c r="J837" s="21"/>
      <c r="K837" s="19"/>
      <c r="L837" s="19"/>
      <c r="M837" s="22"/>
      <c r="N837" s="19"/>
      <c r="O837" s="19"/>
      <c r="P837" s="23"/>
      <c r="Q837" s="21" t="s">
        <v>46</v>
      </c>
      <c r="R837" s="19" t="s">
        <v>47</v>
      </c>
      <c r="S837" s="21"/>
      <c r="T837" s="32"/>
      <c r="U837" s="21"/>
      <c r="V837" s="7"/>
      <c r="W837" s="7"/>
      <c r="X837" s="7"/>
      <c r="Y837" s="7"/>
    </row>
    <row r="838" spans="1:25" ht="14.25" customHeight="1" x14ac:dyDescent="0.3">
      <c r="A838" s="18">
        <v>209.1</v>
      </c>
      <c r="B838" s="19"/>
      <c r="C838" s="19"/>
      <c r="D838" s="19"/>
      <c r="E838" s="19"/>
      <c r="F838" s="19"/>
      <c r="G838" s="21"/>
      <c r="H838" s="21"/>
      <c r="I838" s="21"/>
      <c r="J838" s="21"/>
      <c r="K838" s="19"/>
      <c r="L838" s="19"/>
      <c r="M838" s="22"/>
      <c r="N838" s="19"/>
      <c r="O838" s="19"/>
      <c r="P838" s="23"/>
      <c r="Q838" s="21" t="s">
        <v>46</v>
      </c>
      <c r="R838" s="19" t="s">
        <v>47</v>
      </c>
      <c r="S838" s="21"/>
      <c r="T838" s="32"/>
      <c r="U838" s="21"/>
      <c r="V838" s="7"/>
      <c r="W838" s="7"/>
      <c r="X838" s="7"/>
      <c r="Y838" s="7"/>
    </row>
    <row r="839" spans="1:25" ht="14.25" customHeight="1" x14ac:dyDescent="0.3">
      <c r="A839" s="18">
        <v>209.2</v>
      </c>
      <c r="B839" s="19"/>
      <c r="C839" s="19"/>
      <c r="D839" s="19"/>
      <c r="E839" s="19"/>
      <c r="F839" s="19"/>
      <c r="G839" s="21"/>
      <c r="H839" s="21"/>
      <c r="I839" s="21"/>
      <c r="J839" s="21"/>
      <c r="K839" s="19"/>
      <c r="L839" s="19"/>
      <c r="M839" s="22"/>
      <c r="N839" s="19"/>
      <c r="O839" s="19"/>
      <c r="P839" s="23"/>
      <c r="Q839" s="21" t="s">
        <v>46</v>
      </c>
      <c r="R839" s="19" t="s">
        <v>47</v>
      </c>
      <c r="S839" s="21"/>
      <c r="T839" s="32"/>
      <c r="U839" s="21"/>
      <c r="V839" s="7"/>
      <c r="W839" s="7"/>
      <c r="X839" s="7"/>
      <c r="Y839" s="7"/>
    </row>
    <row r="840" spans="1:25" ht="14.25" customHeight="1" x14ac:dyDescent="0.3">
      <c r="A840" s="18">
        <v>209.3</v>
      </c>
      <c r="B840" s="19"/>
      <c r="C840" s="19"/>
      <c r="D840" s="19"/>
      <c r="E840" s="19"/>
      <c r="F840" s="19"/>
      <c r="G840" s="21"/>
      <c r="H840" s="21"/>
      <c r="I840" s="21"/>
      <c r="J840" s="21"/>
      <c r="K840" s="19"/>
      <c r="L840" s="19"/>
      <c r="M840" s="22"/>
      <c r="N840" s="19"/>
      <c r="O840" s="19"/>
      <c r="P840" s="23"/>
      <c r="Q840" s="21" t="s">
        <v>46</v>
      </c>
      <c r="R840" s="19" t="s">
        <v>47</v>
      </c>
      <c r="S840" s="21"/>
      <c r="T840" s="32"/>
      <c r="U840" s="21"/>
      <c r="V840" s="7"/>
      <c r="W840" s="7"/>
      <c r="X840" s="7"/>
      <c r="Y840" s="7"/>
    </row>
    <row r="841" spans="1:25" ht="14.25" customHeight="1" x14ac:dyDescent="0.3">
      <c r="A841" s="18">
        <v>209.4</v>
      </c>
      <c r="B841" s="19"/>
      <c r="C841" s="19"/>
      <c r="D841" s="19"/>
      <c r="E841" s="19"/>
      <c r="F841" s="19"/>
      <c r="G841" s="21"/>
      <c r="H841" s="21"/>
      <c r="I841" s="21"/>
      <c r="J841" s="21"/>
      <c r="K841" s="19"/>
      <c r="L841" s="19"/>
      <c r="M841" s="22"/>
      <c r="N841" s="19"/>
      <c r="O841" s="19"/>
      <c r="P841" s="23"/>
      <c r="Q841" s="21" t="s">
        <v>46</v>
      </c>
      <c r="R841" s="19" t="s">
        <v>47</v>
      </c>
      <c r="S841" s="21"/>
      <c r="T841" s="32"/>
      <c r="U841" s="21"/>
      <c r="V841" s="7"/>
      <c r="W841" s="7"/>
      <c r="X841" s="7"/>
      <c r="Y841" s="7"/>
    </row>
    <row r="842" spans="1:25" ht="14.25" customHeight="1" x14ac:dyDescent="0.3">
      <c r="A842" s="18">
        <v>210.1</v>
      </c>
      <c r="B842" s="19"/>
      <c r="C842" s="19"/>
      <c r="D842" s="19"/>
      <c r="E842" s="19"/>
      <c r="F842" s="19"/>
      <c r="G842" s="21"/>
      <c r="H842" s="21"/>
      <c r="I842" s="21"/>
      <c r="J842" s="21"/>
      <c r="K842" s="19"/>
      <c r="L842" s="19"/>
      <c r="M842" s="22"/>
      <c r="N842" s="19"/>
      <c r="O842" s="19"/>
      <c r="P842" s="23"/>
      <c r="Q842" s="21" t="s">
        <v>46</v>
      </c>
      <c r="R842" s="19" t="s">
        <v>47</v>
      </c>
      <c r="S842" s="21"/>
      <c r="T842" s="32"/>
      <c r="U842" s="21"/>
      <c r="V842" s="7"/>
      <c r="W842" s="7"/>
      <c r="X842" s="7"/>
      <c r="Y842" s="7"/>
    </row>
    <row r="843" spans="1:25" ht="14.25" customHeight="1" x14ac:dyDescent="0.3">
      <c r="A843" s="18">
        <v>210.2</v>
      </c>
      <c r="B843" s="19"/>
      <c r="C843" s="19"/>
      <c r="D843" s="19"/>
      <c r="E843" s="19"/>
      <c r="F843" s="19"/>
      <c r="G843" s="21"/>
      <c r="H843" s="21"/>
      <c r="I843" s="21"/>
      <c r="J843" s="21"/>
      <c r="K843" s="19"/>
      <c r="L843" s="19"/>
      <c r="M843" s="22"/>
      <c r="N843" s="19"/>
      <c r="O843" s="19"/>
      <c r="P843" s="23"/>
      <c r="Q843" s="21" t="s">
        <v>46</v>
      </c>
      <c r="R843" s="19" t="s">
        <v>47</v>
      </c>
      <c r="S843" s="21"/>
      <c r="T843" s="32"/>
      <c r="U843" s="21"/>
      <c r="V843" s="7"/>
      <c r="W843" s="7"/>
      <c r="X843" s="7"/>
      <c r="Y843" s="7"/>
    </row>
    <row r="844" spans="1:25" ht="14.25" customHeight="1" x14ac:dyDescent="0.3">
      <c r="A844" s="18">
        <v>210.3</v>
      </c>
      <c r="B844" s="19"/>
      <c r="C844" s="19"/>
      <c r="D844" s="19"/>
      <c r="E844" s="19"/>
      <c r="F844" s="19"/>
      <c r="G844" s="21"/>
      <c r="H844" s="21"/>
      <c r="I844" s="21"/>
      <c r="J844" s="21"/>
      <c r="K844" s="19"/>
      <c r="L844" s="19"/>
      <c r="M844" s="22"/>
      <c r="N844" s="19"/>
      <c r="O844" s="19"/>
      <c r="P844" s="23"/>
      <c r="Q844" s="21" t="s">
        <v>46</v>
      </c>
      <c r="R844" s="19" t="s">
        <v>47</v>
      </c>
      <c r="S844" s="21"/>
      <c r="T844" s="32"/>
      <c r="U844" s="21"/>
      <c r="V844" s="7"/>
      <c r="W844" s="7"/>
      <c r="X844" s="7"/>
      <c r="Y844" s="7"/>
    </row>
    <row r="845" spans="1:25" ht="14.25" customHeight="1" x14ac:dyDescent="0.3">
      <c r="A845" s="18">
        <v>210.4</v>
      </c>
      <c r="B845" s="19"/>
      <c r="C845" s="19"/>
      <c r="D845" s="19"/>
      <c r="E845" s="19"/>
      <c r="F845" s="19"/>
      <c r="G845" s="21"/>
      <c r="H845" s="21"/>
      <c r="I845" s="21"/>
      <c r="J845" s="21"/>
      <c r="K845" s="19"/>
      <c r="L845" s="19"/>
      <c r="M845" s="22"/>
      <c r="N845" s="19"/>
      <c r="O845" s="19"/>
      <c r="P845" s="23"/>
      <c r="Q845" s="21" t="s">
        <v>46</v>
      </c>
      <c r="R845" s="19" t="s">
        <v>47</v>
      </c>
      <c r="S845" s="21"/>
      <c r="T845" s="32"/>
      <c r="U845" s="21"/>
      <c r="V845" s="7"/>
      <c r="W845" s="7"/>
      <c r="X845" s="7"/>
      <c r="Y845" s="7"/>
    </row>
    <row r="846" spans="1:25" ht="14.25" customHeight="1" x14ac:dyDescent="0.3">
      <c r="A846" s="18">
        <v>211.1</v>
      </c>
      <c r="B846" s="19"/>
      <c r="C846" s="19"/>
      <c r="D846" s="19"/>
      <c r="E846" s="19"/>
      <c r="F846" s="19"/>
      <c r="G846" s="21"/>
      <c r="H846" s="21"/>
      <c r="I846" s="21"/>
      <c r="J846" s="21"/>
      <c r="K846" s="19"/>
      <c r="L846" s="19"/>
      <c r="M846" s="22"/>
      <c r="N846" s="19"/>
      <c r="O846" s="19"/>
      <c r="P846" s="23"/>
      <c r="Q846" s="21" t="s">
        <v>46</v>
      </c>
      <c r="R846" s="19" t="s">
        <v>47</v>
      </c>
      <c r="S846" s="21"/>
      <c r="T846" s="32"/>
      <c r="U846" s="21"/>
      <c r="V846" s="7"/>
      <c r="W846" s="7"/>
      <c r="X846" s="7"/>
      <c r="Y846" s="7"/>
    </row>
    <row r="847" spans="1:25" ht="14.25" customHeight="1" x14ac:dyDescent="0.3">
      <c r="A847" s="18">
        <v>211.2</v>
      </c>
      <c r="B847" s="19"/>
      <c r="C847" s="19"/>
      <c r="D847" s="19"/>
      <c r="E847" s="19"/>
      <c r="F847" s="19"/>
      <c r="G847" s="21"/>
      <c r="H847" s="21"/>
      <c r="I847" s="21"/>
      <c r="J847" s="21"/>
      <c r="K847" s="19"/>
      <c r="L847" s="19"/>
      <c r="M847" s="22"/>
      <c r="N847" s="19"/>
      <c r="O847" s="19"/>
      <c r="P847" s="23"/>
      <c r="Q847" s="21" t="s">
        <v>46</v>
      </c>
      <c r="R847" s="19" t="s">
        <v>47</v>
      </c>
      <c r="S847" s="21"/>
      <c r="T847" s="32"/>
      <c r="U847" s="21"/>
      <c r="V847" s="7"/>
      <c r="W847" s="7"/>
      <c r="X847" s="7"/>
      <c r="Y847" s="7"/>
    </row>
    <row r="848" spans="1:25" ht="14.25" customHeight="1" x14ac:dyDescent="0.3">
      <c r="A848" s="18">
        <v>211.3</v>
      </c>
      <c r="B848" s="19"/>
      <c r="C848" s="19"/>
      <c r="D848" s="19"/>
      <c r="E848" s="19"/>
      <c r="F848" s="19"/>
      <c r="G848" s="21"/>
      <c r="H848" s="21"/>
      <c r="I848" s="21"/>
      <c r="J848" s="21"/>
      <c r="K848" s="19"/>
      <c r="L848" s="19"/>
      <c r="M848" s="22"/>
      <c r="N848" s="19"/>
      <c r="O848" s="19"/>
      <c r="P848" s="23"/>
      <c r="Q848" s="21" t="s">
        <v>46</v>
      </c>
      <c r="R848" s="19" t="s">
        <v>47</v>
      </c>
      <c r="S848" s="21"/>
      <c r="T848" s="32"/>
      <c r="U848" s="21"/>
      <c r="V848" s="7"/>
      <c r="W848" s="7"/>
      <c r="X848" s="7"/>
      <c r="Y848" s="7"/>
    </row>
    <row r="849" spans="1:25" ht="14.25" customHeight="1" x14ac:dyDescent="0.3">
      <c r="A849" s="18">
        <v>211.4</v>
      </c>
      <c r="B849" s="19"/>
      <c r="C849" s="19"/>
      <c r="D849" s="19"/>
      <c r="E849" s="19"/>
      <c r="F849" s="19"/>
      <c r="G849" s="21"/>
      <c r="H849" s="21"/>
      <c r="I849" s="21"/>
      <c r="J849" s="21"/>
      <c r="K849" s="19"/>
      <c r="L849" s="19"/>
      <c r="M849" s="22"/>
      <c r="N849" s="19"/>
      <c r="O849" s="19"/>
      <c r="P849" s="23"/>
      <c r="Q849" s="21" t="s">
        <v>46</v>
      </c>
      <c r="R849" s="19" t="s">
        <v>47</v>
      </c>
      <c r="S849" s="21"/>
      <c r="T849" s="32"/>
      <c r="U849" s="21"/>
      <c r="V849" s="7"/>
      <c r="W849" s="7"/>
      <c r="X849" s="7"/>
      <c r="Y849" s="7"/>
    </row>
    <row r="850" spans="1:25" ht="14.25" customHeight="1" x14ac:dyDescent="0.3">
      <c r="A850" s="18">
        <v>212.1</v>
      </c>
      <c r="B850" s="19"/>
      <c r="C850" s="19"/>
      <c r="D850" s="19"/>
      <c r="E850" s="19"/>
      <c r="F850" s="19"/>
      <c r="G850" s="21"/>
      <c r="H850" s="21"/>
      <c r="I850" s="21"/>
      <c r="J850" s="21"/>
      <c r="K850" s="19"/>
      <c r="L850" s="19"/>
      <c r="M850" s="22"/>
      <c r="N850" s="19"/>
      <c r="O850" s="19"/>
      <c r="P850" s="23"/>
      <c r="Q850" s="21" t="s">
        <v>46</v>
      </c>
      <c r="R850" s="19" t="s">
        <v>47</v>
      </c>
      <c r="S850" s="21"/>
      <c r="T850" s="32"/>
      <c r="U850" s="21"/>
      <c r="V850" s="7"/>
      <c r="W850" s="7"/>
      <c r="X850" s="7"/>
      <c r="Y850" s="7"/>
    </row>
    <row r="851" spans="1:25" ht="14.25" customHeight="1" x14ac:dyDescent="0.3">
      <c r="A851" s="18">
        <v>212.2</v>
      </c>
      <c r="B851" s="19"/>
      <c r="C851" s="19"/>
      <c r="D851" s="19"/>
      <c r="E851" s="19"/>
      <c r="F851" s="19"/>
      <c r="G851" s="21"/>
      <c r="H851" s="21"/>
      <c r="I851" s="21"/>
      <c r="J851" s="21"/>
      <c r="K851" s="19"/>
      <c r="L851" s="19"/>
      <c r="M851" s="22"/>
      <c r="N851" s="19"/>
      <c r="O851" s="19"/>
      <c r="P851" s="23"/>
      <c r="Q851" s="21" t="s">
        <v>46</v>
      </c>
      <c r="R851" s="19" t="s">
        <v>47</v>
      </c>
      <c r="S851" s="21"/>
      <c r="T851" s="32"/>
      <c r="U851" s="21"/>
      <c r="V851" s="7"/>
      <c r="W851" s="7"/>
      <c r="X851" s="7"/>
      <c r="Y851" s="7"/>
    </row>
    <row r="852" spans="1:25" ht="14.25" customHeight="1" x14ac:dyDescent="0.3">
      <c r="A852" s="18">
        <v>212.3</v>
      </c>
      <c r="B852" s="19"/>
      <c r="C852" s="19"/>
      <c r="D852" s="19"/>
      <c r="E852" s="19"/>
      <c r="F852" s="19"/>
      <c r="G852" s="21"/>
      <c r="H852" s="21"/>
      <c r="I852" s="21"/>
      <c r="J852" s="21"/>
      <c r="K852" s="19"/>
      <c r="L852" s="19"/>
      <c r="M852" s="22"/>
      <c r="N852" s="19"/>
      <c r="O852" s="19"/>
      <c r="P852" s="23"/>
      <c r="Q852" s="21" t="s">
        <v>46</v>
      </c>
      <c r="R852" s="19" t="s">
        <v>47</v>
      </c>
      <c r="S852" s="21"/>
      <c r="T852" s="32"/>
      <c r="U852" s="21"/>
      <c r="V852" s="7"/>
      <c r="W852" s="7"/>
      <c r="X852" s="7"/>
      <c r="Y852" s="7"/>
    </row>
    <row r="853" spans="1:25" ht="14.25" customHeight="1" x14ac:dyDescent="0.3">
      <c r="A853" s="18">
        <v>212.4</v>
      </c>
      <c r="B853" s="19"/>
      <c r="C853" s="19"/>
      <c r="D853" s="19"/>
      <c r="E853" s="19"/>
      <c r="F853" s="19"/>
      <c r="G853" s="21"/>
      <c r="H853" s="21"/>
      <c r="I853" s="21"/>
      <c r="J853" s="21"/>
      <c r="K853" s="19"/>
      <c r="L853" s="19"/>
      <c r="M853" s="22"/>
      <c r="N853" s="19"/>
      <c r="O853" s="19"/>
      <c r="P853" s="23"/>
      <c r="Q853" s="21" t="s">
        <v>46</v>
      </c>
      <c r="R853" s="19" t="s">
        <v>47</v>
      </c>
      <c r="S853" s="21"/>
      <c r="T853" s="32"/>
      <c r="U853" s="21"/>
      <c r="V853" s="7"/>
      <c r="W853" s="7"/>
      <c r="X853" s="7"/>
      <c r="Y853" s="7"/>
    </row>
    <row r="854" spans="1:25" ht="14.25" customHeight="1" x14ac:dyDescent="0.3">
      <c r="A854" s="18">
        <v>213.1</v>
      </c>
      <c r="B854" s="19"/>
      <c r="C854" s="19"/>
      <c r="D854" s="19"/>
      <c r="E854" s="19"/>
      <c r="F854" s="19"/>
      <c r="G854" s="21"/>
      <c r="H854" s="21"/>
      <c r="I854" s="21"/>
      <c r="J854" s="21"/>
      <c r="K854" s="19"/>
      <c r="L854" s="19"/>
      <c r="M854" s="22"/>
      <c r="N854" s="19"/>
      <c r="O854" s="19"/>
      <c r="P854" s="23"/>
      <c r="Q854" s="21" t="s">
        <v>46</v>
      </c>
      <c r="R854" s="19" t="s">
        <v>47</v>
      </c>
      <c r="S854" s="21"/>
      <c r="T854" s="32"/>
      <c r="U854" s="21"/>
      <c r="V854" s="7"/>
      <c r="W854" s="7"/>
      <c r="X854" s="7"/>
      <c r="Y854" s="7"/>
    </row>
    <row r="855" spans="1:25" ht="14.25" customHeight="1" x14ac:dyDescent="0.3">
      <c r="A855" s="18">
        <v>213.2</v>
      </c>
      <c r="B855" s="19"/>
      <c r="C855" s="19"/>
      <c r="D855" s="19"/>
      <c r="E855" s="19"/>
      <c r="F855" s="19"/>
      <c r="G855" s="21"/>
      <c r="H855" s="21"/>
      <c r="I855" s="21"/>
      <c r="J855" s="21"/>
      <c r="K855" s="19"/>
      <c r="L855" s="19"/>
      <c r="M855" s="22"/>
      <c r="N855" s="19"/>
      <c r="O855" s="19"/>
      <c r="P855" s="23"/>
      <c r="Q855" s="21" t="s">
        <v>46</v>
      </c>
      <c r="R855" s="19" t="s">
        <v>47</v>
      </c>
      <c r="S855" s="21"/>
      <c r="T855" s="32"/>
      <c r="U855" s="21"/>
      <c r="V855" s="7"/>
      <c r="W855" s="7"/>
      <c r="X855" s="7"/>
      <c r="Y855" s="7"/>
    </row>
    <row r="856" spans="1:25" ht="14.25" customHeight="1" x14ac:dyDescent="0.3">
      <c r="A856" s="18">
        <v>213.3</v>
      </c>
      <c r="B856" s="19"/>
      <c r="C856" s="19"/>
      <c r="D856" s="19"/>
      <c r="E856" s="19"/>
      <c r="F856" s="19"/>
      <c r="G856" s="21"/>
      <c r="H856" s="21"/>
      <c r="I856" s="21"/>
      <c r="J856" s="21"/>
      <c r="K856" s="19"/>
      <c r="L856" s="19"/>
      <c r="M856" s="22"/>
      <c r="N856" s="19"/>
      <c r="O856" s="19"/>
      <c r="P856" s="23"/>
      <c r="Q856" s="21" t="s">
        <v>46</v>
      </c>
      <c r="R856" s="19" t="s">
        <v>47</v>
      </c>
      <c r="S856" s="21"/>
      <c r="T856" s="32"/>
      <c r="U856" s="21"/>
      <c r="V856" s="7"/>
      <c r="W856" s="7"/>
      <c r="X856" s="7"/>
      <c r="Y856" s="7"/>
    </row>
    <row r="857" spans="1:25" ht="14.25" customHeight="1" x14ac:dyDescent="0.3">
      <c r="A857" s="18">
        <v>213.4</v>
      </c>
      <c r="B857" s="19"/>
      <c r="C857" s="19"/>
      <c r="D857" s="19"/>
      <c r="E857" s="19"/>
      <c r="F857" s="19"/>
      <c r="G857" s="21"/>
      <c r="H857" s="21"/>
      <c r="I857" s="21"/>
      <c r="J857" s="21"/>
      <c r="K857" s="19"/>
      <c r="L857" s="19"/>
      <c r="M857" s="22"/>
      <c r="N857" s="19"/>
      <c r="O857" s="19"/>
      <c r="P857" s="23"/>
      <c r="Q857" s="21" t="s">
        <v>46</v>
      </c>
      <c r="R857" s="19" t="s">
        <v>47</v>
      </c>
      <c r="S857" s="21"/>
      <c r="T857" s="32"/>
      <c r="U857" s="21"/>
      <c r="V857" s="7"/>
      <c r="W857" s="7"/>
      <c r="X857" s="7"/>
      <c r="Y857" s="7"/>
    </row>
    <row r="858" spans="1:25" ht="14.25" customHeight="1" x14ac:dyDescent="0.3">
      <c r="A858" s="18">
        <v>214.1</v>
      </c>
      <c r="B858" s="19"/>
      <c r="C858" s="19"/>
      <c r="D858" s="19"/>
      <c r="E858" s="19"/>
      <c r="F858" s="19"/>
      <c r="G858" s="21"/>
      <c r="H858" s="21"/>
      <c r="I858" s="21"/>
      <c r="J858" s="21"/>
      <c r="K858" s="19"/>
      <c r="L858" s="19"/>
      <c r="M858" s="22"/>
      <c r="N858" s="19"/>
      <c r="O858" s="19"/>
      <c r="P858" s="23"/>
      <c r="Q858" s="21" t="s">
        <v>46</v>
      </c>
      <c r="R858" s="19" t="s">
        <v>47</v>
      </c>
      <c r="S858" s="21"/>
      <c r="T858" s="32"/>
      <c r="U858" s="21"/>
      <c r="V858" s="7"/>
      <c r="W858" s="7"/>
      <c r="X858" s="7"/>
      <c r="Y858" s="7"/>
    </row>
    <row r="859" spans="1:25" ht="14.25" customHeight="1" x14ac:dyDescent="0.3">
      <c r="A859" s="18">
        <v>214.2</v>
      </c>
      <c r="B859" s="19"/>
      <c r="C859" s="19"/>
      <c r="D859" s="19"/>
      <c r="E859" s="19"/>
      <c r="F859" s="19"/>
      <c r="G859" s="21"/>
      <c r="H859" s="21"/>
      <c r="I859" s="21"/>
      <c r="J859" s="21"/>
      <c r="K859" s="19"/>
      <c r="L859" s="19"/>
      <c r="M859" s="22"/>
      <c r="N859" s="19"/>
      <c r="O859" s="19"/>
      <c r="P859" s="23"/>
      <c r="Q859" s="21" t="s">
        <v>46</v>
      </c>
      <c r="R859" s="19" t="s">
        <v>47</v>
      </c>
      <c r="S859" s="21"/>
      <c r="T859" s="32"/>
      <c r="U859" s="21"/>
      <c r="V859" s="7"/>
      <c r="W859" s="7"/>
      <c r="X859" s="7"/>
      <c r="Y859" s="7"/>
    </row>
    <row r="860" spans="1:25" ht="14.25" customHeight="1" x14ac:dyDescent="0.3">
      <c r="A860" s="18">
        <v>214.3</v>
      </c>
      <c r="B860" s="19"/>
      <c r="C860" s="19"/>
      <c r="D860" s="19"/>
      <c r="E860" s="19"/>
      <c r="F860" s="19"/>
      <c r="G860" s="21"/>
      <c r="H860" s="21"/>
      <c r="I860" s="21"/>
      <c r="J860" s="21"/>
      <c r="K860" s="19"/>
      <c r="L860" s="19"/>
      <c r="M860" s="22"/>
      <c r="N860" s="19"/>
      <c r="O860" s="19"/>
      <c r="P860" s="23"/>
      <c r="Q860" s="21" t="s">
        <v>46</v>
      </c>
      <c r="R860" s="19" t="s">
        <v>47</v>
      </c>
      <c r="S860" s="21"/>
      <c r="T860" s="32"/>
      <c r="U860" s="21"/>
      <c r="V860" s="7"/>
      <c r="W860" s="7"/>
      <c r="X860" s="7"/>
      <c r="Y860" s="7"/>
    </row>
    <row r="861" spans="1:25" ht="14.25" customHeight="1" x14ac:dyDescent="0.3">
      <c r="A861" s="18">
        <v>214.4</v>
      </c>
      <c r="B861" s="19"/>
      <c r="C861" s="19"/>
      <c r="D861" s="19"/>
      <c r="E861" s="19"/>
      <c r="F861" s="19"/>
      <c r="G861" s="21"/>
      <c r="H861" s="21"/>
      <c r="I861" s="21"/>
      <c r="J861" s="21"/>
      <c r="K861" s="19"/>
      <c r="L861" s="19"/>
      <c r="M861" s="22"/>
      <c r="N861" s="19"/>
      <c r="O861" s="19"/>
      <c r="P861" s="23"/>
      <c r="Q861" s="21" t="s">
        <v>46</v>
      </c>
      <c r="R861" s="19" t="s">
        <v>47</v>
      </c>
      <c r="S861" s="21"/>
      <c r="T861" s="32"/>
      <c r="U861" s="21"/>
      <c r="V861" s="7"/>
      <c r="W861" s="7"/>
      <c r="X861" s="7"/>
      <c r="Y861" s="7"/>
    </row>
    <row r="862" spans="1:25" ht="14.25" customHeight="1" x14ac:dyDescent="0.3">
      <c r="A862" s="18">
        <v>215.1</v>
      </c>
      <c r="B862" s="19"/>
      <c r="C862" s="19"/>
      <c r="D862" s="19"/>
      <c r="E862" s="19"/>
      <c r="F862" s="19"/>
      <c r="G862" s="21"/>
      <c r="H862" s="21"/>
      <c r="I862" s="21"/>
      <c r="J862" s="21"/>
      <c r="K862" s="19"/>
      <c r="L862" s="19"/>
      <c r="M862" s="22"/>
      <c r="N862" s="19"/>
      <c r="O862" s="19"/>
      <c r="P862" s="23"/>
      <c r="Q862" s="21" t="s">
        <v>46</v>
      </c>
      <c r="R862" s="19" t="s">
        <v>47</v>
      </c>
      <c r="S862" s="21"/>
      <c r="T862" s="32"/>
      <c r="U862" s="21"/>
      <c r="V862" s="7"/>
      <c r="W862" s="7"/>
      <c r="X862" s="7"/>
      <c r="Y862" s="7"/>
    </row>
    <row r="863" spans="1:25" ht="14.25" customHeight="1" x14ac:dyDescent="0.3">
      <c r="A863" s="18">
        <v>215.2</v>
      </c>
      <c r="B863" s="19"/>
      <c r="C863" s="19"/>
      <c r="D863" s="19"/>
      <c r="E863" s="19"/>
      <c r="F863" s="19"/>
      <c r="G863" s="21"/>
      <c r="H863" s="21"/>
      <c r="I863" s="21"/>
      <c r="J863" s="21"/>
      <c r="K863" s="19"/>
      <c r="L863" s="19"/>
      <c r="M863" s="22"/>
      <c r="N863" s="19"/>
      <c r="O863" s="19"/>
      <c r="P863" s="23"/>
      <c r="Q863" s="21" t="s">
        <v>46</v>
      </c>
      <c r="R863" s="19" t="s">
        <v>47</v>
      </c>
      <c r="S863" s="21"/>
      <c r="T863" s="32"/>
      <c r="U863" s="21"/>
      <c r="V863" s="7"/>
      <c r="W863" s="7"/>
      <c r="X863" s="7"/>
      <c r="Y863" s="7"/>
    </row>
    <row r="864" spans="1:25" ht="14.25" customHeight="1" x14ac:dyDescent="0.3">
      <c r="A864" s="18">
        <v>215.3</v>
      </c>
      <c r="B864" s="19"/>
      <c r="C864" s="19"/>
      <c r="D864" s="19"/>
      <c r="E864" s="19"/>
      <c r="F864" s="19"/>
      <c r="G864" s="21"/>
      <c r="H864" s="21"/>
      <c r="I864" s="21"/>
      <c r="J864" s="21"/>
      <c r="K864" s="19"/>
      <c r="L864" s="19"/>
      <c r="M864" s="22"/>
      <c r="N864" s="19"/>
      <c r="O864" s="19"/>
      <c r="P864" s="23"/>
      <c r="Q864" s="21" t="s">
        <v>46</v>
      </c>
      <c r="R864" s="19" t="s">
        <v>47</v>
      </c>
      <c r="S864" s="21"/>
      <c r="T864" s="32"/>
      <c r="U864" s="21"/>
      <c r="V864" s="7"/>
      <c r="W864" s="7"/>
      <c r="X864" s="7"/>
      <c r="Y864" s="7"/>
    </row>
    <row r="865" spans="1:25" ht="14.25" customHeight="1" x14ac:dyDescent="0.3">
      <c r="A865" s="18">
        <v>215.4</v>
      </c>
      <c r="B865" s="19"/>
      <c r="C865" s="19"/>
      <c r="D865" s="19"/>
      <c r="E865" s="19"/>
      <c r="F865" s="19"/>
      <c r="G865" s="21"/>
      <c r="H865" s="21"/>
      <c r="I865" s="21"/>
      <c r="J865" s="21"/>
      <c r="K865" s="19"/>
      <c r="L865" s="19"/>
      <c r="M865" s="22"/>
      <c r="N865" s="19"/>
      <c r="O865" s="19"/>
      <c r="P865" s="23"/>
      <c r="Q865" s="21" t="s">
        <v>46</v>
      </c>
      <c r="R865" s="19" t="s">
        <v>47</v>
      </c>
      <c r="S865" s="21"/>
      <c r="T865" s="32"/>
      <c r="U865" s="21"/>
      <c r="V865" s="7"/>
      <c r="W865" s="7"/>
      <c r="X865" s="7"/>
      <c r="Y865" s="7"/>
    </row>
    <row r="866" spans="1:25" ht="14.25" customHeight="1" x14ac:dyDescent="0.3">
      <c r="A866" s="18">
        <v>216.1</v>
      </c>
      <c r="B866" s="19"/>
      <c r="C866" s="19"/>
      <c r="D866" s="19"/>
      <c r="E866" s="19"/>
      <c r="F866" s="19"/>
      <c r="G866" s="21"/>
      <c r="H866" s="21"/>
      <c r="I866" s="21"/>
      <c r="J866" s="21"/>
      <c r="K866" s="19"/>
      <c r="L866" s="19"/>
      <c r="M866" s="22"/>
      <c r="N866" s="19"/>
      <c r="O866" s="19"/>
      <c r="P866" s="23"/>
      <c r="Q866" s="21" t="s">
        <v>46</v>
      </c>
      <c r="R866" s="19" t="s">
        <v>47</v>
      </c>
      <c r="S866" s="21"/>
      <c r="T866" s="32"/>
      <c r="U866" s="21"/>
      <c r="V866" s="7"/>
      <c r="W866" s="7"/>
      <c r="X866" s="7"/>
      <c r="Y866" s="7"/>
    </row>
    <row r="867" spans="1:25" ht="14.25" customHeight="1" x14ac:dyDescent="0.3">
      <c r="A867" s="18">
        <v>216.2</v>
      </c>
      <c r="B867" s="19"/>
      <c r="C867" s="19"/>
      <c r="D867" s="19"/>
      <c r="E867" s="19"/>
      <c r="F867" s="19"/>
      <c r="G867" s="21"/>
      <c r="H867" s="21"/>
      <c r="I867" s="21"/>
      <c r="J867" s="21"/>
      <c r="K867" s="19"/>
      <c r="L867" s="19"/>
      <c r="M867" s="22"/>
      <c r="N867" s="19"/>
      <c r="O867" s="19"/>
      <c r="P867" s="23"/>
      <c r="Q867" s="21" t="s">
        <v>46</v>
      </c>
      <c r="R867" s="19" t="s">
        <v>47</v>
      </c>
      <c r="S867" s="21"/>
      <c r="T867" s="32"/>
      <c r="U867" s="21"/>
      <c r="V867" s="7"/>
      <c r="W867" s="7"/>
      <c r="X867" s="7"/>
      <c r="Y867" s="7"/>
    </row>
    <row r="868" spans="1:25" ht="14.25" customHeight="1" x14ac:dyDescent="0.3">
      <c r="A868" s="18">
        <v>216.3</v>
      </c>
      <c r="B868" s="19"/>
      <c r="C868" s="19"/>
      <c r="D868" s="19"/>
      <c r="E868" s="19"/>
      <c r="F868" s="19"/>
      <c r="G868" s="21"/>
      <c r="H868" s="21"/>
      <c r="I868" s="21"/>
      <c r="J868" s="21"/>
      <c r="K868" s="19"/>
      <c r="L868" s="19"/>
      <c r="M868" s="22"/>
      <c r="N868" s="19"/>
      <c r="O868" s="19"/>
      <c r="P868" s="23"/>
      <c r="Q868" s="21" t="s">
        <v>46</v>
      </c>
      <c r="R868" s="19" t="s">
        <v>47</v>
      </c>
      <c r="S868" s="21"/>
      <c r="T868" s="32"/>
      <c r="U868" s="21"/>
      <c r="V868" s="7"/>
      <c r="W868" s="7"/>
      <c r="X868" s="7"/>
      <c r="Y868" s="7"/>
    </row>
    <row r="869" spans="1:25" ht="14.25" customHeight="1" x14ac:dyDescent="0.3">
      <c r="A869" s="18">
        <v>216.4</v>
      </c>
      <c r="B869" s="19"/>
      <c r="C869" s="19"/>
      <c r="D869" s="19"/>
      <c r="E869" s="19"/>
      <c r="F869" s="19"/>
      <c r="G869" s="21"/>
      <c r="H869" s="21"/>
      <c r="I869" s="21"/>
      <c r="J869" s="21"/>
      <c r="K869" s="19"/>
      <c r="L869" s="19"/>
      <c r="M869" s="22"/>
      <c r="N869" s="19"/>
      <c r="O869" s="19"/>
      <c r="P869" s="23"/>
      <c r="Q869" s="21" t="s">
        <v>46</v>
      </c>
      <c r="R869" s="19" t="s">
        <v>47</v>
      </c>
      <c r="S869" s="21"/>
      <c r="T869" s="32"/>
      <c r="U869" s="21"/>
      <c r="V869" s="7"/>
      <c r="W869" s="7"/>
      <c r="X869" s="7"/>
      <c r="Y869" s="7"/>
    </row>
    <row r="870" spans="1:25" ht="14.25" customHeight="1" x14ac:dyDescent="0.3">
      <c r="A870" s="18">
        <v>217.1</v>
      </c>
      <c r="B870" s="19"/>
      <c r="C870" s="19"/>
      <c r="D870" s="19"/>
      <c r="E870" s="19"/>
      <c r="F870" s="19"/>
      <c r="G870" s="21"/>
      <c r="H870" s="21"/>
      <c r="I870" s="21"/>
      <c r="J870" s="21"/>
      <c r="K870" s="19"/>
      <c r="L870" s="19"/>
      <c r="M870" s="22"/>
      <c r="N870" s="19"/>
      <c r="O870" s="19"/>
      <c r="P870" s="23"/>
      <c r="Q870" s="21" t="s">
        <v>46</v>
      </c>
      <c r="R870" s="19" t="s">
        <v>47</v>
      </c>
      <c r="S870" s="21"/>
      <c r="T870" s="32"/>
      <c r="U870" s="21"/>
      <c r="V870" s="7"/>
      <c r="W870" s="7"/>
      <c r="X870" s="7"/>
      <c r="Y870" s="7"/>
    </row>
    <row r="871" spans="1:25" ht="14.25" customHeight="1" x14ac:dyDescent="0.3">
      <c r="A871" s="18">
        <v>217.2</v>
      </c>
      <c r="B871" s="19"/>
      <c r="C871" s="19"/>
      <c r="D871" s="19"/>
      <c r="E871" s="19"/>
      <c r="F871" s="19"/>
      <c r="G871" s="21"/>
      <c r="H871" s="21"/>
      <c r="I871" s="21"/>
      <c r="J871" s="21"/>
      <c r="K871" s="19"/>
      <c r="L871" s="19"/>
      <c r="M871" s="22"/>
      <c r="N871" s="19"/>
      <c r="O871" s="19"/>
      <c r="P871" s="23"/>
      <c r="Q871" s="21" t="s">
        <v>46</v>
      </c>
      <c r="R871" s="19" t="s">
        <v>47</v>
      </c>
      <c r="S871" s="21"/>
      <c r="T871" s="32"/>
      <c r="U871" s="21"/>
      <c r="V871" s="7"/>
      <c r="W871" s="7"/>
      <c r="X871" s="7"/>
      <c r="Y871" s="7"/>
    </row>
    <row r="872" spans="1:25" ht="14.25" customHeight="1" x14ac:dyDescent="0.3">
      <c r="A872" s="18">
        <v>217.3</v>
      </c>
      <c r="B872" s="19"/>
      <c r="C872" s="19"/>
      <c r="D872" s="19"/>
      <c r="E872" s="19"/>
      <c r="F872" s="19"/>
      <c r="G872" s="21"/>
      <c r="H872" s="21"/>
      <c r="I872" s="21"/>
      <c r="J872" s="21"/>
      <c r="K872" s="19"/>
      <c r="L872" s="19"/>
      <c r="M872" s="22"/>
      <c r="N872" s="19"/>
      <c r="O872" s="19"/>
      <c r="P872" s="23"/>
      <c r="Q872" s="21" t="s">
        <v>46</v>
      </c>
      <c r="R872" s="19" t="s">
        <v>47</v>
      </c>
      <c r="S872" s="21"/>
      <c r="T872" s="32"/>
      <c r="U872" s="21"/>
      <c r="V872" s="7"/>
      <c r="W872" s="7"/>
      <c r="X872" s="7"/>
      <c r="Y872" s="7"/>
    </row>
    <row r="873" spans="1:25" ht="14.25" customHeight="1" x14ac:dyDescent="0.3">
      <c r="A873" s="18">
        <v>217.4</v>
      </c>
      <c r="B873" s="19"/>
      <c r="C873" s="19"/>
      <c r="D873" s="19"/>
      <c r="E873" s="19"/>
      <c r="F873" s="19"/>
      <c r="G873" s="21"/>
      <c r="H873" s="21"/>
      <c r="I873" s="21"/>
      <c r="J873" s="21"/>
      <c r="K873" s="19"/>
      <c r="L873" s="19"/>
      <c r="M873" s="22"/>
      <c r="N873" s="19"/>
      <c r="O873" s="19"/>
      <c r="P873" s="23"/>
      <c r="Q873" s="21" t="s">
        <v>46</v>
      </c>
      <c r="R873" s="19" t="s">
        <v>47</v>
      </c>
      <c r="S873" s="21"/>
      <c r="T873" s="32"/>
      <c r="U873" s="21"/>
      <c r="V873" s="7"/>
      <c r="W873" s="7"/>
      <c r="X873" s="7"/>
      <c r="Y873" s="7"/>
    </row>
    <row r="874" spans="1:25" ht="14.25" customHeight="1" x14ac:dyDescent="0.3">
      <c r="A874" s="18">
        <v>218.1</v>
      </c>
      <c r="B874" s="19"/>
      <c r="C874" s="19"/>
      <c r="D874" s="19"/>
      <c r="E874" s="19"/>
      <c r="F874" s="19"/>
      <c r="G874" s="21"/>
      <c r="H874" s="21"/>
      <c r="I874" s="21"/>
      <c r="J874" s="21"/>
      <c r="K874" s="19"/>
      <c r="L874" s="19"/>
      <c r="M874" s="22"/>
      <c r="N874" s="19"/>
      <c r="O874" s="19"/>
      <c r="P874" s="23"/>
      <c r="Q874" s="21" t="s">
        <v>46</v>
      </c>
      <c r="R874" s="19" t="s">
        <v>47</v>
      </c>
      <c r="S874" s="21"/>
      <c r="T874" s="32"/>
      <c r="U874" s="21"/>
      <c r="V874" s="7"/>
      <c r="W874" s="7"/>
      <c r="X874" s="7"/>
      <c r="Y874" s="7"/>
    </row>
    <row r="875" spans="1:25" ht="14.25" customHeight="1" x14ac:dyDescent="0.3">
      <c r="A875" s="18">
        <v>218.2</v>
      </c>
      <c r="B875" s="19"/>
      <c r="C875" s="19"/>
      <c r="D875" s="19"/>
      <c r="E875" s="19"/>
      <c r="F875" s="19"/>
      <c r="G875" s="21"/>
      <c r="H875" s="21"/>
      <c r="I875" s="21"/>
      <c r="J875" s="21"/>
      <c r="K875" s="19"/>
      <c r="L875" s="19"/>
      <c r="M875" s="22"/>
      <c r="N875" s="19"/>
      <c r="O875" s="19"/>
      <c r="P875" s="23"/>
      <c r="Q875" s="21" t="s">
        <v>46</v>
      </c>
      <c r="R875" s="19" t="s">
        <v>47</v>
      </c>
      <c r="S875" s="21"/>
      <c r="T875" s="32"/>
      <c r="U875" s="21"/>
      <c r="V875" s="7"/>
      <c r="W875" s="7"/>
      <c r="X875" s="7"/>
      <c r="Y875" s="7"/>
    </row>
    <row r="876" spans="1:25" ht="14.25" customHeight="1" x14ac:dyDescent="0.3">
      <c r="A876" s="18">
        <v>218.3</v>
      </c>
      <c r="B876" s="19"/>
      <c r="C876" s="19"/>
      <c r="D876" s="19"/>
      <c r="E876" s="19"/>
      <c r="F876" s="19"/>
      <c r="G876" s="21"/>
      <c r="H876" s="21"/>
      <c r="I876" s="21"/>
      <c r="J876" s="21"/>
      <c r="K876" s="19"/>
      <c r="L876" s="19"/>
      <c r="M876" s="22"/>
      <c r="N876" s="19"/>
      <c r="O876" s="19"/>
      <c r="P876" s="23"/>
      <c r="Q876" s="21" t="s">
        <v>46</v>
      </c>
      <c r="R876" s="19" t="s">
        <v>47</v>
      </c>
      <c r="S876" s="21"/>
      <c r="T876" s="32"/>
      <c r="U876" s="21"/>
      <c r="V876" s="7"/>
      <c r="W876" s="7"/>
      <c r="X876" s="7"/>
      <c r="Y876" s="7"/>
    </row>
    <row r="877" spans="1:25" ht="14.25" customHeight="1" x14ac:dyDescent="0.3">
      <c r="A877" s="18">
        <v>218.4</v>
      </c>
      <c r="B877" s="19"/>
      <c r="C877" s="19"/>
      <c r="D877" s="19"/>
      <c r="E877" s="19"/>
      <c r="F877" s="19"/>
      <c r="G877" s="21"/>
      <c r="H877" s="21"/>
      <c r="I877" s="21"/>
      <c r="J877" s="21"/>
      <c r="K877" s="19"/>
      <c r="L877" s="19"/>
      <c r="M877" s="22"/>
      <c r="N877" s="19"/>
      <c r="O877" s="19"/>
      <c r="P877" s="23"/>
      <c r="Q877" s="21" t="s">
        <v>46</v>
      </c>
      <c r="R877" s="19" t="s">
        <v>47</v>
      </c>
      <c r="S877" s="21"/>
      <c r="T877" s="32"/>
      <c r="U877" s="21"/>
      <c r="V877" s="7"/>
      <c r="W877" s="7"/>
      <c r="X877" s="7"/>
      <c r="Y877" s="7"/>
    </row>
    <row r="878" spans="1:25" ht="14.25" customHeight="1" x14ac:dyDescent="0.3">
      <c r="A878" s="18">
        <v>219.1</v>
      </c>
      <c r="B878" s="19"/>
      <c r="C878" s="19"/>
      <c r="D878" s="19"/>
      <c r="E878" s="19"/>
      <c r="F878" s="19"/>
      <c r="G878" s="21"/>
      <c r="H878" s="21"/>
      <c r="I878" s="21"/>
      <c r="J878" s="21"/>
      <c r="K878" s="19"/>
      <c r="L878" s="19"/>
      <c r="M878" s="22"/>
      <c r="N878" s="19"/>
      <c r="O878" s="19"/>
      <c r="P878" s="23"/>
      <c r="Q878" s="21" t="s">
        <v>46</v>
      </c>
      <c r="R878" s="19" t="s">
        <v>47</v>
      </c>
      <c r="S878" s="21"/>
      <c r="T878" s="32"/>
      <c r="U878" s="21"/>
      <c r="V878" s="7"/>
      <c r="W878" s="7"/>
      <c r="X878" s="7"/>
      <c r="Y878" s="7"/>
    </row>
    <row r="879" spans="1:25" ht="14.25" customHeight="1" x14ac:dyDescent="0.3">
      <c r="A879" s="18">
        <v>219.2</v>
      </c>
      <c r="B879" s="19"/>
      <c r="C879" s="19"/>
      <c r="D879" s="19"/>
      <c r="E879" s="19"/>
      <c r="F879" s="19"/>
      <c r="G879" s="21"/>
      <c r="H879" s="21"/>
      <c r="I879" s="21"/>
      <c r="J879" s="21"/>
      <c r="K879" s="19"/>
      <c r="L879" s="19"/>
      <c r="M879" s="22"/>
      <c r="N879" s="19"/>
      <c r="O879" s="19"/>
      <c r="P879" s="23"/>
      <c r="Q879" s="21" t="s">
        <v>46</v>
      </c>
      <c r="R879" s="19" t="s">
        <v>47</v>
      </c>
      <c r="S879" s="21"/>
      <c r="T879" s="32"/>
      <c r="U879" s="21"/>
      <c r="V879" s="7"/>
      <c r="W879" s="7"/>
      <c r="X879" s="7"/>
      <c r="Y879" s="7"/>
    </row>
    <row r="880" spans="1:25" ht="14.25" customHeight="1" x14ac:dyDescent="0.3">
      <c r="A880" s="18">
        <v>219.3</v>
      </c>
      <c r="B880" s="19"/>
      <c r="C880" s="19"/>
      <c r="D880" s="19"/>
      <c r="E880" s="19"/>
      <c r="F880" s="19"/>
      <c r="G880" s="21"/>
      <c r="H880" s="21"/>
      <c r="I880" s="21"/>
      <c r="J880" s="21"/>
      <c r="K880" s="19"/>
      <c r="L880" s="19"/>
      <c r="M880" s="22"/>
      <c r="N880" s="19"/>
      <c r="O880" s="19"/>
      <c r="P880" s="23"/>
      <c r="Q880" s="21" t="s">
        <v>46</v>
      </c>
      <c r="R880" s="19" t="s">
        <v>47</v>
      </c>
      <c r="S880" s="21"/>
      <c r="T880" s="32"/>
      <c r="U880" s="21"/>
      <c r="V880" s="7"/>
      <c r="W880" s="7"/>
      <c r="X880" s="7"/>
      <c r="Y880" s="7"/>
    </row>
    <row r="881" spans="1:25" ht="14.25" customHeight="1" x14ac:dyDescent="0.3">
      <c r="A881" s="18">
        <v>219.4</v>
      </c>
      <c r="B881" s="19"/>
      <c r="C881" s="19"/>
      <c r="D881" s="19"/>
      <c r="E881" s="19"/>
      <c r="F881" s="19"/>
      <c r="G881" s="21"/>
      <c r="H881" s="21"/>
      <c r="I881" s="21"/>
      <c r="J881" s="21"/>
      <c r="K881" s="19"/>
      <c r="L881" s="19"/>
      <c r="M881" s="22"/>
      <c r="N881" s="19"/>
      <c r="O881" s="19"/>
      <c r="P881" s="23"/>
      <c r="Q881" s="21" t="s">
        <v>46</v>
      </c>
      <c r="R881" s="19" t="s">
        <v>47</v>
      </c>
      <c r="S881" s="21"/>
      <c r="T881" s="32"/>
      <c r="U881" s="21"/>
      <c r="V881" s="7"/>
      <c r="W881" s="7"/>
      <c r="X881" s="7"/>
      <c r="Y881" s="7"/>
    </row>
    <row r="882" spans="1:25" ht="14.25" customHeight="1" x14ac:dyDescent="0.3">
      <c r="A882" s="18">
        <v>220.1</v>
      </c>
      <c r="B882" s="19"/>
      <c r="C882" s="19"/>
      <c r="D882" s="19"/>
      <c r="E882" s="19"/>
      <c r="F882" s="19"/>
      <c r="G882" s="21"/>
      <c r="H882" s="21"/>
      <c r="I882" s="21"/>
      <c r="J882" s="21"/>
      <c r="K882" s="19"/>
      <c r="L882" s="19"/>
      <c r="M882" s="22"/>
      <c r="N882" s="19"/>
      <c r="O882" s="19"/>
      <c r="P882" s="23"/>
      <c r="Q882" s="21" t="s">
        <v>46</v>
      </c>
      <c r="R882" s="19" t="s">
        <v>47</v>
      </c>
      <c r="S882" s="21"/>
      <c r="T882" s="32"/>
      <c r="U882" s="21"/>
      <c r="V882" s="7"/>
      <c r="W882" s="7"/>
      <c r="X882" s="7"/>
      <c r="Y882" s="7"/>
    </row>
    <row r="883" spans="1:25" ht="14.25" customHeight="1" x14ac:dyDescent="0.3">
      <c r="A883" s="18">
        <v>220.2</v>
      </c>
      <c r="B883" s="19"/>
      <c r="C883" s="19"/>
      <c r="D883" s="19"/>
      <c r="E883" s="19"/>
      <c r="F883" s="19"/>
      <c r="G883" s="21"/>
      <c r="H883" s="21"/>
      <c r="I883" s="21"/>
      <c r="J883" s="21"/>
      <c r="K883" s="19"/>
      <c r="L883" s="19"/>
      <c r="M883" s="22"/>
      <c r="N883" s="19"/>
      <c r="O883" s="19"/>
      <c r="P883" s="23"/>
      <c r="Q883" s="21" t="s">
        <v>46</v>
      </c>
      <c r="R883" s="19" t="s">
        <v>47</v>
      </c>
      <c r="S883" s="21"/>
      <c r="T883" s="32"/>
      <c r="U883" s="21"/>
      <c r="V883" s="7"/>
      <c r="W883" s="7"/>
      <c r="X883" s="7"/>
      <c r="Y883" s="7"/>
    </row>
    <row r="884" spans="1:25" ht="14.25" customHeight="1" x14ac:dyDescent="0.3">
      <c r="A884" s="18">
        <v>220.3</v>
      </c>
      <c r="B884" s="19"/>
      <c r="C884" s="19"/>
      <c r="D884" s="19"/>
      <c r="E884" s="19"/>
      <c r="F884" s="19"/>
      <c r="G884" s="21"/>
      <c r="H884" s="21"/>
      <c r="I884" s="21"/>
      <c r="J884" s="21"/>
      <c r="K884" s="19"/>
      <c r="L884" s="19"/>
      <c r="M884" s="22"/>
      <c r="N884" s="19"/>
      <c r="O884" s="19"/>
      <c r="P884" s="23"/>
      <c r="Q884" s="21" t="s">
        <v>46</v>
      </c>
      <c r="R884" s="19" t="s">
        <v>47</v>
      </c>
      <c r="S884" s="21"/>
      <c r="T884" s="32"/>
      <c r="U884" s="21"/>
      <c r="V884" s="7"/>
      <c r="W884" s="7"/>
      <c r="X884" s="7"/>
      <c r="Y884" s="7"/>
    </row>
    <row r="885" spans="1:25" ht="14.25" customHeight="1" x14ac:dyDescent="0.3">
      <c r="A885" s="18">
        <v>220.4</v>
      </c>
      <c r="B885" s="19"/>
      <c r="C885" s="19"/>
      <c r="D885" s="19"/>
      <c r="E885" s="19"/>
      <c r="F885" s="19"/>
      <c r="G885" s="21"/>
      <c r="H885" s="21"/>
      <c r="I885" s="21"/>
      <c r="J885" s="21"/>
      <c r="K885" s="19"/>
      <c r="L885" s="19"/>
      <c r="M885" s="22"/>
      <c r="N885" s="19"/>
      <c r="O885" s="19"/>
      <c r="P885" s="23"/>
      <c r="Q885" s="21" t="s">
        <v>46</v>
      </c>
      <c r="R885" s="19" t="s">
        <v>47</v>
      </c>
      <c r="S885" s="21"/>
      <c r="T885" s="32"/>
      <c r="U885" s="21"/>
      <c r="V885" s="7"/>
      <c r="W885" s="7"/>
      <c r="X885" s="7"/>
      <c r="Y885" s="7"/>
    </row>
    <row r="886" spans="1:25" ht="14.25" customHeight="1" x14ac:dyDescent="0.3">
      <c r="A886" s="18">
        <v>221.1</v>
      </c>
      <c r="B886" s="19"/>
      <c r="C886" s="19"/>
      <c r="D886" s="19"/>
      <c r="E886" s="19"/>
      <c r="F886" s="19"/>
      <c r="G886" s="21"/>
      <c r="H886" s="21"/>
      <c r="I886" s="21"/>
      <c r="J886" s="21"/>
      <c r="K886" s="19"/>
      <c r="L886" s="19"/>
      <c r="M886" s="22"/>
      <c r="N886" s="19"/>
      <c r="O886" s="19"/>
      <c r="P886" s="23"/>
      <c r="Q886" s="21" t="s">
        <v>46</v>
      </c>
      <c r="R886" s="19" t="s">
        <v>47</v>
      </c>
      <c r="S886" s="21"/>
      <c r="T886" s="32"/>
      <c r="U886" s="21"/>
      <c r="V886" s="7"/>
      <c r="W886" s="7"/>
      <c r="X886" s="7"/>
      <c r="Y886" s="7"/>
    </row>
    <row r="887" spans="1:25" ht="14.25" customHeight="1" x14ac:dyDescent="0.3">
      <c r="A887" s="18">
        <v>221.2</v>
      </c>
      <c r="B887" s="19"/>
      <c r="C887" s="19"/>
      <c r="D887" s="19"/>
      <c r="E887" s="19"/>
      <c r="F887" s="19"/>
      <c r="G887" s="21"/>
      <c r="H887" s="21"/>
      <c r="I887" s="21"/>
      <c r="J887" s="21"/>
      <c r="K887" s="19"/>
      <c r="L887" s="19"/>
      <c r="M887" s="22"/>
      <c r="N887" s="19"/>
      <c r="O887" s="19"/>
      <c r="P887" s="23"/>
      <c r="Q887" s="21" t="s">
        <v>46</v>
      </c>
      <c r="R887" s="19" t="s">
        <v>47</v>
      </c>
      <c r="S887" s="21"/>
      <c r="T887" s="32"/>
      <c r="U887" s="21"/>
      <c r="V887" s="7"/>
      <c r="W887" s="7"/>
      <c r="X887" s="7"/>
      <c r="Y887" s="7"/>
    </row>
    <row r="888" spans="1:25" ht="14.25" customHeight="1" x14ac:dyDescent="0.3">
      <c r="A888" s="18">
        <v>221.3</v>
      </c>
      <c r="B888" s="19"/>
      <c r="C888" s="19"/>
      <c r="D888" s="19"/>
      <c r="E888" s="19"/>
      <c r="F888" s="19"/>
      <c r="G888" s="21"/>
      <c r="H888" s="21"/>
      <c r="I888" s="21"/>
      <c r="J888" s="21"/>
      <c r="K888" s="19"/>
      <c r="L888" s="19"/>
      <c r="M888" s="22"/>
      <c r="N888" s="19"/>
      <c r="O888" s="19"/>
      <c r="P888" s="23"/>
      <c r="Q888" s="21" t="s">
        <v>46</v>
      </c>
      <c r="R888" s="19" t="s">
        <v>47</v>
      </c>
      <c r="S888" s="21"/>
      <c r="T888" s="32"/>
      <c r="U888" s="21"/>
      <c r="V888" s="7"/>
      <c r="W888" s="7"/>
      <c r="X888" s="7"/>
      <c r="Y888" s="7"/>
    </row>
    <row r="889" spans="1:25" ht="14.25" customHeight="1" x14ac:dyDescent="0.3">
      <c r="A889" s="18">
        <v>221.4</v>
      </c>
      <c r="B889" s="19"/>
      <c r="C889" s="19"/>
      <c r="D889" s="19"/>
      <c r="E889" s="19"/>
      <c r="F889" s="19"/>
      <c r="G889" s="21"/>
      <c r="H889" s="21"/>
      <c r="I889" s="21"/>
      <c r="J889" s="21"/>
      <c r="K889" s="19"/>
      <c r="L889" s="19"/>
      <c r="M889" s="22"/>
      <c r="N889" s="19"/>
      <c r="O889" s="19"/>
      <c r="P889" s="23"/>
      <c r="Q889" s="21" t="s">
        <v>46</v>
      </c>
      <c r="R889" s="19" t="s">
        <v>47</v>
      </c>
      <c r="S889" s="21"/>
      <c r="T889" s="32"/>
      <c r="U889" s="21"/>
      <c r="V889" s="7"/>
      <c r="W889" s="7"/>
      <c r="X889" s="7"/>
      <c r="Y889" s="7"/>
    </row>
    <row r="890" spans="1:25" ht="14.25" customHeight="1" x14ac:dyDescent="0.3">
      <c r="A890" s="18">
        <v>222.1</v>
      </c>
      <c r="B890" s="19"/>
      <c r="C890" s="19"/>
      <c r="D890" s="19"/>
      <c r="E890" s="19"/>
      <c r="F890" s="19"/>
      <c r="G890" s="21"/>
      <c r="H890" s="21"/>
      <c r="I890" s="21"/>
      <c r="J890" s="21"/>
      <c r="K890" s="19"/>
      <c r="L890" s="19"/>
      <c r="M890" s="22"/>
      <c r="N890" s="19"/>
      <c r="O890" s="19"/>
      <c r="P890" s="23"/>
      <c r="Q890" s="21" t="s">
        <v>46</v>
      </c>
      <c r="R890" s="19" t="s">
        <v>47</v>
      </c>
      <c r="S890" s="21"/>
      <c r="T890" s="32"/>
      <c r="U890" s="21"/>
      <c r="V890" s="7"/>
      <c r="W890" s="7"/>
      <c r="X890" s="7"/>
      <c r="Y890" s="7"/>
    </row>
    <row r="891" spans="1:25" ht="14.25" customHeight="1" x14ac:dyDescent="0.3">
      <c r="A891" s="18">
        <v>222.2</v>
      </c>
      <c r="B891" s="19"/>
      <c r="C891" s="19"/>
      <c r="D891" s="19"/>
      <c r="E891" s="19"/>
      <c r="F891" s="19"/>
      <c r="G891" s="21"/>
      <c r="H891" s="21"/>
      <c r="I891" s="21"/>
      <c r="J891" s="21"/>
      <c r="K891" s="19"/>
      <c r="L891" s="19"/>
      <c r="M891" s="22"/>
      <c r="N891" s="19"/>
      <c r="O891" s="19"/>
      <c r="P891" s="23"/>
      <c r="Q891" s="21" t="s">
        <v>46</v>
      </c>
      <c r="R891" s="19" t="s">
        <v>47</v>
      </c>
      <c r="S891" s="21"/>
      <c r="T891" s="32"/>
      <c r="U891" s="21"/>
      <c r="V891" s="7"/>
      <c r="W891" s="7"/>
      <c r="X891" s="7"/>
      <c r="Y891" s="7"/>
    </row>
    <row r="892" spans="1:25" ht="14.25" customHeight="1" x14ac:dyDescent="0.3">
      <c r="A892" s="18">
        <v>222.3</v>
      </c>
      <c r="B892" s="19"/>
      <c r="C892" s="19"/>
      <c r="D892" s="19"/>
      <c r="E892" s="19"/>
      <c r="F892" s="19"/>
      <c r="G892" s="21"/>
      <c r="H892" s="21"/>
      <c r="I892" s="21"/>
      <c r="J892" s="21"/>
      <c r="K892" s="19"/>
      <c r="L892" s="19"/>
      <c r="M892" s="22"/>
      <c r="N892" s="19"/>
      <c r="O892" s="19"/>
      <c r="P892" s="23"/>
      <c r="Q892" s="21" t="s">
        <v>46</v>
      </c>
      <c r="R892" s="19" t="s">
        <v>47</v>
      </c>
      <c r="S892" s="21"/>
      <c r="T892" s="32"/>
      <c r="U892" s="21"/>
      <c r="V892" s="7"/>
      <c r="W892" s="7"/>
      <c r="X892" s="7"/>
      <c r="Y892" s="7"/>
    </row>
    <row r="893" spans="1:25" ht="14.25" customHeight="1" x14ac:dyDescent="0.3">
      <c r="A893" s="18">
        <v>222.4</v>
      </c>
      <c r="B893" s="19"/>
      <c r="C893" s="19"/>
      <c r="D893" s="19"/>
      <c r="E893" s="19"/>
      <c r="F893" s="19"/>
      <c r="G893" s="21"/>
      <c r="H893" s="21"/>
      <c r="I893" s="21"/>
      <c r="J893" s="21"/>
      <c r="K893" s="19"/>
      <c r="L893" s="19"/>
      <c r="M893" s="22"/>
      <c r="N893" s="19"/>
      <c r="O893" s="19"/>
      <c r="P893" s="23"/>
      <c r="Q893" s="21" t="s">
        <v>46</v>
      </c>
      <c r="R893" s="19" t="s">
        <v>47</v>
      </c>
      <c r="S893" s="21"/>
      <c r="T893" s="32"/>
      <c r="U893" s="21"/>
      <c r="V893" s="7"/>
      <c r="W893" s="7"/>
      <c r="X893" s="7"/>
      <c r="Y893" s="7"/>
    </row>
    <row r="894" spans="1:25" ht="14.25" customHeight="1" x14ac:dyDescent="0.3">
      <c r="A894" s="18">
        <v>223.1</v>
      </c>
      <c r="B894" s="19"/>
      <c r="C894" s="19"/>
      <c r="D894" s="19"/>
      <c r="E894" s="19"/>
      <c r="F894" s="19"/>
      <c r="G894" s="21"/>
      <c r="H894" s="21"/>
      <c r="I894" s="21"/>
      <c r="J894" s="21"/>
      <c r="K894" s="19"/>
      <c r="L894" s="19"/>
      <c r="M894" s="22"/>
      <c r="N894" s="19"/>
      <c r="O894" s="19"/>
      <c r="P894" s="23"/>
      <c r="Q894" s="21" t="s">
        <v>46</v>
      </c>
      <c r="R894" s="19" t="s">
        <v>47</v>
      </c>
      <c r="S894" s="21"/>
      <c r="T894" s="32"/>
      <c r="U894" s="21"/>
      <c r="V894" s="7"/>
      <c r="W894" s="7"/>
      <c r="X894" s="7"/>
      <c r="Y894" s="7"/>
    </row>
    <row r="895" spans="1:25" ht="14.25" customHeight="1" x14ac:dyDescent="0.3">
      <c r="A895" s="18">
        <v>223.2</v>
      </c>
      <c r="B895" s="19"/>
      <c r="C895" s="19"/>
      <c r="D895" s="19"/>
      <c r="E895" s="19"/>
      <c r="F895" s="19"/>
      <c r="G895" s="21"/>
      <c r="H895" s="21"/>
      <c r="I895" s="21"/>
      <c r="J895" s="21"/>
      <c r="K895" s="19"/>
      <c r="L895" s="19"/>
      <c r="M895" s="22"/>
      <c r="N895" s="19"/>
      <c r="O895" s="19"/>
      <c r="P895" s="23"/>
      <c r="Q895" s="21" t="s">
        <v>46</v>
      </c>
      <c r="R895" s="19" t="s">
        <v>47</v>
      </c>
      <c r="S895" s="21"/>
      <c r="T895" s="32"/>
      <c r="U895" s="21"/>
      <c r="V895" s="7"/>
      <c r="W895" s="7"/>
      <c r="X895" s="7"/>
      <c r="Y895" s="7"/>
    </row>
    <row r="896" spans="1:25" ht="14.25" customHeight="1" x14ac:dyDescent="0.3">
      <c r="A896" s="18">
        <v>223.3</v>
      </c>
      <c r="B896" s="19"/>
      <c r="C896" s="19"/>
      <c r="D896" s="19"/>
      <c r="E896" s="19"/>
      <c r="F896" s="19"/>
      <c r="G896" s="21"/>
      <c r="H896" s="21"/>
      <c r="I896" s="21"/>
      <c r="J896" s="21"/>
      <c r="K896" s="19"/>
      <c r="L896" s="19"/>
      <c r="M896" s="22"/>
      <c r="N896" s="19"/>
      <c r="O896" s="19"/>
      <c r="P896" s="23"/>
      <c r="Q896" s="21" t="s">
        <v>46</v>
      </c>
      <c r="R896" s="19" t="s">
        <v>47</v>
      </c>
      <c r="S896" s="21"/>
      <c r="T896" s="32"/>
      <c r="U896" s="21"/>
      <c r="V896" s="7"/>
      <c r="W896" s="7"/>
      <c r="X896" s="7"/>
      <c r="Y896" s="7"/>
    </row>
    <row r="897" spans="1:25" ht="14.25" customHeight="1" x14ac:dyDescent="0.3">
      <c r="A897" s="18">
        <v>223.4</v>
      </c>
      <c r="B897" s="19"/>
      <c r="C897" s="19"/>
      <c r="D897" s="19"/>
      <c r="E897" s="19"/>
      <c r="F897" s="19"/>
      <c r="G897" s="21"/>
      <c r="H897" s="21"/>
      <c r="I897" s="21"/>
      <c r="J897" s="21"/>
      <c r="K897" s="19"/>
      <c r="L897" s="19"/>
      <c r="M897" s="22"/>
      <c r="N897" s="19"/>
      <c r="O897" s="19"/>
      <c r="P897" s="23"/>
      <c r="Q897" s="21" t="s">
        <v>46</v>
      </c>
      <c r="R897" s="19" t="s">
        <v>47</v>
      </c>
      <c r="S897" s="21"/>
      <c r="T897" s="32"/>
      <c r="U897" s="21"/>
      <c r="V897" s="7"/>
      <c r="W897" s="7"/>
      <c r="X897" s="7"/>
      <c r="Y897" s="7"/>
    </row>
    <row r="898" spans="1:25" ht="14.25" customHeight="1" x14ac:dyDescent="0.3">
      <c r="A898" s="18">
        <v>224.1</v>
      </c>
      <c r="B898" s="19"/>
      <c r="C898" s="19"/>
      <c r="D898" s="19"/>
      <c r="E898" s="19"/>
      <c r="F898" s="19"/>
      <c r="G898" s="21"/>
      <c r="H898" s="21"/>
      <c r="I898" s="21"/>
      <c r="J898" s="21"/>
      <c r="K898" s="19"/>
      <c r="L898" s="19"/>
      <c r="M898" s="22"/>
      <c r="N898" s="19"/>
      <c r="O898" s="19"/>
      <c r="P898" s="23"/>
      <c r="Q898" s="21" t="s">
        <v>46</v>
      </c>
      <c r="R898" s="19" t="s">
        <v>47</v>
      </c>
      <c r="S898" s="21"/>
      <c r="T898" s="32"/>
      <c r="U898" s="21"/>
      <c r="V898" s="7"/>
      <c r="W898" s="7"/>
      <c r="X898" s="7"/>
      <c r="Y898" s="7"/>
    </row>
    <row r="899" spans="1:25" ht="14.25" customHeight="1" x14ac:dyDescent="0.3">
      <c r="A899" s="18">
        <v>224.2</v>
      </c>
      <c r="B899" s="19"/>
      <c r="C899" s="19"/>
      <c r="D899" s="19"/>
      <c r="E899" s="19"/>
      <c r="F899" s="19"/>
      <c r="G899" s="21"/>
      <c r="H899" s="21"/>
      <c r="I899" s="21"/>
      <c r="J899" s="21"/>
      <c r="K899" s="19"/>
      <c r="L899" s="19"/>
      <c r="M899" s="22"/>
      <c r="N899" s="19"/>
      <c r="O899" s="19"/>
      <c r="P899" s="23"/>
      <c r="Q899" s="21" t="s">
        <v>46</v>
      </c>
      <c r="R899" s="19" t="s">
        <v>47</v>
      </c>
      <c r="S899" s="21"/>
      <c r="T899" s="32"/>
      <c r="U899" s="21"/>
      <c r="V899" s="7"/>
      <c r="W899" s="7"/>
      <c r="X899" s="7"/>
      <c r="Y899" s="7"/>
    </row>
    <row r="900" spans="1:25" ht="14.25" customHeight="1" x14ac:dyDescent="0.3">
      <c r="A900" s="18">
        <v>224.3</v>
      </c>
      <c r="B900" s="19"/>
      <c r="C900" s="19"/>
      <c r="D900" s="19"/>
      <c r="E900" s="19"/>
      <c r="F900" s="19"/>
      <c r="G900" s="21"/>
      <c r="H900" s="21"/>
      <c r="I900" s="21"/>
      <c r="J900" s="21"/>
      <c r="K900" s="19"/>
      <c r="L900" s="19"/>
      <c r="M900" s="22"/>
      <c r="N900" s="19"/>
      <c r="O900" s="19"/>
      <c r="P900" s="23"/>
      <c r="Q900" s="21" t="s">
        <v>46</v>
      </c>
      <c r="R900" s="19" t="s">
        <v>47</v>
      </c>
      <c r="S900" s="21"/>
      <c r="T900" s="32"/>
      <c r="U900" s="21"/>
      <c r="V900" s="7"/>
      <c r="W900" s="7"/>
      <c r="X900" s="7"/>
      <c r="Y900" s="7"/>
    </row>
    <row r="901" spans="1:25" ht="14.25" customHeight="1" x14ac:dyDescent="0.3">
      <c r="A901" s="18">
        <v>224.4</v>
      </c>
      <c r="B901" s="19"/>
      <c r="C901" s="19"/>
      <c r="D901" s="19"/>
      <c r="E901" s="19"/>
      <c r="F901" s="19"/>
      <c r="G901" s="21"/>
      <c r="H901" s="21"/>
      <c r="I901" s="21"/>
      <c r="J901" s="21"/>
      <c r="K901" s="19"/>
      <c r="L901" s="19"/>
      <c r="M901" s="22"/>
      <c r="N901" s="19"/>
      <c r="O901" s="19"/>
      <c r="P901" s="23"/>
      <c r="Q901" s="21" t="s">
        <v>46</v>
      </c>
      <c r="R901" s="19" t="s">
        <v>47</v>
      </c>
      <c r="S901" s="21"/>
      <c r="T901" s="32"/>
      <c r="U901" s="21"/>
      <c r="V901" s="7"/>
      <c r="W901" s="7"/>
      <c r="X901" s="7"/>
      <c r="Y901" s="7"/>
    </row>
    <row r="902" spans="1:25" ht="14.25" customHeight="1" x14ac:dyDescent="0.3">
      <c r="A902" s="18">
        <v>225.1</v>
      </c>
      <c r="B902" s="19"/>
      <c r="C902" s="19"/>
      <c r="D902" s="19"/>
      <c r="E902" s="19"/>
      <c r="F902" s="19"/>
      <c r="G902" s="21"/>
      <c r="H902" s="21"/>
      <c r="I902" s="21"/>
      <c r="J902" s="21"/>
      <c r="K902" s="19"/>
      <c r="L902" s="19"/>
      <c r="M902" s="22"/>
      <c r="N902" s="19"/>
      <c r="O902" s="19"/>
      <c r="P902" s="23"/>
      <c r="Q902" s="21" t="s">
        <v>46</v>
      </c>
      <c r="R902" s="19" t="s">
        <v>47</v>
      </c>
      <c r="S902" s="21"/>
      <c r="T902" s="32"/>
      <c r="U902" s="21"/>
      <c r="V902" s="7"/>
      <c r="W902" s="7"/>
      <c r="X902" s="7"/>
      <c r="Y902" s="7"/>
    </row>
    <row r="903" spans="1:25" ht="14.25" customHeight="1" x14ac:dyDescent="0.3">
      <c r="A903" s="18">
        <v>225.2</v>
      </c>
      <c r="B903" s="19"/>
      <c r="C903" s="19"/>
      <c r="D903" s="19"/>
      <c r="E903" s="19"/>
      <c r="F903" s="19"/>
      <c r="G903" s="21"/>
      <c r="H903" s="21"/>
      <c r="I903" s="21"/>
      <c r="J903" s="21"/>
      <c r="K903" s="19"/>
      <c r="L903" s="19"/>
      <c r="M903" s="22"/>
      <c r="N903" s="19"/>
      <c r="O903" s="19"/>
      <c r="P903" s="23"/>
      <c r="Q903" s="21" t="s">
        <v>46</v>
      </c>
      <c r="R903" s="19" t="s">
        <v>47</v>
      </c>
      <c r="S903" s="21"/>
      <c r="T903" s="32"/>
      <c r="U903" s="21"/>
      <c r="V903" s="7"/>
      <c r="W903" s="7"/>
      <c r="X903" s="7"/>
      <c r="Y903" s="7"/>
    </row>
    <row r="904" spans="1:25" ht="14.25" customHeight="1" x14ac:dyDescent="0.3">
      <c r="A904" s="18">
        <v>225.3</v>
      </c>
      <c r="B904" s="19"/>
      <c r="C904" s="19"/>
      <c r="D904" s="19"/>
      <c r="E904" s="19"/>
      <c r="F904" s="19"/>
      <c r="G904" s="21"/>
      <c r="H904" s="21"/>
      <c r="I904" s="21"/>
      <c r="J904" s="21"/>
      <c r="K904" s="19"/>
      <c r="L904" s="19"/>
      <c r="M904" s="22"/>
      <c r="N904" s="19"/>
      <c r="O904" s="19"/>
      <c r="P904" s="23"/>
      <c r="Q904" s="21" t="s">
        <v>46</v>
      </c>
      <c r="R904" s="19" t="s">
        <v>47</v>
      </c>
      <c r="S904" s="21"/>
      <c r="T904" s="32"/>
      <c r="U904" s="21"/>
      <c r="V904" s="7"/>
      <c r="W904" s="7"/>
      <c r="X904" s="7"/>
      <c r="Y904" s="7"/>
    </row>
    <row r="905" spans="1:25" ht="14.25" customHeight="1" x14ac:dyDescent="0.3">
      <c r="A905" s="18">
        <v>225.4</v>
      </c>
      <c r="B905" s="19"/>
      <c r="C905" s="19"/>
      <c r="D905" s="19"/>
      <c r="E905" s="19"/>
      <c r="F905" s="19"/>
      <c r="G905" s="21"/>
      <c r="H905" s="21"/>
      <c r="I905" s="21"/>
      <c r="J905" s="21"/>
      <c r="K905" s="19"/>
      <c r="L905" s="19"/>
      <c r="M905" s="22"/>
      <c r="N905" s="19"/>
      <c r="O905" s="19"/>
      <c r="P905" s="23"/>
      <c r="Q905" s="21" t="s">
        <v>46</v>
      </c>
      <c r="R905" s="19" t="s">
        <v>47</v>
      </c>
      <c r="S905" s="21"/>
      <c r="T905" s="32"/>
      <c r="U905" s="21"/>
      <c r="V905" s="7"/>
      <c r="W905" s="7"/>
      <c r="X905" s="7"/>
      <c r="Y905" s="7"/>
    </row>
    <row r="906" spans="1:25" ht="14.25" customHeight="1" x14ac:dyDescent="0.3">
      <c r="A906" s="18">
        <v>226.1</v>
      </c>
      <c r="B906" s="19"/>
      <c r="C906" s="19"/>
      <c r="D906" s="19"/>
      <c r="E906" s="19"/>
      <c r="F906" s="19"/>
      <c r="G906" s="21"/>
      <c r="H906" s="21"/>
      <c r="I906" s="21"/>
      <c r="J906" s="21"/>
      <c r="K906" s="19"/>
      <c r="L906" s="19"/>
      <c r="M906" s="22"/>
      <c r="N906" s="19"/>
      <c r="O906" s="19"/>
      <c r="P906" s="23"/>
      <c r="Q906" s="21" t="s">
        <v>46</v>
      </c>
      <c r="R906" s="19" t="s">
        <v>47</v>
      </c>
      <c r="S906" s="21"/>
      <c r="T906" s="32"/>
      <c r="U906" s="21"/>
      <c r="V906" s="7"/>
      <c r="W906" s="7"/>
      <c r="X906" s="7"/>
      <c r="Y906" s="7"/>
    </row>
    <row r="907" spans="1:25" ht="14.25" customHeight="1" x14ac:dyDescent="0.3">
      <c r="A907" s="18">
        <v>226.2</v>
      </c>
      <c r="B907" s="19"/>
      <c r="C907" s="19"/>
      <c r="D907" s="19"/>
      <c r="E907" s="19"/>
      <c r="F907" s="19"/>
      <c r="G907" s="21"/>
      <c r="H907" s="21"/>
      <c r="I907" s="21"/>
      <c r="J907" s="21"/>
      <c r="K907" s="19"/>
      <c r="L907" s="19"/>
      <c r="M907" s="22"/>
      <c r="N907" s="19"/>
      <c r="O907" s="19"/>
      <c r="P907" s="23"/>
      <c r="Q907" s="21" t="s">
        <v>46</v>
      </c>
      <c r="R907" s="19" t="s">
        <v>47</v>
      </c>
      <c r="S907" s="21"/>
      <c r="T907" s="32"/>
      <c r="U907" s="21"/>
      <c r="V907" s="7"/>
      <c r="W907" s="7"/>
      <c r="X907" s="7"/>
      <c r="Y907" s="7"/>
    </row>
    <row r="908" spans="1:25" ht="14.25" customHeight="1" x14ac:dyDescent="0.3">
      <c r="A908" s="18">
        <v>226.3</v>
      </c>
      <c r="B908" s="19"/>
      <c r="C908" s="19"/>
      <c r="D908" s="19"/>
      <c r="E908" s="19"/>
      <c r="F908" s="19"/>
      <c r="G908" s="21"/>
      <c r="H908" s="21"/>
      <c r="I908" s="21"/>
      <c r="J908" s="21"/>
      <c r="K908" s="19"/>
      <c r="L908" s="19"/>
      <c r="M908" s="22"/>
      <c r="N908" s="19"/>
      <c r="O908" s="19"/>
      <c r="P908" s="23"/>
      <c r="Q908" s="21" t="s">
        <v>46</v>
      </c>
      <c r="R908" s="19" t="s">
        <v>47</v>
      </c>
      <c r="S908" s="21"/>
      <c r="T908" s="32"/>
      <c r="U908" s="21"/>
      <c r="V908" s="7"/>
      <c r="W908" s="7"/>
      <c r="X908" s="7"/>
      <c r="Y908" s="7"/>
    </row>
    <row r="909" spans="1:25" ht="14.25" customHeight="1" x14ac:dyDescent="0.3">
      <c r="A909" s="18">
        <v>226.4</v>
      </c>
      <c r="B909" s="19"/>
      <c r="C909" s="19"/>
      <c r="D909" s="19"/>
      <c r="E909" s="19"/>
      <c r="F909" s="19"/>
      <c r="G909" s="21"/>
      <c r="H909" s="21"/>
      <c r="I909" s="21"/>
      <c r="J909" s="21"/>
      <c r="K909" s="19"/>
      <c r="L909" s="19"/>
      <c r="M909" s="22"/>
      <c r="N909" s="19"/>
      <c r="O909" s="19"/>
      <c r="P909" s="23"/>
      <c r="Q909" s="21" t="s">
        <v>46</v>
      </c>
      <c r="R909" s="19" t="s">
        <v>47</v>
      </c>
      <c r="S909" s="21"/>
      <c r="T909" s="32"/>
      <c r="U909" s="21"/>
      <c r="V909" s="7"/>
      <c r="W909" s="7"/>
      <c r="X909" s="7"/>
      <c r="Y909" s="7"/>
    </row>
    <row r="910" spans="1:25" ht="14.25" customHeight="1" x14ac:dyDescent="0.3">
      <c r="A910" s="18">
        <v>227.1</v>
      </c>
      <c r="B910" s="19"/>
      <c r="C910" s="19"/>
      <c r="D910" s="19"/>
      <c r="E910" s="19"/>
      <c r="F910" s="19"/>
      <c r="G910" s="21"/>
      <c r="H910" s="21"/>
      <c r="I910" s="21"/>
      <c r="J910" s="21"/>
      <c r="K910" s="19"/>
      <c r="L910" s="19"/>
      <c r="M910" s="22"/>
      <c r="N910" s="19"/>
      <c r="O910" s="19"/>
      <c r="P910" s="23"/>
      <c r="Q910" s="21" t="s">
        <v>46</v>
      </c>
      <c r="R910" s="19" t="s">
        <v>47</v>
      </c>
      <c r="S910" s="21"/>
      <c r="T910" s="32"/>
      <c r="U910" s="21"/>
      <c r="V910" s="7"/>
      <c r="W910" s="7"/>
      <c r="X910" s="7"/>
      <c r="Y910" s="7"/>
    </row>
    <row r="911" spans="1:25" ht="14.25" customHeight="1" x14ac:dyDescent="0.3">
      <c r="A911" s="18">
        <v>227.2</v>
      </c>
      <c r="B911" s="19"/>
      <c r="C911" s="19"/>
      <c r="D911" s="19"/>
      <c r="E911" s="19"/>
      <c r="F911" s="19"/>
      <c r="G911" s="21"/>
      <c r="H911" s="21"/>
      <c r="I911" s="21"/>
      <c r="J911" s="21"/>
      <c r="K911" s="19"/>
      <c r="L911" s="19"/>
      <c r="M911" s="22"/>
      <c r="N911" s="19"/>
      <c r="O911" s="19"/>
      <c r="P911" s="23"/>
      <c r="Q911" s="21" t="s">
        <v>46</v>
      </c>
      <c r="R911" s="19" t="s">
        <v>47</v>
      </c>
      <c r="S911" s="21"/>
      <c r="T911" s="32"/>
      <c r="U911" s="21"/>
      <c r="V911" s="7"/>
      <c r="W911" s="7"/>
      <c r="X911" s="7"/>
      <c r="Y911" s="7"/>
    </row>
    <row r="912" spans="1:25" ht="14.25" customHeight="1" x14ac:dyDescent="0.3">
      <c r="A912" s="18">
        <v>227.3</v>
      </c>
      <c r="B912" s="19"/>
      <c r="C912" s="19"/>
      <c r="D912" s="19"/>
      <c r="E912" s="19"/>
      <c r="F912" s="19"/>
      <c r="G912" s="21"/>
      <c r="H912" s="21"/>
      <c r="I912" s="21"/>
      <c r="J912" s="21"/>
      <c r="K912" s="19"/>
      <c r="L912" s="19"/>
      <c r="M912" s="22"/>
      <c r="N912" s="19"/>
      <c r="O912" s="19"/>
      <c r="P912" s="23"/>
      <c r="Q912" s="21" t="s">
        <v>46</v>
      </c>
      <c r="R912" s="19" t="s">
        <v>47</v>
      </c>
      <c r="S912" s="21"/>
      <c r="T912" s="32"/>
      <c r="U912" s="21"/>
      <c r="V912" s="7"/>
      <c r="W912" s="7"/>
      <c r="X912" s="7"/>
      <c r="Y912" s="7"/>
    </row>
    <row r="913" spans="1:25" ht="14.25" customHeight="1" x14ac:dyDescent="0.3">
      <c r="A913" s="18">
        <v>227.4</v>
      </c>
      <c r="B913" s="19"/>
      <c r="C913" s="19"/>
      <c r="D913" s="19"/>
      <c r="E913" s="19"/>
      <c r="F913" s="19"/>
      <c r="G913" s="21"/>
      <c r="H913" s="21"/>
      <c r="I913" s="21"/>
      <c r="J913" s="21"/>
      <c r="K913" s="19"/>
      <c r="L913" s="19"/>
      <c r="M913" s="22"/>
      <c r="N913" s="19"/>
      <c r="O913" s="19"/>
      <c r="P913" s="23"/>
      <c r="Q913" s="21" t="s">
        <v>46</v>
      </c>
      <c r="R913" s="19" t="s">
        <v>47</v>
      </c>
      <c r="S913" s="21"/>
      <c r="T913" s="32"/>
      <c r="U913" s="21"/>
      <c r="V913" s="7"/>
      <c r="W913" s="7"/>
      <c r="X913" s="7"/>
      <c r="Y913" s="7"/>
    </row>
    <row r="914" spans="1:25" ht="14.25" customHeight="1" x14ac:dyDescent="0.3">
      <c r="A914" s="18">
        <v>228.1</v>
      </c>
      <c r="B914" s="19"/>
      <c r="C914" s="19"/>
      <c r="D914" s="19"/>
      <c r="E914" s="19"/>
      <c r="F914" s="19"/>
      <c r="G914" s="21"/>
      <c r="H914" s="21"/>
      <c r="I914" s="21"/>
      <c r="J914" s="21"/>
      <c r="K914" s="19"/>
      <c r="L914" s="19"/>
      <c r="M914" s="22"/>
      <c r="N914" s="19"/>
      <c r="O914" s="19"/>
      <c r="P914" s="23"/>
      <c r="Q914" s="21" t="s">
        <v>46</v>
      </c>
      <c r="R914" s="19" t="s">
        <v>47</v>
      </c>
      <c r="S914" s="21"/>
      <c r="T914" s="32"/>
      <c r="U914" s="21"/>
      <c r="V914" s="7"/>
      <c r="W914" s="7"/>
      <c r="X914" s="7"/>
      <c r="Y914" s="7"/>
    </row>
    <row r="915" spans="1:25" ht="14.25" customHeight="1" x14ac:dyDescent="0.3">
      <c r="A915" s="18">
        <v>228.2</v>
      </c>
      <c r="B915" s="19"/>
      <c r="C915" s="19"/>
      <c r="D915" s="19"/>
      <c r="E915" s="19"/>
      <c r="F915" s="19"/>
      <c r="G915" s="21"/>
      <c r="H915" s="21"/>
      <c r="I915" s="21"/>
      <c r="J915" s="21"/>
      <c r="K915" s="19"/>
      <c r="L915" s="19"/>
      <c r="M915" s="22"/>
      <c r="N915" s="19"/>
      <c r="O915" s="19"/>
      <c r="P915" s="23"/>
      <c r="Q915" s="21" t="s">
        <v>46</v>
      </c>
      <c r="R915" s="19" t="s">
        <v>47</v>
      </c>
      <c r="S915" s="21"/>
      <c r="T915" s="32"/>
      <c r="U915" s="21"/>
      <c r="V915" s="7"/>
      <c r="W915" s="7"/>
      <c r="X915" s="7"/>
      <c r="Y915" s="7"/>
    </row>
    <row r="916" spans="1:25" ht="14.25" customHeight="1" x14ac:dyDescent="0.3">
      <c r="A916" s="18">
        <v>228.3</v>
      </c>
      <c r="B916" s="19"/>
      <c r="C916" s="19"/>
      <c r="D916" s="19"/>
      <c r="E916" s="19"/>
      <c r="F916" s="19"/>
      <c r="G916" s="21"/>
      <c r="H916" s="21"/>
      <c r="I916" s="21"/>
      <c r="J916" s="21"/>
      <c r="K916" s="19"/>
      <c r="L916" s="19"/>
      <c r="M916" s="22"/>
      <c r="N916" s="19"/>
      <c r="O916" s="19"/>
      <c r="P916" s="23"/>
      <c r="Q916" s="21" t="s">
        <v>46</v>
      </c>
      <c r="R916" s="19" t="s">
        <v>47</v>
      </c>
      <c r="S916" s="21"/>
      <c r="T916" s="32"/>
      <c r="U916" s="21"/>
      <c r="V916" s="7"/>
      <c r="W916" s="7"/>
      <c r="X916" s="7"/>
      <c r="Y916" s="7"/>
    </row>
    <row r="917" spans="1:25" ht="14.25" customHeight="1" x14ac:dyDescent="0.3">
      <c r="A917" s="18">
        <v>228.4</v>
      </c>
      <c r="B917" s="19"/>
      <c r="C917" s="19"/>
      <c r="D917" s="19"/>
      <c r="E917" s="19"/>
      <c r="F917" s="19"/>
      <c r="G917" s="21"/>
      <c r="H917" s="21"/>
      <c r="I917" s="21"/>
      <c r="J917" s="21"/>
      <c r="K917" s="19"/>
      <c r="L917" s="19"/>
      <c r="M917" s="22"/>
      <c r="N917" s="19"/>
      <c r="O917" s="19"/>
      <c r="P917" s="23"/>
      <c r="Q917" s="21" t="s">
        <v>46</v>
      </c>
      <c r="R917" s="19" t="s">
        <v>47</v>
      </c>
      <c r="S917" s="21"/>
      <c r="T917" s="32"/>
      <c r="U917" s="21"/>
      <c r="V917" s="7"/>
      <c r="W917" s="7"/>
      <c r="X917" s="7"/>
      <c r="Y917" s="7"/>
    </row>
    <row r="918" spans="1:25" ht="14.25" customHeight="1" x14ac:dyDescent="0.3">
      <c r="A918" s="18">
        <v>229.1</v>
      </c>
      <c r="B918" s="19"/>
      <c r="C918" s="19"/>
      <c r="D918" s="19"/>
      <c r="E918" s="19"/>
      <c r="F918" s="19"/>
      <c r="G918" s="21"/>
      <c r="H918" s="21"/>
      <c r="I918" s="21"/>
      <c r="J918" s="21"/>
      <c r="K918" s="19"/>
      <c r="L918" s="19"/>
      <c r="M918" s="22"/>
      <c r="N918" s="19"/>
      <c r="O918" s="19"/>
      <c r="P918" s="23"/>
      <c r="Q918" s="21" t="s">
        <v>46</v>
      </c>
      <c r="R918" s="19" t="s">
        <v>47</v>
      </c>
      <c r="S918" s="21"/>
      <c r="T918" s="32"/>
      <c r="U918" s="21"/>
      <c r="V918" s="7"/>
      <c r="W918" s="7"/>
      <c r="X918" s="7"/>
      <c r="Y918" s="7"/>
    </row>
    <row r="919" spans="1:25" ht="14.25" customHeight="1" x14ac:dyDescent="0.3">
      <c r="A919" s="18">
        <v>229.2</v>
      </c>
      <c r="B919" s="19"/>
      <c r="C919" s="19"/>
      <c r="D919" s="19"/>
      <c r="E919" s="19"/>
      <c r="F919" s="19"/>
      <c r="G919" s="21"/>
      <c r="H919" s="21"/>
      <c r="I919" s="21"/>
      <c r="J919" s="21"/>
      <c r="K919" s="19"/>
      <c r="L919" s="19"/>
      <c r="M919" s="22"/>
      <c r="N919" s="19"/>
      <c r="O919" s="19"/>
      <c r="P919" s="23"/>
      <c r="Q919" s="21" t="s">
        <v>46</v>
      </c>
      <c r="R919" s="19" t="s">
        <v>47</v>
      </c>
      <c r="S919" s="21"/>
      <c r="T919" s="32"/>
      <c r="U919" s="21"/>
      <c r="V919" s="7"/>
      <c r="W919" s="7"/>
      <c r="X919" s="7"/>
      <c r="Y919" s="7"/>
    </row>
    <row r="920" spans="1:25" ht="14.25" customHeight="1" x14ac:dyDescent="0.3">
      <c r="A920" s="18">
        <v>229.3</v>
      </c>
      <c r="B920" s="19"/>
      <c r="C920" s="19"/>
      <c r="D920" s="19"/>
      <c r="E920" s="19"/>
      <c r="F920" s="19"/>
      <c r="G920" s="21"/>
      <c r="H920" s="21"/>
      <c r="I920" s="21"/>
      <c r="J920" s="21"/>
      <c r="K920" s="19"/>
      <c r="L920" s="19"/>
      <c r="M920" s="22"/>
      <c r="N920" s="19"/>
      <c r="O920" s="19"/>
      <c r="P920" s="23"/>
      <c r="Q920" s="21" t="s">
        <v>46</v>
      </c>
      <c r="R920" s="19" t="s">
        <v>47</v>
      </c>
      <c r="S920" s="21"/>
      <c r="T920" s="32"/>
      <c r="U920" s="21"/>
      <c r="V920" s="7"/>
      <c r="W920" s="7"/>
      <c r="X920" s="7"/>
      <c r="Y920" s="7"/>
    </row>
    <row r="921" spans="1:25" ht="14.25" customHeight="1" x14ac:dyDescent="0.3">
      <c r="A921" s="18">
        <v>229.4</v>
      </c>
      <c r="B921" s="19"/>
      <c r="C921" s="19"/>
      <c r="D921" s="19"/>
      <c r="E921" s="19"/>
      <c r="F921" s="19"/>
      <c r="G921" s="21"/>
      <c r="H921" s="21"/>
      <c r="I921" s="21"/>
      <c r="J921" s="21"/>
      <c r="K921" s="19"/>
      <c r="L921" s="19"/>
      <c r="M921" s="22"/>
      <c r="N921" s="19"/>
      <c r="O921" s="19"/>
      <c r="P921" s="23"/>
      <c r="Q921" s="21" t="s">
        <v>46</v>
      </c>
      <c r="R921" s="19" t="s">
        <v>47</v>
      </c>
      <c r="S921" s="21"/>
      <c r="T921" s="32"/>
      <c r="U921" s="21"/>
      <c r="V921" s="7"/>
      <c r="W921" s="7"/>
      <c r="X921" s="7"/>
      <c r="Y921" s="7"/>
    </row>
    <row r="922" spans="1:25" ht="14.25" customHeight="1" x14ac:dyDescent="0.3">
      <c r="A922" s="18">
        <v>230.1</v>
      </c>
      <c r="B922" s="19"/>
      <c r="C922" s="19"/>
      <c r="D922" s="19"/>
      <c r="E922" s="19"/>
      <c r="F922" s="19"/>
      <c r="G922" s="21"/>
      <c r="H922" s="21"/>
      <c r="I922" s="21"/>
      <c r="J922" s="21"/>
      <c r="K922" s="19"/>
      <c r="L922" s="19"/>
      <c r="M922" s="22"/>
      <c r="N922" s="19"/>
      <c r="O922" s="19"/>
      <c r="P922" s="23"/>
      <c r="Q922" s="21" t="s">
        <v>46</v>
      </c>
      <c r="R922" s="19" t="s">
        <v>47</v>
      </c>
      <c r="S922" s="21"/>
      <c r="T922" s="32"/>
      <c r="U922" s="21"/>
      <c r="V922" s="7"/>
      <c r="W922" s="7"/>
      <c r="X922" s="7"/>
      <c r="Y922" s="7"/>
    </row>
    <row r="923" spans="1:25" ht="14.25" customHeight="1" x14ac:dyDescent="0.3">
      <c r="A923" s="18">
        <v>230.2</v>
      </c>
      <c r="B923" s="19"/>
      <c r="C923" s="19"/>
      <c r="D923" s="19"/>
      <c r="E923" s="19"/>
      <c r="F923" s="19"/>
      <c r="G923" s="21"/>
      <c r="H923" s="21"/>
      <c r="I923" s="21"/>
      <c r="J923" s="21"/>
      <c r="K923" s="19"/>
      <c r="L923" s="19"/>
      <c r="M923" s="22"/>
      <c r="N923" s="19"/>
      <c r="O923" s="19"/>
      <c r="P923" s="23"/>
      <c r="Q923" s="21" t="s">
        <v>46</v>
      </c>
      <c r="R923" s="19" t="s">
        <v>47</v>
      </c>
      <c r="S923" s="21"/>
      <c r="T923" s="32"/>
      <c r="U923" s="21"/>
      <c r="V923" s="7"/>
      <c r="W923" s="7"/>
      <c r="X923" s="7"/>
      <c r="Y923" s="7"/>
    </row>
    <row r="924" spans="1:25" ht="14.25" customHeight="1" x14ac:dyDescent="0.3">
      <c r="A924" s="18">
        <v>230.3</v>
      </c>
      <c r="B924" s="19"/>
      <c r="C924" s="19"/>
      <c r="D924" s="19"/>
      <c r="E924" s="19"/>
      <c r="F924" s="19"/>
      <c r="G924" s="21"/>
      <c r="H924" s="21"/>
      <c r="I924" s="21"/>
      <c r="J924" s="21"/>
      <c r="K924" s="19"/>
      <c r="L924" s="19"/>
      <c r="M924" s="22"/>
      <c r="N924" s="19"/>
      <c r="O924" s="19"/>
      <c r="P924" s="23"/>
      <c r="Q924" s="21" t="s">
        <v>46</v>
      </c>
      <c r="R924" s="19" t="s">
        <v>47</v>
      </c>
      <c r="S924" s="21"/>
      <c r="T924" s="32"/>
      <c r="U924" s="21"/>
      <c r="V924" s="7"/>
      <c r="W924" s="7"/>
      <c r="X924" s="7"/>
      <c r="Y924" s="7"/>
    </row>
    <row r="925" spans="1:25" ht="14.25" customHeight="1" x14ac:dyDescent="0.3">
      <c r="A925" s="18">
        <v>230.4</v>
      </c>
      <c r="B925" s="19"/>
      <c r="C925" s="19"/>
      <c r="D925" s="19"/>
      <c r="E925" s="19"/>
      <c r="F925" s="19"/>
      <c r="G925" s="21"/>
      <c r="H925" s="21"/>
      <c r="I925" s="21"/>
      <c r="J925" s="21"/>
      <c r="K925" s="19"/>
      <c r="L925" s="19"/>
      <c r="M925" s="22"/>
      <c r="N925" s="19"/>
      <c r="O925" s="19"/>
      <c r="P925" s="23"/>
      <c r="Q925" s="21" t="s">
        <v>46</v>
      </c>
      <c r="R925" s="19" t="s">
        <v>47</v>
      </c>
      <c r="S925" s="21"/>
      <c r="T925" s="32"/>
      <c r="U925" s="21"/>
      <c r="V925" s="7"/>
      <c r="W925" s="7"/>
      <c r="X925" s="7"/>
      <c r="Y925" s="7"/>
    </row>
    <row r="926" spans="1:25" ht="14.25" customHeight="1" x14ac:dyDescent="0.3">
      <c r="A926" s="18">
        <v>231.1</v>
      </c>
      <c r="B926" s="19"/>
      <c r="C926" s="19"/>
      <c r="D926" s="19"/>
      <c r="E926" s="19"/>
      <c r="F926" s="19"/>
      <c r="G926" s="21"/>
      <c r="H926" s="21"/>
      <c r="I926" s="21"/>
      <c r="J926" s="21"/>
      <c r="K926" s="19"/>
      <c r="L926" s="19"/>
      <c r="M926" s="22"/>
      <c r="N926" s="19"/>
      <c r="O926" s="19"/>
      <c r="P926" s="23"/>
      <c r="Q926" s="21" t="s">
        <v>46</v>
      </c>
      <c r="R926" s="19" t="s">
        <v>47</v>
      </c>
      <c r="S926" s="21"/>
      <c r="T926" s="32"/>
      <c r="U926" s="21"/>
      <c r="V926" s="7"/>
      <c r="W926" s="7"/>
      <c r="X926" s="7"/>
      <c r="Y926" s="7"/>
    </row>
    <row r="927" spans="1:25" ht="14.25" customHeight="1" x14ac:dyDescent="0.3">
      <c r="A927" s="18">
        <v>231.2</v>
      </c>
      <c r="B927" s="19"/>
      <c r="C927" s="19"/>
      <c r="D927" s="19"/>
      <c r="E927" s="19"/>
      <c r="F927" s="19"/>
      <c r="G927" s="21"/>
      <c r="H927" s="21"/>
      <c r="I927" s="21"/>
      <c r="J927" s="21"/>
      <c r="K927" s="19"/>
      <c r="L927" s="19"/>
      <c r="M927" s="22"/>
      <c r="N927" s="19"/>
      <c r="O927" s="19"/>
      <c r="P927" s="23"/>
      <c r="Q927" s="21" t="s">
        <v>46</v>
      </c>
      <c r="R927" s="19" t="s">
        <v>47</v>
      </c>
      <c r="S927" s="21"/>
      <c r="T927" s="32"/>
      <c r="U927" s="21"/>
      <c r="V927" s="7"/>
      <c r="W927" s="7"/>
      <c r="X927" s="7"/>
      <c r="Y927" s="7"/>
    </row>
    <row r="928" spans="1:25" ht="14.25" customHeight="1" x14ac:dyDescent="0.3">
      <c r="A928" s="18">
        <v>231.3</v>
      </c>
      <c r="B928" s="19"/>
      <c r="C928" s="19"/>
      <c r="D928" s="19"/>
      <c r="E928" s="19"/>
      <c r="F928" s="19"/>
      <c r="G928" s="21"/>
      <c r="H928" s="21"/>
      <c r="I928" s="21"/>
      <c r="J928" s="21"/>
      <c r="K928" s="19"/>
      <c r="L928" s="19"/>
      <c r="M928" s="22"/>
      <c r="N928" s="19"/>
      <c r="O928" s="19"/>
      <c r="P928" s="23"/>
      <c r="Q928" s="21" t="s">
        <v>46</v>
      </c>
      <c r="R928" s="19" t="s">
        <v>47</v>
      </c>
      <c r="S928" s="21"/>
      <c r="T928" s="32"/>
      <c r="U928" s="21"/>
      <c r="V928" s="7"/>
      <c r="W928" s="7"/>
      <c r="X928" s="7"/>
      <c r="Y928" s="7"/>
    </row>
    <row r="929" spans="1:25" ht="14.25" customHeight="1" x14ac:dyDescent="0.3">
      <c r="A929" s="18">
        <v>231.4</v>
      </c>
      <c r="B929" s="19"/>
      <c r="C929" s="19"/>
      <c r="D929" s="19"/>
      <c r="E929" s="19"/>
      <c r="F929" s="19"/>
      <c r="G929" s="21"/>
      <c r="H929" s="21"/>
      <c r="I929" s="21"/>
      <c r="J929" s="21"/>
      <c r="K929" s="19"/>
      <c r="L929" s="19"/>
      <c r="M929" s="22"/>
      <c r="N929" s="19"/>
      <c r="O929" s="19"/>
      <c r="P929" s="23"/>
      <c r="Q929" s="21" t="s">
        <v>46</v>
      </c>
      <c r="R929" s="19" t="s">
        <v>47</v>
      </c>
      <c r="S929" s="21"/>
      <c r="T929" s="32"/>
      <c r="U929" s="21"/>
      <c r="V929" s="7"/>
      <c r="W929" s="7"/>
      <c r="X929" s="7"/>
      <c r="Y929" s="7"/>
    </row>
    <row r="930" spans="1:25" ht="14.25" customHeight="1" x14ac:dyDescent="0.3">
      <c r="A930" s="18">
        <v>232.1</v>
      </c>
      <c r="B930" s="19"/>
      <c r="C930" s="19"/>
      <c r="D930" s="19"/>
      <c r="E930" s="19"/>
      <c r="F930" s="19"/>
      <c r="G930" s="21"/>
      <c r="H930" s="21"/>
      <c r="I930" s="21"/>
      <c r="J930" s="21"/>
      <c r="K930" s="19"/>
      <c r="L930" s="19"/>
      <c r="M930" s="22"/>
      <c r="N930" s="19"/>
      <c r="O930" s="19"/>
      <c r="P930" s="23"/>
      <c r="Q930" s="21" t="s">
        <v>46</v>
      </c>
      <c r="R930" s="19" t="s">
        <v>47</v>
      </c>
      <c r="S930" s="21"/>
      <c r="T930" s="32"/>
      <c r="U930" s="21"/>
      <c r="V930" s="7"/>
      <c r="W930" s="7"/>
      <c r="X930" s="7"/>
      <c r="Y930" s="7"/>
    </row>
    <row r="931" spans="1:25" ht="14.25" customHeight="1" x14ac:dyDescent="0.3">
      <c r="A931" s="18">
        <v>232.2</v>
      </c>
      <c r="B931" s="19"/>
      <c r="C931" s="19"/>
      <c r="D931" s="19"/>
      <c r="E931" s="19"/>
      <c r="F931" s="19"/>
      <c r="G931" s="21"/>
      <c r="H931" s="21"/>
      <c r="I931" s="21"/>
      <c r="J931" s="21"/>
      <c r="K931" s="19"/>
      <c r="L931" s="19"/>
      <c r="M931" s="22"/>
      <c r="N931" s="19"/>
      <c r="O931" s="19"/>
      <c r="P931" s="23"/>
      <c r="Q931" s="21" t="s">
        <v>46</v>
      </c>
      <c r="R931" s="19" t="s">
        <v>47</v>
      </c>
      <c r="S931" s="21"/>
      <c r="T931" s="32"/>
      <c r="U931" s="21"/>
      <c r="V931" s="7"/>
      <c r="W931" s="7"/>
      <c r="X931" s="7"/>
      <c r="Y931" s="7"/>
    </row>
    <row r="932" spans="1:25" ht="14.25" customHeight="1" x14ac:dyDescent="0.3">
      <c r="A932" s="18">
        <v>232.3</v>
      </c>
      <c r="B932" s="19"/>
      <c r="C932" s="19"/>
      <c r="D932" s="19"/>
      <c r="E932" s="19"/>
      <c r="F932" s="19"/>
      <c r="G932" s="21"/>
      <c r="H932" s="21"/>
      <c r="I932" s="21"/>
      <c r="J932" s="21"/>
      <c r="K932" s="19"/>
      <c r="L932" s="19"/>
      <c r="M932" s="22"/>
      <c r="N932" s="19"/>
      <c r="O932" s="19"/>
      <c r="P932" s="23"/>
      <c r="Q932" s="21" t="s">
        <v>46</v>
      </c>
      <c r="R932" s="19" t="s">
        <v>47</v>
      </c>
      <c r="S932" s="21"/>
      <c r="T932" s="32"/>
      <c r="U932" s="21"/>
      <c r="V932" s="7"/>
      <c r="W932" s="7"/>
      <c r="X932" s="7"/>
      <c r="Y932" s="7"/>
    </row>
    <row r="933" spans="1:25" ht="14.25" customHeight="1" x14ac:dyDescent="0.3">
      <c r="A933" s="18">
        <v>232.4</v>
      </c>
      <c r="B933" s="19"/>
      <c r="C933" s="19"/>
      <c r="D933" s="19"/>
      <c r="E933" s="19"/>
      <c r="F933" s="19"/>
      <c r="G933" s="21"/>
      <c r="H933" s="21"/>
      <c r="I933" s="21"/>
      <c r="J933" s="21"/>
      <c r="K933" s="19"/>
      <c r="L933" s="19"/>
      <c r="M933" s="22"/>
      <c r="N933" s="19"/>
      <c r="O933" s="19"/>
      <c r="P933" s="23"/>
      <c r="Q933" s="21" t="s">
        <v>46</v>
      </c>
      <c r="R933" s="19" t="s">
        <v>47</v>
      </c>
      <c r="S933" s="21"/>
      <c r="T933" s="32"/>
      <c r="U933" s="21"/>
      <c r="V933" s="7"/>
      <c r="W933" s="7"/>
      <c r="X933" s="7"/>
      <c r="Y933" s="7"/>
    </row>
    <row r="934" spans="1:25" ht="14.25" customHeight="1" x14ac:dyDescent="0.3">
      <c r="A934" s="18">
        <v>233.1</v>
      </c>
      <c r="B934" s="19"/>
      <c r="C934" s="19"/>
      <c r="D934" s="19"/>
      <c r="E934" s="19"/>
      <c r="F934" s="19"/>
      <c r="G934" s="21"/>
      <c r="H934" s="21"/>
      <c r="I934" s="21"/>
      <c r="J934" s="21"/>
      <c r="K934" s="19"/>
      <c r="L934" s="19"/>
      <c r="M934" s="22"/>
      <c r="N934" s="19"/>
      <c r="O934" s="19"/>
      <c r="P934" s="23"/>
      <c r="Q934" s="21" t="s">
        <v>46</v>
      </c>
      <c r="R934" s="19" t="s">
        <v>47</v>
      </c>
      <c r="S934" s="21"/>
      <c r="T934" s="32"/>
      <c r="U934" s="21"/>
      <c r="V934" s="7"/>
      <c r="W934" s="7"/>
      <c r="X934" s="7"/>
      <c r="Y934" s="7"/>
    </row>
    <row r="935" spans="1:25" ht="14.25" customHeight="1" x14ac:dyDescent="0.3">
      <c r="A935" s="18">
        <v>233.2</v>
      </c>
      <c r="B935" s="19"/>
      <c r="C935" s="19"/>
      <c r="D935" s="19"/>
      <c r="E935" s="19"/>
      <c r="F935" s="19"/>
      <c r="G935" s="21"/>
      <c r="H935" s="21"/>
      <c r="I935" s="21"/>
      <c r="J935" s="21"/>
      <c r="K935" s="19"/>
      <c r="L935" s="19"/>
      <c r="M935" s="22"/>
      <c r="N935" s="19"/>
      <c r="O935" s="19"/>
      <c r="P935" s="23"/>
      <c r="Q935" s="21" t="s">
        <v>46</v>
      </c>
      <c r="R935" s="19" t="s">
        <v>47</v>
      </c>
      <c r="S935" s="21"/>
      <c r="T935" s="32"/>
      <c r="U935" s="21"/>
      <c r="V935" s="7"/>
      <c r="W935" s="7"/>
      <c r="X935" s="7"/>
      <c r="Y935" s="7"/>
    </row>
    <row r="936" spans="1:25" ht="14.25" customHeight="1" x14ac:dyDescent="0.3">
      <c r="A936" s="18">
        <v>233.3</v>
      </c>
      <c r="B936" s="19"/>
      <c r="C936" s="19"/>
      <c r="D936" s="19"/>
      <c r="E936" s="19"/>
      <c r="F936" s="19"/>
      <c r="G936" s="21"/>
      <c r="H936" s="21"/>
      <c r="I936" s="21"/>
      <c r="J936" s="21"/>
      <c r="K936" s="19"/>
      <c r="L936" s="19"/>
      <c r="M936" s="22"/>
      <c r="N936" s="19"/>
      <c r="O936" s="19"/>
      <c r="P936" s="23"/>
      <c r="Q936" s="21" t="s">
        <v>46</v>
      </c>
      <c r="R936" s="19" t="s">
        <v>47</v>
      </c>
      <c r="S936" s="21"/>
      <c r="T936" s="32"/>
      <c r="U936" s="21"/>
      <c r="V936" s="7"/>
      <c r="W936" s="7"/>
      <c r="X936" s="7"/>
      <c r="Y936" s="7"/>
    </row>
    <row r="937" spans="1:25" ht="14.25" customHeight="1" x14ac:dyDescent="0.3">
      <c r="A937" s="18">
        <v>233.4</v>
      </c>
      <c r="B937" s="19"/>
      <c r="C937" s="19"/>
      <c r="D937" s="19"/>
      <c r="E937" s="19"/>
      <c r="F937" s="19"/>
      <c r="G937" s="21"/>
      <c r="H937" s="21"/>
      <c r="I937" s="21"/>
      <c r="J937" s="21"/>
      <c r="K937" s="19"/>
      <c r="L937" s="19"/>
      <c r="M937" s="22"/>
      <c r="N937" s="19"/>
      <c r="O937" s="19"/>
      <c r="P937" s="23"/>
      <c r="Q937" s="21" t="s">
        <v>46</v>
      </c>
      <c r="R937" s="19" t="s">
        <v>47</v>
      </c>
      <c r="S937" s="21"/>
      <c r="T937" s="32"/>
      <c r="U937" s="21"/>
      <c r="V937" s="7"/>
      <c r="W937" s="7"/>
      <c r="X937" s="7"/>
      <c r="Y937" s="7"/>
    </row>
    <row r="938" spans="1:25" ht="14.25" customHeight="1" x14ac:dyDescent="0.3">
      <c r="A938" s="18">
        <v>234.1</v>
      </c>
      <c r="B938" s="19"/>
      <c r="C938" s="19"/>
      <c r="D938" s="19"/>
      <c r="E938" s="19"/>
      <c r="F938" s="19"/>
      <c r="G938" s="21"/>
      <c r="H938" s="21"/>
      <c r="I938" s="21"/>
      <c r="J938" s="21"/>
      <c r="K938" s="19"/>
      <c r="L938" s="19"/>
      <c r="M938" s="22"/>
      <c r="N938" s="19"/>
      <c r="O938" s="19"/>
      <c r="P938" s="23"/>
      <c r="Q938" s="21" t="s">
        <v>46</v>
      </c>
      <c r="R938" s="19" t="s">
        <v>47</v>
      </c>
      <c r="S938" s="21"/>
      <c r="T938" s="32"/>
      <c r="U938" s="21"/>
      <c r="V938" s="7"/>
      <c r="W938" s="7"/>
      <c r="X938" s="7"/>
      <c r="Y938" s="7"/>
    </row>
    <row r="939" spans="1:25" ht="14.25" customHeight="1" x14ac:dyDescent="0.3">
      <c r="A939" s="18">
        <v>234.2</v>
      </c>
      <c r="B939" s="19"/>
      <c r="C939" s="19"/>
      <c r="D939" s="19"/>
      <c r="E939" s="19"/>
      <c r="F939" s="19"/>
      <c r="G939" s="21"/>
      <c r="H939" s="21"/>
      <c r="I939" s="21"/>
      <c r="J939" s="21"/>
      <c r="K939" s="19"/>
      <c r="L939" s="19"/>
      <c r="M939" s="22"/>
      <c r="N939" s="19"/>
      <c r="O939" s="19"/>
      <c r="P939" s="23"/>
      <c r="Q939" s="21" t="s">
        <v>46</v>
      </c>
      <c r="R939" s="19" t="s">
        <v>47</v>
      </c>
      <c r="S939" s="21"/>
      <c r="T939" s="32"/>
      <c r="U939" s="21"/>
      <c r="V939" s="7"/>
      <c r="W939" s="7"/>
      <c r="X939" s="7"/>
      <c r="Y939" s="7"/>
    </row>
    <row r="940" spans="1:25" ht="14.25" customHeight="1" x14ac:dyDescent="0.3">
      <c r="A940" s="18">
        <v>234.3</v>
      </c>
      <c r="B940" s="19"/>
      <c r="C940" s="19"/>
      <c r="D940" s="19"/>
      <c r="E940" s="19"/>
      <c r="F940" s="19"/>
      <c r="G940" s="21"/>
      <c r="H940" s="21"/>
      <c r="I940" s="21"/>
      <c r="J940" s="21"/>
      <c r="K940" s="19"/>
      <c r="L940" s="19"/>
      <c r="M940" s="22"/>
      <c r="N940" s="19"/>
      <c r="O940" s="19"/>
      <c r="P940" s="23"/>
      <c r="Q940" s="21" t="s">
        <v>46</v>
      </c>
      <c r="R940" s="19" t="s">
        <v>47</v>
      </c>
      <c r="S940" s="21"/>
      <c r="T940" s="32"/>
      <c r="U940" s="21"/>
      <c r="V940" s="7"/>
      <c r="W940" s="7"/>
      <c r="X940" s="7"/>
      <c r="Y940" s="7"/>
    </row>
    <row r="941" spans="1:25" ht="14.25" customHeight="1" x14ac:dyDescent="0.3">
      <c r="A941" s="18">
        <v>234.4</v>
      </c>
      <c r="B941" s="19"/>
      <c r="C941" s="19"/>
      <c r="D941" s="19"/>
      <c r="E941" s="19"/>
      <c r="F941" s="19"/>
      <c r="G941" s="21"/>
      <c r="H941" s="21"/>
      <c r="I941" s="21"/>
      <c r="J941" s="21"/>
      <c r="K941" s="19"/>
      <c r="L941" s="19"/>
      <c r="M941" s="22"/>
      <c r="N941" s="19"/>
      <c r="O941" s="19"/>
      <c r="P941" s="23"/>
      <c r="Q941" s="21" t="s">
        <v>46</v>
      </c>
      <c r="R941" s="19" t="s">
        <v>47</v>
      </c>
      <c r="S941" s="21"/>
      <c r="T941" s="32"/>
      <c r="U941" s="21"/>
      <c r="V941" s="7"/>
      <c r="W941" s="7"/>
      <c r="X941" s="7"/>
      <c r="Y941" s="7"/>
    </row>
    <row r="942" spans="1:25" ht="14.25" customHeight="1" x14ac:dyDescent="0.3">
      <c r="A942" s="18">
        <v>235.1</v>
      </c>
      <c r="B942" s="19"/>
      <c r="C942" s="19"/>
      <c r="D942" s="19"/>
      <c r="E942" s="19"/>
      <c r="F942" s="19"/>
      <c r="G942" s="21"/>
      <c r="H942" s="21"/>
      <c r="I942" s="21"/>
      <c r="J942" s="21"/>
      <c r="K942" s="19"/>
      <c r="L942" s="19"/>
      <c r="M942" s="22"/>
      <c r="N942" s="19"/>
      <c r="O942" s="19"/>
      <c r="P942" s="23"/>
      <c r="Q942" s="21" t="s">
        <v>46</v>
      </c>
      <c r="R942" s="19" t="s">
        <v>47</v>
      </c>
      <c r="S942" s="21"/>
      <c r="T942" s="32"/>
      <c r="U942" s="21"/>
      <c r="V942" s="7"/>
      <c r="W942" s="7"/>
      <c r="X942" s="7"/>
      <c r="Y942" s="7"/>
    </row>
    <row r="943" spans="1:25" ht="14.25" customHeight="1" x14ac:dyDescent="0.3">
      <c r="A943" s="18">
        <v>235.2</v>
      </c>
      <c r="B943" s="19"/>
      <c r="C943" s="19"/>
      <c r="D943" s="19"/>
      <c r="E943" s="19"/>
      <c r="F943" s="19"/>
      <c r="G943" s="21"/>
      <c r="H943" s="21"/>
      <c r="I943" s="21"/>
      <c r="J943" s="21"/>
      <c r="K943" s="19"/>
      <c r="L943" s="19"/>
      <c r="M943" s="22"/>
      <c r="N943" s="19"/>
      <c r="O943" s="19"/>
      <c r="P943" s="23"/>
      <c r="Q943" s="21" t="s">
        <v>46</v>
      </c>
      <c r="R943" s="19" t="s">
        <v>47</v>
      </c>
      <c r="S943" s="21"/>
      <c r="T943" s="32"/>
      <c r="U943" s="21"/>
      <c r="V943" s="7"/>
      <c r="W943" s="7"/>
      <c r="X943" s="7"/>
      <c r="Y943" s="7"/>
    </row>
    <row r="944" spans="1:25" ht="14.25" customHeight="1" x14ac:dyDescent="0.3">
      <c r="A944" s="18">
        <v>235.3</v>
      </c>
      <c r="B944" s="19"/>
      <c r="C944" s="19"/>
      <c r="D944" s="19"/>
      <c r="E944" s="19"/>
      <c r="F944" s="19"/>
      <c r="G944" s="21"/>
      <c r="H944" s="21"/>
      <c r="I944" s="21"/>
      <c r="J944" s="21"/>
      <c r="K944" s="19"/>
      <c r="L944" s="19"/>
      <c r="M944" s="22"/>
      <c r="N944" s="19"/>
      <c r="O944" s="19"/>
      <c r="P944" s="23"/>
      <c r="Q944" s="21" t="s">
        <v>46</v>
      </c>
      <c r="R944" s="19" t="s">
        <v>47</v>
      </c>
      <c r="S944" s="21"/>
      <c r="T944" s="32"/>
      <c r="U944" s="21"/>
      <c r="V944" s="7"/>
      <c r="W944" s="7"/>
      <c r="X944" s="7"/>
      <c r="Y944" s="7"/>
    </row>
    <row r="945" spans="1:25" ht="14.25" customHeight="1" x14ac:dyDescent="0.3">
      <c r="A945" s="18">
        <v>235.4</v>
      </c>
      <c r="B945" s="19"/>
      <c r="C945" s="19"/>
      <c r="D945" s="19"/>
      <c r="E945" s="19"/>
      <c r="F945" s="19"/>
      <c r="G945" s="21"/>
      <c r="H945" s="21"/>
      <c r="I945" s="21"/>
      <c r="J945" s="21"/>
      <c r="K945" s="19"/>
      <c r="L945" s="19"/>
      <c r="M945" s="22"/>
      <c r="N945" s="19"/>
      <c r="O945" s="19"/>
      <c r="P945" s="23"/>
      <c r="Q945" s="21" t="s">
        <v>46</v>
      </c>
      <c r="R945" s="19" t="s">
        <v>47</v>
      </c>
      <c r="S945" s="21"/>
      <c r="T945" s="32"/>
      <c r="U945" s="21"/>
      <c r="V945" s="7"/>
      <c r="W945" s="7"/>
      <c r="X945" s="7"/>
      <c r="Y945" s="7"/>
    </row>
    <row r="946" spans="1:25" ht="14.25" customHeight="1" x14ac:dyDescent="0.3">
      <c r="A946" s="18">
        <v>236.1</v>
      </c>
      <c r="B946" s="19"/>
      <c r="C946" s="19"/>
      <c r="D946" s="19"/>
      <c r="E946" s="19"/>
      <c r="F946" s="19"/>
      <c r="G946" s="21"/>
      <c r="H946" s="21"/>
      <c r="I946" s="21"/>
      <c r="J946" s="21"/>
      <c r="K946" s="19"/>
      <c r="L946" s="19"/>
      <c r="M946" s="22"/>
      <c r="N946" s="19"/>
      <c r="O946" s="19"/>
      <c r="P946" s="23"/>
      <c r="Q946" s="21" t="s">
        <v>46</v>
      </c>
      <c r="R946" s="19" t="s">
        <v>47</v>
      </c>
      <c r="S946" s="21"/>
      <c r="T946" s="32"/>
      <c r="U946" s="21"/>
      <c r="V946" s="7"/>
      <c r="W946" s="7"/>
      <c r="X946" s="7"/>
      <c r="Y946" s="7"/>
    </row>
    <row r="947" spans="1:25" ht="14.25" customHeight="1" x14ac:dyDescent="0.3">
      <c r="A947" s="18">
        <v>236.2</v>
      </c>
      <c r="B947" s="19"/>
      <c r="C947" s="19"/>
      <c r="D947" s="19"/>
      <c r="E947" s="19"/>
      <c r="F947" s="19"/>
      <c r="G947" s="21"/>
      <c r="H947" s="21"/>
      <c r="I947" s="21"/>
      <c r="J947" s="21"/>
      <c r="K947" s="19"/>
      <c r="L947" s="19"/>
      <c r="M947" s="22"/>
      <c r="N947" s="19"/>
      <c r="O947" s="19"/>
      <c r="P947" s="23"/>
      <c r="Q947" s="21" t="s">
        <v>46</v>
      </c>
      <c r="R947" s="19" t="s">
        <v>47</v>
      </c>
      <c r="S947" s="21"/>
      <c r="T947" s="32"/>
      <c r="U947" s="21"/>
      <c r="V947" s="7"/>
      <c r="W947" s="7"/>
      <c r="X947" s="7"/>
      <c r="Y947" s="7"/>
    </row>
    <row r="948" spans="1:25" ht="14.25" customHeight="1" x14ac:dyDescent="0.3">
      <c r="A948" s="18">
        <v>236.3</v>
      </c>
      <c r="B948" s="19"/>
      <c r="C948" s="19"/>
      <c r="D948" s="19"/>
      <c r="E948" s="19"/>
      <c r="F948" s="19"/>
      <c r="G948" s="21"/>
      <c r="H948" s="21"/>
      <c r="I948" s="21"/>
      <c r="J948" s="21"/>
      <c r="K948" s="19"/>
      <c r="L948" s="19"/>
      <c r="M948" s="22"/>
      <c r="N948" s="19"/>
      <c r="O948" s="19"/>
      <c r="P948" s="23"/>
      <c r="Q948" s="21" t="s">
        <v>46</v>
      </c>
      <c r="R948" s="19" t="s">
        <v>47</v>
      </c>
      <c r="S948" s="21"/>
      <c r="T948" s="32"/>
      <c r="U948" s="21"/>
      <c r="V948" s="7"/>
      <c r="W948" s="7"/>
      <c r="X948" s="7"/>
      <c r="Y948" s="7"/>
    </row>
    <row r="949" spans="1:25" ht="14.25" customHeight="1" x14ac:dyDescent="0.3">
      <c r="A949" s="18">
        <v>236.4</v>
      </c>
      <c r="B949" s="19"/>
      <c r="C949" s="19"/>
      <c r="D949" s="19"/>
      <c r="E949" s="19"/>
      <c r="F949" s="19"/>
      <c r="G949" s="21"/>
      <c r="H949" s="21"/>
      <c r="I949" s="21"/>
      <c r="J949" s="21"/>
      <c r="K949" s="19"/>
      <c r="L949" s="19"/>
      <c r="M949" s="22"/>
      <c r="N949" s="19"/>
      <c r="O949" s="19"/>
      <c r="P949" s="23"/>
      <c r="Q949" s="21" t="s">
        <v>46</v>
      </c>
      <c r="R949" s="19" t="s">
        <v>47</v>
      </c>
      <c r="S949" s="21"/>
      <c r="T949" s="32"/>
      <c r="U949" s="21"/>
      <c r="V949" s="7"/>
      <c r="W949" s="7"/>
      <c r="X949" s="7"/>
      <c r="Y949" s="7"/>
    </row>
    <row r="950" spans="1:25" ht="14.25" customHeight="1" x14ac:dyDescent="0.3">
      <c r="A950" s="18">
        <v>237.1</v>
      </c>
      <c r="B950" s="19"/>
      <c r="C950" s="19"/>
      <c r="D950" s="19"/>
      <c r="E950" s="19"/>
      <c r="F950" s="19"/>
      <c r="G950" s="21"/>
      <c r="H950" s="21"/>
      <c r="I950" s="21"/>
      <c r="J950" s="21"/>
      <c r="K950" s="19"/>
      <c r="L950" s="19"/>
      <c r="M950" s="22"/>
      <c r="N950" s="19"/>
      <c r="O950" s="19"/>
      <c r="P950" s="23"/>
      <c r="Q950" s="21" t="s">
        <v>46</v>
      </c>
      <c r="R950" s="19" t="s">
        <v>47</v>
      </c>
      <c r="S950" s="21"/>
      <c r="T950" s="32"/>
      <c r="U950" s="21"/>
      <c r="V950" s="7"/>
      <c r="W950" s="7"/>
      <c r="X950" s="7"/>
      <c r="Y950" s="7"/>
    </row>
    <row r="951" spans="1:25" ht="14.25" customHeight="1" x14ac:dyDescent="0.3">
      <c r="A951" s="18">
        <v>237.2</v>
      </c>
      <c r="B951" s="19"/>
      <c r="C951" s="19"/>
      <c r="D951" s="19"/>
      <c r="E951" s="19"/>
      <c r="F951" s="19"/>
      <c r="G951" s="21"/>
      <c r="H951" s="21"/>
      <c r="I951" s="21"/>
      <c r="J951" s="21"/>
      <c r="K951" s="19"/>
      <c r="L951" s="19"/>
      <c r="M951" s="22"/>
      <c r="N951" s="19"/>
      <c r="O951" s="19"/>
      <c r="P951" s="23"/>
      <c r="Q951" s="21" t="s">
        <v>46</v>
      </c>
      <c r="R951" s="19" t="s">
        <v>47</v>
      </c>
      <c r="S951" s="21"/>
      <c r="T951" s="32"/>
      <c r="U951" s="21"/>
      <c r="V951" s="7"/>
      <c r="W951" s="7"/>
      <c r="X951" s="7"/>
      <c r="Y951" s="7"/>
    </row>
    <row r="952" spans="1:25" ht="14.25" customHeight="1" x14ac:dyDescent="0.3">
      <c r="A952" s="18">
        <v>237.3</v>
      </c>
      <c r="B952" s="19"/>
      <c r="C952" s="19"/>
      <c r="D952" s="19"/>
      <c r="E952" s="19"/>
      <c r="F952" s="19"/>
      <c r="G952" s="21"/>
      <c r="H952" s="21"/>
      <c r="I952" s="21"/>
      <c r="J952" s="21"/>
      <c r="K952" s="19"/>
      <c r="L952" s="19"/>
      <c r="M952" s="22"/>
      <c r="N952" s="19"/>
      <c r="O952" s="19"/>
      <c r="P952" s="23"/>
      <c r="Q952" s="21" t="s">
        <v>46</v>
      </c>
      <c r="R952" s="19" t="s">
        <v>47</v>
      </c>
      <c r="S952" s="21"/>
      <c r="T952" s="32"/>
      <c r="U952" s="21"/>
      <c r="V952" s="7"/>
      <c r="W952" s="7"/>
      <c r="X952" s="7"/>
      <c r="Y952" s="7"/>
    </row>
    <row r="953" spans="1:25" ht="14.25" customHeight="1" x14ac:dyDescent="0.3">
      <c r="A953" s="18">
        <v>237.4</v>
      </c>
      <c r="B953" s="19"/>
      <c r="C953" s="19"/>
      <c r="D953" s="19"/>
      <c r="E953" s="19"/>
      <c r="F953" s="19"/>
      <c r="G953" s="21"/>
      <c r="H953" s="21"/>
      <c r="I953" s="21"/>
      <c r="J953" s="21"/>
      <c r="K953" s="19"/>
      <c r="L953" s="19"/>
      <c r="M953" s="22"/>
      <c r="N953" s="19"/>
      <c r="O953" s="19"/>
      <c r="P953" s="23"/>
      <c r="Q953" s="21" t="s">
        <v>46</v>
      </c>
      <c r="R953" s="19" t="s">
        <v>47</v>
      </c>
      <c r="S953" s="21"/>
      <c r="T953" s="32"/>
      <c r="U953" s="21"/>
      <c r="V953" s="7"/>
      <c r="W953" s="7"/>
      <c r="X953" s="7"/>
      <c r="Y953" s="7"/>
    </row>
    <row r="954" spans="1:25" ht="14.25" customHeight="1" x14ac:dyDescent="0.3">
      <c r="A954" s="18">
        <v>238.1</v>
      </c>
      <c r="B954" s="19"/>
      <c r="C954" s="19"/>
      <c r="D954" s="19"/>
      <c r="E954" s="19"/>
      <c r="F954" s="19"/>
      <c r="G954" s="21"/>
      <c r="H954" s="21"/>
      <c r="I954" s="21"/>
      <c r="J954" s="21"/>
      <c r="K954" s="19"/>
      <c r="L954" s="19"/>
      <c r="M954" s="22"/>
      <c r="N954" s="19"/>
      <c r="O954" s="19"/>
      <c r="P954" s="23"/>
      <c r="Q954" s="21" t="s">
        <v>46</v>
      </c>
      <c r="R954" s="19" t="s">
        <v>47</v>
      </c>
      <c r="S954" s="21"/>
      <c r="T954" s="32"/>
      <c r="U954" s="21"/>
      <c r="V954" s="7"/>
      <c r="W954" s="7"/>
      <c r="X954" s="7"/>
      <c r="Y954" s="7"/>
    </row>
    <row r="955" spans="1:25" ht="14.25" customHeight="1" x14ac:dyDescent="0.3">
      <c r="A955" s="18">
        <v>238.2</v>
      </c>
      <c r="B955" s="19"/>
      <c r="C955" s="19"/>
      <c r="D955" s="19"/>
      <c r="E955" s="19"/>
      <c r="F955" s="19"/>
      <c r="G955" s="21"/>
      <c r="H955" s="21"/>
      <c r="I955" s="21"/>
      <c r="J955" s="21"/>
      <c r="K955" s="19"/>
      <c r="L955" s="19"/>
      <c r="M955" s="22"/>
      <c r="N955" s="19"/>
      <c r="O955" s="19"/>
      <c r="P955" s="23"/>
      <c r="Q955" s="21" t="s">
        <v>46</v>
      </c>
      <c r="R955" s="19" t="s">
        <v>47</v>
      </c>
      <c r="S955" s="21"/>
      <c r="T955" s="32"/>
      <c r="U955" s="21"/>
      <c r="V955" s="7"/>
      <c r="W955" s="7"/>
      <c r="X955" s="7"/>
      <c r="Y955" s="7"/>
    </row>
    <row r="956" spans="1:25" ht="14.25" customHeight="1" x14ac:dyDescent="0.3">
      <c r="A956" s="18">
        <v>238.3</v>
      </c>
      <c r="B956" s="19"/>
      <c r="C956" s="19"/>
      <c r="D956" s="19"/>
      <c r="E956" s="19"/>
      <c r="F956" s="19"/>
      <c r="G956" s="21"/>
      <c r="H956" s="21"/>
      <c r="I956" s="21"/>
      <c r="J956" s="21"/>
      <c r="K956" s="19"/>
      <c r="L956" s="19"/>
      <c r="M956" s="22"/>
      <c r="N956" s="19"/>
      <c r="O956" s="19"/>
      <c r="P956" s="23"/>
      <c r="Q956" s="21" t="s">
        <v>46</v>
      </c>
      <c r="R956" s="19" t="s">
        <v>47</v>
      </c>
      <c r="S956" s="21"/>
      <c r="T956" s="32"/>
      <c r="U956" s="21"/>
      <c r="V956" s="7"/>
      <c r="W956" s="7"/>
      <c r="X956" s="7"/>
      <c r="Y956" s="7"/>
    </row>
    <row r="957" spans="1:25" ht="14.25" customHeight="1" x14ac:dyDescent="0.3">
      <c r="A957" s="18">
        <v>238.4</v>
      </c>
      <c r="B957" s="19"/>
      <c r="C957" s="19"/>
      <c r="D957" s="19"/>
      <c r="E957" s="19"/>
      <c r="F957" s="19"/>
      <c r="G957" s="21"/>
      <c r="H957" s="21"/>
      <c r="I957" s="21"/>
      <c r="J957" s="21"/>
      <c r="K957" s="19"/>
      <c r="L957" s="19"/>
      <c r="M957" s="22"/>
      <c r="N957" s="19"/>
      <c r="O957" s="19"/>
      <c r="P957" s="23"/>
      <c r="Q957" s="21" t="s">
        <v>46</v>
      </c>
      <c r="R957" s="19" t="s">
        <v>47</v>
      </c>
      <c r="S957" s="21"/>
      <c r="T957" s="32"/>
      <c r="U957" s="21"/>
      <c r="V957" s="7"/>
      <c r="W957" s="7"/>
      <c r="X957" s="7"/>
      <c r="Y957" s="7"/>
    </row>
    <row r="958" spans="1:25" ht="14.25" customHeight="1" x14ac:dyDescent="0.3">
      <c r="A958" s="18">
        <v>239.1</v>
      </c>
      <c r="B958" s="19"/>
      <c r="C958" s="19"/>
      <c r="D958" s="19"/>
      <c r="E958" s="19"/>
      <c r="F958" s="19"/>
      <c r="G958" s="21"/>
      <c r="H958" s="21"/>
      <c r="I958" s="21"/>
      <c r="J958" s="21"/>
      <c r="K958" s="19"/>
      <c r="L958" s="19"/>
      <c r="M958" s="22"/>
      <c r="N958" s="19"/>
      <c r="O958" s="19"/>
      <c r="P958" s="23"/>
      <c r="Q958" s="21" t="s">
        <v>46</v>
      </c>
      <c r="R958" s="19" t="s">
        <v>47</v>
      </c>
      <c r="S958" s="21"/>
      <c r="T958" s="32"/>
      <c r="U958" s="21"/>
      <c r="V958" s="7"/>
      <c r="W958" s="7"/>
      <c r="X958" s="7"/>
      <c r="Y958" s="7"/>
    </row>
    <row r="959" spans="1:25" ht="14.25" customHeight="1" x14ac:dyDescent="0.3">
      <c r="A959" s="18">
        <v>239.2</v>
      </c>
      <c r="B959" s="19"/>
      <c r="C959" s="19"/>
      <c r="D959" s="19"/>
      <c r="E959" s="19"/>
      <c r="F959" s="19"/>
      <c r="G959" s="21"/>
      <c r="H959" s="21"/>
      <c r="I959" s="21"/>
      <c r="J959" s="21"/>
      <c r="K959" s="19"/>
      <c r="L959" s="19"/>
      <c r="M959" s="22"/>
      <c r="N959" s="19"/>
      <c r="O959" s="19"/>
      <c r="P959" s="23"/>
      <c r="Q959" s="21" t="s">
        <v>46</v>
      </c>
      <c r="R959" s="19" t="s">
        <v>47</v>
      </c>
      <c r="S959" s="21"/>
      <c r="T959" s="32"/>
      <c r="U959" s="21"/>
      <c r="V959" s="7"/>
      <c r="W959" s="7"/>
      <c r="X959" s="7"/>
      <c r="Y959" s="7"/>
    </row>
    <row r="960" spans="1:25" ht="14.25" customHeight="1" x14ac:dyDescent="0.3">
      <c r="A960" s="18">
        <v>239.3</v>
      </c>
      <c r="B960" s="19"/>
      <c r="C960" s="19"/>
      <c r="D960" s="19"/>
      <c r="E960" s="19"/>
      <c r="F960" s="19"/>
      <c r="G960" s="21"/>
      <c r="H960" s="21"/>
      <c r="I960" s="21"/>
      <c r="J960" s="21"/>
      <c r="K960" s="19"/>
      <c r="L960" s="19"/>
      <c r="M960" s="22"/>
      <c r="N960" s="19"/>
      <c r="O960" s="19"/>
      <c r="P960" s="23"/>
      <c r="Q960" s="21" t="s">
        <v>46</v>
      </c>
      <c r="R960" s="19" t="s">
        <v>47</v>
      </c>
      <c r="S960" s="21"/>
      <c r="T960" s="32"/>
      <c r="U960" s="21"/>
      <c r="V960" s="7"/>
      <c r="W960" s="7"/>
      <c r="X960" s="7"/>
      <c r="Y960" s="7"/>
    </row>
    <row r="961" spans="1:25" ht="14.25" customHeight="1" x14ac:dyDescent="0.3">
      <c r="A961" s="18">
        <v>239.4</v>
      </c>
      <c r="B961" s="19"/>
      <c r="C961" s="19"/>
      <c r="D961" s="19"/>
      <c r="E961" s="19"/>
      <c r="F961" s="19"/>
      <c r="G961" s="21"/>
      <c r="H961" s="21"/>
      <c r="I961" s="21"/>
      <c r="J961" s="21"/>
      <c r="K961" s="19"/>
      <c r="L961" s="19"/>
      <c r="M961" s="22"/>
      <c r="N961" s="19"/>
      <c r="O961" s="19"/>
      <c r="P961" s="23"/>
      <c r="Q961" s="21" t="s">
        <v>46</v>
      </c>
      <c r="R961" s="19" t="s">
        <v>47</v>
      </c>
      <c r="S961" s="21"/>
      <c r="T961" s="32"/>
      <c r="U961" s="21"/>
      <c r="V961" s="7"/>
      <c r="W961" s="7"/>
      <c r="X961" s="7"/>
      <c r="Y961" s="7"/>
    </row>
    <row r="962" spans="1:25" ht="14.25" customHeight="1" x14ac:dyDescent="0.3">
      <c r="A962" s="18">
        <v>240.1</v>
      </c>
      <c r="B962" s="19"/>
      <c r="C962" s="19"/>
      <c r="D962" s="19"/>
      <c r="E962" s="19"/>
      <c r="F962" s="19"/>
      <c r="G962" s="21"/>
      <c r="H962" s="21"/>
      <c r="I962" s="21"/>
      <c r="J962" s="21"/>
      <c r="K962" s="19"/>
      <c r="L962" s="19"/>
      <c r="M962" s="22"/>
      <c r="N962" s="19"/>
      <c r="O962" s="19"/>
      <c r="P962" s="23"/>
      <c r="Q962" s="21" t="s">
        <v>46</v>
      </c>
      <c r="R962" s="19" t="s">
        <v>47</v>
      </c>
      <c r="S962" s="21"/>
      <c r="T962" s="32"/>
      <c r="U962" s="21"/>
      <c r="V962" s="7"/>
      <c r="W962" s="7"/>
      <c r="X962" s="7"/>
      <c r="Y962" s="7"/>
    </row>
    <row r="963" spans="1:25" ht="14.25" customHeight="1" x14ac:dyDescent="0.3">
      <c r="A963" s="18">
        <v>240.2</v>
      </c>
      <c r="B963" s="19"/>
      <c r="C963" s="19"/>
      <c r="D963" s="19"/>
      <c r="E963" s="19"/>
      <c r="F963" s="19"/>
      <c r="G963" s="21"/>
      <c r="H963" s="21"/>
      <c r="I963" s="21"/>
      <c r="J963" s="21"/>
      <c r="K963" s="19"/>
      <c r="L963" s="19"/>
      <c r="M963" s="22"/>
      <c r="N963" s="19"/>
      <c r="O963" s="19"/>
      <c r="P963" s="23"/>
      <c r="Q963" s="21" t="s">
        <v>46</v>
      </c>
      <c r="R963" s="19" t="s">
        <v>47</v>
      </c>
      <c r="S963" s="21"/>
      <c r="T963" s="32"/>
      <c r="U963" s="21"/>
      <c r="V963" s="7"/>
      <c r="W963" s="7"/>
      <c r="X963" s="7"/>
      <c r="Y963" s="7"/>
    </row>
    <row r="964" spans="1:25" ht="14.25" customHeight="1" x14ac:dyDescent="0.3">
      <c r="A964" s="18">
        <v>240.3</v>
      </c>
      <c r="B964" s="19"/>
      <c r="C964" s="19"/>
      <c r="D964" s="19"/>
      <c r="E964" s="19"/>
      <c r="F964" s="19"/>
      <c r="G964" s="21"/>
      <c r="H964" s="21"/>
      <c r="I964" s="21"/>
      <c r="J964" s="21"/>
      <c r="K964" s="19"/>
      <c r="L964" s="19"/>
      <c r="M964" s="22"/>
      <c r="N964" s="19"/>
      <c r="O964" s="19"/>
      <c r="P964" s="23"/>
      <c r="Q964" s="21" t="s">
        <v>46</v>
      </c>
      <c r="R964" s="19" t="s">
        <v>47</v>
      </c>
      <c r="S964" s="21"/>
      <c r="T964" s="32"/>
      <c r="U964" s="21"/>
      <c r="V964" s="7"/>
      <c r="W964" s="7"/>
      <c r="X964" s="7"/>
      <c r="Y964" s="7"/>
    </row>
    <row r="965" spans="1:25" ht="14.25" customHeight="1" x14ac:dyDescent="0.3">
      <c r="A965" s="18">
        <v>240.4</v>
      </c>
      <c r="B965" s="19"/>
      <c r="C965" s="19"/>
      <c r="D965" s="19"/>
      <c r="E965" s="19"/>
      <c r="F965" s="19"/>
      <c r="G965" s="21"/>
      <c r="H965" s="21"/>
      <c r="I965" s="21"/>
      <c r="J965" s="21"/>
      <c r="K965" s="19"/>
      <c r="L965" s="19"/>
      <c r="M965" s="22"/>
      <c r="N965" s="19"/>
      <c r="O965" s="19"/>
      <c r="P965" s="23"/>
      <c r="Q965" s="21" t="s">
        <v>46</v>
      </c>
      <c r="R965" s="19" t="s">
        <v>47</v>
      </c>
      <c r="S965" s="21"/>
      <c r="T965" s="32"/>
      <c r="U965" s="21"/>
      <c r="V965" s="7"/>
      <c r="W965" s="7"/>
      <c r="X965" s="7"/>
      <c r="Y965" s="7"/>
    </row>
    <row r="966" spans="1:25" ht="14.25" customHeight="1" x14ac:dyDescent="0.3">
      <c r="A966" s="18">
        <v>241.1</v>
      </c>
      <c r="B966" s="19"/>
      <c r="C966" s="19"/>
      <c r="D966" s="19"/>
      <c r="E966" s="19"/>
      <c r="F966" s="19"/>
      <c r="G966" s="21"/>
      <c r="H966" s="21"/>
      <c r="I966" s="21"/>
      <c r="J966" s="21"/>
      <c r="K966" s="19"/>
      <c r="L966" s="19"/>
      <c r="M966" s="22"/>
      <c r="N966" s="19"/>
      <c r="O966" s="19"/>
      <c r="P966" s="23"/>
      <c r="Q966" s="21" t="s">
        <v>46</v>
      </c>
      <c r="R966" s="19" t="s">
        <v>47</v>
      </c>
      <c r="S966" s="21"/>
      <c r="T966" s="32"/>
      <c r="U966" s="21"/>
      <c r="V966" s="7"/>
      <c r="W966" s="7"/>
      <c r="X966" s="7"/>
      <c r="Y966" s="7"/>
    </row>
    <row r="967" spans="1:25" ht="14.25" customHeight="1" x14ac:dyDescent="0.3">
      <c r="A967" s="18">
        <v>241.2</v>
      </c>
      <c r="B967" s="19"/>
      <c r="C967" s="19"/>
      <c r="D967" s="19"/>
      <c r="E967" s="19"/>
      <c r="F967" s="19"/>
      <c r="G967" s="21"/>
      <c r="H967" s="21"/>
      <c r="I967" s="21"/>
      <c r="J967" s="21"/>
      <c r="K967" s="19"/>
      <c r="L967" s="19"/>
      <c r="M967" s="22"/>
      <c r="N967" s="19"/>
      <c r="O967" s="19"/>
      <c r="P967" s="23"/>
      <c r="Q967" s="21" t="s">
        <v>46</v>
      </c>
      <c r="R967" s="19" t="s">
        <v>47</v>
      </c>
      <c r="S967" s="21"/>
      <c r="T967" s="32"/>
      <c r="U967" s="21"/>
      <c r="V967" s="7"/>
      <c r="W967" s="7"/>
      <c r="X967" s="7"/>
      <c r="Y967" s="7"/>
    </row>
    <row r="968" spans="1:25" ht="14.25" customHeight="1" x14ac:dyDescent="0.3">
      <c r="A968" s="18">
        <v>241.3</v>
      </c>
      <c r="B968" s="19"/>
      <c r="C968" s="19"/>
      <c r="D968" s="19"/>
      <c r="E968" s="19"/>
      <c r="F968" s="19"/>
      <c r="G968" s="21"/>
      <c r="H968" s="21"/>
      <c r="I968" s="21"/>
      <c r="J968" s="21"/>
      <c r="K968" s="19"/>
      <c r="L968" s="19"/>
      <c r="M968" s="22"/>
      <c r="N968" s="19"/>
      <c r="O968" s="19"/>
      <c r="P968" s="23"/>
      <c r="Q968" s="21" t="s">
        <v>46</v>
      </c>
      <c r="R968" s="19" t="s">
        <v>47</v>
      </c>
      <c r="S968" s="21"/>
      <c r="T968" s="32"/>
      <c r="U968" s="21"/>
      <c r="V968" s="7"/>
      <c r="W968" s="7"/>
      <c r="X968" s="7"/>
      <c r="Y968" s="7"/>
    </row>
    <row r="969" spans="1:25" ht="14.25" customHeight="1" x14ac:dyDescent="0.3">
      <c r="A969" s="18">
        <v>241.4</v>
      </c>
      <c r="B969" s="19"/>
      <c r="C969" s="19"/>
      <c r="D969" s="19"/>
      <c r="E969" s="19"/>
      <c r="F969" s="19"/>
      <c r="G969" s="21"/>
      <c r="H969" s="21"/>
      <c r="I969" s="21"/>
      <c r="J969" s="21"/>
      <c r="K969" s="19"/>
      <c r="L969" s="19"/>
      <c r="M969" s="22"/>
      <c r="N969" s="19"/>
      <c r="O969" s="19"/>
      <c r="P969" s="23"/>
      <c r="Q969" s="21" t="s">
        <v>46</v>
      </c>
      <c r="R969" s="19" t="s">
        <v>47</v>
      </c>
      <c r="S969" s="21"/>
      <c r="T969" s="32"/>
      <c r="U969" s="21"/>
      <c r="V969" s="7"/>
      <c r="W969" s="7"/>
      <c r="X969" s="7"/>
      <c r="Y969" s="7"/>
    </row>
    <row r="970" spans="1:25" ht="14.25" customHeight="1" x14ac:dyDescent="0.3">
      <c r="A970" s="18">
        <v>242.1</v>
      </c>
      <c r="B970" s="19"/>
      <c r="C970" s="19"/>
      <c r="D970" s="19"/>
      <c r="E970" s="19"/>
      <c r="F970" s="19"/>
      <c r="G970" s="21"/>
      <c r="H970" s="21"/>
      <c r="I970" s="21"/>
      <c r="J970" s="21"/>
      <c r="K970" s="19"/>
      <c r="L970" s="19"/>
      <c r="M970" s="22"/>
      <c r="N970" s="19"/>
      <c r="O970" s="19"/>
      <c r="P970" s="23"/>
      <c r="Q970" s="21" t="s">
        <v>46</v>
      </c>
      <c r="R970" s="19" t="s">
        <v>47</v>
      </c>
      <c r="S970" s="21"/>
      <c r="T970" s="32"/>
      <c r="U970" s="21"/>
      <c r="V970" s="7"/>
      <c r="W970" s="7"/>
      <c r="X970" s="7"/>
      <c r="Y970" s="7"/>
    </row>
    <row r="971" spans="1:25" ht="14.25" customHeight="1" x14ac:dyDescent="0.3">
      <c r="A971" s="18">
        <v>242.2</v>
      </c>
      <c r="B971" s="19"/>
      <c r="C971" s="19"/>
      <c r="D971" s="19"/>
      <c r="E971" s="19"/>
      <c r="F971" s="19"/>
      <c r="G971" s="21"/>
      <c r="H971" s="21"/>
      <c r="I971" s="21"/>
      <c r="J971" s="21"/>
      <c r="K971" s="19"/>
      <c r="L971" s="19"/>
      <c r="M971" s="22"/>
      <c r="N971" s="19"/>
      <c r="O971" s="19"/>
      <c r="P971" s="23"/>
      <c r="Q971" s="21" t="s">
        <v>46</v>
      </c>
      <c r="R971" s="19" t="s">
        <v>47</v>
      </c>
      <c r="S971" s="21"/>
      <c r="T971" s="32"/>
      <c r="U971" s="21"/>
      <c r="V971" s="7"/>
      <c r="W971" s="7"/>
      <c r="X971" s="7"/>
      <c r="Y971" s="7"/>
    </row>
    <row r="972" spans="1:25" ht="14.25" customHeight="1" x14ac:dyDescent="0.3">
      <c r="A972" s="18">
        <v>242.3</v>
      </c>
      <c r="B972" s="19"/>
      <c r="C972" s="19"/>
      <c r="D972" s="19"/>
      <c r="E972" s="19"/>
      <c r="F972" s="19"/>
      <c r="G972" s="21"/>
      <c r="H972" s="21"/>
      <c r="I972" s="21"/>
      <c r="J972" s="21"/>
      <c r="K972" s="19"/>
      <c r="L972" s="19"/>
      <c r="M972" s="22"/>
      <c r="N972" s="19"/>
      <c r="O972" s="19"/>
      <c r="P972" s="23"/>
      <c r="Q972" s="21" t="s">
        <v>46</v>
      </c>
      <c r="R972" s="19" t="s">
        <v>47</v>
      </c>
      <c r="S972" s="21"/>
      <c r="T972" s="32"/>
      <c r="U972" s="21"/>
      <c r="V972" s="7"/>
      <c r="W972" s="7"/>
      <c r="X972" s="7"/>
      <c r="Y972" s="7"/>
    </row>
    <row r="973" spans="1:25" ht="14.25" customHeight="1" x14ac:dyDescent="0.3">
      <c r="A973" s="18">
        <v>242.4</v>
      </c>
      <c r="B973" s="19"/>
      <c r="C973" s="19"/>
      <c r="D973" s="19"/>
      <c r="E973" s="19"/>
      <c r="F973" s="19"/>
      <c r="G973" s="21"/>
      <c r="H973" s="21"/>
      <c r="I973" s="21"/>
      <c r="J973" s="21"/>
      <c r="K973" s="19"/>
      <c r="L973" s="19"/>
      <c r="M973" s="22"/>
      <c r="N973" s="19"/>
      <c r="O973" s="19"/>
      <c r="P973" s="23"/>
      <c r="Q973" s="21" t="s">
        <v>46</v>
      </c>
      <c r="R973" s="19" t="s">
        <v>47</v>
      </c>
      <c r="S973" s="21"/>
      <c r="T973" s="32"/>
      <c r="U973" s="21"/>
      <c r="V973" s="7"/>
      <c r="W973" s="7"/>
      <c r="X973" s="7"/>
      <c r="Y973" s="7"/>
    </row>
    <row r="974" spans="1:25" ht="14.25" customHeight="1" x14ac:dyDescent="0.3">
      <c r="A974" s="18">
        <v>243.1</v>
      </c>
      <c r="B974" s="19"/>
      <c r="C974" s="19"/>
      <c r="D974" s="19"/>
      <c r="E974" s="19"/>
      <c r="F974" s="19"/>
      <c r="G974" s="21"/>
      <c r="H974" s="21"/>
      <c r="I974" s="21"/>
      <c r="J974" s="21"/>
      <c r="K974" s="19"/>
      <c r="L974" s="19"/>
      <c r="M974" s="22"/>
      <c r="N974" s="19"/>
      <c r="O974" s="19"/>
      <c r="P974" s="23"/>
      <c r="Q974" s="21" t="s">
        <v>46</v>
      </c>
      <c r="R974" s="19" t="s">
        <v>47</v>
      </c>
      <c r="S974" s="21"/>
      <c r="T974" s="32"/>
      <c r="U974" s="21"/>
      <c r="V974" s="7"/>
      <c r="W974" s="7"/>
      <c r="X974" s="7"/>
      <c r="Y974" s="7"/>
    </row>
    <row r="975" spans="1:25" ht="14.25" customHeight="1" x14ac:dyDescent="0.3">
      <c r="A975" s="18">
        <v>243.2</v>
      </c>
      <c r="B975" s="19"/>
      <c r="C975" s="19"/>
      <c r="D975" s="19"/>
      <c r="E975" s="19"/>
      <c r="F975" s="19"/>
      <c r="G975" s="21"/>
      <c r="H975" s="21"/>
      <c r="I975" s="21"/>
      <c r="J975" s="21"/>
      <c r="K975" s="19"/>
      <c r="L975" s="19"/>
      <c r="M975" s="22"/>
      <c r="N975" s="19"/>
      <c r="O975" s="19"/>
      <c r="P975" s="23"/>
      <c r="Q975" s="21" t="s">
        <v>46</v>
      </c>
      <c r="R975" s="19" t="s">
        <v>47</v>
      </c>
      <c r="S975" s="21"/>
      <c r="T975" s="32"/>
      <c r="U975" s="21"/>
      <c r="V975" s="7"/>
      <c r="W975" s="7"/>
      <c r="X975" s="7"/>
      <c r="Y975" s="7"/>
    </row>
    <row r="976" spans="1:25" ht="14.25" customHeight="1" x14ac:dyDescent="0.3">
      <c r="A976" s="18">
        <v>243.3</v>
      </c>
      <c r="B976" s="19"/>
      <c r="C976" s="19"/>
      <c r="D976" s="19"/>
      <c r="E976" s="19"/>
      <c r="F976" s="19"/>
      <c r="G976" s="21"/>
      <c r="H976" s="21"/>
      <c r="I976" s="21"/>
      <c r="J976" s="21"/>
      <c r="K976" s="19"/>
      <c r="L976" s="19"/>
      <c r="M976" s="22"/>
      <c r="N976" s="19"/>
      <c r="O976" s="19"/>
      <c r="P976" s="23"/>
      <c r="Q976" s="21" t="s">
        <v>46</v>
      </c>
      <c r="R976" s="19" t="s">
        <v>47</v>
      </c>
      <c r="S976" s="21"/>
      <c r="T976" s="32"/>
      <c r="U976" s="21"/>
      <c r="V976" s="7"/>
      <c r="W976" s="7"/>
      <c r="X976" s="7"/>
      <c r="Y976" s="7"/>
    </row>
    <row r="977" spans="1:25" ht="14.25" customHeight="1" x14ac:dyDescent="0.3">
      <c r="A977" s="18">
        <v>243.4</v>
      </c>
      <c r="B977" s="19"/>
      <c r="C977" s="19"/>
      <c r="D977" s="19"/>
      <c r="E977" s="19"/>
      <c r="F977" s="19"/>
      <c r="G977" s="21"/>
      <c r="H977" s="21"/>
      <c r="I977" s="21"/>
      <c r="J977" s="21"/>
      <c r="K977" s="19"/>
      <c r="L977" s="19"/>
      <c r="M977" s="22"/>
      <c r="N977" s="19"/>
      <c r="O977" s="19"/>
      <c r="P977" s="23"/>
      <c r="Q977" s="21" t="s">
        <v>46</v>
      </c>
      <c r="R977" s="19" t="s">
        <v>47</v>
      </c>
      <c r="S977" s="21"/>
      <c r="T977" s="32"/>
      <c r="U977" s="21"/>
      <c r="V977" s="7"/>
      <c r="W977" s="7"/>
      <c r="X977" s="7"/>
      <c r="Y977" s="7"/>
    </row>
    <row r="978" spans="1:25" ht="14.25" customHeight="1" x14ac:dyDescent="0.3">
      <c r="A978" s="18">
        <v>244.1</v>
      </c>
      <c r="B978" s="19"/>
      <c r="C978" s="19"/>
      <c r="D978" s="19"/>
      <c r="E978" s="19"/>
      <c r="F978" s="19"/>
      <c r="G978" s="21"/>
      <c r="H978" s="21"/>
      <c r="I978" s="21"/>
      <c r="J978" s="21"/>
      <c r="K978" s="19"/>
      <c r="L978" s="19"/>
      <c r="M978" s="22"/>
      <c r="N978" s="19"/>
      <c r="O978" s="19"/>
      <c r="P978" s="23"/>
      <c r="Q978" s="21" t="s">
        <v>46</v>
      </c>
      <c r="R978" s="19" t="s">
        <v>47</v>
      </c>
      <c r="S978" s="21"/>
      <c r="T978" s="32"/>
      <c r="U978" s="21"/>
      <c r="V978" s="7"/>
      <c r="W978" s="7"/>
      <c r="X978" s="7"/>
      <c r="Y978" s="7"/>
    </row>
    <row r="979" spans="1:25" ht="14.25" customHeight="1" x14ac:dyDescent="0.3">
      <c r="A979" s="18">
        <v>244.2</v>
      </c>
      <c r="B979" s="19"/>
      <c r="C979" s="19"/>
      <c r="D979" s="19"/>
      <c r="E979" s="19"/>
      <c r="F979" s="19"/>
      <c r="G979" s="21"/>
      <c r="H979" s="21"/>
      <c r="I979" s="21"/>
      <c r="J979" s="21"/>
      <c r="K979" s="19"/>
      <c r="L979" s="19"/>
      <c r="M979" s="22"/>
      <c r="N979" s="19"/>
      <c r="O979" s="19"/>
      <c r="P979" s="23"/>
      <c r="Q979" s="21" t="s">
        <v>46</v>
      </c>
      <c r="R979" s="19" t="s">
        <v>47</v>
      </c>
      <c r="S979" s="21"/>
      <c r="T979" s="32"/>
      <c r="U979" s="21"/>
      <c r="V979" s="7"/>
      <c r="W979" s="7"/>
      <c r="X979" s="7"/>
      <c r="Y979" s="7"/>
    </row>
    <row r="980" spans="1:25" ht="14.25" customHeight="1" x14ac:dyDescent="0.3">
      <c r="A980" s="18">
        <v>244.3</v>
      </c>
      <c r="B980" s="19"/>
      <c r="C980" s="19"/>
      <c r="D980" s="19"/>
      <c r="E980" s="19"/>
      <c r="F980" s="19"/>
      <c r="G980" s="21"/>
      <c r="H980" s="21"/>
      <c r="I980" s="21"/>
      <c r="J980" s="21"/>
      <c r="K980" s="19"/>
      <c r="L980" s="19"/>
      <c r="M980" s="22"/>
      <c r="N980" s="19"/>
      <c r="O980" s="19"/>
      <c r="P980" s="23"/>
      <c r="Q980" s="21" t="s">
        <v>46</v>
      </c>
      <c r="R980" s="19" t="s">
        <v>47</v>
      </c>
      <c r="S980" s="21"/>
      <c r="T980" s="32"/>
      <c r="U980" s="21"/>
      <c r="V980" s="7"/>
      <c r="W980" s="7"/>
      <c r="X980" s="7"/>
      <c r="Y980" s="7"/>
    </row>
    <row r="981" spans="1:25" ht="14.25" customHeight="1" x14ac:dyDescent="0.3">
      <c r="A981" s="18">
        <v>244.4</v>
      </c>
      <c r="B981" s="19"/>
      <c r="C981" s="19"/>
      <c r="D981" s="19"/>
      <c r="E981" s="19"/>
      <c r="F981" s="19"/>
      <c r="G981" s="21"/>
      <c r="H981" s="21"/>
      <c r="I981" s="21"/>
      <c r="J981" s="21"/>
      <c r="K981" s="19"/>
      <c r="L981" s="19"/>
      <c r="M981" s="22"/>
      <c r="N981" s="19"/>
      <c r="O981" s="19"/>
      <c r="P981" s="23"/>
      <c r="Q981" s="21" t="s">
        <v>46</v>
      </c>
      <c r="R981" s="19" t="s">
        <v>47</v>
      </c>
      <c r="S981" s="21"/>
      <c r="T981" s="32"/>
      <c r="U981" s="21"/>
      <c r="V981" s="7"/>
      <c r="W981" s="7"/>
      <c r="X981" s="7"/>
      <c r="Y981" s="7"/>
    </row>
    <row r="982" spans="1:25" ht="14.25" customHeight="1" x14ac:dyDescent="0.3">
      <c r="A982" s="18">
        <v>245.1</v>
      </c>
      <c r="B982" s="19"/>
      <c r="C982" s="19"/>
      <c r="D982" s="19"/>
      <c r="E982" s="19"/>
      <c r="F982" s="19"/>
      <c r="G982" s="21"/>
      <c r="H982" s="21"/>
      <c r="I982" s="21"/>
      <c r="J982" s="21"/>
      <c r="K982" s="19"/>
      <c r="L982" s="19"/>
      <c r="M982" s="22"/>
      <c r="N982" s="19"/>
      <c r="O982" s="19"/>
      <c r="P982" s="23"/>
      <c r="Q982" s="21" t="s">
        <v>46</v>
      </c>
      <c r="R982" s="19" t="s">
        <v>47</v>
      </c>
      <c r="S982" s="21"/>
      <c r="T982" s="32"/>
      <c r="U982" s="21"/>
      <c r="V982" s="7"/>
      <c r="W982" s="7"/>
      <c r="X982" s="7"/>
      <c r="Y982" s="7"/>
    </row>
    <row r="983" spans="1:25" ht="14.25" customHeight="1" x14ac:dyDescent="0.3">
      <c r="A983" s="18">
        <v>245.2</v>
      </c>
      <c r="B983" s="19"/>
      <c r="C983" s="19"/>
      <c r="D983" s="19"/>
      <c r="E983" s="19"/>
      <c r="F983" s="19"/>
      <c r="G983" s="21"/>
      <c r="H983" s="21"/>
      <c r="I983" s="21"/>
      <c r="J983" s="21"/>
      <c r="K983" s="19"/>
      <c r="L983" s="19"/>
      <c r="M983" s="22"/>
      <c r="N983" s="19"/>
      <c r="O983" s="19"/>
      <c r="P983" s="23"/>
      <c r="Q983" s="21" t="s">
        <v>46</v>
      </c>
      <c r="R983" s="19" t="s">
        <v>47</v>
      </c>
      <c r="S983" s="21"/>
      <c r="T983" s="32"/>
      <c r="U983" s="21"/>
      <c r="V983" s="7"/>
      <c r="W983" s="7"/>
      <c r="X983" s="7"/>
      <c r="Y983" s="7"/>
    </row>
    <row r="984" spans="1:25" ht="14.25" customHeight="1" x14ac:dyDescent="0.3">
      <c r="A984" s="18">
        <v>245.3</v>
      </c>
      <c r="B984" s="19"/>
      <c r="C984" s="19"/>
      <c r="D984" s="19"/>
      <c r="E984" s="19"/>
      <c r="F984" s="19"/>
      <c r="G984" s="21"/>
      <c r="H984" s="21"/>
      <c r="I984" s="21"/>
      <c r="J984" s="21"/>
      <c r="K984" s="19"/>
      <c r="L984" s="19"/>
      <c r="M984" s="22"/>
      <c r="N984" s="19"/>
      <c r="O984" s="19"/>
      <c r="P984" s="23"/>
      <c r="Q984" s="21" t="s">
        <v>46</v>
      </c>
      <c r="R984" s="19" t="s">
        <v>47</v>
      </c>
      <c r="S984" s="21"/>
      <c r="T984" s="32"/>
      <c r="U984" s="21"/>
      <c r="V984" s="7"/>
      <c r="W984" s="7"/>
      <c r="X984" s="7"/>
      <c r="Y984" s="7"/>
    </row>
    <row r="985" spans="1:25" ht="14.25" customHeight="1" x14ac:dyDescent="0.3">
      <c r="A985" s="18">
        <v>245.4</v>
      </c>
      <c r="B985" s="19"/>
      <c r="C985" s="19"/>
      <c r="D985" s="19"/>
      <c r="E985" s="19"/>
      <c r="F985" s="19"/>
      <c r="G985" s="21"/>
      <c r="H985" s="21"/>
      <c r="I985" s="21"/>
      <c r="J985" s="21"/>
      <c r="K985" s="19"/>
      <c r="L985" s="19"/>
      <c r="M985" s="22"/>
      <c r="N985" s="19"/>
      <c r="O985" s="19"/>
      <c r="P985" s="23"/>
      <c r="Q985" s="21" t="s">
        <v>46</v>
      </c>
      <c r="R985" s="19" t="s">
        <v>47</v>
      </c>
      <c r="S985" s="21"/>
      <c r="T985" s="32"/>
      <c r="U985" s="21"/>
      <c r="V985" s="7"/>
      <c r="W985" s="7"/>
      <c r="X985" s="7"/>
      <c r="Y985" s="7"/>
    </row>
    <row r="986" spans="1:25" ht="14.25" customHeight="1" x14ac:dyDescent="0.3">
      <c r="A986" s="18">
        <v>246.1</v>
      </c>
      <c r="B986" s="19"/>
      <c r="C986" s="19"/>
      <c r="D986" s="19"/>
      <c r="E986" s="19"/>
      <c r="F986" s="19"/>
      <c r="G986" s="21"/>
      <c r="H986" s="21"/>
      <c r="I986" s="21"/>
      <c r="J986" s="21"/>
      <c r="K986" s="19"/>
      <c r="L986" s="19"/>
      <c r="M986" s="22"/>
      <c r="N986" s="19"/>
      <c r="O986" s="19"/>
      <c r="P986" s="23"/>
      <c r="Q986" s="21" t="s">
        <v>46</v>
      </c>
      <c r="R986" s="19" t="s">
        <v>47</v>
      </c>
      <c r="S986" s="21"/>
      <c r="T986" s="32"/>
      <c r="U986" s="21"/>
      <c r="V986" s="7"/>
      <c r="W986" s="7"/>
      <c r="X986" s="7"/>
      <c r="Y986" s="7"/>
    </row>
    <row r="987" spans="1:25" ht="14.25" customHeight="1" x14ac:dyDescent="0.3">
      <c r="A987" s="18">
        <v>246.2</v>
      </c>
      <c r="B987" s="19"/>
      <c r="C987" s="19"/>
      <c r="D987" s="19"/>
      <c r="E987" s="19"/>
      <c r="F987" s="19"/>
      <c r="G987" s="21"/>
      <c r="H987" s="21"/>
      <c r="I987" s="21"/>
      <c r="J987" s="21"/>
      <c r="K987" s="19"/>
      <c r="L987" s="19"/>
      <c r="M987" s="22"/>
      <c r="N987" s="19"/>
      <c r="O987" s="19"/>
      <c r="P987" s="23"/>
      <c r="Q987" s="21" t="s">
        <v>46</v>
      </c>
      <c r="R987" s="19" t="s">
        <v>47</v>
      </c>
      <c r="S987" s="21"/>
      <c r="T987" s="32"/>
      <c r="U987" s="21"/>
      <c r="V987" s="7"/>
      <c r="W987" s="7"/>
      <c r="X987" s="7"/>
      <c r="Y987" s="7"/>
    </row>
    <row r="988" spans="1:25" ht="14.25" customHeight="1" x14ac:dyDescent="0.3">
      <c r="A988" s="18">
        <v>246.3</v>
      </c>
      <c r="B988" s="19"/>
      <c r="C988" s="19"/>
      <c r="D988" s="19"/>
      <c r="E988" s="19"/>
      <c r="F988" s="19"/>
      <c r="G988" s="21"/>
      <c r="H988" s="21"/>
      <c r="I988" s="21"/>
      <c r="J988" s="21"/>
      <c r="K988" s="19"/>
      <c r="L988" s="19"/>
      <c r="M988" s="22"/>
      <c r="N988" s="19"/>
      <c r="O988" s="19"/>
      <c r="P988" s="23"/>
      <c r="Q988" s="21" t="s">
        <v>46</v>
      </c>
      <c r="R988" s="19" t="s">
        <v>47</v>
      </c>
      <c r="S988" s="21"/>
      <c r="T988" s="32"/>
      <c r="U988" s="21"/>
      <c r="V988" s="7"/>
      <c r="W988" s="7"/>
      <c r="X988" s="7"/>
      <c r="Y988" s="7"/>
    </row>
    <row r="989" spans="1:25" ht="14.25" customHeight="1" x14ac:dyDescent="0.3">
      <c r="A989" s="18">
        <v>246.4</v>
      </c>
      <c r="B989" s="19"/>
      <c r="C989" s="19"/>
      <c r="D989" s="19"/>
      <c r="E989" s="19"/>
      <c r="F989" s="19"/>
      <c r="G989" s="21"/>
      <c r="H989" s="21"/>
      <c r="I989" s="21"/>
      <c r="J989" s="21"/>
      <c r="K989" s="19"/>
      <c r="L989" s="19"/>
      <c r="M989" s="22"/>
      <c r="N989" s="19"/>
      <c r="O989" s="19"/>
      <c r="P989" s="23"/>
      <c r="Q989" s="21" t="s">
        <v>46</v>
      </c>
      <c r="R989" s="19" t="s">
        <v>47</v>
      </c>
      <c r="S989" s="21"/>
      <c r="T989" s="32"/>
      <c r="U989" s="21"/>
      <c r="V989" s="7"/>
      <c r="W989" s="7"/>
      <c r="X989" s="7"/>
      <c r="Y989" s="7"/>
    </row>
    <row r="990" spans="1:25" ht="14.25" customHeight="1" x14ac:dyDescent="0.3">
      <c r="A990" s="18">
        <v>247.1</v>
      </c>
      <c r="B990" s="19"/>
      <c r="C990" s="19"/>
      <c r="D990" s="19"/>
      <c r="E990" s="19"/>
      <c r="F990" s="19"/>
      <c r="G990" s="21"/>
      <c r="H990" s="21"/>
      <c r="I990" s="21"/>
      <c r="J990" s="21"/>
      <c r="K990" s="19"/>
      <c r="L990" s="19"/>
      <c r="M990" s="22"/>
      <c r="N990" s="19"/>
      <c r="O990" s="19"/>
      <c r="P990" s="23"/>
      <c r="Q990" s="21" t="s">
        <v>46</v>
      </c>
      <c r="R990" s="19" t="s">
        <v>47</v>
      </c>
      <c r="S990" s="21"/>
      <c r="T990" s="32"/>
      <c r="U990" s="21"/>
      <c r="V990" s="7"/>
      <c r="W990" s="7"/>
      <c r="X990" s="7"/>
      <c r="Y990" s="7"/>
    </row>
    <row r="991" spans="1:25" ht="14.25" customHeight="1" x14ac:dyDescent="0.3">
      <c r="A991" s="18">
        <v>247.2</v>
      </c>
      <c r="B991" s="19"/>
      <c r="C991" s="19"/>
      <c r="D991" s="19"/>
      <c r="E991" s="19"/>
      <c r="F991" s="19"/>
      <c r="G991" s="21"/>
      <c r="H991" s="21"/>
      <c r="I991" s="21"/>
      <c r="J991" s="21"/>
      <c r="K991" s="19"/>
      <c r="L991" s="19"/>
      <c r="M991" s="22"/>
      <c r="N991" s="19"/>
      <c r="O991" s="19"/>
      <c r="P991" s="23"/>
      <c r="Q991" s="21" t="s">
        <v>46</v>
      </c>
      <c r="R991" s="19" t="s">
        <v>47</v>
      </c>
      <c r="S991" s="21"/>
      <c r="T991" s="32"/>
      <c r="U991" s="21"/>
      <c r="V991" s="7"/>
      <c r="W991" s="7"/>
      <c r="X991" s="7"/>
      <c r="Y991" s="7"/>
    </row>
    <row r="992" spans="1:25" ht="14.25" customHeight="1" x14ac:dyDescent="0.3">
      <c r="A992" s="18">
        <v>247.3</v>
      </c>
      <c r="B992" s="19"/>
      <c r="C992" s="19"/>
      <c r="D992" s="19"/>
      <c r="E992" s="19"/>
      <c r="F992" s="19"/>
      <c r="G992" s="21"/>
      <c r="H992" s="21"/>
      <c r="I992" s="21"/>
      <c r="J992" s="21"/>
      <c r="K992" s="19"/>
      <c r="L992" s="19"/>
      <c r="M992" s="22"/>
      <c r="N992" s="19"/>
      <c r="O992" s="19"/>
      <c r="P992" s="23"/>
      <c r="Q992" s="21" t="s">
        <v>46</v>
      </c>
      <c r="R992" s="19" t="s">
        <v>47</v>
      </c>
      <c r="S992" s="21"/>
      <c r="T992" s="32"/>
      <c r="U992" s="21"/>
      <c r="V992" s="7"/>
      <c r="W992" s="7"/>
      <c r="X992" s="7"/>
      <c r="Y992" s="7"/>
    </row>
    <row r="993" spans="1:25" ht="14.25" customHeight="1" x14ac:dyDescent="0.3">
      <c r="A993" s="18">
        <v>247.4</v>
      </c>
      <c r="B993" s="19"/>
      <c r="C993" s="19"/>
      <c r="D993" s="19"/>
      <c r="E993" s="19"/>
      <c r="F993" s="19"/>
      <c r="G993" s="21"/>
      <c r="H993" s="21"/>
      <c r="I993" s="21"/>
      <c r="J993" s="21"/>
      <c r="K993" s="19"/>
      <c r="L993" s="19"/>
      <c r="M993" s="22"/>
      <c r="N993" s="19"/>
      <c r="O993" s="19"/>
      <c r="P993" s="23"/>
      <c r="Q993" s="21" t="s">
        <v>46</v>
      </c>
      <c r="R993" s="19" t="s">
        <v>47</v>
      </c>
      <c r="S993" s="21"/>
      <c r="T993" s="32"/>
      <c r="U993" s="21"/>
      <c r="V993" s="7"/>
      <c r="W993" s="7"/>
      <c r="X993" s="7"/>
      <c r="Y993" s="7"/>
    </row>
    <row r="994" spans="1:25" ht="14.25" customHeight="1" x14ac:dyDescent="0.3">
      <c r="A994" s="18">
        <v>248.1</v>
      </c>
      <c r="B994" s="19"/>
      <c r="C994" s="19"/>
      <c r="D994" s="19"/>
      <c r="E994" s="19"/>
      <c r="F994" s="19"/>
      <c r="G994" s="21"/>
      <c r="H994" s="21"/>
      <c r="I994" s="21"/>
      <c r="J994" s="21"/>
      <c r="K994" s="19"/>
      <c r="L994" s="19"/>
      <c r="M994" s="22"/>
      <c r="N994" s="19"/>
      <c r="O994" s="19"/>
      <c r="P994" s="23"/>
      <c r="Q994" s="21" t="s">
        <v>46</v>
      </c>
      <c r="R994" s="19" t="s">
        <v>47</v>
      </c>
      <c r="S994" s="21"/>
      <c r="T994" s="32"/>
      <c r="U994" s="21"/>
      <c r="V994" s="7"/>
      <c r="W994" s="7"/>
      <c r="X994" s="7"/>
      <c r="Y994" s="7"/>
    </row>
    <row r="995" spans="1:25" ht="14.25" customHeight="1" x14ac:dyDescent="0.3">
      <c r="A995" s="18">
        <v>248.2</v>
      </c>
      <c r="B995" s="19"/>
      <c r="C995" s="19"/>
      <c r="D995" s="19"/>
      <c r="E995" s="19"/>
      <c r="F995" s="19"/>
      <c r="G995" s="21"/>
      <c r="H995" s="21"/>
      <c r="I995" s="21"/>
      <c r="J995" s="21"/>
      <c r="K995" s="19"/>
      <c r="L995" s="19"/>
      <c r="M995" s="22"/>
      <c r="N995" s="19"/>
      <c r="O995" s="19"/>
      <c r="P995" s="23"/>
      <c r="Q995" s="21" t="s">
        <v>46</v>
      </c>
      <c r="R995" s="19" t="s">
        <v>47</v>
      </c>
      <c r="S995" s="21"/>
      <c r="T995" s="32"/>
      <c r="U995" s="21"/>
      <c r="V995" s="7"/>
      <c r="W995" s="7"/>
      <c r="X995" s="7"/>
      <c r="Y995" s="7"/>
    </row>
    <row r="996" spans="1:25" ht="14.25" customHeight="1" x14ac:dyDescent="0.3">
      <c r="A996" s="18">
        <v>248.3</v>
      </c>
      <c r="B996" s="19"/>
      <c r="C996" s="19"/>
      <c r="D996" s="19"/>
      <c r="E996" s="19"/>
      <c r="F996" s="19"/>
      <c r="G996" s="21"/>
      <c r="H996" s="21"/>
      <c r="I996" s="21"/>
      <c r="J996" s="21"/>
      <c r="K996" s="19"/>
      <c r="L996" s="19"/>
      <c r="M996" s="22"/>
      <c r="N996" s="19"/>
      <c r="O996" s="19"/>
      <c r="P996" s="23"/>
      <c r="Q996" s="21" t="s">
        <v>46</v>
      </c>
      <c r="R996" s="19" t="s">
        <v>47</v>
      </c>
      <c r="S996" s="21"/>
      <c r="T996" s="32"/>
      <c r="U996" s="21"/>
      <c r="V996" s="7"/>
      <c r="W996" s="7"/>
      <c r="X996" s="7"/>
      <c r="Y996" s="7"/>
    </row>
    <row r="997" spans="1:25" ht="14.25" customHeight="1" x14ac:dyDescent="0.3">
      <c r="A997" s="18">
        <v>248.4</v>
      </c>
      <c r="B997" s="19"/>
      <c r="C997" s="19"/>
      <c r="D997" s="19"/>
      <c r="E997" s="19"/>
      <c r="F997" s="19"/>
      <c r="G997" s="21"/>
      <c r="H997" s="21"/>
      <c r="I997" s="21"/>
      <c r="J997" s="21"/>
      <c r="K997" s="19"/>
      <c r="L997" s="19"/>
      <c r="M997" s="22"/>
      <c r="N997" s="19"/>
      <c r="O997" s="19"/>
      <c r="P997" s="23"/>
      <c r="Q997" s="21" t="s">
        <v>46</v>
      </c>
      <c r="R997" s="19" t="s">
        <v>47</v>
      </c>
      <c r="S997" s="21"/>
      <c r="T997" s="32"/>
      <c r="U997" s="21"/>
      <c r="V997" s="7"/>
      <c r="W997" s="7"/>
      <c r="X997" s="7"/>
      <c r="Y997" s="7"/>
    </row>
    <row r="998" spans="1:25" ht="14.25" customHeight="1" x14ac:dyDescent="0.3">
      <c r="A998" s="18">
        <v>249.1</v>
      </c>
      <c r="B998" s="19"/>
      <c r="C998" s="19"/>
      <c r="D998" s="19"/>
      <c r="E998" s="19"/>
      <c r="F998" s="19"/>
      <c r="G998" s="21"/>
      <c r="H998" s="21"/>
      <c r="I998" s="21"/>
      <c r="J998" s="21"/>
      <c r="K998" s="19"/>
      <c r="L998" s="19"/>
      <c r="M998" s="22"/>
      <c r="N998" s="19"/>
      <c r="O998" s="19"/>
      <c r="P998" s="23"/>
      <c r="Q998" s="21" t="s">
        <v>46</v>
      </c>
      <c r="R998" s="19" t="s">
        <v>47</v>
      </c>
      <c r="S998" s="21"/>
      <c r="T998" s="32"/>
      <c r="U998" s="21"/>
      <c r="V998" s="7"/>
      <c r="W998" s="7"/>
      <c r="X998" s="7"/>
      <c r="Y998" s="7"/>
    </row>
    <row r="999" spans="1:25" ht="14.25" customHeight="1" x14ac:dyDescent="0.3">
      <c r="A999" s="18">
        <v>249.2</v>
      </c>
      <c r="B999" s="19"/>
      <c r="C999" s="19"/>
      <c r="D999" s="19"/>
      <c r="E999" s="19"/>
      <c r="F999" s="19"/>
      <c r="G999" s="21"/>
      <c r="H999" s="21"/>
      <c r="I999" s="21"/>
      <c r="J999" s="21"/>
      <c r="K999" s="19"/>
      <c r="L999" s="19"/>
      <c r="M999" s="22"/>
      <c r="N999" s="19"/>
      <c r="O999" s="19"/>
      <c r="P999" s="23"/>
      <c r="Q999" s="21" t="s">
        <v>46</v>
      </c>
      <c r="R999" s="19" t="s">
        <v>47</v>
      </c>
      <c r="S999" s="21"/>
      <c r="T999" s="32"/>
      <c r="U999" s="21"/>
      <c r="V999" s="7"/>
      <c r="W999" s="7"/>
      <c r="X999" s="7"/>
      <c r="Y999" s="7"/>
    </row>
    <row r="1000" spans="1:25" ht="14.25" customHeight="1" x14ac:dyDescent="0.3">
      <c r="A1000" s="18">
        <v>249.3</v>
      </c>
      <c r="B1000" s="19"/>
      <c r="C1000" s="19"/>
      <c r="D1000" s="19"/>
      <c r="E1000" s="19"/>
      <c r="F1000" s="19"/>
      <c r="G1000" s="21"/>
      <c r="H1000" s="21"/>
      <c r="I1000" s="21"/>
      <c r="J1000" s="21"/>
      <c r="K1000" s="19"/>
      <c r="L1000" s="19"/>
      <c r="M1000" s="22"/>
      <c r="N1000" s="19"/>
      <c r="O1000" s="19"/>
      <c r="P1000" s="23"/>
      <c r="Q1000" s="21" t="s">
        <v>46</v>
      </c>
      <c r="R1000" s="19" t="s">
        <v>47</v>
      </c>
      <c r="S1000" s="21"/>
      <c r="T1000" s="32"/>
      <c r="U1000" s="21"/>
      <c r="V1000" s="7"/>
      <c r="W1000" s="7"/>
      <c r="X1000" s="7"/>
      <c r="Y1000" s="7"/>
    </row>
    <row r="1001" spans="1:25" ht="15" customHeight="1" x14ac:dyDescent="0.3">
      <c r="A1001" s="18">
        <v>249.4</v>
      </c>
      <c r="B1001" s="19"/>
      <c r="C1001" s="19"/>
      <c r="D1001" s="19"/>
      <c r="E1001" s="19"/>
      <c r="F1001" s="19"/>
      <c r="G1001" s="21"/>
      <c r="H1001" s="21"/>
      <c r="I1001" s="21"/>
      <c r="J1001" s="21"/>
      <c r="K1001" s="19"/>
      <c r="L1001" s="19"/>
      <c r="M1001" s="22"/>
      <c r="N1001" s="19"/>
      <c r="O1001" s="19"/>
      <c r="P1001" s="23"/>
      <c r="Q1001" s="21" t="s">
        <v>46</v>
      </c>
      <c r="R1001" s="19" t="s">
        <v>47</v>
      </c>
      <c r="S1001" s="21"/>
      <c r="T1001" s="32"/>
      <c r="U1001" s="21"/>
      <c r="V1001" s="7"/>
      <c r="W1001" s="7"/>
      <c r="X1001" s="7"/>
      <c r="Y1001" s="7"/>
    </row>
    <row r="1002" spans="1:25" ht="15" customHeight="1" x14ac:dyDescent="0.3">
      <c r="A1002" s="18">
        <v>250.1</v>
      </c>
      <c r="B1002" s="19"/>
      <c r="C1002" s="19"/>
      <c r="D1002" s="19"/>
      <c r="E1002" s="19"/>
      <c r="F1002" s="19"/>
      <c r="G1002" s="21"/>
      <c r="H1002" s="21"/>
      <c r="I1002" s="21"/>
      <c r="J1002" s="21"/>
      <c r="K1002" s="19"/>
      <c r="L1002" s="19"/>
      <c r="M1002" s="22"/>
      <c r="N1002" s="19"/>
      <c r="O1002" s="19"/>
      <c r="P1002" s="23"/>
      <c r="Q1002" s="21" t="s">
        <v>46</v>
      </c>
      <c r="R1002" s="19" t="s">
        <v>47</v>
      </c>
      <c r="S1002" s="21"/>
      <c r="T1002" s="32"/>
      <c r="U1002" s="21"/>
      <c r="V1002" s="7"/>
      <c r="W1002" s="7"/>
      <c r="X1002" s="7"/>
      <c r="Y1002" s="7"/>
    </row>
    <row r="1003" spans="1:25" ht="15" customHeight="1" x14ac:dyDescent="0.3">
      <c r="A1003" s="18">
        <v>250.2</v>
      </c>
      <c r="B1003" s="19"/>
      <c r="C1003" s="19"/>
      <c r="D1003" s="19"/>
      <c r="E1003" s="19"/>
      <c r="F1003" s="19"/>
      <c r="G1003" s="21"/>
      <c r="H1003" s="21"/>
      <c r="I1003" s="21"/>
      <c r="J1003" s="21"/>
      <c r="K1003" s="19"/>
      <c r="L1003" s="19"/>
      <c r="M1003" s="22"/>
      <c r="N1003" s="19"/>
      <c r="O1003" s="19"/>
      <c r="P1003" s="23"/>
      <c r="Q1003" s="21" t="s">
        <v>46</v>
      </c>
      <c r="R1003" s="19" t="s">
        <v>47</v>
      </c>
      <c r="S1003" s="21"/>
      <c r="T1003" s="32"/>
      <c r="U1003" s="21"/>
      <c r="V1003" s="7"/>
      <c r="W1003" s="7"/>
      <c r="X1003" s="7"/>
      <c r="Y1003" s="7"/>
    </row>
    <row r="1004" spans="1:25" ht="15" customHeight="1" x14ac:dyDescent="0.3">
      <c r="A1004" s="18">
        <v>250.3</v>
      </c>
      <c r="B1004" s="19"/>
      <c r="C1004" s="19"/>
      <c r="D1004" s="19"/>
      <c r="E1004" s="19"/>
      <c r="F1004" s="19"/>
      <c r="G1004" s="21"/>
      <c r="H1004" s="21"/>
      <c r="I1004" s="21"/>
      <c r="J1004" s="21"/>
      <c r="K1004" s="19"/>
      <c r="L1004" s="19"/>
      <c r="M1004" s="22"/>
      <c r="N1004" s="19"/>
      <c r="O1004" s="19"/>
      <c r="P1004" s="23"/>
      <c r="Q1004" s="21" t="s">
        <v>46</v>
      </c>
      <c r="R1004" s="19" t="s">
        <v>47</v>
      </c>
      <c r="S1004" s="21"/>
      <c r="T1004" s="32"/>
      <c r="U1004" s="21"/>
      <c r="V1004" s="7"/>
      <c r="W1004" s="7"/>
      <c r="X1004" s="7"/>
      <c r="Y1004" s="7"/>
    </row>
    <row r="1005" spans="1:25" ht="15" customHeight="1" x14ac:dyDescent="0.3">
      <c r="A1005" s="18">
        <v>250.4</v>
      </c>
      <c r="B1005" s="19"/>
      <c r="C1005" s="19"/>
      <c r="D1005" s="19"/>
      <c r="E1005" s="19"/>
      <c r="F1005" s="19"/>
      <c r="G1005" s="21"/>
      <c r="H1005" s="21"/>
      <c r="I1005" s="21"/>
      <c r="J1005" s="21"/>
      <c r="K1005" s="19"/>
      <c r="L1005" s="19"/>
      <c r="M1005" s="22"/>
      <c r="N1005" s="19"/>
      <c r="O1005" s="19"/>
      <c r="P1005" s="23"/>
      <c r="Q1005" s="21" t="s">
        <v>46</v>
      </c>
      <c r="R1005" s="19" t="s">
        <v>47</v>
      </c>
      <c r="S1005" s="21"/>
      <c r="T1005" s="32"/>
      <c r="U1005" s="21"/>
      <c r="V1005" s="7"/>
      <c r="W1005" s="7"/>
      <c r="X1005" s="7"/>
      <c r="Y1005" s="7"/>
    </row>
  </sheetData>
  <mergeCells count="23">
    <mergeCell ref="A2:B2"/>
    <mergeCell ref="A3:B3"/>
    <mergeCell ref="A4:C4"/>
    <mergeCell ref="C3:H3"/>
    <mergeCell ref="J3:M3"/>
    <mergeCell ref="D4:F4"/>
    <mergeCell ref="G4:I4"/>
    <mergeCell ref="J4:M4"/>
    <mergeCell ref="D1:E1"/>
    <mergeCell ref="G1:I1"/>
    <mergeCell ref="K1:M1"/>
    <mergeCell ref="C2:E2"/>
    <mergeCell ref="F2:H2"/>
    <mergeCell ref="I2:M2"/>
    <mergeCell ref="X18:Y18"/>
    <mergeCell ref="V20:Y20"/>
    <mergeCell ref="N1:Y4"/>
    <mergeCell ref="V5:Y5"/>
    <mergeCell ref="V6:W9"/>
    <mergeCell ref="X6:Y9"/>
    <mergeCell ref="V10:W17"/>
    <mergeCell ref="X10:Y17"/>
    <mergeCell ref="V18:W18"/>
  </mergeCells>
  <conditionalFormatting sqref="T6:T1005">
    <cfRule type="expression" dxfId="7" priority="1" stopIfTrue="1">
      <formula>AND(S6&lt;&gt;"", OR(T6&lt;(S6-0.02), T6&gt;(S6+0.02)))</formula>
    </cfRule>
    <cfRule type="expression" dxfId="6" priority="2" stopIfTrue="1">
      <formula>AND(S6="", OR(C6="Nozzle", $J$4="Seamless"), T6&gt;1.125*F6)</formula>
    </cfRule>
    <cfRule type="expression" dxfId="5" priority="3" stopIfTrue="1">
      <formula>AND($B6&lt;&gt;"", $J$4="Seamed", $C6&lt;&gt;"Nozzle", $S6="", $T6&gt;1.25*$F6)</formula>
    </cfRule>
    <cfRule type="expression" dxfId="4" priority="4" stopIfTrue="1">
      <formula>AND($B6&lt;&gt;"", ISBLANK(S6),ISNUMBER(SEARCH("Head",$C6)), $T6&lt;MAX($F6*0.94,$F6-0.01), $J$4="Seamless")</formula>
    </cfRule>
    <cfRule type="expression" dxfId="3" priority="5" stopIfTrue="1">
      <formula>AND(NOT(ISBLANK(B6)), ISBLANK(S6), OR(     AND(OR(C6="Nozzle", $J$4="Seamless"), T6&lt;0.875*F6),     AND(C6&lt;&gt;"Nozzle", $J$4&lt;&gt;"Seamless", T6&lt;MAX(0.94*F6, F6-0.01)),     ISBLANK(T6) ))</formula>
    </cfRule>
  </conditionalFormatting>
  <dataValidations count="8">
    <dataValidation type="list" allowBlank="1" sqref="B6:B1005" xr:uid="{00000000-0002-0000-0100-000000000000}">
      <formula1>"Top,Bottom,North,South,East,West,Center"</formula1>
    </dataValidation>
    <dataValidation type="list" allowBlank="1" showErrorMessage="1" sqref="N6:N1005" xr:uid="{00000000-0002-0000-0100-000001000000}">
      <formula1>"Ground,Ladder,Man Lift,Platform,Manlift,Manbasket,Scaffolding,Stairway"</formula1>
    </dataValidation>
    <dataValidation type="list" allowBlank="1" showErrorMessage="1" sqref="D4" xr:uid="{00000000-0002-0000-0100-000002000000}">
      <formula1>"Carbon,Stainless"</formula1>
    </dataValidation>
    <dataValidation type="list" allowBlank="1" sqref="D6:D1005" xr:uid="{00000000-0002-0000-0100-000003000000}">
      <formula1>INDIRECT(SUBSTITUTE(C6," ",""))</formula1>
    </dataValidation>
    <dataValidation type="list" allowBlank="1" showErrorMessage="1" sqref="O6:O1005" xr:uid="{00000000-0002-0000-0100-000004000000}">
      <formula1>"Yes,No,Removable"</formula1>
    </dataValidation>
    <dataValidation type="list" allowBlank="1" showErrorMessage="1" sqref="J4" xr:uid="{00000000-0002-0000-0100-000005000000}">
      <formula1>"Seamed,Seamless"</formula1>
    </dataValidation>
    <dataValidation type="list" allowBlank="1" showErrorMessage="1" sqref="C6:C1005" xr:uid="{00000000-0002-0000-0100-000006000000}">
      <formula1>"Ellipsoidal Head,Hemispherical Head,Flat Head,Torispherical Head,Header Box,Shell,Nozzle,Shell Tubes"</formula1>
    </dataValidation>
    <dataValidation type="list" allowBlank="1" showErrorMessage="1" sqref="R6:R1005" xr:uid="{00000000-0002-0000-0100-000007000000}">
      <formula1>"UT,RT"</formula1>
    </dataValidation>
  </dataValidations>
  <pageMargins left="0.7" right="0.7" top="0.75" bottom="0.75" header="0" footer="0"/>
  <pageSetup scale="44"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6"/>
  <sheetViews>
    <sheetView showGridLines="0" tabSelected="1" zoomScale="130" zoomScaleNormal="130" workbookViewId="0">
      <pane xSplit="1" ySplit="5" topLeftCell="B6" activePane="bottomRight" state="frozen"/>
      <selection pane="topRight" activeCell="B1" sqref="B1"/>
      <selection pane="bottomLeft" activeCell="A6" sqref="A6"/>
      <selection pane="bottomRight" activeCell="AA15" sqref="AA15"/>
    </sheetView>
  </sheetViews>
  <sheetFormatPr defaultColWidth="14.44140625" defaultRowHeight="15" customHeight="1" x14ac:dyDescent="0.3"/>
  <cols>
    <col min="1" max="1" width="7.44140625" customWidth="1"/>
    <col min="2" max="2" width="19.44140625" customWidth="1"/>
    <col min="3" max="3" width="10.77734375" customWidth="1"/>
    <col min="4" max="4" width="11.44140625" bestFit="1" customWidth="1"/>
    <col min="5" max="5" width="7.44140625" customWidth="1"/>
    <col min="6" max="6" width="8.77734375" customWidth="1"/>
    <col min="7" max="7" width="7.21875" customWidth="1"/>
    <col min="8" max="8" width="7.77734375" customWidth="1"/>
    <col min="9" max="9" width="9.44140625" bestFit="1" customWidth="1"/>
    <col min="10" max="10" width="6.77734375" customWidth="1"/>
    <col min="11" max="11" width="7.88671875" bestFit="1" customWidth="1"/>
    <col min="12" max="12" width="6" bestFit="1" customWidth="1"/>
    <col min="13" max="13" width="7" customWidth="1"/>
    <col min="14" max="14" width="7.21875" bestFit="1" customWidth="1"/>
    <col min="15" max="15" width="8.77734375" bestFit="1" customWidth="1"/>
    <col min="16" max="16" width="10.77734375" customWidth="1"/>
    <col min="17" max="17" width="6" bestFit="1" customWidth="1"/>
    <col min="18" max="18" width="6.44140625" customWidth="1"/>
    <col min="19" max="19" width="11.88671875" bestFit="1" customWidth="1"/>
    <col min="20" max="20" width="9.88671875" bestFit="1" customWidth="1"/>
    <col min="21" max="21" width="21.77734375" customWidth="1"/>
    <col min="22" max="22" width="9.21875" customWidth="1"/>
    <col min="23" max="23" width="9.44140625" customWidth="1"/>
    <col min="24" max="24" width="10.77734375" customWidth="1"/>
    <col min="25" max="25" width="9" customWidth="1"/>
    <col min="26" max="26" width="8.77734375" customWidth="1"/>
  </cols>
  <sheetData>
    <row r="1" spans="1:26" ht="15.75" customHeight="1" x14ac:dyDescent="0.3">
      <c r="A1" s="35" t="s">
        <v>48</v>
      </c>
      <c r="B1" s="3" t="s">
        <v>560</v>
      </c>
      <c r="C1" s="4" t="s">
        <v>15</v>
      </c>
      <c r="D1" s="131" t="s">
        <v>561</v>
      </c>
      <c r="E1" s="132"/>
      <c r="F1" s="36" t="s">
        <v>16</v>
      </c>
      <c r="G1" s="131" t="s">
        <v>562</v>
      </c>
      <c r="H1" s="133"/>
      <c r="I1" s="132"/>
      <c r="J1" s="5" t="s">
        <v>17</v>
      </c>
      <c r="K1" s="134">
        <v>46072</v>
      </c>
      <c r="L1" s="133"/>
      <c r="M1" s="135"/>
      <c r="N1" s="136" t="s">
        <v>49</v>
      </c>
      <c r="O1" s="137"/>
      <c r="P1" s="137"/>
      <c r="Q1" s="137"/>
      <c r="R1" s="137"/>
      <c r="S1" s="137"/>
      <c r="T1" s="137"/>
      <c r="U1" s="137"/>
      <c r="V1" s="137"/>
      <c r="W1" s="138"/>
      <c r="X1" s="37"/>
      <c r="Y1" s="37"/>
      <c r="Z1" s="37"/>
    </row>
    <row r="2" spans="1:26" ht="14.25" customHeight="1" x14ac:dyDescent="0.3">
      <c r="A2" s="148" t="s">
        <v>50</v>
      </c>
      <c r="B2" s="133"/>
      <c r="C2" s="145" t="s">
        <v>574</v>
      </c>
      <c r="D2" s="133"/>
      <c r="E2" s="132"/>
      <c r="F2" s="146" t="s">
        <v>20</v>
      </c>
      <c r="G2" s="133"/>
      <c r="H2" s="132"/>
      <c r="I2" s="145" t="s">
        <v>575</v>
      </c>
      <c r="J2" s="133"/>
      <c r="K2" s="133"/>
      <c r="L2" s="133"/>
      <c r="M2" s="135"/>
      <c r="N2" s="139"/>
      <c r="O2" s="140"/>
      <c r="P2" s="140"/>
      <c r="Q2" s="140"/>
      <c r="R2" s="140"/>
      <c r="S2" s="140"/>
      <c r="T2" s="140"/>
      <c r="U2" s="140"/>
      <c r="V2" s="140"/>
      <c r="W2" s="141"/>
      <c r="X2" s="37"/>
      <c r="Y2" s="37"/>
      <c r="Z2" s="37"/>
    </row>
    <row r="3" spans="1:26" ht="14.25" customHeight="1" x14ac:dyDescent="0.3">
      <c r="A3" s="149" t="s">
        <v>21</v>
      </c>
      <c r="B3" s="132"/>
      <c r="C3" s="145" t="s">
        <v>573</v>
      </c>
      <c r="D3" s="133"/>
      <c r="E3" s="133"/>
      <c r="F3" s="133"/>
      <c r="G3" s="133"/>
      <c r="H3" s="132"/>
      <c r="I3" s="38" t="s">
        <v>22</v>
      </c>
      <c r="J3" s="151" t="s">
        <v>567</v>
      </c>
      <c r="K3" s="152"/>
      <c r="L3" s="152"/>
      <c r="M3" s="153"/>
      <c r="N3" s="139"/>
      <c r="O3" s="140"/>
      <c r="P3" s="140"/>
      <c r="Q3" s="140"/>
      <c r="R3" s="140"/>
      <c r="S3" s="140"/>
      <c r="T3" s="140"/>
      <c r="U3" s="140"/>
      <c r="V3" s="140"/>
      <c r="W3" s="141"/>
      <c r="X3" s="37"/>
      <c r="Y3" s="37"/>
      <c r="Z3" s="37"/>
    </row>
    <row r="4" spans="1:26" ht="15.75" customHeight="1" x14ac:dyDescent="0.3">
      <c r="A4" s="150" t="s">
        <v>23</v>
      </c>
      <c r="B4" s="133"/>
      <c r="C4" s="132"/>
      <c r="D4" s="131" t="s">
        <v>563</v>
      </c>
      <c r="E4" s="133"/>
      <c r="F4" s="135"/>
      <c r="G4" s="154" t="s">
        <v>51</v>
      </c>
      <c r="H4" s="133"/>
      <c r="I4" s="132"/>
      <c r="J4" s="147"/>
      <c r="K4" s="133"/>
      <c r="L4" s="133"/>
      <c r="M4" s="132"/>
      <c r="N4" s="142"/>
      <c r="O4" s="143"/>
      <c r="P4" s="143"/>
      <c r="Q4" s="143"/>
      <c r="R4" s="143"/>
      <c r="S4" s="143"/>
      <c r="T4" s="143"/>
      <c r="U4" s="143"/>
      <c r="V4" s="143"/>
      <c r="W4" s="144"/>
      <c r="X4" s="37"/>
      <c r="Y4" s="37"/>
      <c r="Z4" s="37"/>
    </row>
    <row r="5" spans="1:26" ht="26.25" customHeight="1" x14ac:dyDescent="0.3">
      <c r="A5" s="39" t="s">
        <v>26</v>
      </c>
      <c r="B5" s="40" t="s">
        <v>27</v>
      </c>
      <c r="C5" s="40" t="s">
        <v>28</v>
      </c>
      <c r="D5" s="40" t="s">
        <v>29</v>
      </c>
      <c r="E5" s="40" t="s">
        <v>30</v>
      </c>
      <c r="F5" s="40" t="s">
        <v>31</v>
      </c>
      <c r="G5" s="41" t="s">
        <v>32</v>
      </c>
      <c r="H5" s="41" t="s">
        <v>33</v>
      </c>
      <c r="I5" s="41" t="s">
        <v>34</v>
      </c>
      <c r="J5" s="41" t="s">
        <v>52</v>
      </c>
      <c r="K5" s="41" t="s">
        <v>35</v>
      </c>
      <c r="L5" s="41" t="s">
        <v>36</v>
      </c>
      <c r="M5" s="41" t="s">
        <v>37</v>
      </c>
      <c r="N5" s="41" t="s">
        <v>38</v>
      </c>
      <c r="O5" s="41" t="s">
        <v>39</v>
      </c>
      <c r="P5" s="41" t="s">
        <v>40</v>
      </c>
      <c r="Q5" s="41" t="s">
        <v>41</v>
      </c>
      <c r="R5" s="41" t="s">
        <v>42</v>
      </c>
      <c r="S5" s="13" t="s">
        <v>53</v>
      </c>
      <c r="T5" s="42" t="s">
        <v>44</v>
      </c>
      <c r="U5" s="43" t="s">
        <v>45</v>
      </c>
      <c r="V5" s="40" t="s">
        <v>54</v>
      </c>
      <c r="W5" s="40" t="s">
        <v>30</v>
      </c>
      <c r="X5" s="44"/>
      <c r="Y5" s="44"/>
      <c r="Z5" s="44"/>
    </row>
    <row r="6" spans="1:26" ht="14.25" customHeight="1" x14ac:dyDescent="0.3">
      <c r="A6" s="122">
        <v>1.01</v>
      </c>
      <c r="B6" s="123" t="s">
        <v>572</v>
      </c>
      <c r="C6" s="45" t="s">
        <v>55</v>
      </c>
      <c r="D6" s="19" t="s">
        <v>74</v>
      </c>
      <c r="E6" s="25">
        <v>2.375</v>
      </c>
      <c r="F6" s="124">
        <v>0.218</v>
      </c>
      <c r="G6" s="21">
        <v>0</v>
      </c>
      <c r="H6" s="46"/>
      <c r="I6" s="21" t="s">
        <v>577</v>
      </c>
      <c r="J6" s="21" t="s">
        <v>578</v>
      </c>
      <c r="K6" s="123">
        <v>150</v>
      </c>
      <c r="L6" s="123">
        <v>200</v>
      </c>
      <c r="M6" s="125">
        <v>1</v>
      </c>
      <c r="N6" s="124" t="s">
        <v>568</v>
      </c>
      <c r="O6" s="123" t="s">
        <v>565</v>
      </c>
      <c r="P6" s="126">
        <v>45658</v>
      </c>
      <c r="Q6" s="127" t="s">
        <v>46</v>
      </c>
      <c r="R6" s="128" t="s">
        <v>47</v>
      </c>
      <c r="S6" s="129"/>
      <c r="T6" s="130">
        <v>0.26600000000000001</v>
      </c>
      <c r="U6" s="48"/>
      <c r="V6" s="49" t="s">
        <v>57</v>
      </c>
      <c r="W6" s="50">
        <v>0.40500000000000003</v>
      </c>
      <c r="X6" s="51" t="str">
        <f t="shared" ref="X6:X260" si="0">IF($G$4="Default", IF(ISNUMBER(SEARCH("Straight Pipe", D6)), "A106", IF(D6="", "", "A234")), "")</f>
        <v>A234</v>
      </c>
      <c r="Y6" s="51" t="str">
        <f t="shared" ref="Y6:Y260" si="1">IF($G$4="Default", IF(ISNUMBER(SEARCH("Straight Pipe", D6)), "B", IF(D6="", "", "WPB")), "")</f>
        <v>WPB</v>
      </c>
      <c r="Z6" s="37"/>
    </row>
    <row r="7" spans="1:26" ht="14.25" customHeight="1" x14ac:dyDescent="0.3">
      <c r="A7" s="18">
        <v>1.02</v>
      </c>
      <c r="B7" s="25" t="s">
        <v>576</v>
      </c>
      <c r="C7" s="45" t="s">
        <v>55</v>
      </c>
      <c r="D7" s="19" t="s">
        <v>74</v>
      </c>
      <c r="E7" s="25">
        <v>2.375</v>
      </c>
      <c r="F7" s="124">
        <v>0.218</v>
      </c>
      <c r="G7" s="21">
        <v>0</v>
      </c>
      <c r="H7" s="46"/>
      <c r="I7" s="21" t="s">
        <v>577</v>
      </c>
      <c r="J7" s="21" t="s">
        <v>578</v>
      </c>
      <c r="K7" s="123">
        <v>150</v>
      </c>
      <c r="L7" s="123">
        <v>200</v>
      </c>
      <c r="M7" s="125">
        <v>1</v>
      </c>
      <c r="N7" s="124" t="s">
        <v>568</v>
      </c>
      <c r="O7" s="123" t="s">
        <v>565</v>
      </c>
      <c r="P7" s="126">
        <v>45658</v>
      </c>
      <c r="Q7" s="21" t="s">
        <v>46</v>
      </c>
      <c r="R7" s="19" t="s">
        <v>47</v>
      </c>
      <c r="S7" s="47"/>
      <c r="T7" s="25">
        <v>0.28499999999999998</v>
      </c>
      <c r="U7" s="48"/>
      <c r="V7" s="52" t="s">
        <v>58</v>
      </c>
      <c r="W7" s="53">
        <v>0.54</v>
      </c>
      <c r="X7" s="51" t="str">
        <f t="shared" si="0"/>
        <v>A234</v>
      </c>
      <c r="Y7" s="51" t="str">
        <f t="shared" si="1"/>
        <v>WPB</v>
      </c>
      <c r="Z7" s="37"/>
    </row>
    <row r="8" spans="1:26" ht="14.25" customHeight="1" x14ac:dyDescent="0.3">
      <c r="A8" s="18">
        <v>1.03</v>
      </c>
      <c r="B8" s="25" t="s">
        <v>571</v>
      </c>
      <c r="C8" s="45" t="s">
        <v>55</v>
      </c>
      <c r="D8" s="19" t="s">
        <v>74</v>
      </c>
      <c r="E8" s="25">
        <v>2.375</v>
      </c>
      <c r="F8" s="124">
        <v>0.218</v>
      </c>
      <c r="G8" s="21">
        <v>0</v>
      </c>
      <c r="H8" s="46"/>
      <c r="I8" s="21" t="s">
        <v>577</v>
      </c>
      <c r="J8" s="21" t="s">
        <v>578</v>
      </c>
      <c r="K8" s="123">
        <v>150</v>
      </c>
      <c r="L8" s="123">
        <v>200</v>
      </c>
      <c r="M8" s="125">
        <v>1</v>
      </c>
      <c r="N8" s="124" t="s">
        <v>568</v>
      </c>
      <c r="O8" s="123" t="s">
        <v>565</v>
      </c>
      <c r="P8" s="126">
        <v>45658</v>
      </c>
      <c r="Q8" s="21" t="s">
        <v>46</v>
      </c>
      <c r="R8" s="19" t="s">
        <v>47</v>
      </c>
      <c r="S8" s="47"/>
      <c r="T8" s="25">
        <v>0.29199999999999998</v>
      </c>
      <c r="U8" s="48"/>
      <c r="V8" s="52" t="s">
        <v>59</v>
      </c>
      <c r="W8" s="54">
        <v>0.67500000000000004</v>
      </c>
      <c r="X8" s="51" t="str">
        <f t="shared" si="0"/>
        <v>A234</v>
      </c>
      <c r="Y8" s="51" t="str">
        <f t="shared" si="1"/>
        <v>WPB</v>
      </c>
      <c r="Z8" s="37"/>
    </row>
    <row r="9" spans="1:26" ht="14.4" x14ac:dyDescent="0.3">
      <c r="A9" s="18">
        <v>1.04</v>
      </c>
      <c r="B9" s="25" t="s">
        <v>566</v>
      </c>
      <c r="C9" s="45" t="s">
        <v>55</v>
      </c>
      <c r="D9" s="19" t="s">
        <v>74</v>
      </c>
      <c r="E9" s="25">
        <v>2.375</v>
      </c>
      <c r="F9" s="124">
        <v>0.218</v>
      </c>
      <c r="G9" s="21">
        <v>0</v>
      </c>
      <c r="H9" s="46"/>
      <c r="I9" s="21" t="s">
        <v>577</v>
      </c>
      <c r="J9" s="21" t="s">
        <v>578</v>
      </c>
      <c r="K9" s="123">
        <v>150</v>
      </c>
      <c r="L9" s="123">
        <v>200</v>
      </c>
      <c r="M9" s="125">
        <v>1</v>
      </c>
      <c r="N9" s="124" t="s">
        <v>568</v>
      </c>
      <c r="O9" s="123" t="s">
        <v>565</v>
      </c>
      <c r="P9" s="126">
        <v>45658</v>
      </c>
      <c r="Q9" s="21" t="s">
        <v>46</v>
      </c>
      <c r="R9" s="19" t="s">
        <v>47</v>
      </c>
      <c r="S9" s="47"/>
      <c r="T9" s="25">
        <v>0.28399999999999997</v>
      </c>
      <c r="U9" s="48"/>
      <c r="V9" s="52" t="s">
        <v>60</v>
      </c>
      <c r="W9" s="53">
        <v>0.84</v>
      </c>
      <c r="X9" s="51" t="str">
        <f t="shared" si="0"/>
        <v>A234</v>
      </c>
      <c r="Y9" s="51" t="str">
        <f t="shared" si="1"/>
        <v>WPB</v>
      </c>
      <c r="Z9" s="37"/>
    </row>
    <row r="10" spans="1:26" ht="14.25" customHeight="1" x14ac:dyDescent="0.3">
      <c r="A10" s="18">
        <v>2.0099999999999998</v>
      </c>
      <c r="B10" s="19" t="s">
        <v>569</v>
      </c>
      <c r="C10" s="18" t="s">
        <v>55</v>
      </c>
      <c r="D10" s="19" t="s">
        <v>56</v>
      </c>
      <c r="E10" s="25">
        <v>2.375</v>
      </c>
      <c r="F10" s="124">
        <v>0.218</v>
      </c>
      <c r="G10" s="21">
        <v>0</v>
      </c>
      <c r="H10" s="21"/>
      <c r="I10" s="21" t="s">
        <v>579</v>
      </c>
      <c r="J10" s="21" t="s">
        <v>580</v>
      </c>
      <c r="K10" s="123">
        <v>150</v>
      </c>
      <c r="L10" s="123">
        <v>200</v>
      </c>
      <c r="M10" s="125">
        <v>1</v>
      </c>
      <c r="N10" s="124" t="s">
        <v>568</v>
      </c>
      <c r="O10" s="123" t="s">
        <v>565</v>
      </c>
      <c r="P10" s="126">
        <v>45658</v>
      </c>
      <c r="Q10" s="21" t="s">
        <v>46</v>
      </c>
      <c r="R10" s="19" t="s">
        <v>47</v>
      </c>
      <c r="S10" s="47"/>
      <c r="T10" s="25">
        <v>0.247</v>
      </c>
      <c r="U10" s="48"/>
      <c r="V10" s="52" t="s">
        <v>61</v>
      </c>
      <c r="W10" s="56">
        <v>1.5</v>
      </c>
      <c r="X10" s="51" t="str">
        <f t="shared" si="0"/>
        <v>A106</v>
      </c>
      <c r="Y10" s="51" t="str">
        <f t="shared" si="1"/>
        <v>B</v>
      </c>
      <c r="Z10" s="37"/>
    </row>
    <row r="11" spans="1:26" ht="14.25" customHeight="1" x14ac:dyDescent="0.3">
      <c r="A11" s="18">
        <v>2.02</v>
      </c>
      <c r="B11" s="19" t="s">
        <v>570</v>
      </c>
      <c r="C11" s="18" t="s">
        <v>55</v>
      </c>
      <c r="D11" s="19" t="s">
        <v>56</v>
      </c>
      <c r="E11" s="25">
        <v>2.375</v>
      </c>
      <c r="F11" s="124">
        <v>0.218</v>
      </c>
      <c r="G11" s="21">
        <v>0</v>
      </c>
      <c r="H11" s="21"/>
      <c r="I11" s="21" t="s">
        <v>579</v>
      </c>
      <c r="J11" s="21" t="s">
        <v>580</v>
      </c>
      <c r="K11" s="123">
        <v>150</v>
      </c>
      <c r="L11" s="123">
        <v>200</v>
      </c>
      <c r="M11" s="125">
        <v>1</v>
      </c>
      <c r="N11" s="124" t="s">
        <v>568</v>
      </c>
      <c r="O11" s="123" t="s">
        <v>565</v>
      </c>
      <c r="P11" s="126">
        <v>45658</v>
      </c>
      <c r="Q11" s="21" t="s">
        <v>46</v>
      </c>
      <c r="R11" s="19" t="s">
        <v>47</v>
      </c>
      <c r="S11" s="47"/>
      <c r="T11" s="25">
        <v>0.249</v>
      </c>
      <c r="U11" s="48"/>
      <c r="V11" s="21" t="s">
        <v>62</v>
      </c>
      <c r="W11" s="54">
        <v>1.3149999999999999</v>
      </c>
      <c r="X11" s="51" t="str">
        <f t="shared" si="0"/>
        <v>A106</v>
      </c>
      <c r="Y11" s="51" t="str">
        <f t="shared" si="1"/>
        <v>B</v>
      </c>
      <c r="Z11" s="37"/>
    </row>
    <row r="12" spans="1:26" ht="14.25" customHeight="1" x14ac:dyDescent="0.3">
      <c r="A12" s="18">
        <v>2.0299999999999998</v>
      </c>
      <c r="B12" s="19" t="s">
        <v>564</v>
      </c>
      <c r="C12" s="18" t="s">
        <v>55</v>
      </c>
      <c r="D12" s="19" t="s">
        <v>56</v>
      </c>
      <c r="E12" s="25">
        <v>2.375</v>
      </c>
      <c r="F12" s="124">
        <v>0.218</v>
      </c>
      <c r="G12" s="21">
        <v>0</v>
      </c>
      <c r="H12" s="21"/>
      <c r="I12" s="21" t="s">
        <v>579</v>
      </c>
      <c r="J12" s="21" t="s">
        <v>580</v>
      </c>
      <c r="K12" s="123">
        <v>150</v>
      </c>
      <c r="L12" s="123">
        <v>200</v>
      </c>
      <c r="M12" s="125">
        <v>1</v>
      </c>
      <c r="N12" s="124" t="s">
        <v>568</v>
      </c>
      <c r="O12" s="123" t="s">
        <v>565</v>
      </c>
      <c r="P12" s="126">
        <v>45658</v>
      </c>
      <c r="Q12" s="21" t="s">
        <v>46</v>
      </c>
      <c r="R12" s="19" t="s">
        <v>47</v>
      </c>
      <c r="S12" s="47"/>
      <c r="T12" s="25">
        <v>0.25700000000000001</v>
      </c>
      <c r="U12" s="48"/>
      <c r="V12" s="21" t="s">
        <v>63</v>
      </c>
      <c r="W12" s="53">
        <v>1.66</v>
      </c>
      <c r="X12" s="51" t="str">
        <f t="shared" si="0"/>
        <v>A106</v>
      </c>
      <c r="Y12" s="51" t="str">
        <f t="shared" si="1"/>
        <v>B</v>
      </c>
      <c r="Z12" s="37"/>
    </row>
    <row r="13" spans="1:26" ht="14.25" customHeight="1" x14ac:dyDescent="0.3">
      <c r="A13" s="18">
        <v>2.04</v>
      </c>
      <c r="B13" s="19" t="s">
        <v>566</v>
      </c>
      <c r="C13" s="18" t="s">
        <v>55</v>
      </c>
      <c r="D13" s="19" t="s">
        <v>56</v>
      </c>
      <c r="E13" s="25">
        <v>2.375</v>
      </c>
      <c r="F13" s="124">
        <v>0.218</v>
      </c>
      <c r="G13" s="21">
        <v>0</v>
      </c>
      <c r="H13" s="21"/>
      <c r="I13" s="21" t="s">
        <v>579</v>
      </c>
      <c r="J13" s="21" t="s">
        <v>580</v>
      </c>
      <c r="K13" s="123">
        <v>150</v>
      </c>
      <c r="L13" s="123">
        <v>200</v>
      </c>
      <c r="M13" s="125">
        <v>1</v>
      </c>
      <c r="N13" s="124" t="s">
        <v>568</v>
      </c>
      <c r="O13" s="123" t="s">
        <v>565</v>
      </c>
      <c r="P13" s="126">
        <v>45658</v>
      </c>
      <c r="Q13" s="21" t="s">
        <v>46</v>
      </c>
      <c r="R13" s="19" t="s">
        <v>47</v>
      </c>
      <c r="S13" s="47"/>
      <c r="T13" s="25">
        <v>0.25800000000000001</v>
      </c>
      <c r="U13" s="55"/>
      <c r="V13" s="21" t="s">
        <v>64</v>
      </c>
      <c r="W13" s="56">
        <v>1.9</v>
      </c>
      <c r="X13" s="51" t="str">
        <f t="shared" si="0"/>
        <v>A106</v>
      </c>
      <c r="Y13" s="51" t="str">
        <f t="shared" si="1"/>
        <v>B</v>
      </c>
      <c r="Z13" s="37"/>
    </row>
    <row r="14" spans="1:26" ht="14.25" customHeight="1" x14ac:dyDescent="0.3">
      <c r="A14" s="18">
        <v>3.01</v>
      </c>
      <c r="B14" s="19" t="s">
        <v>572</v>
      </c>
      <c r="C14" s="18" t="s">
        <v>55</v>
      </c>
      <c r="D14" s="19" t="s">
        <v>294</v>
      </c>
      <c r="E14" s="25">
        <v>1.05</v>
      </c>
      <c r="F14" s="25">
        <v>0.219</v>
      </c>
      <c r="G14" s="21">
        <v>0</v>
      </c>
      <c r="H14" s="21"/>
      <c r="I14" s="21" t="s">
        <v>577</v>
      </c>
      <c r="J14" s="21" t="s">
        <v>578</v>
      </c>
      <c r="K14" s="123">
        <v>150</v>
      </c>
      <c r="L14" s="123">
        <v>200</v>
      </c>
      <c r="M14" s="125">
        <v>1</v>
      </c>
      <c r="N14" s="124" t="s">
        <v>568</v>
      </c>
      <c r="O14" s="123" t="s">
        <v>565</v>
      </c>
      <c r="P14" s="126">
        <v>45658</v>
      </c>
      <c r="Q14" s="21" t="s">
        <v>46</v>
      </c>
      <c r="R14" s="19" t="s">
        <v>47</v>
      </c>
      <c r="S14" s="47"/>
      <c r="T14" s="25">
        <v>0.23400000000000001</v>
      </c>
      <c r="U14" s="48"/>
      <c r="V14" s="21" t="s">
        <v>66</v>
      </c>
      <c r="W14" s="54">
        <v>2.375</v>
      </c>
      <c r="X14" s="51" t="str">
        <f t="shared" si="0"/>
        <v>A234</v>
      </c>
      <c r="Y14" s="51" t="str">
        <f t="shared" si="1"/>
        <v>WPB</v>
      </c>
      <c r="Z14" s="37"/>
    </row>
    <row r="15" spans="1:26" ht="14.25" customHeight="1" x14ac:dyDescent="0.3">
      <c r="A15" s="18">
        <v>3.02</v>
      </c>
      <c r="B15" s="19" t="s">
        <v>571</v>
      </c>
      <c r="C15" s="18" t="s">
        <v>55</v>
      </c>
      <c r="D15" s="19" t="s">
        <v>294</v>
      </c>
      <c r="E15" s="25">
        <v>1.05</v>
      </c>
      <c r="F15" s="25">
        <v>0.219</v>
      </c>
      <c r="G15" s="21">
        <v>0</v>
      </c>
      <c r="H15" s="21"/>
      <c r="I15" s="21" t="s">
        <v>577</v>
      </c>
      <c r="J15" s="21" t="s">
        <v>578</v>
      </c>
      <c r="K15" s="123">
        <v>150</v>
      </c>
      <c r="L15" s="123">
        <v>200</v>
      </c>
      <c r="M15" s="125">
        <v>1</v>
      </c>
      <c r="N15" s="124" t="s">
        <v>568</v>
      </c>
      <c r="O15" s="123" t="s">
        <v>565</v>
      </c>
      <c r="P15" s="126">
        <v>45658</v>
      </c>
      <c r="Q15" s="21" t="s">
        <v>46</v>
      </c>
      <c r="R15" s="19" t="s">
        <v>47</v>
      </c>
      <c r="S15" s="24"/>
      <c r="T15" s="25">
        <v>0.23400000000000001</v>
      </c>
      <c r="U15" s="48"/>
      <c r="V15" s="21" t="s">
        <v>67</v>
      </c>
      <c r="W15" s="54">
        <v>2.875</v>
      </c>
      <c r="X15" s="51" t="str">
        <f t="shared" si="0"/>
        <v>A234</v>
      </c>
      <c r="Y15" s="51" t="str">
        <f t="shared" si="1"/>
        <v>WPB</v>
      </c>
      <c r="Z15" s="37"/>
    </row>
    <row r="16" spans="1:26" ht="14.25" customHeight="1" x14ac:dyDescent="0.3">
      <c r="A16" s="18">
        <v>3.03</v>
      </c>
      <c r="B16" s="19" t="s">
        <v>564</v>
      </c>
      <c r="C16" s="18" t="s">
        <v>55</v>
      </c>
      <c r="D16" s="19" t="s">
        <v>294</v>
      </c>
      <c r="E16" s="25">
        <v>1.05</v>
      </c>
      <c r="F16" s="25">
        <v>0.219</v>
      </c>
      <c r="G16" s="21">
        <v>0</v>
      </c>
      <c r="H16" s="21"/>
      <c r="I16" s="21" t="s">
        <v>577</v>
      </c>
      <c r="J16" s="21" t="s">
        <v>578</v>
      </c>
      <c r="K16" s="123">
        <v>150</v>
      </c>
      <c r="L16" s="123">
        <v>200</v>
      </c>
      <c r="M16" s="125">
        <v>1</v>
      </c>
      <c r="N16" s="124" t="s">
        <v>568</v>
      </c>
      <c r="O16" s="123" t="s">
        <v>565</v>
      </c>
      <c r="P16" s="126">
        <v>45658</v>
      </c>
      <c r="Q16" s="21" t="s">
        <v>46</v>
      </c>
      <c r="R16" s="19" t="s">
        <v>47</v>
      </c>
      <c r="S16" s="24"/>
      <c r="T16" s="25">
        <v>0.24099999999999999</v>
      </c>
      <c r="U16" s="48"/>
      <c r="V16" s="21" t="s">
        <v>68</v>
      </c>
      <c r="W16" s="56">
        <v>3.5</v>
      </c>
      <c r="X16" s="51" t="str">
        <f t="shared" si="0"/>
        <v>A234</v>
      </c>
      <c r="Y16" s="51" t="str">
        <f t="shared" si="1"/>
        <v>WPB</v>
      </c>
      <c r="Z16" s="37"/>
    </row>
    <row r="17" spans="1:26" ht="14.25" customHeight="1" x14ac:dyDescent="0.3">
      <c r="A17" s="18">
        <v>3.04</v>
      </c>
      <c r="B17" s="19" t="s">
        <v>566</v>
      </c>
      <c r="C17" s="18" t="s">
        <v>55</v>
      </c>
      <c r="D17" s="19" t="s">
        <v>294</v>
      </c>
      <c r="E17" s="25">
        <v>1.05</v>
      </c>
      <c r="F17" s="25">
        <v>0.219</v>
      </c>
      <c r="G17" s="21">
        <v>0</v>
      </c>
      <c r="H17" s="21"/>
      <c r="I17" s="21" t="s">
        <v>577</v>
      </c>
      <c r="J17" s="21" t="s">
        <v>578</v>
      </c>
      <c r="K17" s="123">
        <v>150</v>
      </c>
      <c r="L17" s="123">
        <v>200</v>
      </c>
      <c r="M17" s="125">
        <v>1</v>
      </c>
      <c r="N17" s="124" t="s">
        <v>568</v>
      </c>
      <c r="O17" s="123" t="s">
        <v>565</v>
      </c>
      <c r="P17" s="126">
        <v>45658</v>
      </c>
      <c r="Q17" s="21" t="s">
        <v>46</v>
      </c>
      <c r="R17" s="19" t="s">
        <v>47</v>
      </c>
      <c r="S17" s="24"/>
      <c r="T17" s="25">
        <v>0.24199999999999999</v>
      </c>
      <c r="U17" s="48"/>
      <c r="V17" s="21" t="s">
        <v>69</v>
      </c>
      <c r="W17" s="57">
        <v>4</v>
      </c>
      <c r="X17" s="51" t="str">
        <f t="shared" si="0"/>
        <v>A234</v>
      </c>
      <c r="Y17" s="51" t="str">
        <f t="shared" si="1"/>
        <v>WPB</v>
      </c>
      <c r="Z17" s="37"/>
    </row>
    <row r="18" spans="1:26" ht="14.25" customHeight="1" x14ac:dyDescent="0.3">
      <c r="A18" s="18">
        <v>4.01</v>
      </c>
      <c r="B18" s="19"/>
      <c r="C18" s="18" t="s">
        <v>55</v>
      </c>
      <c r="D18" s="19"/>
      <c r="E18" s="25"/>
      <c r="F18" s="25"/>
      <c r="G18" s="21">
        <v>0</v>
      </c>
      <c r="H18" s="21"/>
      <c r="I18" s="21"/>
      <c r="J18" s="21"/>
      <c r="K18" s="123"/>
      <c r="L18" s="123"/>
      <c r="M18" s="125">
        <v>1</v>
      </c>
      <c r="N18" s="124"/>
      <c r="O18" s="123"/>
      <c r="P18" s="126"/>
      <c r="Q18" s="21" t="s">
        <v>46</v>
      </c>
      <c r="R18" s="19" t="s">
        <v>47</v>
      </c>
      <c r="S18" s="24"/>
      <c r="T18" s="25"/>
      <c r="U18" s="26"/>
      <c r="V18" s="21" t="s">
        <v>70</v>
      </c>
      <c r="W18" s="56">
        <v>4.5</v>
      </c>
      <c r="X18" s="51" t="str">
        <f t="shared" si="0"/>
        <v/>
      </c>
      <c r="Y18" s="51" t="str">
        <f t="shared" si="1"/>
        <v/>
      </c>
      <c r="Z18" s="37"/>
    </row>
    <row r="19" spans="1:26" ht="14.25" customHeight="1" x14ac:dyDescent="0.3">
      <c r="A19" s="18">
        <v>4.0199999999999996</v>
      </c>
      <c r="B19" s="19"/>
      <c r="C19" s="18" t="s">
        <v>55</v>
      </c>
      <c r="D19" s="19"/>
      <c r="E19" s="25"/>
      <c r="F19" s="25"/>
      <c r="G19" s="21">
        <v>0</v>
      </c>
      <c r="H19" s="21"/>
      <c r="I19" s="21"/>
      <c r="J19" s="21"/>
      <c r="K19" s="123"/>
      <c r="L19" s="123"/>
      <c r="M19" s="125">
        <v>1</v>
      </c>
      <c r="N19" s="124"/>
      <c r="O19" s="123"/>
      <c r="P19" s="126"/>
      <c r="Q19" s="21" t="s">
        <v>46</v>
      </c>
      <c r="R19" s="19" t="s">
        <v>47</v>
      </c>
      <c r="S19" s="24"/>
      <c r="T19" s="25"/>
      <c r="U19" s="26"/>
      <c r="V19" s="21" t="s">
        <v>71</v>
      </c>
      <c r="W19" s="54">
        <v>5.5629999999999997</v>
      </c>
      <c r="X19" s="51" t="str">
        <f t="shared" si="0"/>
        <v/>
      </c>
      <c r="Y19" s="51" t="str">
        <f t="shared" si="1"/>
        <v/>
      </c>
      <c r="Z19" s="37"/>
    </row>
    <row r="20" spans="1:26" ht="14.25" customHeight="1" x14ac:dyDescent="0.3">
      <c r="A20" s="18">
        <v>4.03</v>
      </c>
      <c r="B20" s="19"/>
      <c r="C20" s="18" t="s">
        <v>55</v>
      </c>
      <c r="D20" s="19"/>
      <c r="E20" s="25"/>
      <c r="F20" s="25"/>
      <c r="G20" s="21">
        <v>0</v>
      </c>
      <c r="H20" s="21"/>
      <c r="I20" s="21"/>
      <c r="J20" s="21"/>
      <c r="K20" s="123"/>
      <c r="L20" s="123"/>
      <c r="M20" s="125">
        <v>1</v>
      </c>
      <c r="N20" s="124"/>
      <c r="O20" s="123"/>
      <c r="P20" s="126"/>
      <c r="Q20" s="21" t="s">
        <v>46</v>
      </c>
      <c r="R20" s="19" t="s">
        <v>47</v>
      </c>
      <c r="S20" s="24"/>
      <c r="T20" s="25"/>
      <c r="U20" s="26"/>
      <c r="V20" s="21" t="s">
        <v>72</v>
      </c>
      <c r="W20" s="54">
        <v>6.625</v>
      </c>
      <c r="X20" s="51" t="str">
        <f t="shared" si="0"/>
        <v/>
      </c>
      <c r="Y20" s="51" t="str">
        <f t="shared" si="1"/>
        <v/>
      </c>
      <c r="Z20" s="37"/>
    </row>
    <row r="21" spans="1:26" ht="14.25" customHeight="1" x14ac:dyDescent="0.3">
      <c r="A21" s="18">
        <v>4.04</v>
      </c>
      <c r="B21" s="19"/>
      <c r="C21" s="18" t="s">
        <v>55</v>
      </c>
      <c r="D21" s="19"/>
      <c r="E21" s="25"/>
      <c r="F21" s="25"/>
      <c r="G21" s="21">
        <v>0</v>
      </c>
      <c r="H21" s="21"/>
      <c r="I21" s="21"/>
      <c r="J21" s="21"/>
      <c r="K21" s="123"/>
      <c r="L21" s="123"/>
      <c r="M21" s="125">
        <v>1</v>
      </c>
      <c r="N21" s="124"/>
      <c r="O21" s="123"/>
      <c r="P21" s="126"/>
      <c r="Q21" s="21" t="s">
        <v>46</v>
      </c>
      <c r="R21" s="19" t="s">
        <v>47</v>
      </c>
      <c r="S21" s="24"/>
      <c r="T21" s="25"/>
      <c r="U21" s="26"/>
      <c r="V21" s="21" t="s">
        <v>73</v>
      </c>
      <c r="W21" s="54">
        <v>8.625</v>
      </c>
      <c r="X21" s="51" t="str">
        <f t="shared" si="0"/>
        <v/>
      </c>
      <c r="Y21" s="51" t="str">
        <f t="shared" si="1"/>
        <v/>
      </c>
      <c r="Z21" s="37"/>
    </row>
    <row r="22" spans="1:26" ht="14.25" customHeight="1" x14ac:dyDescent="0.3">
      <c r="A22" s="18">
        <v>5.01</v>
      </c>
      <c r="B22" s="25"/>
      <c r="C22" s="18" t="s">
        <v>55</v>
      </c>
      <c r="D22" s="19"/>
      <c r="E22" s="25"/>
      <c r="F22" s="25"/>
      <c r="G22" s="21">
        <v>0</v>
      </c>
      <c r="H22" s="21"/>
      <c r="I22" s="21"/>
      <c r="J22" s="21"/>
      <c r="K22" s="123"/>
      <c r="L22" s="123"/>
      <c r="M22" s="125">
        <v>1</v>
      </c>
      <c r="N22" s="124"/>
      <c r="O22" s="123"/>
      <c r="P22" s="126"/>
      <c r="Q22" s="21" t="s">
        <v>46</v>
      </c>
      <c r="R22" s="19" t="s">
        <v>47</v>
      </c>
      <c r="S22" s="24"/>
      <c r="T22" s="25"/>
      <c r="U22" s="26"/>
      <c r="V22" s="21" t="s">
        <v>75</v>
      </c>
      <c r="W22" s="53">
        <v>10.75</v>
      </c>
      <c r="X22" s="51" t="str">
        <f t="shared" si="0"/>
        <v/>
      </c>
      <c r="Y22" s="51" t="str">
        <f t="shared" si="1"/>
        <v/>
      </c>
      <c r="Z22" s="37"/>
    </row>
    <row r="23" spans="1:26" ht="14.25" customHeight="1" x14ac:dyDescent="0.3">
      <c r="A23" s="18">
        <v>5.0199999999999996</v>
      </c>
      <c r="B23" s="25"/>
      <c r="C23" s="18" t="s">
        <v>55</v>
      </c>
      <c r="D23" s="19"/>
      <c r="E23" s="25"/>
      <c r="F23" s="25"/>
      <c r="G23" s="21">
        <v>0</v>
      </c>
      <c r="H23" s="21"/>
      <c r="I23" s="21"/>
      <c r="J23" s="21"/>
      <c r="K23" s="123"/>
      <c r="L23" s="123"/>
      <c r="M23" s="125">
        <v>1</v>
      </c>
      <c r="N23" s="124"/>
      <c r="O23" s="123"/>
      <c r="P23" s="126"/>
      <c r="Q23" s="21" t="s">
        <v>46</v>
      </c>
      <c r="R23" s="19" t="s">
        <v>47</v>
      </c>
      <c r="S23" s="24"/>
      <c r="T23" s="25"/>
      <c r="U23" s="26"/>
      <c r="V23" s="21" t="s">
        <v>76</v>
      </c>
      <c r="W23" s="53">
        <v>12.75</v>
      </c>
      <c r="X23" s="51" t="str">
        <f t="shared" si="0"/>
        <v/>
      </c>
      <c r="Y23" s="51" t="str">
        <f t="shared" si="1"/>
        <v/>
      </c>
      <c r="Z23" s="37"/>
    </row>
    <row r="24" spans="1:26" ht="14.25" customHeight="1" x14ac:dyDescent="0.3">
      <c r="A24" s="18">
        <v>5.03</v>
      </c>
      <c r="B24" s="25"/>
      <c r="C24" s="18" t="s">
        <v>55</v>
      </c>
      <c r="D24" s="19"/>
      <c r="E24" s="25"/>
      <c r="F24" s="25"/>
      <c r="G24" s="21">
        <v>0</v>
      </c>
      <c r="H24" s="21"/>
      <c r="I24" s="21"/>
      <c r="J24" s="21"/>
      <c r="K24" s="123"/>
      <c r="L24" s="123"/>
      <c r="M24" s="125">
        <v>1</v>
      </c>
      <c r="N24" s="124"/>
      <c r="O24" s="123"/>
      <c r="P24" s="126"/>
      <c r="Q24" s="21" t="s">
        <v>46</v>
      </c>
      <c r="R24" s="19" t="s">
        <v>47</v>
      </c>
      <c r="S24" s="24"/>
      <c r="T24" s="25"/>
      <c r="U24" s="26"/>
      <c r="V24" s="21" t="s">
        <v>77</v>
      </c>
      <c r="W24" s="57">
        <v>14</v>
      </c>
      <c r="X24" s="51" t="str">
        <f t="shared" si="0"/>
        <v/>
      </c>
      <c r="Y24" s="51" t="str">
        <f t="shared" si="1"/>
        <v/>
      </c>
      <c r="Z24" s="37"/>
    </row>
    <row r="25" spans="1:26" ht="14.25" customHeight="1" x14ac:dyDescent="0.3">
      <c r="A25" s="18">
        <v>5.04</v>
      </c>
      <c r="B25" s="25"/>
      <c r="C25" s="18" t="s">
        <v>55</v>
      </c>
      <c r="D25" s="19"/>
      <c r="E25" s="25"/>
      <c r="F25" s="25"/>
      <c r="G25" s="21">
        <v>0</v>
      </c>
      <c r="H25" s="21"/>
      <c r="I25" s="21"/>
      <c r="J25" s="21"/>
      <c r="K25" s="123"/>
      <c r="L25" s="123"/>
      <c r="M25" s="125">
        <v>1</v>
      </c>
      <c r="N25" s="124"/>
      <c r="O25" s="123"/>
      <c r="P25" s="126"/>
      <c r="Q25" s="21" t="s">
        <v>46</v>
      </c>
      <c r="R25" s="19" t="s">
        <v>47</v>
      </c>
      <c r="S25" s="24"/>
      <c r="T25" s="25"/>
      <c r="U25" s="26"/>
      <c r="V25" s="21" t="s">
        <v>78</v>
      </c>
      <c r="W25" s="57">
        <v>16</v>
      </c>
      <c r="X25" s="51" t="str">
        <f t="shared" si="0"/>
        <v/>
      </c>
      <c r="Y25" s="51" t="str">
        <f t="shared" si="1"/>
        <v/>
      </c>
      <c r="Z25" s="37"/>
    </row>
    <row r="26" spans="1:26" ht="14.25" customHeight="1" x14ac:dyDescent="0.3">
      <c r="A26" s="18">
        <v>6.01</v>
      </c>
      <c r="B26" s="25"/>
      <c r="C26" s="18" t="s">
        <v>55</v>
      </c>
      <c r="D26" s="19"/>
      <c r="E26" s="25"/>
      <c r="F26" s="25"/>
      <c r="G26" s="21">
        <v>0</v>
      </c>
      <c r="H26" s="21"/>
      <c r="I26" s="21"/>
      <c r="J26" s="21"/>
      <c r="K26" s="123"/>
      <c r="L26" s="123"/>
      <c r="M26" s="125">
        <v>1</v>
      </c>
      <c r="N26" s="124"/>
      <c r="O26" s="123"/>
      <c r="P26" s="126"/>
      <c r="Q26" s="21" t="s">
        <v>46</v>
      </c>
      <c r="R26" s="19" t="s">
        <v>47</v>
      </c>
      <c r="S26" s="24"/>
      <c r="T26" s="25"/>
      <c r="U26" s="26"/>
      <c r="V26" s="21" t="s">
        <v>79</v>
      </c>
      <c r="W26" s="57">
        <v>18</v>
      </c>
      <c r="X26" s="51" t="str">
        <f t="shared" si="0"/>
        <v/>
      </c>
      <c r="Y26" s="51" t="str">
        <f t="shared" si="1"/>
        <v/>
      </c>
      <c r="Z26" s="37"/>
    </row>
    <row r="27" spans="1:26" ht="14.25" customHeight="1" x14ac:dyDescent="0.3">
      <c r="A27" s="18">
        <v>6.02</v>
      </c>
      <c r="B27" s="25"/>
      <c r="C27" s="18" t="s">
        <v>55</v>
      </c>
      <c r="D27" s="19"/>
      <c r="E27" s="25"/>
      <c r="F27" s="25"/>
      <c r="G27" s="21">
        <v>0</v>
      </c>
      <c r="H27" s="21"/>
      <c r="I27" s="21"/>
      <c r="J27" s="21"/>
      <c r="K27" s="123"/>
      <c r="L27" s="123"/>
      <c r="M27" s="125">
        <v>1</v>
      </c>
      <c r="N27" s="124"/>
      <c r="O27" s="123"/>
      <c r="P27" s="126"/>
      <c r="Q27" s="21" t="s">
        <v>46</v>
      </c>
      <c r="R27" s="19" t="s">
        <v>47</v>
      </c>
      <c r="S27" s="24"/>
      <c r="T27" s="25"/>
      <c r="U27" s="26"/>
      <c r="V27" s="21" t="s">
        <v>80</v>
      </c>
      <c r="W27" s="57">
        <v>20</v>
      </c>
      <c r="X27" s="51" t="str">
        <f t="shared" si="0"/>
        <v/>
      </c>
      <c r="Y27" s="51" t="str">
        <f t="shared" si="1"/>
        <v/>
      </c>
      <c r="Z27" s="37"/>
    </row>
    <row r="28" spans="1:26" ht="14.25" customHeight="1" x14ac:dyDescent="0.3">
      <c r="A28" s="18">
        <v>6.03</v>
      </c>
      <c r="B28" s="25"/>
      <c r="C28" s="18" t="s">
        <v>55</v>
      </c>
      <c r="D28" s="19"/>
      <c r="E28" s="25"/>
      <c r="F28" s="25"/>
      <c r="G28" s="21">
        <v>0</v>
      </c>
      <c r="H28" s="21"/>
      <c r="I28" s="21"/>
      <c r="J28" s="21"/>
      <c r="K28" s="123"/>
      <c r="L28" s="123"/>
      <c r="M28" s="125">
        <v>1</v>
      </c>
      <c r="N28" s="124"/>
      <c r="O28" s="123"/>
      <c r="P28" s="126"/>
      <c r="Q28" s="21" t="s">
        <v>46</v>
      </c>
      <c r="R28" s="19" t="s">
        <v>47</v>
      </c>
      <c r="S28" s="24"/>
      <c r="T28" s="25"/>
      <c r="U28" s="26"/>
      <c r="V28" s="21" t="s">
        <v>81</v>
      </c>
      <c r="W28" s="57">
        <v>22</v>
      </c>
      <c r="X28" s="51" t="str">
        <f t="shared" si="0"/>
        <v/>
      </c>
      <c r="Y28" s="51" t="str">
        <f t="shared" si="1"/>
        <v/>
      </c>
      <c r="Z28" s="37"/>
    </row>
    <row r="29" spans="1:26" ht="14.25" customHeight="1" x14ac:dyDescent="0.3">
      <c r="A29" s="18">
        <v>6.04</v>
      </c>
      <c r="B29" s="25"/>
      <c r="C29" s="18" t="s">
        <v>55</v>
      </c>
      <c r="D29" s="19"/>
      <c r="E29" s="25"/>
      <c r="F29" s="25"/>
      <c r="G29" s="21">
        <v>0</v>
      </c>
      <c r="H29" s="21"/>
      <c r="I29" s="21"/>
      <c r="J29" s="21"/>
      <c r="K29" s="123"/>
      <c r="L29" s="123"/>
      <c r="M29" s="125"/>
      <c r="N29" s="124"/>
      <c r="O29" s="123"/>
      <c r="P29" s="126"/>
      <c r="Q29" s="21" t="s">
        <v>46</v>
      </c>
      <c r="R29" s="19" t="s">
        <v>47</v>
      </c>
      <c r="S29" s="24"/>
      <c r="T29" s="25"/>
      <c r="U29" s="26"/>
      <c r="V29" s="21" t="s">
        <v>82</v>
      </c>
      <c r="W29" s="57">
        <v>24</v>
      </c>
      <c r="X29" s="51" t="str">
        <f t="shared" si="0"/>
        <v/>
      </c>
      <c r="Y29" s="51" t="str">
        <f t="shared" si="1"/>
        <v/>
      </c>
      <c r="Z29" s="37"/>
    </row>
    <row r="30" spans="1:26" ht="14.25" customHeight="1" x14ac:dyDescent="0.3">
      <c r="A30" s="18">
        <v>7.01</v>
      </c>
      <c r="B30" s="25"/>
      <c r="C30" s="18" t="s">
        <v>55</v>
      </c>
      <c r="D30" s="19"/>
      <c r="E30" s="25"/>
      <c r="F30" s="25"/>
      <c r="G30" s="21">
        <v>0</v>
      </c>
      <c r="H30" s="21"/>
      <c r="I30" s="21"/>
      <c r="J30" s="21"/>
      <c r="K30" s="123"/>
      <c r="L30" s="123"/>
      <c r="M30" s="125">
        <v>1</v>
      </c>
      <c r="N30" s="124"/>
      <c r="O30" s="123"/>
      <c r="P30" s="126"/>
      <c r="Q30" s="21" t="s">
        <v>46</v>
      </c>
      <c r="R30" s="19" t="s">
        <v>47</v>
      </c>
      <c r="S30" s="24"/>
      <c r="T30" s="25"/>
      <c r="U30" s="26"/>
      <c r="V30" s="21" t="s">
        <v>83</v>
      </c>
      <c r="W30" s="57">
        <v>26</v>
      </c>
      <c r="X30" s="51" t="str">
        <f t="shared" si="0"/>
        <v/>
      </c>
      <c r="Y30" s="51" t="str">
        <f t="shared" si="1"/>
        <v/>
      </c>
      <c r="Z30" s="37"/>
    </row>
    <row r="31" spans="1:26" ht="14.25" customHeight="1" x14ac:dyDescent="0.3">
      <c r="A31" s="18">
        <v>7.02</v>
      </c>
      <c r="B31" s="25"/>
      <c r="C31" s="18" t="s">
        <v>55</v>
      </c>
      <c r="D31" s="19"/>
      <c r="E31" s="25"/>
      <c r="F31" s="25"/>
      <c r="G31" s="21">
        <v>0</v>
      </c>
      <c r="H31" s="21"/>
      <c r="I31" s="21"/>
      <c r="J31" s="21"/>
      <c r="K31" s="123"/>
      <c r="L31" s="123"/>
      <c r="M31" s="125">
        <v>1</v>
      </c>
      <c r="N31" s="124"/>
      <c r="O31" s="123"/>
      <c r="P31" s="126"/>
      <c r="Q31" s="21" t="s">
        <v>46</v>
      </c>
      <c r="R31" s="19" t="s">
        <v>47</v>
      </c>
      <c r="S31" s="24"/>
      <c r="T31" s="25"/>
      <c r="U31" s="26"/>
      <c r="V31" s="21" t="s">
        <v>84</v>
      </c>
      <c r="W31" s="57">
        <v>28</v>
      </c>
      <c r="X31" s="51" t="str">
        <f t="shared" si="0"/>
        <v/>
      </c>
      <c r="Y31" s="51" t="str">
        <f t="shared" si="1"/>
        <v/>
      </c>
      <c r="Z31" s="37"/>
    </row>
    <row r="32" spans="1:26" ht="14.25" customHeight="1" x14ac:dyDescent="0.3">
      <c r="A32" s="18">
        <v>7.03</v>
      </c>
      <c r="B32" s="25"/>
      <c r="C32" s="18" t="s">
        <v>55</v>
      </c>
      <c r="D32" s="19"/>
      <c r="E32" s="25"/>
      <c r="F32" s="25"/>
      <c r="G32" s="21">
        <v>0</v>
      </c>
      <c r="H32" s="21"/>
      <c r="I32" s="21"/>
      <c r="J32" s="21"/>
      <c r="K32" s="123"/>
      <c r="L32" s="123"/>
      <c r="M32" s="125">
        <v>1</v>
      </c>
      <c r="N32" s="124"/>
      <c r="O32" s="123"/>
      <c r="P32" s="126"/>
      <c r="Q32" s="21" t="s">
        <v>46</v>
      </c>
      <c r="R32" s="19" t="s">
        <v>47</v>
      </c>
      <c r="S32" s="24"/>
      <c r="T32" s="25"/>
      <c r="U32" s="26"/>
      <c r="V32" s="21" t="s">
        <v>85</v>
      </c>
      <c r="W32" s="57">
        <v>30</v>
      </c>
      <c r="X32" s="51" t="str">
        <f t="shared" si="0"/>
        <v/>
      </c>
      <c r="Y32" s="51" t="str">
        <f t="shared" si="1"/>
        <v/>
      </c>
      <c r="Z32" s="37"/>
    </row>
    <row r="33" spans="1:26" ht="14.25" customHeight="1" x14ac:dyDescent="0.3">
      <c r="A33" s="18">
        <v>7.04</v>
      </c>
      <c r="B33" s="25"/>
      <c r="C33" s="18" t="s">
        <v>55</v>
      </c>
      <c r="D33" s="19"/>
      <c r="E33" s="25"/>
      <c r="F33" s="25"/>
      <c r="G33" s="21">
        <v>0</v>
      </c>
      <c r="H33" s="21"/>
      <c r="I33" s="21"/>
      <c r="J33" s="21"/>
      <c r="K33" s="123"/>
      <c r="L33" s="123"/>
      <c r="M33" s="125">
        <v>1</v>
      </c>
      <c r="N33" s="124"/>
      <c r="O33" s="123"/>
      <c r="P33" s="126"/>
      <c r="Q33" s="21" t="s">
        <v>46</v>
      </c>
      <c r="R33" s="19" t="s">
        <v>47</v>
      </c>
      <c r="S33" s="24"/>
      <c r="T33" s="25"/>
      <c r="U33" s="26"/>
      <c r="V33" s="21" t="s">
        <v>86</v>
      </c>
      <c r="W33" s="57">
        <v>32</v>
      </c>
      <c r="X33" s="51" t="str">
        <f t="shared" si="0"/>
        <v/>
      </c>
      <c r="Y33" s="51" t="str">
        <f t="shared" si="1"/>
        <v/>
      </c>
      <c r="Z33" s="37"/>
    </row>
    <row r="34" spans="1:26" ht="14.25" customHeight="1" x14ac:dyDescent="0.3">
      <c r="A34" s="18">
        <v>8.01</v>
      </c>
      <c r="B34" s="19"/>
      <c r="C34" s="18" t="s">
        <v>55</v>
      </c>
      <c r="D34" s="19"/>
      <c r="E34" s="25"/>
      <c r="F34" s="19"/>
      <c r="G34" s="21">
        <v>0</v>
      </c>
      <c r="H34" s="21"/>
      <c r="I34" s="21"/>
      <c r="J34" s="21"/>
      <c r="K34" s="123"/>
      <c r="L34" s="123"/>
      <c r="M34" s="125">
        <v>1</v>
      </c>
      <c r="N34" s="124"/>
      <c r="O34" s="123"/>
      <c r="P34" s="126"/>
      <c r="Q34" s="21" t="s">
        <v>46</v>
      </c>
      <c r="R34" s="19" t="s">
        <v>47</v>
      </c>
      <c r="S34" s="24"/>
      <c r="T34" s="25"/>
      <c r="U34" s="26"/>
      <c r="V34" s="21" t="s">
        <v>87</v>
      </c>
      <c r="W34" s="57">
        <v>34</v>
      </c>
      <c r="X34" s="51" t="str">
        <f t="shared" si="0"/>
        <v/>
      </c>
      <c r="Y34" s="51" t="str">
        <f t="shared" si="1"/>
        <v/>
      </c>
      <c r="Z34" s="37"/>
    </row>
    <row r="35" spans="1:26" ht="14.25" customHeight="1" x14ac:dyDescent="0.3">
      <c r="A35" s="18">
        <v>8.02</v>
      </c>
      <c r="B35" s="19"/>
      <c r="C35" s="18" t="s">
        <v>55</v>
      </c>
      <c r="D35" s="19"/>
      <c r="E35" s="25"/>
      <c r="F35" s="19"/>
      <c r="G35" s="21">
        <v>0</v>
      </c>
      <c r="H35" s="21"/>
      <c r="I35" s="21"/>
      <c r="J35" s="21"/>
      <c r="K35" s="123"/>
      <c r="L35" s="123"/>
      <c r="M35" s="125">
        <v>1</v>
      </c>
      <c r="N35" s="124"/>
      <c r="O35" s="123"/>
      <c r="P35" s="126"/>
      <c r="Q35" s="21" t="s">
        <v>46</v>
      </c>
      <c r="R35" s="19" t="s">
        <v>47</v>
      </c>
      <c r="S35" s="24"/>
      <c r="T35" s="25"/>
      <c r="U35" s="26"/>
      <c r="V35" s="21" t="s">
        <v>88</v>
      </c>
      <c r="W35" s="57">
        <v>36</v>
      </c>
      <c r="X35" s="51" t="str">
        <f t="shared" si="0"/>
        <v/>
      </c>
      <c r="Y35" s="51" t="str">
        <f t="shared" si="1"/>
        <v/>
      </c>
      <c r="Z35" s="37"/>
    </row>
    <row r="36" spans="1:26" ht="14.25" customHeight="1" x14ac:dyDescent="0.3">
      <c r="A36" s="18">
        <v>8.0299999999999994</v>
      </c>
      <c r="B36" s="19"/>
      <c r="C36" s="18" t="s">
        <v>55</v>
      </c>
      <c r="D36" s="19"/>
      <c r="E36" s="25"/>
      <c r="F36" s="19"/>
      <c r="G36" s="21">
        <v>0</v>
      </c>
      <c r="H36" s="21"/>
      <c r="I36" s="21"/>
      <c r="J36" s="21"/>
      <c r="K36" s="123"/>
      <c r="L36" s="123"/>
      <c r="M36" s="125">
        <v>1</v>
      </c>
      <c r="N36" s="124"/>
      <c r="O36" s="123"/>
      <c r="P36" s="126"/>
      <c r="Q36" s="21" t="s">
        <v>46</v>
      </c>
      <c r="R36" s="19" t="s">
        <v>47</v>
      </c>
      <c r="S36" s="24"/>
      <c r="T36" s="25"/>
      <c r="U36" s="26"/>
      <c r="V36" s="21" t="s">
        <v>89</v>
      </c>
      <c r="W36" s="57">
        <v>42</v>
      </c>
      <c r="X36" s="51" t="str">
        <f t="shared" si="0"/>
        <v/>
      </c>
      <c r="Y36" s="51" t="str">
        <f t="shared" si="1"/>
        <v/>
      </c>
      <c r="Z36" s="37"/>
    </row>
    <row r="37" spans="1:26" ht="14.25" customHeight="1" x14ac:dyDescent="0.3">
      <c r="A37" s="18">
        <v>8.0399999999999991</v>
      </c>
      <c r="B37" s="19"/>
      <c r="C37" s="18" t="s">
        <v>55</v>
      </c>
      <c r="D37" s="19"/>
      <c r="E37" s="25"/>
      <c r="F37" s="19"/>
      <c r="G37" s="21">
        <v>0</v>
      </c>
      <c r="H37" s="21"/>
      <c r="I37" s="21"/>
      <c r="J37" s="21"/>
      <c r="K37" s="123"/>
      <c r="L37" s="123"/>
      <c r="M37" s="125">
        <v>1</v>
      </c>
      <c r="N37" s="124"/>
      <c r="O37" s="123"/>
      <c r="P37" s="126"/>
      <c r="Q37" s="21" t="s">
        <v>46</v>
      </c>
      <c r="R37" s="19" t="s">
        <v>47</v>
      </c>
      <c r="S37" s="24"/>
      <c r="T37" s="25"/>
      <c r="U37" s="26"/>
      <c r="V37" s="7"/>
      <c r="W37" s="7"/>
      <c r="X37" s="51" t="str">
        <f t="shared" si="0"/>
        <v/>
      </c>
      <c r="Y37" s="51" t="str">
        <f t="shared" si="1"/>
        <v/>
      </c>
      <c r="Z37" s="37"/>
    </row>
    <row r="38" spans="1:26" ht="14.25" customHeight="1" x14ac:dyDescent="0.3">
      <c r="A38" s="18">
        <v>9.01</v>
      </c>
      <c r="B38" s="25"/>
      <c r="C38" s="18" t="s">
        <v>55</v>
      </c>
      <c r="D38" s="19"/>
      <c r="E38" s="25"/>
      <c r="F38" s="19"/>
      <c r="G38" s="21">
        <v>0</v>
      </c>
      <c r="H38" s="21"/>
      <c r="I38" s="21"/>
      <c r="J38" s="21"/>
      <c r="K38" s="123"/>
      <c r="L38" s="123"/>
      <c r="M38" s="125">
        <v>1</v>
      </c>
      <c r="N38" s="124"/>
      <c r="O38" s="123"/>
      <c r="P38" s="126"/>
      <c r="Q38" s="21" t="s">
        <v>46</v>
      </c>
      <c r="R38" s="19" t="s">
        <v>47</v>
      </c>
      <c r="S38" s="24"/>
      <c r="T38" s="25"/>
      <c r="U38" s="26"/>
      <c r="V38" s="7"/>
      <c r="W38" s="7"/>
      <c r="X38" s="51" t="str">
        <f t="shared" si="0"/>
        <v/>
      </c>
      <c r="Y38" s="51" t="str">
        <f t="shared" si="1"/>
        <v/>
      </c>
      <c r="Z38" s="37"/>
    </row>
    <row r="39" spans="1:26" ht="14.25" customHeight="1" x14ac:dyDescent="0.3">
      <c r="A39" s="18">
        <v>9.02</v>
      </c>
      <c r="B39" s="25"/>
      <c r="C39" s="18" t="s">
        <v>55</v>
      </c>
      <c r="D39" s="19"/>
      <c r="E39" s="25"/>
      <c r="F39" s="19"/>
      <c r="G39" s="21">
        <v>0</v>
      </c>
      <c r="H39" s="21"/>
      <c r="I39" s="21"/>
      <c r="J39" s="21"/>
      <c r="K39" s="123"/>
      <c r="L39" s="123"/>
      <c r="M39" s="125">
        <v>1</v>
      </c>
      <c r="N39" s="124"/>
      <c r="O39" s="123"/>
      <c r="P39" s="126"/>
      <c r="Q39" s="21" t="s">
        <v>46</v>
      </c>
      <c r="R39" s="19" t="s">
        <v>47</v>
      </c>
      <c r="S39" s="24"/>
      <c r="T39" s="25"/>
      <c r="U39" s="26"/>
      <c r="V39" s="7"/>
      <c r="W39" s="7"/>
      <c r="X39" s="51" t="str">
        <f t="shared" si="0"/>
        <v/>
      </c>
      <c r="Y39" s="51" t="str">
        <f t="shared" si="1"/>
        <v/>
      </c>
      <c r="Z39" s="37"/>
    </row>
    <row r="40" spans="1:26" ht="14.25" customHeight="1" x14ac:dyDescent="0.3">
      <c r="A40" s="18">
        <v>9.0299999999999994</v>
      </c>
      <c r="B40" s="25"/>
      <c r="C40" s="18" t="s">
        <v>55</v>
      </c>
      <c r="D40" s="19"/>
      <c r="E40" s="25"/>
      <c r="F40" s="19"/>
      <c r="G40" s="21">
        <v>0</v>
      </c>
      <c r="H40" s="21"/>
      <c r="I40" s="21"/>
      <c r="J40" s="21"/>
      <c r="K40" s="123"/>
      <c r="L40" s="123"/>
      <c r="M40" s="125">
        <v>1</v>
      </c>
      <c r="N40" s="124"/>
      <c r="O40" s="123"/>
      <c r="P40" s="126"/>
      <c r="Q40" s="21" t="s">
        <v>46</v>
      </c>
      <c r="R40" s="19" t="s">
        <v>47</v>
      </c>
      <c r="S40" s="24"/>
      <c r="T40" s="25"/>
      <c r="U40" s="26"/>
      <c r="V40" s="7"/>
      <c r="W40" s="7"/>
      <c r="X40" s="51" t="str">
        <f t="shared" si="0"/>
        <v/>
      </c>
      <c r="Y40" s="51" t="str">
        <f t="shared" si="1"/>
        <v/>
      </c>
      <c r="Z40" s="37"/>
    </row>
    <row r="41" spans="1:26" ht="14.25" customHeight="1" x14ac:dyDescent="0.3">
      <c r="A41" s="18">
        <v>9.0399999999999991</v>
      </c>
      <c r="B41" s="25"/>
      <c r="C41" s="18" t="s">
        <v>55</v>
      </c>
      <c r="D41" s="19"/>
      <c r="E41" s="25"/>
      <c r="F41" s="19"/>
      <c r="G41" s="21">
        <v>0</v>
      </c>
      <c r="H41" s="21"/>
      <c r="I41" s="21"/>
      <c r="J41" s="21"/>
      <c r="K41" s="123"/>
      <c r="L41" s="123"/>
      <c r="M41" s="125"/>
      <c r="N41" s="124"/>
      <c r="O41" s="123"/>
      <c r="P41" s="126"/>
      <c r="Q41" s="21" t="s">
        <v>46</v>
      </c>
      <c r="R41" s="19" t="s">
        <v>47</v>
      </c>
      <c r="S41" s="24"/>
      <c r="T41" s="25"/>
      <c r="U41" s="26"/>
      <c r="V41" s="7"/>
      <c r="W41" s="7"/>
      <c r="X41" s="51" t="str">
        <f t="shared" si="0"/>
        <v/>
      </c>
      <c r="Y41" s="51" t="str">
        <f t="shared" si="1"/>
        <v/>
      </c>
      <c r="Z41" s="37"/>
    </row>
    <row r="42" spans="1:26" ht="14.25" customHeight="1" x14ac:dyDescent="0.3">
      <c r="A42" s="18">
        <v>10.01</v>
      </c>
      <c r="B42" s="25"/>
      <c r="C42" s="18" t="s">
        <v>55</v>
      </c>
      <c r="D42" s="19"/>
      <c r="E42" s="25"/>
      <c r="F42" s="19"/>
      <c r="G42" s="21">
        <v>0</v>
      </c>
      <c r="H42" s="21"/>
      <c r="I42" s="21"/>
      <c r="J42" s="21"/>
      <c r="K42" s="123"/>
      <c r="L42" s="123"/>
      <c r="M42" s="125">
        <v>1</v>
      </c>
      <c r="N42" s="124"/>
      <c r="O42" s="123"/>
      <c r="P42" s="126"/>
      <c r="Q42" s="21" t="s">
        <v>46</v>
      </c>
      <c r="R42" s="19" t="s">
        <v>47</v>
      </c>
      <c r="S42" s="24"/>
      <c r="T42" s="25"/>
      <c r="U42" s="26"/>
      <c r="V42" s="7"/>
      <c r="W42" s="7"/>
      <c r="X42" s="51" t="str">
        <f t="shared" si="0"/>
        <v/>
      </c>
      <c r="Y42" s="51" t="str">
        <f t="shared" si="1"/>
        <v/>
      </c>
      <c r="Z42" s="37"/>
    </row>
    <row r="43" spans="1:26" ht="14.25" customHeight="1" x14ac:dyDescent="0.3">
      <c r="A43" s="18">
        <v>10.02</v>
      </c>
      <c r="B43" s="25"/>
      <c r="C43" s="18" t="s">
        <v>55</v>
      </c>
      <c r="D43" s="19"/>
      <c r="E43" s="25"/>
      <c r="F43" s="19"/>
      <c r="G43" s="21">
        <v>0</v>
      </c>
      <c r="H43" s="21"/>
      <c r="I43" s="21"/>
      <c r="J43" s="21"/>
      <c r="K43" s="123"/>
      <c r="L43" s="123"/>
      <c r="M43" s="125">
        <v>1</v>
      </c>
      <c r="N43" s="124"/>
      <c r="O43" s="123"/>
      <c r="P43" s="126"/>
      <c r="Q43" s="21" t="s">
        <v>46</v>
      </c>
      <c r="R43" s="19" t="s">
        <v>47</v>
      </c>
      <c r="S43" s="24"/>
      <c r="T43" s="25"/>
      <c r="U43" s="26"/>
      <c r="V43" s="7"/>
      <c r="W43" s="7"/>
      <c r="X43" s="51" t="str">
        <f t="shared" si="0"/>
        <v/>
      </c>
      <c r="Y43" s="51" t="str">
        <f t="shared" si="1"/>
        <v/>
      </c>
      <c r="Z43" s="37"/>
    </row>
    <row r="44" spans="1:26" ht="14.25" customHeight="1" x14ac:dyDescent="0.3">
      <c r="A44" s="18">
        <v>10.029999999999999</v>
      </c>
      <c r="B44" s="25"/>
      <c r="C44" s="18" t="s">
        <v>55</v>
      </c>
      <c r="D44" s="19"/>
      <c r="E44" s="25"/>
      <c r="F44" s="19"/>
      <c r="G44" s="21">
        <v>0</v>
      </c>
      <c r="H44" s="21"/>
      <c r="I44" s="21"/>
      <c r="J44" s="21"/>
      <c r="K44" s="123"/>
      <c r="L44" s="123"/>
      <c r="M44" s="125">
        <v>1</v>
      </c>
      <c r="N44" s="124"/>
      <c r="O44" s="123"/>
      <c r="P44" s="126"/>
      <c r="Q44" s="21" t="s">
        <v>46</v>
      </c>
      <c r="R44" s="19" t="s">
        <v>47</v>
      </c>
      <c r="S44" s="24"/>
      <c r="T44" s="25"/>
      <c r="U44" s="26"/>
      <c r="V44" s="7"/>
      <c r="W44" s="7"/>
      <c r="X44" s="51" t="str">
        <f t="shared" si="0"/>
        <v/>
      </c>
      <c r="Y44" s="51" t="str">
        <f t="shared" si="1"/>
        <v/>
      </c>
      <c r="Z44" s="37"/>
    </row>
    <row r="45" spans="1:26" ht="14.25" customHeight="1" x14ac:dyDescent="0.3">
      <c r="A45" s="18">
        <v>10.039999999999999</v>
      </c>
      <c r="B45" s="25"/>
      <c r="C45" s="18" t="s">
        <v>55</v>
      </c>
      <c r="D45" s="19"/>
      <c r="E45" s="25"/>
      <c r="F45" s="19"/>
      <c r="G45" s="21">
        <v>0</v>
      </c>
      <c r="H45" s="21"/>
      <c r="I45" s="21"/>
      <c r="J45" s="21"/>
      <c r="K45" s="123"/>
      <c r="L45" s="123"/>
      <c r="M45" s="125">
        <v>1</v>
      </c>
      <c r="N45" s="124"/>
      <c r="O45" s="123"/>
      <c r="P45" s="126"/>
      <c r="Q45" s="21" t="s">
        <v>46</v>
      </c>
      <c r="R45" s="19" t="s">
        <v>47</v>
      </c>
      <c r="S45" s="24"/>
      <c r="T45" s="25"/>
      <c r="U45" s="26"/>
      <c r="V45" s="7"/>
      <c r="W45" s="7"/>
      <c r="X45" s="51" t="str">
        <f t="shared" si="0"/>
        <v/>
      </c>
      <c r="Y45" s="51" t="str">
        <f t="shared" si="1"/>
        <v/>
      </c>
      <c r="Z45" s="37"/>
    </row>
    <row r="46" spans="1:26" ht="14.25" customHeight="1" x14ac:dyDescent="0.3">
      <c r="A46" s="18">
        <v>11.1</v>
      </c>
      <c r="B46" s="19"/>
      <c r="C46" s="18" t="s">
        <v>55</v>
      </c>
      <c r="D46" s="19"/>
      <c r="E46" s="25"/>
      <c r="F46" s="19"/>
      <c r="G46" s="21">
        <v>0</v>
      </c>
      <c r="H46" s="21"/>
      <c r="I46" s="21"/>
      <c r="J46" s="21"/>
      <c r="K46" s="123"/>
      <c r="L46" s="123"/>
      <c r="M46" s="125">
        <v>1</v>
      </c>
      <c r="N46" s="124"/>
      <c r="O46" s="123"/>
      <c r="P46" s="126"/>
      <c r="Q46" s="21" t="s">
        <v>46</v>
      </c>
      <c r="R46" s="19" t="s">
        <v>47</v>
      </c>
      <c r="S46" s="24"/>
      <c r="T46" s="25"/>
      <c r="U46" s="26"/>
      <c r="V46" s="7"/>
      <c r="W46" s="7"/>
      <c r="X46" s="51" t="str">
        <f t="shared" si="0"/>
        <v/>
      </c>
      <c r="Y46" s="51" t="str">
        <f t="shared" si="1"/>
        <v/>
      </c>
      <c r="Z46" s="37"/>
    </row>
    <row r="47" spans="1:26" ht="14.25" customHeight="1" x14ac:dyDescent="0.3">
      <c r="A47" s="18">
        <v>11.2</v>
      </c>
      <c r="B47" s="19"/>
      <c r="C47" s="18" t="s">
        <v>55</v>
      </c>
      <c r="D47" s="19"/>
      <c r="E47" s="25"/>
      <c r="F47" s="19"/>
      <c r="G47" s="21">
        <v>0</v>
      </c>
      <c r="H47" s="21"/>
      <c r="I47" s="21"/>
      <c r="J47" s="21"/>
      <c r="K47" s="123"/>
      <c r="L47" s="123"/>
      <c r="M47" s="125">
        <v>1</v>
      </c>
      <c r="N47" s="124"/>
      <c r="O47" s="123"/>
      <c r="P47" s="126"/>
      <c r="Q47" s="21" t="s">
        <v>46</v>
      </c>
      <c r="R47" s="19" t="s">
        <v>47</v>
      </c>
      <c r="S47" s="24"/>
      <c r="T47" s="25"/>
      <c r="U47" s="26"/>
      <c r="V47" s="7"/>
      <c r="W47" s="7"/>
      <c r="X47" s="51" t="str">
        <f t="shared" si="0"/>
        <v/>
      </c>
      <c r="Y47" s="51" t="str">
        <f t="shared" si="1"/>
        <v/>
      </c>
      <c r="Z47" s="37"/>
    </row>
    <row r="48" spans="1:26" ht="14.25" customHeight="1" x14ac:dyDescent="0.3">
      <c r="A48" s="18">
        <v>11.3</v>
      </c>
      <c r="B48" s="19"/>
      <c r="C48" s="18" t="s">
        <v>55</v>
      </c>
      <c r="D48" s="19"/>
      <c r="E48" s="25"/>
      <c r="F48" s="19"/>
      <c r="G48" s="21">
        <v>0</v>
      </c>
      <c r="H48" s="21"/>
      <c r="I48" s="21"/>
      <c r="J48" s="21"/>
      <c r="K48" s="123"/>
      <c r="L48" s="123"/>
      <c r="M48" s="125">
        <v>1</v>
      </c>
      <c r="N48" s="124"/>
      <c r="O48" s="123"/>
      <c r="P48" s="126"/>
      <c r="Q48" s="21" t="s">
        <v>46</v>
      </c>
      <c r="R48" s="19" t="s">
        <v>47</v>
      </c>
      <c r="S48" s="24"/>
      <c r="T48" s="25"/>
      <c r="U48" s="26"/>
      <c r="V48" s="7"/>
      <c r="W48" s="7"/>
      <c r="X48" s="51" t="str">
        <f t="shared" si="0"/>
        <v/>
      </c>
      <c r="Y48" s="51" t="str">
        <f t="shared" si="1"/>
        <v/>
      </c>
      <c r="Z48" s="37"/>
    </row>
    <row r="49" spans="1:26" ht="14.25" customHeight="1" x14ac:dyDescent="0.3">
      <c r="A49" s="18">
        <v>11.4</v>
      </c>
      <c r="B49" s="19"/>
      <c r="C49" s="18" t="s">
        <v>55</v>
      </c>
      <c r="D49" s="19"/>
      <c r="E49" s="25"/>
      <c r="F49" s="19"/>
      <c r="G49" s="21">
        <v>0</v>
      </c>
      <c r="H49" s="21"/>
      <c r="I49" s="21"/>
      <c r="J49" s="21"/>
      <c r="K49" s="123"/>
      <c r="L49" s="123"/>
      <c r="M49" s="125"/>
      <c r="N49" s="124"/>
      <c r="O49" s="123"/>
      <c r="P49" s="126"/>
      <c r="Q49" s="21" t="s">
        <v>46</v>
      </c>
      <c r="R49" s="19" t="s">
        <v>47</v>
      </c>
      <c r="S49" s="24"/>
      <c r="T49" s="25"/>
      <c r="U49" s="26"/>
      <c r="V49" s="7"/>
      <c r="W49" s="7"/>
      <c r="X49" s="51" t="str">
        <f t="shared" si="0"/>
        <v/>
      </c>
      <c r="Y49" s="51" t="str">
        <f t="shared" si="1"/>
        <v/>
      </c>
      <c r="Z49" s="37"/>
    </row>
    <row r="50" spans="1:26" ht="14.25" customHeight="1" x14ac:dyDescent="0.3">
      <c r="A50" s="18">
        <v>12.1</v>
      </c>
      <c r="B50" s="19"/>
      <c r="C50" s="18" t="s">
        <v>55</v>
      </c>
      <c r="D50" s="19"/>
      <c r="E50" s="25"/>
      <c r="F50" s="19"/>
      <c r="G50" s="21">
        <v>0</v>
      </c>
      <c r="H50" s="21"/>
      <c r="I50" s="21"/>
      <c r="J50" s="21"/>
      <c r="K50" s="123"/>
      <c r="L50" s="123"/>
      <c r="M50" s="125">
        <v>1</v>
      </c>
      <c r="N50" s="124"/>
      <c r="O50" s="123"/>
      <c r="P50" s="126"/>
      <c r="Q50" s="21" t="s">
        <v>46</v>
      </c>
      <c r="R50" s="19" t="s">
        <v>47</v>
      </c>
      <c r="S50" s="24"/>
      <c r="T50" s="25"/>
      <c r="U50" s="26"/>
      <c r="V50" s="7"/>
      <c r="W50" s="7"/>
      <c r="X50" s="51" t="str">
        <f t="shared" si="0"/>
        <v/>
      </c>
      <c r="Y50" s="51" t="str">
        <f t="shared" si="1"/>
        <v/>
      </c>
      <c r="Z50" s="37"/>
    </row>
    <row r="51" spans="1:26" ht="14.25" customHeight="1" x14ac:dyDescent="0.3">
      <c r="A51" s="18">
        <v>12.2</v>
      </c>
      <c r="B51" s="19"/>
      <c r="C51" s="18" t="s">
        <v>55</v>
      </c>
      <c r="D51" s="19"/>
      <c r="E51" s="25"/>
      <c r="F51" s="19"/>
      <c r="G51" s="21">
        <v>0</v>
      </c>
      <c r="H51" s="21"/>
      <c r="I51" s="21"/>
      <c r="J51" s="21"/>
      <c r="K51" s="123"/>
      <c r="L51" s="123"/>
      <c r="M51" s="125">
        <v>1</v>
      </c>
      <c r="N51" s="124"/>
      <c r="O51" s="123"/>
      <c r="P51" s="126"/>
      <c r="Q51" s="21" t="s">
        <v>46</v>
      </c>
      <c r="R51" s="19" t="s">
        <v>47</v>
      </c>
      <c r="S51" s="24"/>
      <c r="T51" s="25"/>
      <c r="U51" s="26"/>
      <c r="V51" s="7"/>
      <c r="W51" s="7"/>
      <c r="X51" s="51" t="str">
        <f t="shared" si="0"/>
        <v/>
      </c>
      <c r="Y51" s="51" t="str">
        <f t="shared" si="1"/>
        <v/>
      </c>
      <c r="Z51" s="37"/>
    </row>
    <row r="52" spans="1:26" ht="14.25" customHeight="1" x14ac:dyDescent="0.3">
      <c r="A52" s="18">
        <v>12.3</v>
      </c>
      <c r="B52" s="19"/>
      <c r="C52" s="18" t="s">
        <v>55</v>
      </c>
      <c r="D52" s="19"/>
      <c r="E52" s="25"/>
      <c r="F52" s="19"/>
      <c r="G52" s="21">
        <v>0</v>
      </c>
      <c r="H52" s="21"/>
      <c r="I52" s="21"/>
      <c r="J52" s="21"/>
      <c r="K52" s="123"/>
      <c r="L52" s="123"/>
      <c r="M52" s="125">
        <v>1</v>
      </c>
      <c r="N52" s="124"/>
      <c r="O52" s="123"/>
      <c r="P52" s="126"/>
      <c r="Q52" s="21" t="s">
        <v>46</v>
      </c>
      <c r="R52" s="19" t="s">
        <v>47</v>
      </c>
      <c r="S52" s="24"/>
      <c r="T52" s="25"/>
      <c r="U52" s="26"/>
      <c r="V52" s="7"/>
      <c r="W52" s="7"/>
      <c r="X52" s="51" t="str">
        <f t="shared" si="0"/>
        <v/>
      </c>
      <c r="Y52" s="51" t="str">
        <f t="shared" si="1"/>
        <v/>
      </c>
      <c r="Z52" s="37"/>
    </row>
    <row r="53" spans="1:26" ht="14.25" customHeight="1" x14ac:dyDescent="0.3">
      <c r="A53" s="18">
        <v>12.4</v>
      </c>
      <c r="B53" s="19"/>
      <c r="C53" s="18" t="s">
        <v>55</v>
      </c>
      <c r="D53" s="19"/>
      <c r="E53" s="25"/>
      <c r="F53" s="19"/>
      <c r="G53" s="21">
        <v>0</v>
      </c>
      <c r="H53" s="21"/>
      <c r="I53" s="21"/>
      <c r="J53" s="21"/>
      <c r="K53" s="123"/>
      <c r="L53" s="123"/>
      <c r="M53" s="125">
        <v>1</v>
      </c>
      <c r="N53" s="124"/>
      <c r="O53" s="123"/>
      <c r="P53" s="126"/>
      <c r="Q53" s="21" t="s">
        <v>46</v>
      </c>
      <c r="R53" s="19" t="s">
        <v>47</v>
      </c>
      <c r="S53" s="24"/>
      <c r="T53" s="25"/>
      <c r="U53" s="26"/>
      <c r="V53" s="7"/>
      <c r="W53" s="7"/>
      <c r="X53" s="51" t="str">
        <f t="shared" si="0"/>
        <v/>
      </c>
      <c r="Y53" s="51" t="str">
        <f t="shared" si="1"/>
        <v/>
      </c>
      <c r="Z53" s="37"/>
    </row>
    <row r="54" spans="1:26" ht="14.25" customHeight="1" x14ac:dyDescent="0.3">
      <c r="A54" s="18">
        <v>13.1</v>
      </c>
      <c r="B54" s="19"/>
      <c r="C54" s="18" t="s">
        <v>55</v>
      </c>
      <c r="D54" s="19"/>
      <c r="E54" s="25"/>
      <c r="F54" s="19"/>
      <c r="G54" s="21">
        <v>0</v>
      </c>
      <c r="H54" s="21"/>
      <c r="I54" s="21"/>
      <c r="J54" s="21"/>
      <c r="K54" s="19"/>
      <c r="L54" s="19"/>
      <c r="M54" s="22">
        <v>1</v>
      </c>
      <c r="N54" s="19"/>
      <c r="O54" s="25"/>
      <c r="P54" s="23"/>
      <c r="Q54" s="21" t="s">
        <v>46</v>
      </c>
      <c r="R54" s="19" t="s">
        <v>47</v>
      </c>
      <c r="S54" s="24"/>
      <c r="T54" s="25"/>
      <c r="U54" s="26"/>
      <c r="V54" s="7"/>
      <c r="W54" s="7"/>
      <c r="X54" s="51" t="str">
        <f t="shared" si="0"/>
        <v/>
      </c>
      <c r="Y54" s="51" t="str">
        <f t="shared" si="1"/>
        <v/>
      </c>
      <c r="Z54" s="37"/>
    </row>
    <row r="55" spans="1:26" ht="14.25" customHeight="1" x14ac:dyDescent="0.3">
      <c r="A55" s="18">
        <v>13.2</v>
      </c>
      <c r="B55" s="19"/>
      <c r="C55" s="18" t="s">
        <v>55</v>
      </c>
      <c r="D55" s="19"/>
      <c r="E55" s="25"/>
      <c r="F55" s="19"/>
      <c r="G55" s="21">
        <v>0</v>
      </c>
      <c r="H55" s="21"/>
      <c r="I55" s="21"/>
      <c r="J55" s="21"/>
      <c r="K55" s="19"/>
      <c r="L55" s="19"/>
      <c r="M55" s="22">
        <v>1</v>
      </c>
      <c r="N55" s="19"/>
      <c r="O55" s="25"/>
      <c r="P55" s="23"/>
      <c r="Q55" s="21" t="s">
        <v>46</v>
      </c>
      <c r="R55" s="19" t="s">
        <v>47</v>
      </c>
      <c r="S55" s="24"/>
      <c r="T55" s="25"/>
      <c r="U55" s="26"/>
      <c r="V55" s="7"/>
      <c r="W55" s="7"/>
      <c r="X55" s="51" t="str">
        <f t="shared" si="0"/>
        <v/>
      </c>
      <c r="Y55" s="51" t="str">
        <f t="shared" si="1"/>
        <v/>
      </c>
      <c r="Z55" s="37"/>
    </row>
    <row r="56" spans="1:26" ht="14.25" customHeight="1" x14ac:dyDescent="0.3">
      <c r="A56" s="18">
        <v>13.3</v>
      </c>
      <c r="B56" s="19"/>
      <c r="C56" s="18" t="s">
        <v>55</v>
      </c>
      <c r="D56" s="19"/>
      <c r="E56" s="25"/>
      <c r="F56" s="19"/>
      <c r="G56" s="21">
        <v>0</v>
      </c>
      <c r="H56" s="21"/>
      <c r="I56" s="21"/>
      <c r="J56" s="21"/>
      <c r="K56" s="19"/>
      <c r="L56" s="19"/>
      <c r="M56" s="22">
        <v>1</v>
      </c>
      <c r="N56" s="19"/>
      <c r="O56" s="25"/>
      <c r="P56" s="23"/>
      <c r="Q56" s="21" t="s">
        <v>46</v>
      </c>
      <c r="R56" s="19" t="s">
        <v>47</v>
      </c>
      <c r="S56" s="21"/>
      <c r="T56" s="58"/>
      <c r="U56" s="21"/>
      <c r="V56" s="7"/>
      <c r="W56" s="7"/>
      <c r="X56" s="51" t="str">
        <f t="shared" si="0"/>
        <v/>
      </c>
      <c r="Y56" s="51" t="str">
        <f t="shared" si="1"/>
        <v/>
      </c>
      <c r="Z56" s="37"/>
    </row>
    <row r="57" spans="1:26" ht="14.25" customHeight="1" x14ac:dyDescent="0.3">
      <c r="A57" s="18">
        <v>13.4</v>
      </c>
      <c r="B57" s="19"/>
      <c r="C57" s="18" t="s">
        <v>55</v>
      </c>
      <c r="D57" s="19"/>
      <c r="E57" s="25"/>
      <c r="F57" s="19"/>
      <c r="G57" s="21">
        <v>0</v>
      </c>
      <c r="H57" s="21"/>
      <c r="I57" s="21"/>
      <c r="J57" s="21"/>
      <c r="K57" s="19"/>
      <c r="L57" s="19"/>
      <c r="M57" s="22">
        <v>1</v>
      </c>
      <c r="N57" s="19"/>
      <c r="O57" s="25"/>
      <c r="P57" s="23"/>
      <c r="Q57" s="21" t="s">
        <v>46</v>
      </c>
      <c r="R57" s="19" t="s">
        <v>47</v>
      </c>
      <c r="S57" s="21"/>
      <c r="T57" s="19"/>
      <c r="U57" s="21"/>
      <c r="V57" s="7"/>
      <c r="W57" s="7"/>
      <c r="X57" s="51" t="str">
        <f t="shared" si="0"/>
        <v/>
      </c>
      <c r="Y57" s="51" t="str">
        <f t="shared" si="1"/>
        <v/>
      </c>
      <c r="Z57" s="37"/>
    </row>
    <row r="58" spans="1:26" ht="14.25" customHeight="1" x14ac:dyDescent="0.3">
      <c r="A58" s="18">
        <v>14.1</v>
      </c>
      <c r="B58" s="19"/>
      <c r="C58" s="18" t="s">
        <v>55</v>
      </c>
      <c r="D58" s="19"/>
      <c r="E58" s="25"/>
      <c r="F58" s="19"/>
      <c r="G58" s="21">
        <v>0</v>
      </c>
      <c r="H58" s="21"/>
      <c r="I58" s="21"/>
      <c r="J58" s="21"/>
      <c r="K58" s="19"/>
      <c r="L58" s="19"/>
      <c r="M58" s="22">
        <v>1</v>
      </c>
      <c r="N58" s="19"/>
      <c r="O58" s="25"/>
      <c r="P58" s="23"/>
      <c r="Q58" s="21" t="s">
        <v>46</v>
      </c>
      <c r="R58" s="19" t="s">
        <v>47</v>
      </c>
      <c r="S58" s="21"/>
      <c r="T58" s="19"/>
      <c r="U58" s="21"/>
      <c r="V58" s="7"/>
      <c r="W58" s="7"/>
      <c r="X58" s="51" t="str">
        <f t="shared" si="0"/>
        <v/>
      </c>
      <c r="Y58" s="51" t="str">
        <f t="shared" si="1"/>
        <v/>
      </c>
      <c r="Z58" s="37"/>
    </row>
    <row r="59" spans="1:26" ht="14.25" customHeight="1" x14ac:dyDescent="0.3">
      <c r="A59" s="18">
        <v>14.2</v>
      </c>
      <c r="B59" s="19"/>
      <c r="C59" s="18" t="s">
        <v>55</v>
      </c>
      <c r="D59" s="19"/>
      <c r="E59" s="25"/>
      <c r="F59" s="19"/>
      <c r="G59" s="21">
        <v>0</v>
      </c>
      <c r="H59" s="21"/>
      <c r="I59" s="21"/>
      <c r="J59" s="21"/>
      <c r="K59" s="19"/>
      <c r="L59" s="19"/>
      <c r="M59" s="22">
        <v>1</v>
      </c>
      <c r="N59" s="19"/>
      <c r="O59" s="25"/>
      <c r="P59" s="23"/>
      <c r="Q59" s="21" t="s">
        <v>46</v>
      </c>
      <c r="R59" s="19" t="s">
        <v>47</v>
      </c>
      <c r="S59" s="21"/>
      <c r="T59" s="19"/>
      <c r="U59" s="21"/>
      <c r="V59" s="7"/>
      <c r="W59" s="7"/>
      <c r="X59" s="51" t="str">
        <f t="shared" si="0"/>
        <v/>
      </c>
      <c r="Y59" s="51" t="str">
        <f t="shared" si="1"/>
        <v/>
      </c>
      <c r="Z59" s="37"/>
    </row>
    <row r="60" spans="1:26" ht="14.25" customHeight="1" x14ac:dyDescent="0.3">
      <c r="A60" s="18">
        <v>14.3</v>
      </c>
      <c r="B60" s="19"/>
      <c r="C60" s="18" t="s">
        <v>55</v>
      </c>
      <c r="D60" s="19"/>
      <c r="E60" s="25"/>
      <c r="F60" s="19"/>
      <c r="G60" s="21">
        <v>0</v>
      </c>
      <c r="H60" s="21"/>
      <c r="I60" s="21"/>
      <c r="J60" s="21"/>
      <c r="K60" s="19"/>
      <c r="L60" s="19"/>
      <c r="M60" s="22">
        <v>1</v>
      </c>
      <c r="N60" s="19"/>
      <c r="O60" s="25"/>
      <c r="P60" s="23"/>
      <c r="Q60" s="21" t="s">
        <v>46</v>
      </c>
      <c r="R60" s="19" t="s">
        <v>47</v>
      </c>
      <c r="S60" s="21"/>
      <c r="T60" s="19"/>
      <c r="U60" s="21"/>
      <c r="V60" s="7"/>
      <c r="W60" s="7"/>
      <c r="X60" s="51" t="str">
        <f t="shared" si="0"/>
        <v/>
      </c>
      <c r="Y60" s="51" t="str">
        <f t="shared" si="1"/>
        <v/>
      </c>
      <c r="Z60" s="37"/>
    </row>
    <row r="61" spans="1:26" ht="14.25" customHeight="1" x14ac:dyDescent="0.3">
      <c r="A61" s="18">
        <v>14.4</v>
      </c>
      <c r="B61" s="19"/>
      <c r="C61" s="18" t="s">
        <v>55</v>
      </c>
      <c r="D61" s="19"/>
      <c r="E61" s="25"/>
      <c r="F61" s="19"/>
      <c r="G61" s="21">
        <v>0</v>
      </c>
      <c r="H61" s="21"/>
      <c r="I61" s="21"/>
      <c r="J61" s="21"/>
      <c r="K61" s="19"/>
      <c r="L61" s="19"/>
      <c r="M61" s="22">
        <v>1</v>
      </c>
      <c r="N61" s="19"/>
      <c r="O61" s="25"/>
      <c r="P61" s="23"/>
      <c r="Q61" s="21" t="s">
        <v>46</v>
      </c>
      <c r="R61" s="19" t="s">
        <v>47</v>
      </c>
      <c r="S61" s="21"/>
      <c r="T61" s="19"/>
      <c r="U61" s="21"/>
      <c r="V61" s="7"/>
      <c r="W61" s="7"/>
      <c r="X61" s="51" t="str">
        <f t="shared" si="0"/>
        <v/>
      </c>
      <c r="Y61" s="51" t="str">
        <f t="shared" si="1"/>
        <v/>
      </c>
      <c r="Z61" s="37"/>
    </row>
    <row r="62" spans="1:26" ht="14.25" customHeight="1" x14ac:dyDescent="0.3">
      <c r="A62" s="18">
        <v>15.1</v>
      </c>
      <c r="B62" s="19"/>
      <c r="C62" s="18" t="s">
        <v>55</v>
      </c>
      <c r="D62" s="19"/>
      <c r="E62" s="25"/>
      <c r="F62" s="19"/>
      <c r="G62" s="21">
        <v>0</v>
      </c>
      <c r="H62" s="21"/>
      <c r="I62" s="21"/>
      <c r="J62" s="21"/>
      <c r="K62" s="19"/>
      <c r="L62" s="19"/>
      <c r="M62" s="22">
        <v>1</v>
      </c>
      <c r="N62" s="19"/>
      <c r="O62" s="25"/>
      <c r="P62" s="23"/>
      <c r="Q62" s="21" t="s">
        <v>46</v>
      </c>
      <c r="R62" s="19" t="s">
        <v>47</v>
      </c>
      <c r="S62" s="21"/>
      <c r="T62" s="19"/>
      <c r="U62" s="21"/>
      <c r="V62" s="7"/>
      <c r="W62" s="7"/>
      <c r="X62" s="51" t="str">
        <f t="shared" si="0"/>
        <v/>
      </c>
      <c r="Y62" s="51" t="str">
        <f t="shared" si="1"/>
        <v/>
      </c>
      <c r="Z62" s="37"/>
    </row>
    <row r="63" spans="1:26" ht="14.25" customHeight="1" x14ac:dyDescent="0.3">
      <c r="A63" s="18">
        <v>15.2</v>
      </c>
      <c r="B63" s="19"/>
      <c r="C63" s="18" t="s">
        <v>55</v>
      </c>
      <c r="D63" s="19"/>
      <c r="E63" s="25"/>
      <c r="F63" s="19"/>
      <c r="G63" s="21">
        <v>0</v>
      </c>
      <c r="H63" s="21"/>
      <c r="I63" s="21"/>
      <c r="J63" s="21"/>
      <c r="K63" s="19"/>
      <c r="L63" s="19"/>
      <c r="M63" s="22">
        <v>1</v>
      </c>
      <c r="N63" s="19"/>
      <c r="O63" s="25"/>
      <c r="P63" s="23"/>
      <c r="Q63" s="21" t="s">
        <v>46</v>
      </c>
      <c r="R63" s="19" t="s">
        <v>47</v>
      </c>
      <c r="S63" s="21"/>
      <c r="T63" s="19"/>
      <c r="U63" s="21"/>
      <c r="V63" s="7"/>
      <c r="W63" s="7"/>
      <c r="X63" s="51" t="str">
        <f t="shared" si="0"/>
        <v/>
      </c>
      <c r="Y63" s="51" t="str">
        <f t="shared" si="1"/>
        <v/>
      </c>
      <c r="Z63" s="37"/>
    </row>
    <row r="64" spans="1:26" ht="14.25" customHeight="1" x14ac:dyDescent="0.3">
      <c r="A64" s="18">
        <v>15.3</v>
      </c>
      <c r="B64" s="19"/>
      <c r="C64" s="18" t="s">
        <v>55</v>
      </c>
      <c r="D64" s="19"/>
      <c r="E64" s="25"/>
      <c r="F64" s="19"/>
      <c r="G64" s="21">
        <v>0</v>
      </c>
      <c r="H64" s="21"/>
      <c r="I64" s="21"/>
      <c r="J64" s="21"/>
      <c r="K64" s="19"/>
      <c r="L64" s="19"/>
      <c r="M64" s="22">
        <v>1</v>
      </c>
      <c r="N64" s="19"/>
      <c r="O64" s="25"/>
      <c r="P64" s="23"/>
      <c r="Q64" s="21" t="s">
        <v>46</v>
      </c>
      <c r="R64" s="19" t="s">
        <v>47</v>
      </c>
      <c r="S64" s="21"/>
      <c r="T64" s="19"/>
      <c r="U64" s="21"/>
      <c r="V64" s="7"/>
      <c r="W64" s="7"/>
      <c r="X64" s="51" t="str">
        <f t="shared" si="0"/>
        <v/>
      </c>
      <c r="Y64" s="51" t="str">
        <f t="shared" si="1"/>
        <v/>
      </c>
      <c r="Z64" s="37"/>
    </row>
    <row r="65" spans="1:26" ht="14.25" customHeight="1" x14ac:dyDescent="0.3">
      <c r="A65" s="18">
        <v>15.4</v>
      </c>
      <c r="B65" s="19"/>
      <c r="C65" s="18" t="s">
        <v>55</v>
      </c>
      <c r="D65" s="19"/>
      <c r="E65" s="25"/>
      <c r="F65" s="19"/>
      <c r="G65" s="21">
        <v>0</v>
      </c>
      <c r="H65" s="21"/>
      <c r="I65" s="21"/>
      <c r="J65" s="21"/>
      <c r="K65" s="19"/>
      <c r="L65" s="19"/>
      <c r="M65" s="22">
        <v>1</v>
      </c>
      <c r="N65" s="19"/>
      <c r="O65" s="25"/>
      <c r="P65" s="23"/>
      <c r="Q65" s="21" t="s">
        <v>46</v>
      </c>
      <c r="R65" s="19" t="s">
        <v>47</v>
      </c>
      <c r="S65" s="21"/>
      <c r="T65" s="19"/>
      <c r="U65" s="21"/>
      <c r="V65" s="7"/>
      <c r="W65" s="7"/>
      <c r="X65" s="51" t="str">
        <f t="shared" si="0"/>
        <v/>
      </c>
      <c r="Y65" s="51" t="str">
        <f t="shared" si="1"/>
        <v/>
      </c>
      <c r="Z65" s="37"/>
    </row>
    <row r="66" spans="1:26" ht="14.25" customHeight="1" x14ac:dyDescent="0.3">
      <c r="A66" s="18">
        <v>16.100000000000001</v>
      </c>
      <c r="B66" s="19"/>
      <c r="C66" s="18" t="s">
        <v>55</v>
      </c>
      <c r="D66" s="19"/>
      <c r="E66" s="25"/>
      <c r="F66" s="19"/>
      <c r="G66" s="21">
        <v>0</v>
      </c>
      <c r="H66" s="21"/>
      <c r="I66" s="21"/>
      <c r="J66" s="21"/>
      <c r="K66" s="19"/>
      <c r="L66" s="19"/>
      <c r="M66" s="22">
        <v>1</v>
      </c>
      <c r="N66" s="19"/>
      <c r="O66" s="25"/>
      <c r="P66" s="23"/>
      <c r="Q66" s="21" t="s">
        <v>46</v>
      </c>
      <c r="R66" s="19" t="s">
        <v>47</v>
      </c>
      <c r="S66" s="21"/>
      <c r="T66" s="19"/>
      <c r="U66" s="21"/>
      <c r="V66" s="7"/>
      <c r="W66" s="7"/>
      <c r="X66" s="51" t="str">
        <f t="shared" si="0"/>
        <v/>
      </c>
      <c r="Y66" s="51" t="str">
        <f t="shared" si="1"/>
        <v/>
      </c>
      <c r="Z66" s="37"/>
    </row>
    <row r="67" spans="1:26" ht="14.25" customHeight="1" x14ac:dyDescent="0.3">
      <c r="A67" s="18">
        <v>16.2</v>
      </c>
      <c r="B67" s="19"/>
      <c r="C67" s="18" t="s">
        <v>55</v>
      </c>
      <c r="D67" s="19"/>
      <c r="E67" s="25"/>
      <c r="F67" s="19"/>
      <c r="G67" s="21">
        <v>0</v>
      </c>
      <c r="H67" s="21"/>
      <c r="I67" s="21"/>
      <c r="J67" s="21"/>
      <c r="K67" s="19"/>
      <c r="L67" s="19"/>
      <c r="M67" s="22">
        <v>1</v>
      </c>
      <c r="N67" s="19"/>
      <c r="O67" s="25"/>
      <c r="P67" s="23"/>
      <c r="Q67" s="21" t="s">
        <v>46</v>
      </c>
      <c r="R67" s="19" t="s">
        <v>47</v>
      </c>
      <c r="S67" s="21"/>
      <c r="T67" s="19"/>
      <c r="U67" s="21"/>
      <c r="V67" s="7"/>
      <c r="W67" s="7"/>
      <c r="X67" s="51" t="str">
        <f t="shared" si="0"/>
        <v/>
      </c>
      <c r="Y67" s="51" t="str">
        <f t="shared" si="1"/>
        <v/>
      </c>
      <c r="Z67" s="37"/>
    </row>
    <row r="68" spans="1:26" ht="14.25" customHeight="1" x14ac:dyDescent="0.3">
      <c r="A68" s="18">
        <v>16.3</v>
      </c>
      <c r="B68" s="19"/>
      <c r="C68" s="18" t="s">
        <v>55</v>
      </c>
      <c r="D68" s="19"/>
      <c r="E68" s="25"/>
      <c r="F68" s="19"/>
      <c r="G68" s="21">
        <v>0</v>
      </c>
      <c r="H68" s="21"/>
      <c r="I68" s="21"/>
      <c r="J68" s="21"/>
      <c r="K68" s="19"/>
      <c r="L68" s="19"/>
      <c r="M68" s="22">
        <v>1</v>
      </c>
      <c r="N68" s="19"/>
      <c r="O68" s="25"/>
      <c r="P68" s="23"/>
      <c r="Q68" s="21" t="s">
        <v>46</v>
      </c>
      <c r="R68" s="19" t="s">
        <v>47</v>
      </c>
      <c r="S68" s="21"/>
      <c r="T68" s="19"/>
      <c r="U68" s="21"/>
      <c r="V68" s="7"/>
      <c r="W68" s="7"/>
      <c r="X68" s="51" t="str">
        <f t="shared" si="0"/>
        <v/>
      </c>
      <c r="Y68" s="51" t="str">
        <f t="shared" si="1"/>
        <v/>
      </c>
      <c r="Z68" s="37"/>
    </row>
    <row r="69" spans="1:26" ht="14.25" customHeight="1" x14ac:dyDescent="0.3">
      <c r="A69" s="18">
        <v>16.399999999999999</v>
      </c>
      <c r="B69" s="19"/>
      <c r="C69" s="18" t="s">
        <v>55</v>
      </c>
      <c r="D69" s="19"/>
      <c r="E69" s="25"/>
      <c r="F69" s="19"/>
      <c r="G69" s="21">
        <v>0</v>
      </c>
      <c r="H69" s="21"/>
      <c r="I69" s="21"/>
      <c r="J69" s="21"/>
      <c r="K69" s="19"/>
      <c r="L69" s="19"/>
      <c r="M69" s="22">
        <v>1</v>
      </c>
      <c r="N69" s="19"/>
      <c r="O69" s="25"/>
      <c r="P69" s="23"/>
      <c r="Q69" s="21" t="s">
        <v>46</v>
      </c>
      <c r="R69" s="19" t="s">
        <v>47</v>
      </c>
      <c r="S69" s="21"/>
      <c r="T69" s="19"/>
      <c r="U69" s="21"/>
      <c r="V69" s="7"/>
      <c r="W69" s="7"/>
      <c r="X69" s="51" t="str">
        <f t="shared" si="0"/>
        <v/>
      </c>
      <c r="Y69" s="51" t="str">
        <f t="shared" si="1"/>
        <v/>
      </c>
      <c r="Z69" s="37"/>
    </row>
    <row r="70" spans="1:26" ht="14.25" customHeight="1" x14ac:dyDescent="0.3">
      <c r="A70" s="18">
        <v>17.100000000000001</v>
      </c>
      <c r="B70" s="19"/>
      <c r="C70" s="18" t="s">
        <v>55</v>
      </c>
      <c r="D70" s="19"/>
      <c r="E70" s="25"/>
      <c r="F70" s="19"/>
      <c r="G70" s="21">
        <v>0</v>
      </c>
      <c r="H70" s="21"/>
      <c r="I70" s="21"/>
      <c r="J70" s="21"/>
      <c r="K70" s="19"/>
      <c r="L70" s="19"/>
      <c r="M70" s="22">
        <v>1</v>
      </c>
      <c r="N70" s="19"/>
      <c r="O70" s="25"/>
      <c r="P70" s="23"/>
      <c r="Q70" s="21" t="s">
        <v>46</v>
      </c>
      <c r="R70" s="19" t="s">
        <v>47</v>
      </c>
      <c r="S70" s="21"/>
      <c r="T70" s="19"/>
      <c r="U70" s="21"/>
      <c r="V70" s="7"/>
      <c r="W70" s="7"/>
      <c r="X70" s="51" t="str">
        <f t="shared" si="0"/>
        <v/>
      </c>
      <c r="Y70" s="51" t="str">
        <f t="shared" si="1"/>
        <v/>
      </c>
      <c r="Z70" s="37"/>
    </row>
    <row r="71" spans="1:26" ht="14.25" customHeight="1" x14ac:dyDescent="0.3">
      <c r="A71" s="18">
        <v>17.2</v>
      </c>
      <c r="B71" s="19"/>
      <c r="C71" s="18" t="s">
        <v>55</v>
      </c>
      <c r="D71" s="19"/>
      <c r="E71" s="25"/>
      <c r="F71" s="19"/>
      <c r="G71" s="21">
        <v>0</v>
      </c>
      <c r="H71" s="21"/>
      <c r="I71" s="21"/>
      <c r="J71" s="21"/>
      <c r="K71" s="19"/>
      <c r="L71" s="19"/>
      <c r="M71" s="22">
        <v>1</v>
      </c>
      <c r="N71" s="19"/>
      <c r="O71" s="25"/>
      <c r="P71" s="23"/>
      <c r="Q71" s="21" t="s">
        <v>46</v>
      </c>
      <c r="R71" s="19" t="s">
        <v>47</v>
      </c>
      <c r="S71" s="21"/>
      <c r="T71" s="19"/>
      <c r="U71" s="21"/>
      <c r="V71" s="7"/>
      <c r="W71" s="7"/>
      <c r="X71" s="51" t="str">
        <f t="shared" si="0"/>
        <v/>
      </c>
      <c r="Y71" s="51" t="str">
        <f t="shared" si="1"/>
        <v/>
      </c>
      <c r="Z71" s="37"/>
    </row>
    <row r="72" spans="1:26" ht="14.25" customHeight="1" x14ac:dyDescent="0.3">
      <c r="A72" s="18">
        <v>17.3</v>
      </c>
      <c r="B72" s="19"/>
      <c r="C72" s="18" t="s">
        <v>55</v>
      </c>
      <c r="D72" s="19"/>
      <c r="E72" s="25"/>
      <c r="F72" s="19"/>
      <c r="G72" s="21">
        <v>0</v>
      </c>
      <c r="H72" s="21"/>
      <c r="I72" s="21"/>
      <c r="J72" s="21"/>
      <c r="K72" s="19"/>
      <c r="L72" s="19"/>
      <c r="M72" s="22">
        <v>1</v>
      </c>
      <c r="N72" s="19"/>
      <c r="O72" s="25"/>
      <c r="P72" s="23"/>
      <c r="Q72" s="21" t="s">
        <v>46</v>
      </c>
      <c r="R72" s="19" t="s">
        <v>47</v>
      </c>
      <c r="S72" s="21"/>
      <c r="T72" s="19"/>
      <c r="U72" s="21"/>
      <c r="V72" s="7"/>
      <c r="W72" s="7"/>
      <c r="X72" s="51" t="str">
        <f t="shared" si="0"/>
        <v/>
      </c>
      <c r="Y72" s="51" t="str">
        <f t="shared" si="1"/>
        <v/>
      </c>
      <c r="Z72" s="37"/>
    </row>
    <row r="73" spans="1:26" ht="14.25" customHeight="1" x14ac:dyDescent="0.3">
      <c r="A73" s="18">
        <v>17.399999999999999</v>
      </c>
      <c r="B73" s="19"/>
      <c r="C73" s="18" t="s">
        <v>55</v>
      </c>
      <c r="D73" s="19"/>
      <c r="E73" s="25"/>
      <c r="F73" s="19"/>
      <c r="G73" s="21">
        <v>0</v>
      </c>
      <c r="H73" s="21"/>
      <c r="I73" s="21"/>
      <c r="J73" s="21"/>
      <c r="K73" s="19"/>
      <c r="L73" s="19"/>
      <c r="M73" s="22">
        <v>1</v>
      </c>
      <c r="N73" s="19"/>
      <c r="O73" s="25"/>
      <c r="P73" s="23"/>
      <c r="Q73" s="21" t="s">
        <v>46</v>
      </c>
      <c r="R73" s="19" t="s">
        <v>47</v>
      </c>
      <c r="S73" s="21"/>
      <c r="T73" s="19"/>
      <c r="U73" s="21"/>
      <c r="V73" s="7"/>
      <c r="W73" s="7"/>
      <c r="X73" s="51" t="str">
        <f t="shared" si="0"/>
        <v/>
      </c>
      <c r="Y73" s="51" t="str">
        <f t="shared" si="1"/>
        <v/>
      </c>
      <c r="Z73" s="37"/>
    </row>
    <row r="74" spans="1:26" ht="14.25" customHeight="1" x14ac:dyDescent="0.3">
      <c r="A74" s="18">
        <v>18.100000000000001</v>
      </c>
      <c r="B74" s="19"/>
      <c r="C74" s="18" t="s">
        <v>55</v>
      </c>
      <c r="D74" s="19"/>
      <c r="E74" s="25"/>
      <c r="F74" s="19"/>
      <c r="G74" s="21">
        <v>0</v>
      </c>
      <c r="H74" s="21"/>
      <c r="I74" s="21"/>
      <c r="J74" s="21"/>
      <c r="K74" s="19"/>
      <c r="L74" s="19"/>
      <c r="M74" s="22">
        <v>1</v>
      </c>
      <c r="N74" s="19"/>
      <c r="O74" s="25"/>
      <c r="P74" s="23"/>
      <c r="Q74" s="21" t="s">
        <v>46</v>
      </c>
      <c r="R74" s="19" t="s">
        <v>47</v>
      </c>
      <c r="S74" s="21"/>
      <c r="T74" s="19"/>
      <c r="U74" s="21"/>
      <c r="V74" s="7"/>
      <c r="W74" s="7"/>
      <c r="X74" s="51" t="str">
        <f t="shared" si="0"/>
        <v/>
      </c>
      <c r="Y74" s="51" t="str">
        <f t="shared" si="1"/>
        <v/>
      </c>
      <c r="Z74" s="37"/>
    </row>
    <row r="75" spans="1:26" ht="14.25" customHeight="1" x14ac:dyDescent="0.3">
      <c r="A75" s="18">
        <v>18.2</v>
      </c>
      <c r="B75" s="19"/>
      <c r="C75" s="18" t="s">
        <v>55</v>
      </c>
      <c r="D75" s="19"/>
      <c r="E75" s="25"/>
      <c r="F75" s="19"/>
      <c r="G75" s="21">
        <v>0</v>
      </c>
      <c r="H75" s="21"/>
      <c r="I75" s="21"/>
      <c r="J75" s="21"/>
      <c r="K75" s="19"/>
      <c r="L75" s="19"/>
      <c r="M75" s="22">
        <v>1</v>
      </c>
      <c r="N75" s="19"/>
      <c r="O75" s="25"/>
      <c r="P75" s="23"/>
      <c r="Q75" s="21" t="s">
        <v>46</v>
      </c>
      <c r="R75" s="19" t="s">
        <v>47</v>
      </c>
      <c r="S75" s="21"/>
      <c r="T75" s="19"/>
      <c r="U75" s="21"/>
      <c r="V75" s="7"/>
      <c r="W75" s="7"/>
      <c r="X75" s="51" t="str">
        <f t="shared" si="0"/>
        <v/>
      </c>
      <c r="Y75" s="51" t="str">
        <f t="shared" si="1"/>
        <v/>
      </c>
      <c r="Z75" s="37"/>
    </row>
    <row r="76" spans="1:26" ht="14.25" customHeight="1" x14ac:dyDescent="0.3">
      <c r="A76" s="18">
        <v>18.3</v>
      </c>
      <c r="B76" s="19"/>
      <c r="C76" s="18" t="s">
        <v>55</v>
      </c>
      <c r="D76" s="19"/>
      <c r="E76" s="25"/>
      <c r="F76" s="19"/>
      <c r="G76" s="21">
        <v>0</v>
      </c>
      <c r="H76" s="21"/>
      <c r="I76" s="21"/>
      <c r="J76" s="21"/>
      <c r="K76" s="19"/>
      <c r="L76" s="19"/>
      <c r="M76" s="22">
        <v>1</v>
      </c>
      <c r="N76" s="19"/>
      <c r="O76" s="25"/>
      <c r="P76" s="23"/>
      <c r="Q76" s="21" t="s">
        <v>46</v>
      </c>
      <c r="R76" s="19" t="s">
        <v>47</v>
      </c>
      <c r="S76" s="21"/>
      <c r="T76" s="19"/>
      <c r="U76" s="21"/>
      <c r="V76" s="7"/>
      <c r="W76" s="7"/>
      <c r="X76" s="51" t="str">
        <f t="shared" si="0"/>
        <v/>
      </c>
      <c r="Y76" s="51" t="str">
        <f t="shared" si="1"/>
        <v/>
      </c>
      <c r="Z76" s="37"/>
    </row>
    <row r="77" spans="1:26" ht="14.25" customHeight="1" x14ac:dyDescent="0.3">
      <c r="A77" s="18">
        <v>18.399999999999999</v>
      </c>
      <c r="B77" s="19"/>
      <c r="C77" s="18" t="s">
        <v>55</v>
      </c>
      <c r="D77" s="19"/>
      <c r="E77" s="25"/>
      <c r="F77" s="19"/>
      <c r="G77" s="21">
        <v>0</v>
      </c>
      <c r="H77" s="21"/>
      <c r="I77" s="21"/>
      <c r="J77" s="21"/>
      <c r="K77" s="19"/>
      <c r="L77" s="19"/>
      <c r="M77" s="22">
        <v>1</v>
      </c>
      <c r="N77" s="19"/>
      <c r="O77" s="25"/>
      <c r="P77" s="23"/>
      <c r="Q77" s="21" t="s">
        <v>46</v>
      </c>
      <c r="R77" s="19" t="s">
        <v>47</v>
      </c>
      <c r="S77" s="21"/>
      <c r="T77" s="19"/>
      <c r="U77" s="21"/>
      <c r="V77" s="7"/>
      <c r="W77" s="7"/>
      <c r="X77" s="51" t="str">
        <f t="shared" si="0"/>
        <v/>
      </c>
      <c r="Y77" s="51" t="str">
        <f t="shared" si="1"/>
        <v/>
      </c>
      <c r="Z77" s="37"/>
    </row>
    <row r="78" spans="1:26" ht="14.25" customHeight="1" x14ac:dyDescent="0.3">
      <c r="A78" s="18">
        <v>19.100000000000001</v>
      </c>
      <c r="B78" s="19"/>
      <c r="C78" s="18" t="s">
        <v>55</v>
      </c>
      <c r="D78" s="19"/>
      <c r="E78" s="25"/>
      <c r="F78" s="19"/>
      <c r="G78" s="21">
        <v>0</v>
      </c>
      <c r="H78" s="21"/>
      <c r="I78" s="21"/>
      <c r="J78" s="21"/>
      <c r="K78" s="19"/>
      <c r="L78" s="19"/>
      <c r="M78" s="22">
        <v>1</v>
      </c>
      <c r="N78" s="19"/>
      <c r="O78" s="25"/>
      <c r="P78" s="23"/>
      <c r="Q78" s="21" t="s">
        <v>46</v>
      </c>
      <c r="R78" s="19" t="s">
        <v>47</v>
      </c>
      <c r="S78" s="21"/>
      <c r="T78" s="19"/>
      <c r="U78" s="21"/>
      <c r="V78" s="7"/>
      <c r="W78" s="7"/>
      <c r="X78" s="51" t="str">
        <f t="shared" si="0"/>
        <v/>
      </c>
      <c r="Y78" s="51" t="str">
        <f t="shared" si="1"/>
        <v/>
      </c>
      <c r="Z78" s="37"/>
    </row>
    <row r="79" spans="1:26" ht="14.25" customHeight="1" x14ac:dyDescent="0.3">
      <c r="A79" s="18">
        <v>19.2</v>
      </c>
      <c r="B79" s="19"/>
      <c r="C79" s="18" t="s">
        <v>55</v>
      </c>
      <c r="D79" s="19"/>
      <c r="E79" s="25"/>
      <c r="F79" s="19"/>
      <c r="G79" s="21">
        <v>0</v>
      </c>
      <c r="H79" s="21"/>
      <c r="I79" s="21"/>
      <c r="J79" s="21"/>
      <c r="K79" s="19"/>
      <c r="L79" s="19"/>
      <c r="M79" s="22">
        <v>1</v>
      </c>
      <c r="N79" s="19"/>
      <c r="O79" s="25"/>
      <c r="P79" s="23"/>
      <c r="Q79" s="21" t="s">
        <v>46</v>
      </c>
      <c r="R79" s="19" t="s">
        <v>47</v>
      </c>
      <c r="S79" s="21"/>
      <c r="T79" s="19"/>
      <c r="U79" s="21"/>
      <c r="V79" s="7"/>
      <c r="W79" s="7"/>
      <c r="X79" s="51" t="str">
        <f t="shared" si="0"/>
        <v/>
      </c>
      <c r="Y79" s="51" t="str">
        <f t="shared" si="1"/>
        <v/>
      </c>
      <c r="Z79" s="37"/>
    </row>
    <row r="80" spans="1:26" ht="14.25" customHeight="1" x14ac:dyDescent="0.3">
      <c r="A80" s="18">
        <v>19.3</v>
      </c>
      <c r="B80" s="19"/>
      <c r="C80" s="18" t="s">
        <v>55</v>
      </c>
      <c r="D80" s="19"/>
      <c r="E80" s="25"/>
      <c r="F80" s="19"/>
      <c r="G80" s="21">
        <v>0</v>
      </c>
      <c r="H80" s="21"/>
      <c r="I80" s="21"/>
      <c r="J80" s="21"/>
      <c r="K80" s="19"/>
      <c r="L80" s="19"/>
      <c r="M80" s="22">
        <v>1</v>
      </c>
      <c r="N80" s="19"/>
      <c r="O80" s="25"/>
      <c r="P80" s="23"/>
      <c r="Q80" s="21" t="s">
        <v>46</v>
      </c>
      <c r="R80" s="19" t="s">
        <v>47</v>
      </c>
      <c r="S80" s="21"/>
      <c r="T80" s="19"/>
      <c r="U80" s="21"/>
      <c r="V80" s="7"/>
      <c r="W80" s="7"/>
      <c r="X80" s="51" t="str">
        <f t="shared" si="0"/>
        <v/>
      </c>
      <c r="Y80" s="51" t="str">
        <f t="shared" si="1"/>
        <v/>
      </c>
      <c r="Z80" s="37"/>
    </row>
    <row r="81" spans="1:26" ht="14.25" customHeight="1" x14ac:dyDescent="0.3">
      <c r="A81" s="18">
        <v>19.399999999999999</v>
      </c>
      <c r="B81" s="19"/>
      <c r="C81" s="18" t="s">
        <v>55</v>
      </c>
      <c r="D81" s="19"/>
      <c r="E81" s="25"/>
      <c r="F81" s="19"/>
      <c r="G81" s="21">
        <v>0</v>
      </c>
      <c r="H81" s="21"/>
      <c r="I81" s="21"/>
      <c r="J81" s="21"/>
      <c r="K81" s="19"/>
      <c r="L81" s="19"/>
      <c r="M81" s="22">
        <v>1</v>
      </c>
      <c r="N81" s="19"/>
      <c r="O81" s="25"/>
      <c r="P81" s="23"/>
      <c r="Q81" s="21" t="s">
        <v>46</v>
      </c>
      <c r="R81" s="19" t="s">
        <v>47</v>
      </c>
      <c r="S81" s="21"/>
      <c r="T81" s="19"/>
      <c r="U81" s="21"/>
      <c r="V81" s="7"/>
      <c r="W81" s="7"/>
      <c r="X81" s="51" t="str">
        <f t="shared" si="0"/>
        <v/>
      </c>
      <c r="Y81" s="51" t="str">
        <f t="shared" si="1"/>
        <v/>
      </c>
      <c r="Z81" s="37"/>
    </row>
    <row r="82" spans="1:26" ht="14.25" customHeight="1" x14ac:dyDescent="0.3">
      <c r="A82" s="18">
        <v>20.100000000000001</v>
      </c>
      <c r="B82" s="19"/>
      <c r="C82" s="18" t="s">
        <v>55</v>
      </c>
      <c r="D82" s="19"/>
      <c r="E82" s="25"/>
      <c r="F82" s="19"/>
      <c r="G82" s="21">
        <v>0</v>
      </c>
      <c r="H82" s="21"/>
      <c r="I82" s="21"/>
      <c r="J82" s="21"/>
      <c r="K82" s="19"/>
      <c r="L82" s="19"/>
      <c r="M82" s="22">
        <v>1</v>
      </c>
      <c r="N82" s="19"/>
      <c r="O82" s="25"/>
      <c r="P82" s="23"/>
      <c r="Q82" s="21" t="s">
        <v>46</v>
      </c>
      <c r="R82" s="19" t="s">
        <v>47</v>
      </c>
      <c r="S82" s="21"/>
      <c r="T82" s="19"/>
      <c r="U82" s="21"/>
      <c r="V82" s="7"/>
      <c r="W82" s="7"/>
      <c r="X82" s="51" t="str">
        <f t="shared" si="0"/>
        <v/>
      </c>
      <c r="Y82" s="51" t="str">
        <f t="shared" si="1"/>
        <v/>
      </c>
      <c r="Z82" s="37"/>
    </row>
    <row r="83" spans="1:26" ht="14.25" customHeight="1" x14ac:dyDescent="0.3">
      <c r="A83" s="18">
        <v>20.2</v>
      </c>
      <c r="B83" s="19"/>
      <c r="C83" s="18" t="s">
        <v>55</v>
      </c>
      <c r="D83" s="19"/>
      <c r="E83" s="25"/>
      <c r="F83" s="19"/>
      <c r="G83" s="21">
        <v>0</v>
      </c>
      <c r="H83" s="21"/>
      <c r="I83" s="21"/>
      <c r="J83" s="21"/>
      <c r="K83" s="19"/>
      <c r="L83" s="19"/>
      <c r="M83" s="22">
        <v>1</v>
      </c>
      <c r="N83" s="19"/>
      <c r="O83" s="25"/>
      <c r="P83" s="23"/>
      <c r="Q83" s="21" t="s">
        <v>46</v>
      </c>
      <c r="R83" s="19" t="s">
        <v>47</v>
      </c>
      <c r="S83" s="21"/>
      <c r="T83" s="19"/>
      <c r="U83" s="21"/>
      <c r="V83" s="7"/>
      <c r="W83" s="7"/>
      <c r="X83" s="51" t="str">
        <f t="shared" si="0"/>
        <v/>
      </c>
      <c r="Y83" s="51" t="str">
        <f t="shared" si="1"/>
        <v/>
      </c>
      <c r="Z83" s="37"/>
    </row>
    <row r="84" spans="1:26" ht="14.25" customHeight="1" x14ac:dyDescent="0.3">
      <c r="A84" s="18">
        <v>20.3</v>
      </c>
      <c r="B84" s="19"/>
      <c r="C84" s="18" t="s">
        <v>55</v>
      </c>
      <c r="D84" s="19"/>
      <c r="E84" s="25"/>
      <c r="F84" s="19"/>
      <c r="G84" s="21">
        <v>0</v>
      </c>
      <c r="H84" s="21"/>
      <c r="I84" s="21"/>
      <c r="J84" s="21"/>
      <c r="K84" s="19"/>
      <c r="L84" s="19"/>
      <c r="M84" s="22">
        <v>1</v>
      </c>
      <c r="N84" s="19"/>
      <c r="O84" s="25"/>
      <c r="P84" s="23"/>
      <c r="Q84" s="21" t="s">
        <v>46</v>
      </c>
      <c r="R84" s="19" t="s">
        <v>47</v>
      </c>
      <c r="S84" s="21"/>
      <c r="T84" s="19"/>
      <c r="U84" s="21"/>
      <c r="V84" s="7"/>
      <c r="W84" s="7"/>
      <c r="X84" s="51" t="str">
        <f t="shared" si="0"/>
        <v/>
      </c>
      <c r="Y84" s="51" t="str">
        <f t="shared" si="1"/>
        <v/>
      </c>
      <c r="Z84" s="37"/>
    </row>
    <row r="85" spans="1:26" ht="14.25" customHeight="1" x14ac:dyDescent="0.3">
      <c r="A85" s="18">
        <v>20.399999999999999</v>
      </c>
      <c r="B85" s="19"/>
      <c r="C85" s="18" t="s">
        <v>55</v>
      </c>
      <c r="D85" s="19"/>
      <c r="E85" s="25"/>
      <c r="F85" s="19"/>
      <c r="G85" s="21">
        <v>0</v>
      </c>
      <c r="H85" s="21"/>
      <c r="I85" s="21"/>
      <c r="J85" s="21"/>
      <c r="K85" s="19"/>
      <c r="L85" s="19"/>
      <c r="M85" s="22">
        <v>1</v>
      </c>
      <c r="N85" s="19"/>
      <c r="O85" s="25"/>
      <c r="P85" s="23"/>
      <c r="Q85" s="21" t="s">
        <v>46</v>
      </c>
      <c r="R85" s="19" t="s">
        <v>47</v>
      </c>
      <c r="S85" s="21"/>
      <c r="T85" s="19"/>
      <c r="U85" s="21"/>
      <c r="V85" s="7"/>
      <c r="W85" s="7"/>
      <c r="X85" s="51" t="str">
        <f t="shared" si="0"/>
        <v/>
      </c>
      <c r="Y85" s="51" t="str">
        <f t="shared" si="1"/>
        <v/>
      </c>
      <c r="Z85" s="37"/>
    </row>
    <row r="86" spans="1:26" ht="14.25" customHeight="1" x14ac:dyDescent="0.3">
      <c r="A86" s="18">
        <v>21.1</v>
      </c>
      <c r="B86" s="19"/>
      <c r="C86" s="18" t="s">
        <v>55</v>
      </c>
      <c r="D86" s="19"/>
      <c r="E86" s="25"/>
      <c r="F86" s="19"/>
      <c r="G86" s="21">
        <v>0</v>
      </c>
      <c r="H86" s="21"/>
      <c r="I86" s="21"/>
      <c r="J86" s="21"/>
      <c r="K86" s="19"/>
      <c r="L86" s="19"/>
      <c r="M86" s="22">
        <v>1</v>
      </c>
      <c r="N86" s="19"/>
      <c r="O86" s="25"/>
      <c r="P86" s="23"/>
      <c r="Q86" s="21" t="s">
        <v>46</v>
      </c>
      <c r="R86" s="19" t="s">
        <v>47</v>
      </c>
      <c r="S86" s="21"/>
      <c r="T86" s="19"/>
      <c r="U86" s="21"/>
      <c r="V86" s="7"/>
      <c r="W86" s="7"/>
      <c r="X86" s="51" t="str">
        <f t="shared" si="0"/>
        <v/>
      </c>
      <c r="Y86" s="51" t="str">
        <f t="shared" si="1"/>
        <v/>
      </c>
      <c r="Z86" s="37"/>
    </row>
    <row r="87" spans="1:26" ht="14.25" customHeight="1" x14ac:dyDescent="0.3">
      <c r="A87" s="18">
        <v>21.2</v>
      </c>
      <c r="B87" s="19"/>
      <c r="C87" s="18" t="s">
        <v>55</v>
      </c>
      <c r="D87" s="19"/>
      <c r="E87" s="25"/>
      <c r="F87" s="19"/>
      <c r="G87" s="21">
        <v>0</v>
      </c>
      <c r="H87" s="21"/>
      <c r="I87" s="21"/>
      <c r="J87" s="21"/>
      <c r="K87" s="19"/>
      <c r="L87" s="19"/>
      <c r="M87" s="22">
        <v>1</v>
      </c>
      <c r="N87" s="19"/>
      <c r="O87" s="25"/>
      <c r="P87" s="23"/>
      <c r="Q87" s="21" t="s">
        <v>46</v>
      </c>
      <c r="R87" s="19" t="s">
        <v>47</v>
      </c>
      <c r="S87" s="21"/>
      <c r="T87" s="19"/>
      <c r="U87" s="21"/>
      <c r="V87" s="7"/>
      <c r="W87" s="7"/>
      <c r="X87" s="51" t="str">
        <f t="shared" si="0"/>
        <v/>
      </c>
      <c r="Y87" s="51" t="str">
        <f t="shared" si="1"/>
        <v/>
      </c>
      <c r="Z87" s="37"/>
    </row>
    <row r="88" spans="1:26" ht="14.25" customHeight="1" x14ac:dyDescent="0.3">
      <c r="A88" s="18">
        <v>21.3</v>
      </c>
      <c r="B88" s="19"/>
      <c r="C88" s="18" t="s">
        <v>55</v>
      </c>
      <c r="D88" s="19"/>
      <c r="E88" s="25"/>
      <c r="F88" s="19"/>
      <c r="G88" s="21">
        <v>0</v>
      </c>
      <c r="H88" s="21"/>
      <c r="I88" s="21"/>
      <c r="J88" s="21"/>
      <c r="K88" s="19"/>
      <c r="L88" s="19"/>
      <c r="M88" s="22">
        <v>1</v>
      </c>
      <c r="N88" s="19"/>
      <c r="O88" s="25"/>
      <c r="P88" s="23"/>
      <c r="Q88" s="21" t="s">
        <v>46</v>
      </c>
      <c r="R88" s="19" t="s">
        <v>47</v>
      </c>
      <c r="S88" s="21"/>
      <c r="T88" s="19"/>
      <c r="U88" s="21"/>
      <c r="V88" s="7"/>
      <c r="W88" s="7"/>
      <c r="X88" s="51" t="str">
        <f t="shared" si="0"/>
        <v/>
      </c>
      <c r="Y88" s="51" t="str">
        <f t="shared" si="1"/>
        <v/>
      </c>
      <c r="Z88" s="37"/>
    </row>
    <row r="89" spans="1:26" ht="14.25" customHeight="1" x14ac:dyDescent="0.3">
      <c r="A89" s="18">
        <v>21.4</v>
      </c>
      <c r="B89" s="19"/>
      <c r="C89" s="18" t="s">
        <v>55</v>
      </c>
      <c r="D89" s="19"/>
      <c r="E89" s="25"/>
      <c r="F89" s="19"/>
      <c r="G89" s="21">
        <v>0</v>
      </c>
      <c r="H89" s="21"/>
      <c r="I89" s="21"/>
      <c r="J89" s="21"/>
      <c r="K89" s="19"/>
      <c r="L89" s="19"/>
      <c r="M89" s="22">
        <v>1</v>
      </c>
      <c r="N89" s="19"/>
      <c r="O89" s="25"/>
      <c r="P89" s="23"/>
      <c r="Q89" s="21" t="s">
        <v>46</v>
      </c>
      <c r="R89" s="19" t="s">
        <v>47</v>
      </c>
      <c r="S89" s="21"/>
      <c r="T89" s="19"/>
      <c r="U89" s="21"/>
      <c r="V89" s="7"/>
      <c r="W89" s="7"/>
      <c r="X89" s="51" t="str">
        <f t="shared" si="0"/>
        <v/>
      </c>
      <c r="Y89" s="51" t="str">
        <f t="shared" si="1"/>
        <v/>
      </c>
      <c r="Z89" s="37"/>
    </row>
    <row r="90" spans="1:26" ht="14.25" customHeight="1" x14ac:dyDescent="0.3">
      <c r="A90" s="18">
        <v>22.1</v>
      </c>
      <c r="B90" s="19"/>
      <c r="C90" s="18" t="s">
        <v>55</v>
      </c>
      <c r="D90" s="19"/>
      <c r="E90" s="25"/>
      <c r="F90" s="19"/>
      <c r="G90" s="21">
        <v>0</v>
      </c>
      <c r="H90" s="21"/>
      <c r="I90" s="21"/>
      <c r="J90" s="21"/>
      <c r="K90" s="19"/>
      <c r="L90" s="19"/>
      <c r="M90" s="22">
        <v>1</v>
      </c>
      <c r="N90" s="19"/>
      <c r="O90" s="25"/>
      <c r="P90" s="23"/>
      <c r="Q90" s="21" t="s">
        <v>46</v>
      </c>
      <c r="R90" s="19" t="s">
        <v>47</v>
      </c>
      <c r="S90" s="21"/>
      <c r="T90" s="19"/>
      <c r="U90" s="21"/>
      <c r="V90" s="7"/>
      <c r="W90" s="7"/>
      <c r="X90" s="51" t="str">
        <f t="shared" si="0"/>
        <v/>
      </c>
      <c r="Y90" s="51" t="str">
        <f t="shared" si="1"/>
        <v/>
      </c>
      <c r="Z90" s="37"/>
    </row>
    <row r="91" spans="1:26" ht="14.25" customHeight="1" x14ac:dyDescent="0.3">
      <c r="A91" s="18">
        <v>22.2</v>
      </c>
      <c r="B91" s="19"/>
      <c r="C91" s="18" t="s">
        <v>55</v>
      </c>
      <c r="D91" s="19"/>
      <c r="E91" s="25"/>
      <c r="F91" s="19"/>
      <c r="G91" s="21">
        <v>0</v>
      </c>
      <c r="H91" s="21"/>
      <c r="I91" s="21"/>
      <c r="J91" s="21"/>
      <c r="K91" s="19"/>
      <c r="L91" s="19"/>
      <c r="M91" s="22">
        <v>1</v>
      </c>
      <c r="N91" s="19"/>
      <c r="O91" s="25"/>
      <c r="P91" s="23"/>
      <c r="Q91" s="21" t="s">
        <v>46</v>
      </c>
      <c r="R91" s="19" t="s">
        <v>47</v>
      </c>
      <c r="S91" s="21"/>
      <c r="T91" s="19"/>
      <c r="U91" s="21"/>
      <c r="V91" s="7"/>
      <c r="W91" s="7"/>
      <c r="X91" s="51" t="str">
        <f t="shared" si="0"/>
        <v/>
      </c>
      <c r="Y91" s="51" t="str">
        <f t="shared" si="1"/>
        <v/>
      </c>
      <c r="Z91" s="37"/>
    </row>
    <row r="92" spans="1:26" ht="14.25" customHeight="1" x14ac:dyDescent="0.3">
      <c r="A92" s="18">
        <v>22.3</v>
      </c>
      <c r="B92" s="19"/>
      <c r="C92" s="18" t="s">
        <v>55</v>
      </c>
      <c r="D92" s="19"/>
      <c r="E92" s="25"/>
      <c r="F92" s="19"/>
      <c r="G92" s="21">
        <v>0</v>
      </c>
      <c r="H92" s="21"/>
      <c r="I92" s="21"/>
      <c r="J92" s="21"/>
      <c r="K92" s="19"/>
      <c r="L92" s="19"/>
      <c r="M92" s="22">
        <v>1</v>
      </c>
      <c r="N92" s="19"/>
      <c r="O92" s="25"/>
      <c r="P92" s="23"/>
      <c r="Q92" s="21" t="s">
        <v>46</v>
      </c>
      <c r="R92" s="19" t="s">
        <v>47</v>
      </c>
      <c r="S92" s="21"/>
      <c r="T92" s="19"/>
      <c r="U92" s="21"/>
      <c r="V92" s="7"/>
      <c r="W92" s="7"/>
      <c r="X92" s="51" t="str">
        <f t="shared" si="0"/>
        <v/>
      </c>
      <c r="Y92" s="51" t="str">
        <f t="shared" si="1"/>
        <v/>
      </c>
      <c r="Z92" s="37"/>
    </row>
    <row r="93" spans="1:26" ht="14.25" customHeight="1" x14ac:dyDescent="0.3">
      <c r="A93" s="18">
        <v>22.4</v>
      </c>
      <c r="B93" s="19"/>
      <c r="C93" s="18" t="s">
        <v>55</v>
      </c>
      <c r="D93" s="19"/>
      <c r="E93" s="25"/>
      <c r="F93" s="19"/>
      <c r="G93" s="21">
        <v>0</v>
      </c>
      <c r="H93" s="21"/>
      <c r="I93" s="21"/>
      <c r="J93" s="21"/>
      <c r="K93" s="19"/>
      <c r="L93" s="19"/>
      <c r="M93" s="22">
        <v>1</v>
      </c>
      <c r="N93" s="19"/>
      <c r="O93" s="25"/>
      <c r="P93" s="23"/>
      <c r="Q93" s="21" t="s">
        <v>46</v>
      </c>
      <c r="R93" s="19" t="s">
        <v>47</v>
      </c>
      <c r="S93" s="21"/>
      <c r="T93" s="19"/>
      <c r="U93" s="21"/>
      <c r="V93" s="7"/>
      <c r="W93" s="7"/>
      <c r="X93" s="51" t="str">
        <f t="shared" si="0"/>
        <v/>
      </c>
      <c r="Y93" s="51" t="str">
        <f t="shared" si="1"/>
        <v/>
      </c>
      <c r="Z93" s="37"/>
    </row>
    <row r="94" spans="1:26" ht="14.25" customHeight="1" x14ac:dyDescent="0.3">
      <c r="A94" s="18">
        <v>23.1</v>
      </c>
      <c r="B94" s="19"/>
      <c r="C94" s="18" t="s">
        <v>55</v>
      </c>
      <c r="D94" s="19"/>
      <c r="E94" s="25"/>
      <c r="F94" s="19"/>
      <c r="G94" s="21">
        <v>0</v>
      </c>
      <c r="H94" s="21"/>
      <c r="I94" s="21"/>
      <c r="J94" s="21"/>
      <c r="K94" s="19"/>
      <c r="L94" s="19"/>
      <c r="M94" s="22">
        <v>1</v>
      </c>
      <c r="N94" s="19"/>
      <c r="O94" s="25"/>
      <c r="P94" s="23"/>
      <c r="Q94" s="21" t="s">
        <v>46</v>
      </c>
      <c r="R94" s="19" t="s">
        <v>47</v>
      </c>
      <c r="S94" s="21"/>
      <c r="T94" s="19"/>
      <c r="U94" s="21"/>
      <c r="V94" s="7"/>
      <c r="W94" s="7"/>
      <c r="X94" s="51" t="str">
        <f t="shared" si="0"/>
        <v/>
      </c>
      <c r="Y94" s="51" t="str">
        <f t="shared" si="1"/>
        <v/>
      </c>
      <c r="Z94" s="37"/>
    </row>
    <row r="95" spans="1:26" ht="14.25" customHeight="1" x14ac:dyDescent="0.3">
      <c r="A95" s="18">
        <v>23.2</v>
      </c>
      <c r="B95" s="19"/>
      <c r="C95" s="18" t="s">
        <v>55</v>
      </c>
      <c r="D95" s="19"/>
      <c r="E95" s="25"/>
      <c r="F95" s="19"/>
      <c r="G95" s="21">
        <v>0</v>
      </c>
      <c r="H95" s="21"/>
      <c r="I95" s="21"/>
      <c r="J95" s="21"/>
      <c r="K95" s="19"/>
      <c r="L95" s="19"/>
      <c r="M95" s="22">
        <v>1</v>
      </c>
      <c r="N95" s="19"/>
      <c r="O95" s="25"/>
      <c r="P95" s="23"/>
      <c r="Q95" s="21" t="s">
        <v>46</v>
      </c>
      <c r="R95" s="19" t="s">
        <v>47</v>
      </c>
      <c r="S95" s="21"/>
      <c r="T95" s="19"/>
      <c r="U95" s="21"/>
      <c r="V95" s="7"/>
      <c r="W95" s="7"/>
      <c r="X95" s="51" t="str">
        <f t="shared" si="0"/>
        <v/>
      </c>
      <c r="Y95" s="51" t="str">
        <f t="shared" si="1"/>
        <v/>
      </c>
      <c r="Z95" s="37"/>
    </row>
    <row r="96" spans="1:26" ht="14.25" customHeight="1" x14ac:dyDescent="0.3">
      <c r="A96" s="18">
        <v>23.3</v>
      </c>
      <c r="B96" s="19"/>
      <c r="C96" s="18" t="s">
        <v>55</v>
      </c>
      <c r="D96" s="19"/>
      <c r="E96" s="25"/>
      <c r="F96" s="19"/>
      <c r="G96" s="21">
        <v>0</v>
      </c>
      <c r="H96" s="21"/>
      <c r="I96" s="21"/>
      <c r="J96" s="21"/>
      <c r="K96" s="19"/>
      <c r="L96" s="19"/>
      <c r="M96" s="22">
        <v>1</v>
      </c>
      <c r="N96" s="19"/>
      <c r="O96" s="25"/>
      <c r="P96" s="23"/>
      <c r="Q96" s="21" t="s">
        <v>46</v>
      </c>
      <c r="R96" s="19" t="s">
        <v>47</v>
      </c>
      <c r="S96" s="21"/>
      <c r="T96" s="19"/>
      <c r="U96" s="21"/>
      <c r="V96" s="7"/>
      <c r="W96" s="7"/>
      <c r="X96" s="51" t="str">
        <f t="shared" si="0"/>
        <v/>
      </c>
      <c r="Y96" s="51" t="str">
        <f t="shared" si="1"/>
        <v/>
      </c>
      <c r="Z96" s="37"/>
    </row>
    <row r="97" spans="1:26" ht="14.25" customHeight="1" x14ac:dyDescent="0.3">
      <c r="A97" s="18">
        <v>23.4</v>
      </c>
      <c r="B97" s="19"/>
      <c r="C97" s="18" t="s">
        <v>55</v>
      </c>
      <c r="D97" s="19"/>
      <c r="E97" s="25"/>
      <c r="F97" s="19"/>
      <c r="G97" s="21">
        <v>0</v>
      </c>
      <c r="H97" s="21"/>
      <c r="I97" s="21"/>
      <c r="J97" s="21"/>
      <c r="K97" s="19"/>
      <c r="L97" s="19"/>
      <c r="M97" s="22">
        <v>1</v>
      </c>
      <c r="N97" s="19"/>
      <c r="O97" s="25"/>
      <c r="P97" s="23"/>
      <c r="Q97" s="21" t="s">
        <v>46</v>
      </c>
      <c r="R97" s="19" t="s">
        <v>47</v>
      </c>
      <c r="S97" s="21"/>
      <c r="T97" s="19"/>
      <c r="U97" s="21"/>
      <c r="V97" s="7"/>
      <c r="W97" s="7"/>
      <c r="X97" s="51" t="str">
        <f t="shared" si="0"/>
        <v/>
      </c>
      <c r="Y97" s="51" t="str">
        <f t="shared" si="1"/>
        <v/>
      </c>
      <c r="Z97" s="37"/>
    </row>
    <row r="98" spans="1:26" ht="14.25" customHeight="1" x14ac:dyDescent="0.3">
      <c r="A98" s="18">
        <v>24.1</v>
      </c>
      <c r="B98" s="19"/>
      <c r="C98" s="18" t="s">
        <v>55</v>
      </c>
      <c r="D98" s="19"/>
      <c r="E98" s="25"/>
      <c r="F98" s="19"/>
      <c r="G98" s="21">
        <v>0</v>
      </c>
      <c r="H98" s="21"/>
      <c r="I98" s="21"/>
      <c r="J98" s="21"/>
      <c r="K98" s="19"/>
      <c r="L98" s="19"/>
      <c r="M98" s="22">
        <v>1</v>
      </c>
      <c r="N98" s="19"/>
      <c r="O98" s="25"/>
      <c r="P98" s="23"/>
      <c r="Q98" s="21" t="s">
        <v>46</v>
      </c>
      <c r="R98" s="19" t="s">
        <v>47</v>
      </c>
      <c r="S98" s="21"/>
      <c r="T98" s="19"/>
      <c r="U98" s="21"/>
      <c r="V98" s="7"/>
      <c r="W98" s="7"/>
      <c r="X98" s="51" t="str">
        <f t="shared" si="0"/>
        <v/>
      </c>
      <c r="Y98" s="51" t="str">
        <f t="shared" si="1"/>
        <v/>
      </c>
      <c r="Z98" s="37"/>
    </row>
    <row r="99" spans="1:26" ht="14.25" customHeight="1" x14ac:dyDescent="0.3">
      <c r="A99" s="18">
        <v>24.2</v>
      </c>
      <c r="B99" s="19"/>
      <c r="C99" s="18" t="s">
        <v>55</v>
      </c>
      <c r="D99" s="19"/>
      <c r="E99" s="25"/>
      <c r="F99" s="19"/>
      <c r="G99" s="21">
        <v>0</v>
      </c>
      <c r="H99" s="21"/>
      <c r="I99" s="21"/>
      <c r="J99" s="21"/>
      <c r="K99" s="19"/>
      <c r="L99" s="19"/>
      <c r="M99" s="22">
        <v>1</v>
      </c>
      <c r="N99" s="19"/>
      <c r="O99" s="25"/>
      <c r="P99" s="23"/>
      <c r="Q99" s="21" t="s">
        <v>46</v>
      </c>
      <c r="R99" s="19" t="s">
        <v>47</v>
      </c>
      <c r="S99" s="21"/>
      <c r="T99" s="19"/>
      <c r="U99" s="21"/>
      <c r="V99" s="7"/>
      <c r="W99" s="7"/>
      <c r="X99" s="51" t="str">
        <f t="shared" si="0"/>
        <v/>
      </c>
      <c r="Y99" s="51" t="str">
        <f t="shared" si="1"/>
        <v/>
      </c>
      <c r="Z99" s="37"/>
    </row>
    <row r="100" spans="1:26" ht="14.25" customHeight="1" x14ac:dyDescent="0.3">
      <c r="A100" s="18">
        <v>24.3</v>
      </c>
      <c r="B100" s="19"/>
      <c r="C100" s="18" t="s">
        <v>55</v>
      </c>
      <c r="D100" s="19"/>
      <c r="E100" s="25"/>
      <c r="F100" s="19"/>
      <c r="G100" s="21">
        <v>0</v>
      </c>
      <c r="H100" s="21"/>
      <c r="I100" s="21"/>
      <c r="J100" s="21"/>
      <c r="K100" s="19"/>
      <c r="L100" s="19"/>
      <c r="M100" s="22">
        <v>1</v>
      </c>
      <c r="N100" s="19"/>
      <c r="O100" s="25"/>
      <c r="P100" s="23"/>
      <c r="Q100" s="21" t="s">
        <v>46</v>
      </c>
      <c r="R100" s="19" t="s">
        <v>47</v>
      </c>
      <c r="S100" s="21"/>
      <c r="T100" s="19"/>
      <c r="U100" s="21"/>
      <c r="V100" s="7"/>
      <c r="W100" s="7"/>
      <c r="X100" s="51" t="str">
        <f t="shared" si="0"/>
        <v/>
      </c>
      <c r="Y100" s="51" t="str">
        <f t="shared" si="1"/>
        <v/>
      </c>
      <c r="Z100" s="37"/>
    </row>
    <row r="101" spans="1:26" ht="14.25" customHeight="1" x14ac:dyDescent="0.3">
      <c r="A101" s="18">
        <v>24.4</v>
      </c>
      <c r="B101" s="19"/>
      <c r="C101" s="18" t="s">
        <v>55</v>
      </c>
      <c r="D101" s="19"/>
      <c r="E101" s="25"/>
      <c r="F101" s="19"/>
      <c r="G101" s="21">
        <v>0</v>
      </c>
      <c r="H101" s="21"/>
      <c r="I101" s="21"/>
      <c r="J101" s="21"/>
      <c r="K101" s="19"/>
      <c r="L101" s="19"/>
      <c r="M101" s="22">
        <v>1</v>
      </c>
      <c r="N101" s="19"/>
      <c r="O101" s="25"/>
      <c r="P101" s="23"/>
      <c r="Q101" s="21" t="s">
        <v>46</v>
      </c>
      <c r="R101" s="19" t="s">
        <v>47</v>
      </c>
      <c r="S101" s="21"/>
      <c r="T101" s="19"/>
      <c r="U101" s="21"/>
      <c r="V101" s="7"/>
      <c r="W101" s="7"/>
      <c r="X101" s="51" t="str">
        <f t="shared" si="0"/>
        <v/>
      </c>
      <c r="Y101" s="51" t="str">
        <f t="shared" si="1"/>
        <v/>
      </c>
      <c r="Z101" s="37"/>
    </row>
    <row r="102" spans="1:26" ht="14.25" customHeight="1" x14ac:dyDescent="0.3">
      <c r="A102" s="18">
        <v>25.1</v>
      </c>
      <c r="B102" s="19"/>
      <c r="C102" s="18" t="s">
        <v>55</v>
      </c>
      <c r="D102" s="19"/>
      <c r="E102" s="25"/>
      <c r="F102" s="19"/>
      <c r="G102" s="21">
        <v>0</v>
      </c>
      <c r="H102" s="21"/>
      <c r="I102" s="21"/>
      <c r="J102" s="21"/>
      <c r="K102" s="19"/>
      <c r="L102" s="19"/>
      <c r="M102" s="22">
        <v>1</v>
      </c>
      <c r="N102" s="19"/>
      <c r="O102" s="25"/>
      <c r="P102" s="23"/>
      <c r="Q102" s="21" t="s">
        <v>46</v>
      </c>
      <c r="R102" s="19" t="s">
        <v>47</v>
      </c>
      <c r="S102" s="21"/>
      <c r="T102" s="19"/>
      <c r="U102" s="21"/>
      <c r="V102" s="7"/>
      <c r="W102" s="7"/>
      <c r="X102" s="51" t="str">
        <f t="shared" si="0"/>
        <v/>
      </c>
      <c r="Y102" s="51" t="str">
        <f t="shared" si="1"/>
        <v/>
      </c>
      <c r="Z102" s="37"/>
    </row>
    <row r="103" spans="1:26" ht="14.25" customHeight="1" x14ac:dyDescent="0.3">
      <c r="A103" s="18">
        <v>25.2</v>
      </c>
      <c r="B103" s="19"/>
      <c r="C103" s="18" t="s">
        <v>55</v>
      </c>
      <c r="D103" s="19"/>
      <c r="E103" s="25"/>
      <c r="F103" s="19"/>
      <c r="G103" s="21">
        <v>0</v>
      </c>
      <c r="H103" s="21"/>
      <c r="I103" s="21"/>
      <c r="J103" s="21"/>
      <c r="K103" s="19"/>
      <c r="L103" s="19"/>
      <c r="M103" s="22">
        <v>1</v>
      </c>
      <c r="N103" s="19"/>
      <c r="O103" s="25"/>
      <c r="P103" s="23"/>
      <c r="Q103" s="21" t="s">
        <v>46</v>
      </c>
      <c r="R103" s="19" t="s">
        <v>47</v>
      </c>
      <c r="S103" s="21"/>
      <c r="T103" s="19"/>
      <c r="U103" s="21"/>
      <c r="V103" s="7"/>
      <c r="W103" s="7"/>
      <c r="X103" s="51" t="str">
        <f t="shared" si="0"/>
        <v/>
      </c>
      <c r="Y103" s="51" t="str">
        <f t="shared" si="1"/>
        <v/>
      </c>
      <c r="Z103" s="37"/>
    </row>
    <row r="104" spans="1:26" ht="14.25" customHeight="1" x14ac:dyDescent="0.3">
      <c r="A104" s="18">
        <v>25.3</v>
      </c>
      <c r="B104" s="19"/>
      <c r="C104" s="18" t="s">
        <v>55</v>
      </c>
      <c r="D104" s="19"/>
      <c r="E104" s="25"/>
      <c r="F104" s="19"/>
      <c r="G104" s="21">
        <v>0</v>
      </c>
      <c r="H104" s="21"/>
      <c r="I104" s="21"/>
      <c r="J104" s="21"/>
      <c r="K104" s="19"/>
      <c r="L104" s="19"/>
      <c r="M104" s="22">
        <v>1</v>
      </c>
      <c r="N104" s="19"/>
      <c r="O104" s="25"/>
      <c r="P104" s="23"/>
      <c r="Q104" s="21" t="s">
        <v>46</v>
      </c>
      <c r="R104" s="19" t="s">
        <v>47</v>
      </c>
      <c r="S104" s="21"/>
      <c r="T104" s="19"/>
      <c r="U104" s="21"/>
      <c r="V104" s="7"/>
      <c r="W104" s="7"/>
      <c r="X104" s="51" t="str">
        <f t="shared" si="0"/>
        <v/>
      </c>
      <c r="Y104" s="51" t="str">
        <f t="shared" si="1"/>
        <v/>
      </c>
      <c r="Z104" s="37"/>
    </row>
    <row r="105" spans="1:26" ht="14.25" customHeight="1" x14ac:dyDescent="0.3">
      <c r="A105" s="18">
        <v>25.4</v>
      </c>
      <c r="B105" s="19"/>
      <c r="C105" s="18" t="s">
        <v>55</v>
      </c>
      <c r="D105" s="19"/>
      <c r="E105" s="25"/>
      <c r="F105" s="19"/>
      <c r="G105" s="21">
        <v>0</v>
      </c>
      <c r="H105" s="21"/>
      <c r="I105" s="21"/>
      <c r="J105" s="21"/>
      <c r="K105" s="19"/>
      <c r="L105" s="19"/>
      <c r="M105" s="22">
        <v>1</v>
      </c>
      <c r="N105" s="19"/>
      <c r="O105" s="25"/>
      <c r="P105" s="23"/>
      <c r="Q105" s="21" t="s">
        <v>46</v>
      </c>
      <c r="R105" s="19" t="s">
        <v>47</v>
      </c>
      <c r="S105" s="21"/>
      <c r="T105" s="19"/>
      <c r="U105" s="21"/>
      <c r="V105" s="7"/>
      <c r="W105" s="7"/>
      <c r="X105" s="51" t="str">
        <f t="shared" si="0"/>
        <v/>
      </c>
      <c r="Y105" s="51" t="str">
        <f t="shared" si="1"/>
        <v/>
      </c>
      <c r="Z105" s="37"/>
    </row>
    <row r="106" spans="1:26" ht="14.25" customHeight="1" x14ac:dyDescent="0.3">
      <c r="A106" s="18">
        <v>26.1</v>
      </c>
      <c r="B106" s="19"/>
      <c r="C106" s="18" t="s">
        <v>55</v>
      </c>
      <c r="D106" s="19"/>
      <c r="E106" s="25"/>
      <c r="F106" s="19"/>
      <c r="G106" s="21">
        <v>0</v>
      </c>
      <c r="H106" s="21"/>
      <c r="I106" s="21"/>
      <c r="J106" s="21"/>
      <c r="K106" s="19"/>
      <c r="L106" s="19"/>
      <c r="M106" s="22">
        <v>1</v>
      </c>
      <c r="N106" s="19"/>
      <c r="O106" s="25"/>
      <c r="P106" s="23"/>
      <c r="Q106" s="21" t="s">
        <v>46</v>
      </c>
      <c r="R106" s="19" t="s">
        <v>47</v>
      </c>
      <c r="S106" s="21"/>
      <c r="T106" s="19"/>
      <c r="U106" s="21"/>
      <c r="V106" s="7"/>
      <c r="W106" s="7"/>
      <c r="X106" s="51" t="str">
        <f t="shared" si="0"/>
        <v/>
      </c>
      <c r="Y106" s="51" t="str">
        <f t="shared" si="1"/>
        <v/>
      </c>
      <c r="Z106" s="37"/>
    </row>
    <row r="107" spans="1:26" ht="14.25" customHeight="1" x14ac:dyDescent="0.3">
      <c r="A107" s="18">
        <v>26.2</v>
      </c>
      <c r="B107" s="19"/>
      <c r="C107" s="18" t="s">
        <v>55</v>
      </c>
      <c r="D107" s="19"/>
      <c r="E107" s="25"/>
      <c r="F107" s="19"/>
      <c r="G107" s="21">
        <v>0</v>
      </c>
      <c r="H107" s="21"/>
      <c r="I107" s="21"/>
      <c r="J107" s="21"/>
      <c r="K107" s="19"/>
      <c r="L107" s="19"/>
      <c r="M107" s="22">
        <v>1</v>
      </c>
      <c r="N107" s="19"/>
      <c r="O107" s="25"/>
      <c r="P107" s="23"/>
      <c r="Q107" s="21" t="s">
        <v>46</v>
      </c>
      <c r="R107" s="19" t="s">
        <v>47</v>
      </c>
      <c r="S107" s="21"/>
      <c r="T107" s="19"/>
      <c r="U107" s="21"/>
      <c r="V107" s="7"/>
      <c r="W107" s="7"/>
      <c r="X107" s="51" t="str">
        <f t="shared" si="0"/>
        <v/>
      </c>
      <c r="Y107" s="51" t="str">
        <f t="shared" si="1"/>
        <v/>
      </c>
      <c r="Z107" s="37"/>
    </row>
    <row r="108" spans="1:26" ht="14.25" customHeight="1" x14ac:dyDescent="0.3">
      <c r="A108" s="18">
        <v>26.3</v>
      </c>
      <c r="B108" s="19"/>
      <c r="C108" s="18" t="s">
        <v>55</v>
      </c>
      <c r="D108" s="19"/>
      <c r="E108" s="25"/>
      <c r="F108" s="19"/>
      <c r="G108" s="21">
        <v>0</v>
      </c>
      <c r="H108" s="21"/>
      <c r="I108" s="21"/>
      <c r="J108" s="21"/>
      <c r="K108" s="19"/>
      <c r="L108" s="19"/>
      <c r="M108" s="22">
        <v>1</v>
      </c>
      <c r="N108" s="19"/>
      <c r="O108" s="25"/>
      <c r="P108" s="23"/>
      <c r="Q108" s="21" t="s">
        <v>46</v>
      </c>
      <c r="R108" s="19" t="s">
        <v>47</v>
      </c>
      <c r="S108" s="21"/>
      <c r="T108" s="19"/>
      <c r="U108" s="21"/>
      <c r="V108" s="7"/>
      <c r="W108" s="7"/>
      <c r="X108" s="51" t="str">
        <f t="shared" si="0"/>
        <v/>
      </c>
      <c r="Y108" s="51" t="str">
        <f t="shared" si="1"/>
        <v/>
      </c>
      <c r="Z108" s="37"/>
    </row>
    <row r="109" spans="1:26" ht="14.25" customHeight="1" x14ac:dyDescent="0.3">
      <c r="A109" s="18">
        <v>26.4</v>
      </c>
      <c r="B109" s="19"/>
      <c r="C109" s="18" t="s">
        <v>55</v>
      </c>
      <c r="D109" s="19"/>
      <c r="E109" s="25"/>
      <c r="F109" s="19"/>
      <c r="G109" s="21">
        <v>0</v>
      </c>
      <c r="H109" s="21"/>
      <c r="I109" s="21"/>
      <c r="J109" s="21"/>
      <c r="K109" s="19"/>
      <c r="L109" s="19"/>
      <c r="M109" s="22">
        <v>1</v>
      </c>
      <c r="N109" s="19"/>
      <c r="O109" s="25"/>
      <c r="P109" s="23"/>
      <c r="Q109" s="21" t="s">
        <v>46</v>
      </c>
      <c r="R109" s="19" t="s">
        <v>47</v>
      </c>
      <c r="S109" s="21"/>
      <c r="T109" s="19"/>
      <c r="U109" s="21"/>
      <c r="V109" s="7"/>
      <c r="W109" s="7"/>
      <c r="X109" s="51" t="str">
        <f t="shared" si="0"/>
        <v/>
      </c>
      <c r="Y109" s="51" t="str">
        <f t="shared" si="1"/>
        <v/>
      </c>
      <c r="Z109" s="37"/>
    </row>
    <row r="110" spans="1:26" ht="14.25" customHeight="1" x14ac:dyDescent="0.3">
      <c r="A110" s="18">
        <v>27.1</v>
      </c>
      <c r="B110" s="19"/>
      <c r="C110" s="18" t="s">
        <v>55</v>
      </c>
      <c r="D110" s="19"/>
      <c r="E110" s="25"/>
      <c r="F110" s="19"/>
      <c r="G110" s="21">
        <v>0</v>
      </c>
      <c r="H110" s="21"/>
      <c r="I110" s="21"/>
      <c r="J110" s="21"/>
      <c r="K110" s="19"/>
      <c r="L110" s="19"/>
      <c r="M110" s="22">
        <v>1</v>
      </c>
      <c r="N110" s="19"/>
      <c r="O110" s="25"/>
      <c r="P110" s="23"/>
      <c r="Q110" s="21" t="s">
        <v>46</v>
      </c>
      <c r="R110" s="19" t="s">
        <v>47</v>
      </c>
      <c r="S110" s="21"/>
      <c r="T110" s="19"/>
      <c r="U110" s="21"/>
      <c r="V110" s="7"/>
      <c r="W110" s="7"/>
      <c r="X110" s="51" t="str">
        <f t="shared" si="0"/>
        <v/>
      </c>
      <c r="Y110" s="51" t="str">
        <f t="shared" si="1"/>
        <v/>
      </c>
      <c r="Z110" s="37"/>
    </row>
    <row r="111" spans="1:26" ht="14.25" customHeight="1" x14ac:dyDescent="0.3">
      <c r="A111" s="18">
        <v>27.2</v>
      </c>
      <c r="B111" s="19"/>
      <c r="C111" s="18" t="s">
        <v>55</v>
      </c>
      <c r="D111" s="19"/>
      <c r="E111" s="25"/>
      <c r="F111" s="19"/>
      <c r="G111" s="21">
        <v>0</v>
      </c>
      <c r="H111" s="21"/>
      <c r="I111" s="21"/>
      <c r="J111" s="21"/>
      <c r="K111" s="19"/>
      <c r="L111" s="19"/>
      <c r="M111" s="22">
        <v>1</v>
      </c>
      <c r="N111" s="19"/>
      <c r="O111" s="25"/>
      <c r="P111" s="23"/>
      <c r="Q111" s="21" t="s">
        <v>46</v>
      </c>
      <c r="R111" s="19" t="s">
        <v>47</v>
      </c>
      <c r="S111" s="21"/>
      <c r="T111" s="19"/>
      <c r="U111" s="21"/>
      <c r="V111" s="7"/>
      <c r="W111" s="7"/>
      <c r="X111" s="51" t="str">
        <f t="shared" si="0"/>
        <v/>
      </c>
      <c r="Y111" s="51" t="str">
        <f t="shared" si="1"/>
        <v/>
      </c>
      <c r="Z111" s="37"/>
    </row>
    <row r="112" spans="1:26" ht="14.25" customHeight="1" x14ac:dyDescent="0.3">
      <c r="A112" s="18">
        <v>27.3</v>
      </c>
      <c r="B112" s="19"/>
      <c r="C112" s="18" t="s">
        <v>55</v>
      </c>
      <c r="D112" s="19"/>
      <c r="E112" s="25"/>
      <c r="F112" s="19"/>
      <c r="G112" s="21">
        <v>0</v>
      </c>
      <c r="H112" s="21"/>
      <c r="I112" s="21"/>
      <c r="J112" s="21"/>
      <c r="K112" s="19"/>
      <c r="L112" s="19"/>
      <c r="M112" s="22">
        <v>1</v>
      </c>
      <c r="N112" s="19"/>
      <c r="O112" s="25"/>
      <c r="P112" s="23"/>
      <c r="Q112" s="21" t="s">
        <v>46</v>
      </c>
      <c r="R112" s="19" t="s">
        <v>47</v>
      </c>
      <c r="S112" s="21"/>
      <c r="T112" s="19"/>
      <c r="U112" s="21"/>
      <c r="V112" s="7"/>
      <c r="W112" s="7"/>
      <c r="X112" s="51" t="str">
        <f t="shared" si="0"/>
        <v/>
      </c>
      <c r="Y112" s="51" t="str">
        <f t="shared" si="1"/>
        <v/>
      </c>
      <c r="Z112" s="37"/>
    </row>
    <row r="113" spans="1:26" ht="14.25" customHeight="1" x14ac:dyDescent="0.3">
      <c r="A113" s="18">
        <v>27.4</v>
      </c>
      <c r="B113" s="19"/>
      <c r="C113" s="18" t="s">
        <v>55</v>
      </c>
      <c r="D113" s="19"/>
      <c r="E113" s="25"/>
      <c r="F113" s="19"/>
      <c r="G113" s="21">
        <v>0</v>
      </c>
      <c r="H113" s="21"/>
      <c r="I113" s="21"/>
      <c r="J113" s="21"/>
      <c r="K113" s="19"/>
      <c r="L113" s="19"/>
      <c r="M113" s="22">
        <v>1</v>
      </c>
      <c r="N113" s="19"/>
      <c r="O113" s="25"/>
      <c r="P113" s="23"/>
      <c r="Q113" s="21" t="s">
        <v>46</v>
      </c>
      <c r="R113" s="19" t="s">
        <v>47</v>
      </c>
      <c r="S113" s="21"/>
      <c r="T113" s="19"/>
      <c r="U113" s="21"/>
      <c r="V113" s="7"/>
      <c r="W113" s="7"/>
      <c r="X113" s="51" t="str">
        <f t="shared" si="0"/>
        <v/>
      </c>
      <c r="Y113" s="51" t="str">
        <f t="shared" si="1"/>
        <v/>
      </c>
      <c r="Z113" s="37"/>
    </row>
    <row r="114" spans="1:26" ht="14.25" customHeight="1" x14ac:dyDescent="0.3">
      <c r="A114" s="18">
        <v>28.1</v>
      </c>
      <c r="B114" s="19"/>
      <c r="C114" s="18" t="s">
        <v>55</v>
      </c>
      <c r="D114" s="19"/>
      <c r="E114" s="25"/>
      <c r="F114" s="19"/>
      <c r="G114" s="21">
        <v>0</v>
      </c>
      <c r="H114" s="21"/>
      <c r="I114" s="21"/>
      <c r="J114" s="21"/>
      <c r="K114" s="19"/>
      <c r="L114" s="19"/>
      <c r="M114" s="22">
        <v>1</v>
      </c>
      <c r="N114" s="19"/>
      <c r="O114" s="25"/>
      <c r="P114" s="23"/>
      <c r="Q114" s="21" t="s">
        <v>46</v>
      </c>
      <c r="R114" s="19" t="s">
        <v>47</v>
      </c>
      <c r="S114" s="21"/>
      <c r="T114" s="19"/>
      <c r="U114" s="21"/>
      <c r="V114" s="7"/>
      <c r="W114" s="7"/>
      <c r="X114" s="51" t="str">
        <f t="shared" si="0"/>
        <v/>
      </c>
      <c r="Y114" s="51" t="str">
        <f t="shared" si="1"/>
        <v/>
      </c>
      <c r="Z114" s="37"/>
    </row>
    <row r="115" spans="1:26" ht="14.25" customHeight="1" x14ac:dyDescent="0.3">
      <c r="A115" s="18">
        <v>28.2</v>
      </c>
      <c r="B115" s="19"/>
      <c r="C115" s="18" t="s">
        <v>55</v>
      </c>
      <c r="D115" s="19"/>
      <c r="E115" s="25"/>
      <c r="F115" s="19"/>
      <c r="G115" s="21">
        <v>0</v>
      </c>
      <c r="H115" s="21"/>
      <c r="I115" s="21"/>
      <c r="J115" s="21"/>
      <c r="K115" s="19"/>
      <c r="L115" s="19"/>
      <c r="M115" s="22">
        <v>1</v>
      </c>
      <c r="N115" s="19"/>
      <c r="O115" s="25"/>
      <c r="P115" s="23"/>
      <c r="Q115" s="21" t="s">
        <v>46</v>
      </c>
      <c r="R115" s="19" t="s">
        <v>47</v>
      </c>
      <c r="S115" s="21"/>
      <c r="T115" s="19"/>
      <c r="U115" s="21"/>
      <c r="V115" s="7"/>
      <c r="W115" s="7"/>
      <c r="X115" s="51" t="str">
        <f t="shared" si="0"/>
        <v/>
      </c>
      <c r="Y115" s="51" t="str">
        <f t="shared" si="1"/>
        <v/>
      </c>
      <c r="Z115" s="37"/>
    </row>
    <row r="116" spans="1:26" ht="14.25" customHeight="1" x14ac:dyDescent="0.3">
      <c r="A116" s="18">
        <v>28.3</v>
      </c>
      <c r="B116" s="19"/>
      <c r="C116" s="18" t="s">
        <v>55</v>
      </c>
      <c r="D116" s="19"/>
      <c r="E116" s="25"/>
      <c r="F116" s="19"/>
      <c r="G116" s="21">
        <v>0</v>
      </c>
      <c r="H116" s="21"/>
      <c r="I116" s="21"/>
      <c r="J116" s="21"/>
      <c r="K116" s="19"/>
      <c r="L116" s="19"/>
      <c r="M116" s="22">
        <v>1</v>
      </c>
      <c r="N116" s="19"/>
      <c r="O116" s="25"/>
      <c r="P116" s="23"/>
      <c r="Q116" s="21" t="s">
        <v>46</v>
      </c>
      <c r="R116" s="19" t="s">
        <v>47</v>
      </c>
      <c r="S116" s="21"/>
      <c r="T116" s="19"/>
      <c r="U116" s="21"/>
      <c r="V116" s="7"/>
      <c r="W116" s="7"/>
      <c r="X116" s="51" t="str">
        <f t="shared" si="0"/>
        <v/>
      </c>
      <c r="Y116" s="51" t="str">
        <f t="shared" si="1"/>
        <v/>
      </c>
      <c r="Z116" s="37"/>
    </row>
    <row r="117" spans="1:26" ht="14.25" customHeight="1" x14ac:dyDescent="0.3">
      <c r="A117" s="18">
        <v>28.4</v>
      </c>
      <c r="B117" s="19"/>
      <c r="C117" s="18" t="s">
        <v>55</v>
      </c>
      <c r="D117" s="19"/>
      <c r="E117" s="25"/>
      <c r="F117" s="19"/>
      <c r="G117" s="21">
        <v>0</v>
      </c>
      <c r="H117" s="21"/>
      <c r="I117" s="21"/>
      <c r="J117" s="21"/>
      <c r="K117" s="19"/>
      <c r="L117" s="19"/>
      <c r="M117" s="22">
        <v>1</v>
      </c>
      <c r="N117" s="19"/>
      <c r="O117" s="25"/>
      <c r="P117" s="23"/>
      <c r="Q117" s="21" t="s">
        <v>46</v>
      </c>
      <c r="R117" s="19" t="s">
        <v>47</v>
      </c>
      <c r="S117" s="21"/>
      <c r="T117" s="19"/>
      <c r="U117" s="21"/>
      <c r="V117" s="7"/>
      <c r="W117" s="7"/>
      <c r="X117" s="51" t="str">
        <f t="shared" si="0"/>
        <v/>
      </c>
      <c r="Y117" s="51" t="str">
        <f t="shared" si="1"/>
        <v/>
      </c>
      <c r="Z117" s="37"/>
    </row>
    <row r="118" spans="1:26" ht="14.25" customHeight="1" x14ac:dyDescent="0.3">
      <c r="A118" s="18">
        <v>29.1</v>
      </c>
      <c r="B118" s="19"/>
      <c r="C118" s="18" t="s">
        <v>55</v>
      </c>
      <c r="D118" s="19"/>
      <c r="E118" s="25"/>
      <c r="F118" s="19"/>
      <c r="G118" s="21">
        <v>0</v>
      </c>
      <c r="H118" s="21"/>
      <c r="I118" s="21"/>
      <c r="J118" s="21"/>
      <c r="K118" s="19"/>
      <c r="L118" s="19"/>
      <c r="M118" s="22">
        <v>1</v>
      </c>
      <c r="N118" s="19"/>
      <c r="O118" s="25"/>
      <c r="P118" s="23"/>
      <c r="Q118" s="21" t="s">
        <v>46</v>
      </c>
      <c r="R118" s="19" t="s">
        <v>47</v>
      </c>
      <c r="S118" s="21"/>
      <c r="T118" s="19"/>
      <c r="U118" s="21"/>
      <c r="V118" s="7"/>
      <c r="W118" s="7"/>
      <c r="X118" s="51" t="str">
        <f t="shared" si="0"/>
        <v/>
      </c>
      <c r="Y118" s="51" t="str">
        <f t="shared" si="1"/>
        <v/>
      </c>
      <c r="Z118" s="37"/>
    </row>
    <row r="119" spans="1:26" ht="14.25" customHeight="1" x14ac:dyDescent="0.3">
      <c r="A119" s="18">
        <v>29.2</v>
      </c>
      <c r="B119" s="19"/>
      <c r="C119" s="18" t="s">
        <v>55</v>
      </c>
      <c r="D119" s="19"/>
      <c r="E119" s="25"/>
      <c r="F119" s="19"/>
      <c r="G119" s="21">
        <v>0</v>
      </c>
      <c r="H119" s="21"/>
      <c r="I119" s="21"/>
      <c r="J119" s="21"/>
      <c r="K119" s="19"/>
      <c r="L119" s="19"/>
      <c r="M119" s="22">
        <v>1</v>
      </c>
      <c r="N119" s="19"/>
      <c r="O119" s="25"/>
      <c r="P119" s="23"/>
      <c r="Q119" s="21" t="s">
        <v>46</v>
      </c>
      <c r="R119" s="19" t="s">
        <v>47</v>
      </c>
      <c r="S119" s="21"/>
      <c r="T119" s="19"/>
      <c r="U119" s="21"/>
      <c r="V119" s="7"/>
      <c r="W119" s="7"/>
      <c r="X119" s="51" t="str">
        <f t="shared" si="0"/>
        <v/>
      </c>
      <c r="Y119" s="51" t="str">
        <f t="shared" si="1"/>
        <v/>
      </c>
      <c r="Z119" s="37"/>
    </row>
    <row r="120" spans="1:26" ht="14.25" customHeight="1" x14ac:dyDescent="0.3">
      <c r="A120" s="18">
        <v>29.3</v>
      </c>
      <c r="B120" s="19"/>
      <c r="C120" s="18" t="s">
        <v>55</v>
      </c>
      <c r="D120" s="19"/>
      <c r="E120" s="25"/>
      <c r="F120" s="19"/>
      <c r="G120" s="21">
        <v>0</v>
      </c>
      <c r="H120" s="21"/>
      <c r="I120" s="21"/>
      <c r="J120" s="21"/>
      <c r="K120" s="19"/>
      <c r="L120" s="19"/>
      <c r="M120" s="22">
        <v>1</v>
      </c>
      <c r="N120" s="19"/>
      <c r="O120" s="25"/>
      <c r="P120" s="23"/>
      <c r="Q120" s="21" t="s">
        <v>46</v>
      </c>
      <c r="R120" s="19" t="s">
        <v>47</v>
      </c>
      <c r="S120" s="21"/>
      <c r="T120" s="19"/>
      <c r="U120" s="21"/>
      <c r="V120" s="7"/>
      <c r="W120" s="7"/>
      <c r="X120" s="51" t="str">
        <f t="shared" si="0"/>
        <v/>
      </c>
      <c r="Y120" s="51" t="str">
        <f t="shared" si="1"/>
        <v/>
      </c>
      <c r="Z120" s="37"/>
    </row>
    <row r="121" spans="1:26" ht="14.25" customHeight="1" x14ac:dyDescent="0.3">
      <c r="A121" s="18">
        <v>29.4</v>
      </c>
      <c r="B121" s="19"/>
      <c r="C121" s="18" t="s">
        <v>55</v>
      </c>
      <c r="D121" s="19"/>
      <c r="E121" s="25"/>
      <c r="F121" s="19"/>
      <c r="G121" s="21">
        <v>0</v>
      </c>
      <c r="H121" s="21"/>
      <c r="I121" s="21"/>
      <c r="J121" s="21"/>
      <c r="K121" s="19"/>
      <c r="L121" s="19"/>
      <c r="M121" s="22">
        <v>1</v>
      </c>
      <c r="N121" s="19"/>
      <c r="O121" s="25"/>
      <c r="P121" s="23"/>
      <c r="Q121" s="21" t="s">
        <v>46</v>
      </c>
      <c r="R121" s="19" t="s">
        <v>47</v>
      </c>
      <c r="S121" s="21"/>
      <c r="T121" s="19"/>
      <c r="U121" s="21"/>
      <c r="V121" s="7"/>
      <c r="W121" s="7"/>
      <c r="X121" s="51" t="str">
        <f t="shared" si="0"/>
        <v/>
      </c>
      <c r="Y121" s="51" t="str">
        <f t="shared" si="1"/>
        <v/>
      </c>
      <c r="Z121" s="37"/>
    </row>
    <row r="122" spans="1:26" ht="14.25" customHeight="1" x14ac:dyDescent="0.3">
      <c r="A122" s="18">
        <v>30.1</v>
      </c>
      <c r="B122" s="19"/>
      <c r="C122" s="18" t="s">
        <v>55</v>
      </c>
      <c r="D122" s="19"/>
      <c r="E122" s="25"/>
      <c r="F122" s="19"/>
      <c r="G122" s="21">
        <v>0</v>
      </c>
      <c r="H122" s="21"/>
      <c r="I122" s="21"/>
      <c r="J122" s="21"/>
      <c r="K122" s="19"/>
      <c r="L122" s="19"/>
      <c r="M122" s="22">
        <v>1</v>
      </c>
      <c r="N122" s="19"/>
      <c r="O122" s="25"/>
      <c r="P122" s="23"/>
      <c r="Q122" s="21" t="s">
        <v>46</v>
      </c>
      <c r="R122" s="19" t="s">
        <v>47</v>
      </c>
      <c r="S122" s="21"/>
      <c r="T122" s="19"/>
      <c r="U122" s="21"/>
      <c r="V122" s="7"/>
      <c r="W122" s="7"/>
      <c r="X122" s="51" t="str">
        <f t="shared" si="0"/>
        <v/>
      </c>
      <c r="Y122" s="51" t="str">
        <f t="shared" si="1"/>
        <v/>
      </c>
      <c r="Z122" s="37"/>
    </row>
    <row r="123" spans="1:26" ht="14.25" customHeight="1" x14ac:dyDescent="0.3">
      <c r="A123" s="18">
        <v>30.2</v>
      </c>
      <c r="B123" s="19"/>
      <c r="C123" s="18" t="s">
        <v>55</v>
      </c>
      <c r="D123" s="19"/>
      <c r="E123" s="25"/>
      <c r="F123" s="19"/>
      <c r="G123" s="21">
        <v>0</v>
      </c>
      <c r="H123" s="21"/>
      <c r="I123" s="21"/>
      <c r="J123" s="21"/>
      <c r="K123" s="19"/>
      <c r="L123" s="19"/>
      <c r="M123" s="22">
        <v>1</v>
      </c>
      <c r="N123" s="19"/>
      <c r="O123" s="25"/>
      <c r="P123" s="23"/>
      <c r="Q123" s="21" t="s">
        <v>46</v>
      </c>
      <c r="R123" s="19" t="s">
        <v>47</v>
      </c>
      <c r="S123" s="21"/>
      <c r="T123" s="19"/>
      <c r="U123" s="21"/>
      <c r="V123" s="7"/>
      <c r="W123" s="7"/>
      <c r="X123" s="51" t="str">
        <f t="shared" si="0"/>
        <v/>
      </c>
      <c r="Y123" s="51" t="str">
        <f t="shared" si="1"/>
        <v/>
      </c>
      <c r="Z123" s="37"/>
    </row>
    <row r="124" spans="1:26" ht="14.25" customHeight="1" x14ac:dyDescent="0.3">
      <c r="A124" s="18">
        <v>30.3</v>
      </c>
      <c r="B124" s="19"/>
      <c r="C124" s="18" t="s">
        <v>55</v>
      </c>
      <c r="D124" s="19"/>
      <c r="E124" s="25"/>
      <c r="F124" s="19"/>
      <c r="G124" s="21">
        <v>0</v>
      </c>
      <c r="H124" s="21"/>
      <c r="I124" s="21"/>
      <c r="J124" s="21"/>
      <c r="K124" s="19"/>
      <c r="L124" s="19"/>
      <c r="M124" s="22">
        <v>1</v>
      </c>
      <c r="N124" s="19"/>
      <c r="O124" s="25"/>
      <c r="P124" s="23"/>
      <c r="Q124" s="21" t="s">
        <v>46</v>
      </c>
      <c r="R124" s="19" t="s">
        <v>47</v>
      </c>
      <c r="S124" s="21"/>
      <c r="T124" s="19"/>
      <c r="U124" s="21"/>
      <c r="V124" s="7"/>
      <c r="W124" s="7"/>
      <c r="X124" s="51" t="str">
        <f t="shared" si="0"/>
        <v/>
      </c>
      <c r="Y124" s="51" t="str">
        <f t="shared" si="1"/>
        <v/>
      </c>
      <c r="Z124" s="37"/>
    </row>
    <row r="125" spans="1:26" ht="14.25" customHeight="1" x14ac:dyDescent="0.3">
      <c r="A125" s="18">
        <v>30.4</v>
      </c>
      <c r="B125" s="19"/>
      <c r="C125" s="18" t="s">
        <v>55</v>
      </c>
      <c r="D125" s="19"/>
      <c r="E125" s="25"/>
      <c r="F125" s="19"/>
      <c r="G125" s="21">
        <v>0</v>
      </c>
      <c r="H125" s="21"/>
      <c r="I125" s="21"/>
      <c r="J125" s="21"/>
      <c r="K125" s="19"/>
      <c r="L125" s="19"/>
      <c r="M125" s="22">
        <v>1</v>
      </c>
      <c r="N125" s="19"/>
      <c r="O125" s="25"/>
      <c r="P125" s="23"/>
      <c r="Q125" s="21" t="s">
        <v>46</v>
      </c>
      <c r="R125" s="19" t="s">
        <v>47</v>
      </c>
      <c r="S125" s="21"/>
      <c r="T125" s="19"/>
      <c r="U125" s="21"/>
      <c r="V125" s="7"/>
      <c r="W125" s="7"/>
      <c r="X125" s="51" t="str">
        <f t="shared" si="0"/>
        <v/>
      </c>
      <c r="Y125" s="51" t="str">
        <f t="shared" si="1"/>
        <v/>
      </c>
      <c r="Z125" s="37"/>
    </row>
    <row r="126" spans="1:26" ht="14.25" customHeight="1" x14ac:dyDescent="0.3">
      <c r="A126" s="18">
        <v>31.1</v>
      </c>
      <c r="B126" s="19"/>
      <c r="C126" s="18" t="s">
        <v>55</v>
      </c>
      <c r="D126" s="19"/>
      <c r="E126" s="25"/>
      <c r="F126" s="19"/>
      <c r="G126" s="21">
        <v>0</v>
      </c>
      <c r="H126" s="21"/>
      <c r="I126" s="21"/>
      <c r="J126" s="21"/>
      <c r="K126" s="19"/>
      <c r="L126" s="19"/>
      <c r="M126" s="22">
        <v>1</v>
      </c>
      <c r="N126" s="19"/>
      <c r="O126" s="25"/>
      <c r="P126" s="23"/>
      <c r="Q126" s="21" t="s">
        <v>46</v>
      </c>
      <c r="R126" s="19" t="s">
        <v>47</v>
      </c>
      <c r="S126" s="21"/>
      <c r="T126" s="19"/>
      <c r="U126" s="21"/>
      <c r="V126" s="7"/>
      <c r="W126" s="7"/>
      <c r="X126" s="51" t="str">
        <f t="shared" si="0"/>
        <v/>
      </c>
      <c r="Y126" s="51" t="str">
        <f t="shared" si="1"/>
        <v/>
      </c>
      <c r="Z126" s="37"/>
    </row>
    <row r="127" spans="1:26" ht="14.25" customHeight="1" x14ac:dyDescent="0.3">
      <c r="A127" s="18">
        <v>31.2</v>
      </c>
      <c r="B127" s="19"/>
      <c r="C127" s="18" t="s">
        <v>55</v>
      </c>
      <c r="D127" s="19"/>
      <c r="E127" s="25"/>
      <c r="F127" s="19"/>
      <c r="G127" s="21">
        <v>0</v>
      </c>
      <c r="H127" s="21"/>
      <c r="I127" s="21"/>
      <c r="J127" s="21"/>
      <c r="K127" s="19"/>
      <c r="L127" s="19"/>
      <c r="M127" s="22">
        <v>1</v>
      </c>
      <c r="N127" s="19"/>
      <c r="O127" s="25"/>
      <c r="P127" s="23"/>
      <c r="Q127" s="21" t="s">
        <v>46</v>
      </c>
      <c r="R127" s="19" t="s">
        <v>47</v>
      </c>
      <c r="S127" s="21"/>
      <c r="T127" s="19"/>
      <c r="U127" s="21"/>
      <c r="V127" s="7"/>
      <c r="W127" s="7"/>
      <c r="X127" s="51" t="str">
        <f t="shared" si="0"/>
        <v/>
      </c>
      <c r="Y127" s="51" t="str">
        <f t="shared" si="1"/>
        <v/>
      </c>
      <c r="Z127" s="37"/>
    </row>
    <row r="128" spans="1:26" ht="14.25" customHeight="1" x14ac:dyDescent="0.3">
      <c r="A128" s="18">
        <v>31.3</v>
      </c>
      <c r="B128" s="19"/>
      <c r="C128" s="18" t="s">
        <v>55</v>
      </c>
      <c r="D128" s="19"/>
      <c r="E128" s="25"/>
      <c r="F128" s="19"/>
      <c r="G128" s="21">
        <v>0</v>
      </c>
      <c r="H128" s="21"/>
      <c r="I128" s="21"/>
      <c r="J128" s="21"/>
      <c r="K128" s="19"/>
      <c r="L128" s="19"/>
      <c r="M128" s="22">
        <v>1</v>
      </c>
      <c r="N128" s="19"/>
      <c r="O128" s="25"/>
      <c r="P128" s="23"/>
      <c r="Q128" s="21" t="s">
        <v>46</v>
      </c>
      <c r="R128" s="19" t="s">
        <v>47</v>
      </c>
      <c r="S128" s="21"/>
      <c r="T128" s="19"/>
      <c r="U128" s="21"/>
      <c r="V128" s="7"/>
      <c r="W128" s="7"/>
      <c r="X128" s="51" t="str">
        <f t="shared" si="0"/>
        <v/>
      </c>
      <c r="Y128" s="51" t="str">
        <f t="shared" si="1"/>
        <v/>
      </c>
      <c r="Z128" s="37"/>
    </row>
    <row r="129" spans="1:26" ht="14.25" customHeight="1" x14ac:dyDescent="0.3">
      <c r="A129" s="18">
        <v>31.4</v>
      </c>
      <c r="B129" s="19"/>
      <c r="C129" s="18" t="s">
        <v>55</v>
      </c>
      <c r="D129" s="19"/>
      <c r="E129" s="25"/>
      <c r="F129" s="19"/>
      <c r="G129" s="21">
        <v>0</v>
      </c>
      <c r="H129" s="21"/>
      <c r="I129" s="21"/>
      <c r="J129" s="21"/>
      <c r="K129" s="19"/>
      <c r="L129" s="19"/>
      <c r="M129" s="22">
        <v>1</v>
      </c>
      <c r="N129" s="19"/>
      <c r="O129" s="25"/>
      <c r="P129" s="23"/>
      <c r="Q129" s="21" t="s">
        <v>46</v>
      </c>
      <c r="R129" s="19" t="s">
        <v>47</v>
      </c>
      <c r="S129" s="21"/>
      <c r="T129" s="19"/>
      <c r="U129" s="21"/>
      <c r="V129" s="7"/>
      <c r="W129" s="7"/>
      <c r="X129" s="51" t="str">
        <f t="shared" si="0"/>
        <v/>
      </c>
      <c r="Y129" s="51" t="str">
        <f t="shared" si="1"/>
        <v/>
      </c>
      <c r="Z129" s="37"/>
    </row>
    <row r="130" spans="1:26" ht="14.25" customHeight="1" x14ac:dyDescent="0.3">
      <c r="A130" s="18">
        <v>32.1</v>
      </c>
      <c r="B130" s="19"/>
      <c r="C130" s="18" t="s">
        <v>55</v>
      </c>
      <c r="D130" s="19"/>
      <c r="E130" s="25"/>
      <c r="F130" s="19"/>
      <c r="G130" s="21">
        <v>0</v>
      </c>
      <c r="H130" s="21"/>
      <c r="I130" s="21"/>
      <c r="J130" s="21"/>
      <c r="K130" s="19"/>
      <c r="L130" s="19"/>
      <c r="M130" s="22">
        <v>1</v>
      </c>
      <c r="N130" s="19"/>
      <c r="O130" s="25"/>
      <c r="P130" s="23"/>
      <c r="Q130" s="21" t="s">
        <v>46</v>
      </c>
      <c r="R130" s="19" t="s">
        <v>47</v>
      </c>
      <c r="S130" s="21"/>
      <c r="T130" s="19"/>
      <c r="U130" s="21"/>
      <c r="V130" s="7"/>
      <c r="W130" s="7"/>
      <c r="X130" s="51" t="str">
        <f t="shared" si="0"/>
        <v/>
      </c>
      <c r="Y130" s="51" t="str">
        <f t="shared" si="1"/>
        <v/>
      </c>
      <c r="Z130" s="37"/>
    </row>
    <row r="131" spans="1:26" ht="14.25" customHeight="1" x14ac:dyDescent="0.3">
      <c r="A131" s="18">
        <v>32.200000000000003</v>
      </c>
      <c r="B131" s="19"/>
      <c r="C131" s="18" t="s">
        <v>55</v>
      </c>
      <c r="D131" s="19"/>
      <c r="E131" s="25"/>
      <c r="F131" s="19"/>
      <c r="G131" s="21">
        <v>0</v>
      </c>
      <c r="H131" s="21"/>
      <c r="I131" s="21"/>
      <c r="J131" s="21"/>
      <c r="K131" s="19"/>
      <c r="L131" s="19"/>
      <c r="M131" s="22">
        <v>1</v>
      </c>
      <c r="N131" s="19"/>
      <c r="O131" s="25"/>
      <c r="P131" s="23"/>
      <c r="Q131" s="21" t="s">
        <v>46</v>
      </c>
      <c r="R131" s="19" t="s">
        <v>47</v>
      </c>
      <c r="S131" s="21"/>
      <c r="T131" s="19"/>
      <c r="U131" s="21"/>
      <c r="V131" s="7"/>
      <c r="W131" s="7"/>
      <c r="X131" s="51" t="str">
        <f t="shared" si="0"/>
        <v/>
      </c>
      <c r="Y131" s="51" t="str">
        <f t="shared" si="1"/>
        <v/>
      </c>
      <c r="Z131" s="37"/>
    </row>
    <row r="132" spans="1:26" ht="14.25" customHeight="1" x14ac:dyDescent="0.3">
      <c r="A132" s="18">
        <v>32.299999999999997</v>
      </c>
      <c r="B132" s="19"/>
      <c r="C132" s="18" t="s">
        <v>55</v>
      </c>
      <c r="D132" s="19"/>
      <c r="E132" s="25"/>
      <c r="F132" s="19"/>
      <c r="G132" s="21">
        <v>0</v>
      </c>
      <c r="H132" s="21"/>
      <c r="I132" s="21"/>
      <c r="J132" s="21"/>
      <c r="K132" s="19"/>
      <c r="L132" s="19"/>
      <c r="M132" s="22">
        <v>1</v>
      </c>
      <c r="N132" s="19"/>
      <c r="O132" s="25"/>
      <c r="P132" s="23"/>
      <c r="Q132" s="21" t="s">
        <v>46</v>
      </c>
      <c r="R132" s="19" t="s">
        <v>47</v>
      </c>
      <c r="S132" s="21"/>
      <c r="T132" s="19"/>
      <c r="U132" s="21"/>
      <c r="V132" s="7"/>
      <c r="W132" s="7"/>
      <c r="X132" s="51" t="str">
        <f t="shared" si="0"/>
        <v/>
      </c>
      <c r="Y132" s="51" t="str">
        <f t="shared" si="1"/>
        <v/>
      </c>
      <c r="Z132" s="37"/>
    </row>
    <row r="133" spans="1:26" ht="14.25" customHeight="1" x14ac:dyDescent="0.3">
      <c r="A133" s="18">
        <v>32.4</v>
      </c>
      <c r="B133" s="19"/>
      <c r="C133" s="18" t="s">
        <v>55</v>
      </c>
      <c r="D133" s="19"/>
      <c r="E133" s="25"/>
      <c r="F133" s="19"/>
      <c r="G133" s="21">
        <v>0</v>
      </c>
      <c r="H133" s="21"/>
      <c r="I133" s="21"/>
      <c r="J133" s="21"/>
      <c r="K133" s="19"/>
      <c r="L133" s="19"/>
      <c r="M133" s="22">
        <v>1</v>
      </c>
      <c r="N133" s="19"/>
      <c r="O133" s="25"/>
      <c r="P133" s="23"/>
      <c r="Q133" s="21" t="s">
        <v>46</v>
      </c>
      <c r="R133" s="19" t="s">
        <v>47</v>
      </c>
      <c r="S133" s="21"/>
      <c r="T133" s="19"/>
      <c r="U133" s="21"/>
      <c r="V133" s="7"/>
      <c r="W133" s="7"/>
      <c r="X133" s="51" t="str">
        <f t="shared" si="0"/>
        <v/>
      </c>
      <c r="Y133" s="51" t="str">
        <f t="shared" si="1"/>
        <v/>
      </c>
      <c r="Z133" s="37"/>
    </row>
    <row r="134" spans="1:26" ht="14.25" customHeight="1" x14ac:dyDescent="0.3">
      <c r="A134" s="18">
        <v>33.1</v>
      </c>
      <c r="B134" s="19"/>
      <c r="C134" s="18" t="s">
        <v>55</v>
      </c>
      <c r="D134" s="19"/>
      <c r="E134" s="25"/>
      <c r="F134" s="19"/>
      <c r="G134" s="21">
        <v>0</v>
      </c>
      <c r="H134" s="21"/>
      <c r="I134" s="21"/>
      <c r="J134" s="21"/>
      <c r="K134" s="19"/>
      <c r="L134" s="19"/>
      <c r="M134" s="22">
        <v>1</v>
      </c>
      <c r="N134" s="19"/>
      <c r="O134" s="25"/>
      <c r="P134" s="23"/>
      <c r="Q134" s="21" t="s">
        <v>46</v>
      </c>
      <c r="R134" s="19" t="s">
        <v>47</v>
      </c>
      <c r="S134" s="21"/>
      <c r="T134" s="19"/>
      <c r="U134" s="21"/>
      <c r="V134" s="7"/>
      <c r="W134" s="7"/>
      <c r="X134" s="51" t="str">
        <f t="shared" si="0"/>
        <v/>
      </c>
      <c r="Y134" s="51" t="str">
        <f t="shared" si="1"/>
        <v/>
      </c>
      <c r="Z134" s="37"/>
    </row>
    <row r="135" spans="1:26" ht="14.25" customHeight="1" x14ac:dyDescent="0.3">
      <c r="A135" s="18">
        <v>33.200000000000003</v>
      </c>
      <c r="B135" s="19"/>
      <c r="C135" s="18" t="s">
        <v>55</v>
      </c>
      <c r="D135" s="19"/>
      <c r="E135" s="25"/>
      <c r="F135" s="19"/>
      <c r="G135" s="21">
        <v>0</v>
      </c>
      <c r="H135" s="21"/>
      <c r="I135" s="21"/>
      <c r="J135" s="21"/>
      <c r="K135" s="19"/>
      <c r="L135" s="19"/>
      <c r="M135" s="22">
        <v>1</v>
      </c>
      <c r="N135" s="19"/>
      <c r="O135" s="25"/>
      <c r="P135" s="23"/>
      <c r="Q135" s="21" t="s">
        <v>46</v>
      </c>
      <c r="R135" s="19" t="s">
        <v>47</v>
      </c>
      <c r="S135" s="21"/>
      <c r="T135" s="19"/>
      <c r="U135" s="21"/>
      <c r="V135" s="7"/>
      <c r="W135" s="7"/>
      <c r="X135" s="51" t="str">
        <f t="shared" si="0"/>
        <v/>
      </c>
      <c r="Y135" s="51" t="str">
        <f t="shared" si="1"/>
        <v/>
      </c>
      <c r="Z135" s="37"/>
    </row>
    <row r="136" spans="1:26" ht="14.25" customHeight="1" x14ac:dyDescent="0.3">
      <c r="A136" s="18">
        <v>33.299999999999997</v>
      </c>
      <c r="B136" s="19"/>
      <c r="C136" s="18" t="s">
        <v>55</v>
      </c>
      <c r="D136" s="19"/>
      <c r="E136" s="25"/>
      <c r="F136" s="19"/>
      <c r="G136" s="21">
        <v>0</v>
      </c>
      <c r="H136" s="21"/>
      <c r="I136" s="21"/>
      <c r="J136" s="21"/>
      <c r="K136" s="19"/>
      <c r="L136" s="19"/>
      <c r="M136" s="22">
        <v>1</v>
      </c>
      <c r="N136" s="19"/>
      <c r="O136" s="25"/>
      <c r="P136" s="23"/>
      <c r="Q136" s="21" t="s">
        <v>46</v>
      </c>
      <c r="R136" s="19" t="s">
        <v>47</v>
      </c>
      <c r="S136" s="21"/>
      <c r="T136" s="19"/>
      <c r="U136" s="21"/>
      <c r="V136" s="7"/>
      <c r="W136" s="7"/>
      <c r="X136" s="51" t="str">
        <f t="shared" si="0"/>
        <v/>
      </c>
      <c r="Y136" s="51" t="str">
        <f t="shared" si="1"/>
        <v/>
      </c>
      <c r="Z136" s="37"/>
    </row>
    <row r="137" spans="1:26" ht="14.25" customHeight="1" x14ac:dyDescent="0.3">
      <c r="A137" s="18">
        <v>33.4</v>
      </c>
      <c r="B137" s="19"/>
      <c r="C137" s="18" t="s">
        <v>55</v>
      </c>
      <c r="D137" s="19"/>
      <c r="E137" s="25"/>
      <c r="F137" s="19"/>
      <c r="G137" s="21">
        <v>0</v>
      </c>
      <c r="H137" s="21"/>
      <c r="I137" s="21"/>
      <c r="J137" s="21"/>
      <c r="K137" s="19"/>
      <c r="L137" s="19"/>
      <c r="M137" s="22">
        <v>1</v>
      </c>
      <c r="N137" s="19"/>
      <c r="O137" s="25"/>
      <c r="P137" s="23"/>
      <c r="Q137" s="21" t="s">
        <v>46</v>
      </c>
      <c r="R137" s="19" t="s">
        <v>47</v>
      </c>
      <c r="S137" s="21"/>
      <c r="T137" s="19"/>
      <c r="U137" s="21"/>
      <c r="V137" s="7"/>
      <c r="W137" s="7"/>
      <c r="X137" s="51" t="str">
        <f t="shared" si="0"/>
        <v/>
      </c>
      <c r="Y137" s="51" t="str">
        <f t="shared" si="1"/>
        <v/>
      </c>
      <c r="Z137" s="37"/>
    </row>
    <row r="138" spans="1:26" ht="14.25" customHeight="1" x14ac:dyDescent="0.3">
      <c r="A138" s="18">
        <v>34.1</v>
      </c>
      <c r="B138" s="19"/>
      <c r="C138" s="18" t="s">
        <v>55</v>
      </c>
      <c r="D138" s="19"/>
      <c r="E138" s="25"/>
      <c r="F138" s="19"/>
      <c r="G138" s="21">
        <v>0</v>
      </c>
      <c r="H138" s="21"/>
      <c r="I138" s="21"/>
      <c r="J138" s="21"/>
      <c r="K138" s="19"/>
      <c r="L138" s="19"/>
      <c r="M138" s="22">
        <v>1</v>
      </c>
      <c r="N138" s="19"/>
      <c r="O138" s="25"/>
      <c r="P138" s="23"/>
      <c r="Q138" s="21" t="s">
        <v>46</v>
      </c>
      <c r="R138" s="19" t="s">
        <v>47</v>
      </c>
      <c r="S138" s="21"/>
      <c r="T138" s="19"/>
      <c r="U138" s="21"/>
      <c r="V138" s="7"/>
      <c r="W138" s="7"/>
      <c r="X138" s="51" t="str">
        <f t="shared" si="0"/>
        <v/>
      </c>
      <c r="Y138" s="51" t="str">
        <f t="shared" si="1"/>
        <v/>
      </c>
      <c r="Z138" s="37"/>
    </row>
    <row r="139" spans="1:26" ht="14.25" customHeight="1" x14ac:dyDescent="0.3">
      <c r="A139" s="18">
        <v>34.200000000000003</v>
      </c>
      <c r="B139" s="19"/>
      <c r="C139" s="18" t="s">
        <v>55</v>
      </c>
      <c r="D139" s="19"/>
      <c r="E139" s="25"/>
      <c r="F139" s="19"/>
      <c r="G139" s="21">
        <v>0</v>
      </c>
      <c r="H139" s="21"/>
      <c r="I139" s="21"/>
      <c r="J139" s="21"/>
      <c r="K139" s="19"/>
      <c r="L139" s="19"/>
      <c r="M139" s="22">
        <v>1</v>
      </c>
      <c r="N139" s="19"/>
      <c r="O139" s="25"/>
      <c r="P139" s="23"/>
      <c r="Q139" s="21" t="s">
        <v>46</v>
      </c>
      <c r="R139" s="19" t="s">
        <v>47</v>
      </c>
      <c r="S139" s="21"/>
      <c r="T139" s="19"/>
      <c r="U139" s="21"/>
      <c r="V139" s="7"/>
      <c r="W139" s="7"/>
      <c r="X139" s="51" t="str">
        <f t="shared" si="0"/>
        <v/>
      </c>
      <c r="Y139" s="51" t="str">
        <f t="shared" si="1"/>
        <v/>
      </c>
      <c r="Z139" s="37"/>
    </row>
    <row r="140" spans="1:26" ht="14.25" customHeight="1" x14ac:dyDescent="0.3">
      <c r="A140" s="18">
        <v>34.299999999999997</v>
      </c>
      <c r="B140" s="19"/>
      <c r="C140" s="18" t="s">
        <v>55</v>
      </c>
      <c r="D140" s="19"/>
      <c r="E140" s="25"/>
      <c r="F140" s="19"/>
      <c r="G140" s="21">
        <v>0</v>
      </c>
      <c r="H140" s="21"/>
      <c r="I140" s="21"/>
      <c r="J140" s="21"/>
      <c r="K140" s="19"/>
      <c r="L140" s="19"/>
      <c r="M140" s="22">
        <v>1</v>
      </c>
      <c r="N140" s="19"/>
      <c r="O140" s="25"/>
      <c r="P140" s="23"/>
      <c r="Q140" s="21" t="s">
        <v>46</v>
      </c>
      <c r="R140" s="19" t="s">
        <v>47</v>
      </c>
      <c r="S140" s="21"/>
      <c r="T140" s="19"/>
      <c r="U140" s="21"/>
      <c r="V140" s="7"/>
      <c r="W140" s="7"/>
      <c r="X140" s="51" t="str">
        <f t="shared" si="0"/>
        <v/>
      </c>
      <c r="Y140" s="51" t="str">
        <f t="shared" si="1"/>
        <v/>
      </c>
      <c r="Z140" s="37"/>
    </row>
    <row r="141" spans="1:26" ht="14.25" customHeight="1" x14ac:dyDescent="0.3">
      <c r="A141" s="18">
        <v>34.4</v>
      </c>
      <c r="B141" s="19"/>
      <c r="C141" s="18" t="s">
        <v>55</v>
      </c>
      <c r="D141" s="19"/>
      <c r="E141" s="25"/>
      <c r="F141" s="19"/>
      <c r="G141" s="21">
        <v>0</v>
      </c>
      <c r="H141" s="21"/>
      <c r="I141" s="21"/>
      <c r="J141" s="21"/>
      <c r="K141" s="19"/>
      <c r="L141" s="19"/>
      <c r="M141" s="22">
        <v>1</v>
      </c>
      <c r="N141" s="19"/>
      <c r="O141" s="25"/>
      <c r="P141" s="23"/>
      <c r="Q141" s="21" t="s">
        <v>46</v>
      </c>
      <c r="R141" s="19" t="s">
        <v>47</v>
      </c>
      <c r="S141" s="21"/>
      <c r="T141" s="19"/>
      <c r="U141" s="21"/>
      <c r="V141" s="7"/>
      <c r="W141" s="7"/>
      <c r="X141" s="51" t="str">
        <f t="shared" si="0"/>
        <v/>
      </c>
      <c r="Y141" s="51" t="str">
        <f t="shared" si="1"/>
        <v/>
      </c>
      <c r="Z141" s="37"/>
    </row>
    <row r="142" spans="1:26" ht="14.25" customHeight="1" x14ac:dyDescent="0.3">
      <c r="A142" s="18">
        <v>35.1</v>
      </c>
      <c r="B142" s="19"/>
      <c r="C142" s="18" t="s">
        <v>55</v>
      </c>
      <c r="D142" s="19"/>
      <c r="E142" s="25"/>
      <c r="F142" s="19"/>
      <c r="G142" s="21">
        <v>0</v>
      </c>
      <c r="H142" s="21"/>
      <c r="I142" s="21"/>
      <c r="J142" s="21"/>
      <c r="K142" s="19"/>
      <c r="L142" s="19"/>
      <c r="M142" s="22">
        <v>1</v>
      </c>
      <c r="N142" s="19"/>
      <c r="O142" s="25"/>
      <c r="P142" s="23"/>
      <c r="Q142" s="21" t="s">
        <v>46</v>
      </c>
      <c r="R142" s="19" t="s">
        <v>47</v>
      </c>
      <c r="S142" s="21"/>
      <c r="T142" s="19"/>
      <c r="U142" s="21"/>
      <c r="V142" s="7"/>
      <c r="W142" s="7"/>
      <c r="X142" s="51" t="str">
        <f t="shared" si="0"/>
        <v/>
      </c>
      <c r="Y142" s="51" t="str">
        <f t="shared" si="1"/>
        <v/>
      </c>
      <c r="Z142" s="37"/>
    </row>
    <row r="143" spans="1:26" ht="14.25" customHeight="1" x14ac:dyDescent="0.3">
      <c r="A143" s="18">
        <v>35.200000000000003</v>
      </c>
      <c r="B143" s="19"/>
      <c r="C143" s="18" t="s">
        <v>55</v>
      </c>
      <c r="D143" s="19"/>
      <c r="E143" s="25"/>
      <c r="F143" s="19"/>
      <c r="G143" s="21">
        <v>0</v>
      </c>
      <c r="H143" s="21"/>
      <c r="I143" s="21"/>
      <c r="J143" s="21"/>
      <c r="K143" s="19"/>
      <c r="L143" s="19"/>
      <c r="M143" s="22">
        <v>1</v>
      </c>
      <c r="N143" s="19"/>
      <c r="O143" s="25"/>
      <c r="P143" s="23"/>
      <c r="Q143" s="21" t="s">
        <v>46</v>
      </c>
      <c r="R143" s="19" t="s">
        <v>47</v>
      </c>
      <c r="S143" s="21"/>
      <c r="T143" s="19"/>
      <c r="U143" s="21"/>
      <c r="V143" s="7"/>
      <c r="W143" s="7"/>
      <c r="X143" s="51" t="str">
        <f t="shared" si="0"/>
        <v/>
      </c>
      <c r="Y143" s="51" t="str">
        <f t="shared" si="1"/>
        <v/>
      </c>
      <c r="Z143" s="37"/>
    </row>
    <row r="144" spans="1:26" ht="14.25" customHeight="1" x14ac:dyDescent="0.3">
      <c r="A144" s="18">
        <v>35.299999999999997</v>
      </c>
      <c r="B144" s="19"/>
      <c r="C144" s="18" t="s">
        <v>55</v>
      </c>
      <c r="D144" s="19"/>
      <c r="E144" s="25"/>
      <c r="F144" s="19"/>
      <c r="G144" s="21">
        <v>0</v>
      </c>
      <c r="H144" s="21"/>
      <c r="I144" s="21"/>
      <c r="J144" s="21"/>
      <c r="K144" s="19"/>
      <c r="L144" s="19"/>
      <c r="M144" s="22">
        <v>1</v>
      </c>
      <c r="N144" s="19"/>
      <c r="O144" s="25"/>
      <c r="P144" s="23"/>
      <c r="Q144" s="21" t="s">
        <v>46</v>
      </c>
      <c r="R144" s="19" t="s">
        <v>47</v>
      </c>
      <c r="S144" s="21"/>
      <c r="T144" s="19"/>
      <c r="U144" s="21"/>
      <c r="V144" s="7"/>
      <c r="W144" s="7"/>
      <c r="X144" s="51" t="str">
        <f t="shared" si="0"/>
        <v/>
      </c>
      <c r="Y144" s="51" t="str">
        <f t="shared" si="1"/>
        <v/>
      </c>
      <c r="Z144" s="37"/>
    </row>
    <row r="145" spans="1:26" ht="14.25" customHeight="1" x14ac:dyDescent="0.3">
      <c r="A145" s="18">
        <v>35.4</v>
      </c>
      <c r="B145" s="19"/>
      <c r="C145" s="18" t="s">
        <v>55</v>
      </c>
      <c r="D145" s="19"/>
      <c r="E145" s="25"/>
      <c r="F145" s="19"/>
      <c r="G145" s="21">
        <v>0</v>
      </c>
      <c r="H145" s="21"/>
      <c r="I145" s="21"/>
      <c r="J145" s="21"/>
      <c r="K145" s="19"/>
      <c r="L145" s="19"/>
      <c r="M145" s="22">
        <v>1</v>
      </c>
      <c r="N145" s="19"/>
      <c r="O145" s="25"/>
      <c r="P145" s="23"/>
      <c r="Q145" s="21" t="s">
        <v>46</v>
      </c>
      <c r="R145" s="19" t="s">
        <v>47</v>
      </c>
      <c r="S145" s="21"/>
      <c r="T145" s="19"/>
      <c r="U145" s="21"/>
      <c r="V145" s="7"/>
      <c r="W145" s="7"/>
      <c r="X145" s="51" t="str">
        <f t="shared" si="0"/>
        <v/>
      </c>
      <c r="Y145" s="51" t="str">
        <f t="shared" si="1"/>
        <v/>
      </c>
      <c r="Z145" s="37"/>
    </row>
    <row r="146" spans="1:26" ht="14.25" customHeight="1" x14ac:dyDescent="0.3">
      <c r="A146" s="18">
        <v>36.1</v>
      </c>
      <c r="B146" s="19"/>
      <c r="C146" s="18" t="s">
        <v>55</v>
      </c>
      <c r="D146" s="19"/>
      <c r="E146" s="25"/>
      <c r="F146" s="19"/>
      <c r="G146" s="21">
        <v>0</v>
      </c>
      <c r="H146" s="21"/>
      <c r="I146" s="21"/>
      <c r="J146" s="21"/>
      <c r="K146" s="19"/>
      <c r="L146" s="19"/>
      <c r="M146" s="22">
        <v>1</v>
      </c>
      <c r="N146" s="19"/>
      <c r="O146" s="25"/>
      <c r="P146" s="23"/>
      <c r="Q146" s="21" t="s">
        <v>46</v>
      </c>
      <c r="R146" s="19" t="s">
        <v>47</v>
      </c>
      <c r="S146" s="21"/>
      <c r="T146" s="19"/>
      <c r="U146" s="21"/>
      <c r="V146" s="7"/>
      <c r="W146" s="7"/>
      <c r="X146" s="51" t="str">
        <f t="shared" si="0"/>
        <v/>
      </c>
      <c r="Y146" s="51" t="str">
        <f t="shared" si="1"/>
        <v/>
      </c>
      <c r="Z146" s="37"/>
    </row>
    <row r="147" spans="1:26" ht="14.25" customHeight="1" x14ac:dyDescent="0.3">
      <c r="A147" s="18">
        <v>36.200000000000003</v>
      </c>
      <c r="B147" s="19"/>
      <c r="C147" s="18" t="s">
        <v>55</v>
      </c>
      <c r="D147" s="19"/>
      <c r="E147" s="25"/>
      <c r="F147" s="19"/>
      <c r="G147" s="21">
        <v>0</v>
      </c>
      <c r="H147" s="21"/>
      <c r="I147" s="21"/>
      <c r="J147" s="21"/>
      <c r="K147" s="19"/>
      <c r="L147" s="19"/>
      <c r="M147" s="22">
        <v>1</v>
      </c>
      <c r="N147" s="19"/>
      <c r="O147" s="25"/>
      <c r="P147" s="23"/>
      <c r="Q147" s="21" t="s">
        <v>46</v>
      </c>
      <c r="R147" s="19" t="s">
        <v>47</v>
      </c>
      <c r="S147" s="21"/>
      <c r="T147" s="19"/>
      <c r="U147" s="21"/>
      <c r="V147" s="7"/>
      <c r="W147" s="7"/>
      <c r="X147" s="51" t="str">
        <f t="shared" si="0"/>
        <v/>
      </c>
      <c r="Y147" s="51" t="str">
        <f t="shared" si="1"/>
        <v/>
      </c>
      <c r="Z147" s="37"/>
    </row>
    <row r="148" spans="1:26" ht="14.25" customHeight="1" x14ac:dyDescent="0.3">
      <c r="A148" s="18">
        <v>36.299999999999997</v>
      </c>
      <c r="B148" s="19"/>
      <c r="C148" s="18" t="s">
        <v>55</v>
      </c>
      <c r="D148" s="19"/>
      <c r="E148" s="25"/>
      <c r="F148" s="19"/>
      <c r="G148" s="21">
        <v>0</v>
      </c>
      <c r="H148" s="21"/>
      <c r="I148" s="21"/>
      <c r="J148" s="21"/>
      <c r="K148" s="19"/>
      <c r="L148" s="19"/>
      <c r="M148" s="22">
        <v>1</v>
      </c>
      <c r="N148" s="19"/>
      <c r="O148" s="25"/>
      <c r="P148" s="23"/>
      <c r="Q148" s="21" t="s">
        <v>46</v>
      </c>
      <c r="R148" s="19" t="s">
        <v>47</v>
      </c>
      <c r="S148" s="21"/>
      <c r="T148" s="19"/>
      <c r="U148" s="21"/>
      <c r="V148" s="7"/>
      <c r="W148" s="7"/>
      <c r="X148" s="51" t="str">
        <f t="shared" si="0"/>
        <v/>
      </c>
      <c r="Y148" s="51" t="str">
        <f t="shared" si="1"/>
        <v/>
      </c>
      <c r="Z148" s="37"/>
    </row>
    <row r="149" spans="1:26" ht="14.25" customHeight="1" x14ac:dyDescent="0.3">
      <c r="A149" s="18">
        <v>36.4</v>
      </c>
      <c r="B149" s="19"/>
      <c r="C149" s="18" t="s">
        <v>55</v>
      </c>
      <c r="D149" s="19"/>
      <c r="E149" s="25"/>
      <c r="F149" s="19"/>
      <c r="G149" s="21">
        <v>0</v>
      </c>
      <c r="H149" s="21"/>
      <c r="I149" s="21"/>
      <c r="J149" s="21"/>
      <c r="K149" s="19"/>
      <c r="L149" s="19"/>
      <c r="M149" s="22">
        <v>1</v>
      </c>
      <c r="N149" s="19"/>
      <c r="O149" s="25"/>
      <c r="P149" s="23"/>
      <c r="Q149" s="21" t="s">
        <v>46</v>
      </c>
      <c r="R149" s="19" t="s">
        <v>47</v>
      </c>
      <c r="S149" s="21"/>
      <c r="T149" s="19"/>
      <c r="U149" s="21"/>
      <c r="V149" s="7"/>
      <c r="W149" s="7"/>
      <c r="X149" s="51" t="str">
        <f t="shared" si="0"/>
        <v/>
      </c>
      <c r="Y149" s="51" t="str">
        <f t="shared" si="1"/>
        <v/>
      </c>
      <c r="Z149" s="37"/>
    </row>
    <row r="150" spans="1:26" ht="14.25" customHeight="1" x14ac:dyDescent="0.3">
      <c r="A150" s="18">
        <v>37.1</v>
      </c>
      <c r="B150" s="19"/>
      <c r="C150" s="18" t="s">
        <v>55</v>
      </c>
      <c r="D150" s="19"/>
      <c r="E150" s="25"/>
      <c r="F150" s="19"/>
      <c r="G150" s="21">
        <v>0</v>
      </c>
      <c r="H150" s="21"/>
      <c r="I150" s="21"/>
      <c r="J150" s="21"/>
      <c r="K150" s="19"/>
      <c r="L150" s="19"/>
      <c r="M150" s="22">
        <v>1</v>
      </c>
      <c r="N150" s="19"/>
      <c r="O150" s="25"/>
      <c r="P150" s="23"/>
      <c r="Q150" s="21" t="s">
        <v>46</v>
      </c>
      <c r="R150" s="19" t="s">
        <v>47</v>
      </c>
      <c r="S150" s="21"/>
      <c r="T150" s="19"/>
      <c r="U150" s="21"/>
      <c r="V150" s="7"/>
      <c r="W150" s="7"/>
      <c r="X150" s="51" t="str">
        <f t="shared" si="0"/>
        <v/>
      </c>
      <c r="Y150" s="51" t="str">
        <f t="shared" si="1"/>
        <v/>
      </c>
      <c r="Z150" s="37"/>
    </row>
    <row r="151" spans="1:26" ht="14.25" customHeight="1" x14ac:dyDescent="0.3">
      <c r="A151" s="18">
        <v>37.200000000000003</v>
      </c>
      <c r="B151" s="19"/>
      <c r="C151" s="18" t="s">
        <v>55</v>
      </c>
      <c r="D151" s="19"/>
      <c r="E151" s="25"/>
      <c r="F151" s="19"/>
      <c r="G151" s="21">
        <v>0</v>
      </c>
      <c r="H151" s="21"/>
      <c r="I151" s="21"/>
      <c r="J151" s="21"/>
      <c r="K151" s="19"/>
      <c r="L151" s="19"/>
      <c r="M151" s="22">
        <v>1</v>
      </c>
      <c r="N151" s="19"/>
      <c r="O151" s="25"/>
      <c r="P151" s="23"/>
      <c r="Q151" s="21" t="s">
        <v>46</v>
      </c>
      <c r="R151" s="19" t="s">
        <v>47</v>
      </c>
      <c r="S151" s="21"/>
      <c r="T151" s="19"/>
      <c r="U151" s="21"/>
      <c r="V151" s="7"/>
      <c r="W151" s="7"/>
      <c r="X151" s="51" t="str">
        <f t="shared" si="0"/>
        <v/>
      </c>
      <c r="Y151" s="51" t="str">
        <f t="shared" si="1"/>
        <v/>
      </c>
      <c r="Z151" s="37"/>
    </row>
    <row r="152" spans="1:26" ht="14.25" customHeight="1" x14ac:dyDescent="0.3">
      <c r="A152" s="18">
        <v>37.299999999999997</v>
      </c>
      <c r="B152" s="19"/>
      <c r="C152" s="18" t="s">
        <v>55</v>
      </c>
      <c r="D152" s="19"/>
      <c r="E152" s="25"/>
      <c r="F152" s="19"/>
      <c r="G152" s="21">
        <v>0</v>
      </c>
      <c r="H152" s="21"/>
      <c r="I152" s="21"/>
      <c r="J152" s="21"/>
      <c r="K152" s="19"/>
      <c r="L152" s="19"/>
      <c r="M152" s="22">
        <v>1</v>
      </c>
      <c r="N152" s="19"/>
      <c r="O152" s="25"/>
      <c r="P152" s="23"/>
      <c r="Q152" s="21" t="s">
        <v>46</v>
      </c>
      <c r="R152" s="19" t="s">
        <v>47</v>
      </c>
      <c r="S152" s="21"/>
      <c r="T152" s="19"/>
      <c r="U152" s="21"/>
      <c r="V152" s="7"/>
      <c r="W152" s="7"/>
      <c r="X152" s="51" t="str">
        <f t="shared" si="0"/>
        <v/>
      </c>
      <c r="Y152" s="51" t="str">
        <f t="shared" si="1"/>
        <v/>
      </c>
      <c r="Z152" s="37"/>
    </row>
    <row r="153" spans="1:26" ht="14.25" customHeight="1" x14ac:dyDescent="0.3">
      <c r="A153" s="18">
        <v>37.4</v>
      </c>
      <c r="B153" s="19"/>
      <c r="C153" s="18" t="s">
        <v>55</v>
      </c>
      <c r="D153" s="19"/>
      <c r="E153" s="25"/>
      <c r="F153" s="19"/>
      <c r="G153" s="21">
        <v>0</v>
      </c>
      <c r="H153" s="21"/>
      <c r="I153" s="21"/>
      <c r="J153" s="21"/>
      <c r="K153" s="19"/>
      <c r="L153" s="19"/>
      <c r="M153" s="22">
        <v>1</v>
      </c>
      <c r="N153" s="19"/>
      <c r="O153" s="25"/>
      <c r="P153" s="23"/>
      <c r="Q153" s="21" t="s">
        <v>46</v>
      </c>
      <c r="R153" s="19" t="s">
        <v>47</v>
      </c>
      <c r="S153" s="21"/>
      <c r="T153" s="19"/>
      <c r="U153" s="21"/>
      <c r="V153" s="7"/>
      <c r="W153" s="7"/>
      <c r="X153" s="51" t="str">
        <f t="shared" si="0"/>
        <v/>
      </c>
      <c r="Y153" s="51" t="str">
        <f t="shared" si="1"/>
        <v/>
      </c>
      <c r="Z153" s="37"/>
    </row>
    <row r="154" spans="1:26" ht="14.25" customHeight="1" x14ac:dyDescent="0.3">
      <c r="A154" s="18">
        <v>38.1</v>
      </c>
      <c r="B154" s="19"/>
      <c r="C154" s="18" t="s">
        <v>55</v>
      </c>
      <c r="D154" s="19"/>
      <c r="E154" s="25"/>
      <c r="F154" s="19"/>
      <c r="G154" s="21">
        <v>0</v>
      </c>
      <c r="H154" s="21"/>
      <c r="I154" s="21"/>
      <c r="J154" s="21"/>
      <c r="K154" s="19"/>
      <c r="L154" s="19"/>
      <c r="M154" s="22">
        <v>1</v>
      </c>
      <c r="N154" s="19"/>
      <c r="O154" s="25"/>
      <c r="P154" s="23"/>
      <c r="Q154" s="21" t="s">
        <v>46</v>
      </c>
      <c r="R154" s="19" t="s">
        <v>47</v>
      </c>
      <c r="S154" s="21"/>
      <c r="T154" s="19"/>
      <c r="U154" s="21"/>
      <c r="V154" s="7"/>
      <c r="W154" s="7"/>
      <c r="X154" s="51" t="str">
        <f t="shared" si="0"/>
        <v/>
      </c>
      <c r="Y154" s="51" t="str">
        <f t="shared" si="1"/>
        <v/>
      </c>
      <c r="Z154" s="37"/>
    </row>
    <row r="155" spans="1:26" ht="14.25" customHeight="1" x14ac:dyDescent="0.3">
      <c r="A155" s="18">
        <v>38.200000000000003</v>
      </c>
      <c r="B155" s="19"/>
      <c r="C155" s="18" t="s">
        <v>55</v>
      </c>
      <c r="D155" s="19"/>
      <c r="E155" s="25"/>
      <c r="F155" s="19"/>
      <c r="G155" s="21">
        <v>0</v>
      </c>
      <c r="H155" s="21"/>
      <c r="I155" s="21"/>
      <c r="J155" s="21"/>
      <c r="K155" s="19"/>
      <c r="L155" s="19"/>
      <c r="M155" s="22">
        <v>1</v>
      </c>
      <c r="N155" s="19"/>
      <c r="O155" s="25"/>
      <c r="P155" s="23"/>
      <c r="Q155" s="21" t="s">
        <v>46</v>
      </c>
      <c r="R155" s="19" t="s">
        <v>47</v>
      </c>
      <c r="S155" s="21"/>
      <c r="T155" s="19"/>
      <c r="U155" s="21"/>
      <c r="V155" s="7"/>
      <c r="W155" s="7"/>
      <c r="X155" s="51" t="str">
        <f t="shared" si="0"/>
        <v/>
      </c>
      <c r="Y155" s="51" t="str">
        <f t="shared" si="1"/>
        <v/>
      </c>
      <c r="Z155" s="37"/>
    </row>
    <row r="156" spans="1:26" ht="14.25" customHeight="1" x14ac:dyDescent="0.3">
      <c r="A156" s="18">
        <v>38.299999999999997</v>
      </c>
      <c r="B156" s="19"/>
      <c r="C156" s="18" t="s">
        <v>55</v>
      </c>
      <c r="D156" s="19"/>
      <c r="E156" s="25"/>
      <c r="F156" s="19"/>
      <c r="G156" s="21">
        <v>0</v>
      </c>
      <c r="H156" s="21"/>
      <c r="I156" s="21"/>
      <c r="J156" s="21"/>
      <c r="K156" s="19"/>
      <c r="L156" s="19"/>
      <c r="M156" s="22">
        <v>1</v>
      </c>
      <c r="N156" s="19"/>
      <c r="O156" s="25"/>
      <c r="P156" s="23"/>
      <c r="Q156" s="21" t="s">
        <v>46</v>
      </c>
      <c r="R156" s="19" t="s">
        <v>47</v>
      </c>
      <c r="S156" s="21"/>
      <c r="T156" s="19"/>
      <c r="U156" s="21"/>
      <c r="V156" s="7"/>
      <c r="W156" s="7"/>
      <c r="X156" s="51" t="str">
        <f t="shared" si="0"/>
        <v/>
      </c>
      <c r="Y156" s="51" t="str">
        <f t="shared" si="1"/>
        <v/>
      </c>
      <c r="Z156" s="37"/>
    </row>
    <row r="157" spans="1:26" ht="14.25" customHeight="1" x14ac:dyDescent="0.3">
      <c r="A157" s="18">
        <v>38.4</v>
      </c>
      <c r="B157" s="19"/>
      <c r="C157" s="18" t="s">
        <v>55</v>
      </c>
      <c r="D157" s="19"/>
      <c r="E157" s="25"/>
      <c r="F157" s="19"/>
      <c r="G157" s="21">
        <v>0</v>
      </c>
      <c r="H157" s="21"/>
      <c r="I157" s="21"/>
      <c r="J157" s="21"/>
      <c r="K157" s="19"/>
      <c r="L157" s="19"/>
      <c r="M157" s="22">
        <v>1</v>
      </c>
      <c r="N157" s="19"/>
      <c r="O157" s="25"/>
      <c r="P157" s="23"/>
      <c r="Q157" s="21" t="s">
        <v>46</v>
      </c>
      <c r="R157" s="19" t="s">
        <v>47</v>
      </c>
      <c r="S157" s="21"/>
      <c r="T157" s="19"/>
      <c r="U157" s="21"/>
      <c r="V157" s="7"/>
      <c r="W157" s="7"/>
      <c r="X157" s="51" t="str">
        <f t="shared" si="0"/>
        <v/>
      </c>
      <c r="Y157" s="51" t="str">
        <f t="shared" si="1"/>
        <v/>
      </c>
      <c r="Z157" s="37"/>
    </row>
    <row r="158" spans="1:26" ht="14.25" customHeight="1" x14ac:dyDescent="0.3">
      <c r="A158" s="18">
        <v>39.1</v>
      </c>
      <c r="B158" s="19"/>
      <c r="C158" s="18" t="s">
        <v>55</v>
      </c>
      <c r="D158" s="19"/>
      <c r="E158" s="25"/>
      <c r="F158" s="19"/>
      <c r="G158" s="21">
        <v>0</v>
      </c>
      <c r="H158" s="21"/>
      <c r="I158" s="21"/>
      <c r="J158" s="21"/>
      <c r="K158" s="19"/>
      <c r="L158" s="19"/>
      <c r="M158" s="22">
        <v>1</v>
      </c>
      <c r="N158" s="19"/>
      <c r="O158" s="25"/>
      <c r="P158" s="23"/>
      <c r="Q158" s="21" t="s">
        <v>46</v>
      </c>
      <c r="R158" s="19" t="s">
        <v>47</v>
      </c>
      <c r="S158" s="21"/>
      <c r="T158" s="19"/>
      <c r="U158" s="21"/>
      <c r="V158" s="7"/>
      <c r="W158" s="7"/>
      <c r="X158" s="51" t="str">
        <f t="shared" si="0"/>
        <v/>
      </c>
      <c r="Y158" s="51" t="str">
        <f t="shared" si="1"/>
        <v/>
      </c>
      <c r="Z158" s="37"/>
    </row>
    <row r="159" spans="1:26" ht="14.25" customHeight="1" x14ac:dyDescent="0.3">
      <c r="A159" s="18">
        <v>39.200000000000003</v>
      </c>
      <c r="B159" s="19"/>
      <c r="C159" s="18" t="s">
        <v>55</v>
      </c>
      <c r="D159" s="19"/>
      <c r="E159" s="25"/>
      <c r="F159" s="19"/>
      <c r="G159" s="21">
        <v>0</v>
      </c>
      <c r="H159" s="21"/>
      <c r="I159" s="21"/>
      <c r="J159" s="21"/>
      <c r="K159" s="19"/>
      <c r="L159" s="19"/>
      <c r="M159" s="22">
        <v>1</v>
      </c>
      <c r="N159" s="19"/>
      <c r="O159" s="25"/>
      <c r="P159" s="23"/>
      <c r="Q159" s="21" t="s">
        <v>46</v>
      </c>
      <c r="R159" s="19" t="s">
        <v>47</v>
      </c>
      <c r="S159" s="21"/>
      <c r="T159" s="19"/>
      <c r="U159" s="21"/>
      <c r="V159" s="7"/>
      <c r="W159" s="7"/>
      <c r="X159" s="51" t="str">
        <f t="shared" si="0"/>
        <v/>
      </c>
      <c r="Y159" s="51" t="str">
        <f t="shared" si="1"/>
        <v/>
      </c>
      <c r="Z159" s="37"/>
    </row>
    <row r="160" spans="1:26" ht="14.25" customHeight="1" x14ac:dyDescent="0.3">
      <c r="A160" s="18">
        <v>39.299999999999997</v>
      </c>
      <c r="B160" s="19"/>
      <c r="C160" s="18" t="s">
        <v>55</v>
      </c>
      <c r="D160" s="19"/>
      <c r="E160" s="25"/>
      <c r="F160" s="19"/>
      <c r="G160" s="21">
        <v>0</v>
      </c>
      <c r="H160" s="21"/>
      <c r="I160" s="21"/>
      <c r="J160" s="21"/>
      <c r="K160" s="19"/>
      <c r="L160" s="19"/>
      <c r="M160" s="22">
        <v>1</v>
      </c>
      <c r="N160" s="19"/>
      <c r="O160" s="25"/>
      <c r="P160" s="23"/>
      <c r="Q160" s="21" t="s">
        <v>46</v>
      </c>
      <c r="R160" s="19" t="s">
        <v>47</v>
      </c>
      <c r="S160" s="21"/>
      <c r="T160" s="19"/>
      <c r="U160" s="21"/>
      <c r="V160" s="7"/>
      <c r="W160" s="7"/>
      <c r="X160" s="51" t="str">
        <f t="shared" si="0"/>
        <v/>
      </c>
      <c r="Y160" s="51" t="str">
        <f t="shared" si="1"/>
        <v/>
      </c>
      <c r="Z160" s="37"/>
    </row>
    <row r="161" spans="1:26" ht="14.25" customHeight="1" x14ac:dyDescent="0.3">
      <c r="A161" s="18">
        <v>39.4</v>
      </c>
      <c r="B161" s="19"/>
      <c r="C161" s="18" t="s">
        <v>55</v>
      </c>
      <c r="D161" s="19"/>
      <c r="E161" s="25"/>
      <c r="F161" s="19"/>
      <c r="G161" s="21">
        <v>0</v>
      </c>
      <c r="H161" s="21"/>
      <c r="I161" s="21"/>
      <c r="J161" s="21"/>
      <c r="K161" s="19"/>
      <c r="L161" s="19"/>
      <c r="M161" s="22">
        <v>1</v>
      </c>
      <c r="N161" s="19"/>
      <c r="O161" s="25"/>
      <c r="P161" s="23"/>
      <c r="Q161" s="21" t="s">
        <v>46</v>
      </c>
      <c r="R161" s="19" t="s">
        <v>47</v>
      </c>
      <c r="S161" s="21"/>
      <c r="T161" s="19"/>
      <c r="U161" s="21"/>
      <c r="V161" s="7"/>
      <c r="W161" s="7"/>
      <c r="X161" s="51" t="str">
        <f t="shared" si="0"/>
        <v/>
      </c>
      <c r="Y161" s="51" t="str">
        <f t="shared" si="1"/>
        <v/>
      </c>
      <c r="Z161" s="37"/>
    </row>
    <row r="162" spans="1:26" ht="14.25" customHeight="1" x14ac:dyDescent="0.3">
      <c r="A162" s="18">
        <v>40.1</v>
      </c>
      <c r="B162" s="19"/>
      <c r="C162" s="18" t="s">
        <v>55</v>
      </c>
      <c r="D162" s="19"/>
      <c r="E162" s="25"/>
      <c r="F162" s="19"/>
      <c r="G162" s="21">
        <v>0</v>
      </c>
      <c r="H162" s="21"/>
      <c r="I162" s="21"/>
      <c r="J162" s="21"/>
      <c r="K162" s="19"/>
      <c r="L162" s="19"/>
      <c r="M162" s="22">
        <v>1</v>
      </c>
      <c r="N162" s="19"/>
      <c r="O162" s="25"/>
      <c r="P162" s="23"/>
      <c r="Q162" s="21" t="s">
        <v>46</v>
      </c>
      <c r="R162" s="19" t="s">
        <v>47</v>
      </c>
      <c r="S162" s="21"/>
      <c r="T162" s="19"/>
      <c r="U162" s="21"/>
      <c r="V162" s="7"/>
      <c r="W162" s="7"/>
      <c r="X162" s="51" t="str">
        <f t="shared" si="0"/>
        <v/>
      </c>
      <c r="Y162" s="51" t="str">
        <f t="shared" si="1"/>
        <v/>
      </c>
      <c r="Z162" s="37"/>
    </row>
    <row r="163" spans="1:26" ht="14.25" customHeight="1" x14ac:dyDescent="0.3">
      <c r="A163" s="18">
        <v>40.200000000000003</v>
      </c>
      <c r="B163" s="19"/>
      <c r="C163" s="18" t="s">
        <v>55</v>
      </c>
      <c r="D163" s="19"/>
      <c r="E163" s="25"/>
      <c r="F163" s="19"/>
      <c r="G163" s="21">
        <v>0</v>
      </c>
      <c r="H163" s="21"/>
      <c r="I163" s="21"/>
      <c r="J163" s="21"/>
      <c r="K163" s="19"/>
      <c r="L163" s="19"/>
      <c r="M163" s="22">
        <v>1</v>
      </c>
      <c r="N163" s="19"/>
      <c r="O163" s="25"/>
      <c r="P163" s="23"/>
      <c r="Q163" s="21" t="s">
        <v>46</v>
      </c>
      <c r="R163" s="19" t="s">
        <v>47</v>
      </c>
      <c r="S163" s="21"/>
      <c r="T163" s="19"/>
      <c r="U163" s="21"/>
      <c r="V163" s="7"/>
      <c r="W163" s="7"/>
      <c r="X163" s="51" t="str">
        <f t="shared" si="0"/>
        <v/>
      </c>
      <c r="Y163" s="51" t="str">
        <f t="shared" si="1"/>
        <v/>
      </c>
      <c r="Z163" s="37"/>
    </row>
    <row r="164" spans="1:26" ht="14.25" customHeight="1" x14ac:dyDescent="0.3">
      <c r="A164" s="18">
        <v>40.299999999999997</v>
      </c>
      <c r="B164" s="19"/>
      <c r="C164" s="18" t="s">
        <v>55</v>
      </c>
      <c r="D164" s="19"/>
      <c r="E164" s="25"/>
      <c r="F164" s="19"/>
      <c r="G164" s="21">
        <v>0</v>
      </c>
      <c r="H164" s="21"/>
      <c r="I164" s="21"/>
      <c r="J164" s="21"/>
      <c r="K164" s="19"/>
      <c r="L164" s="19"/>
      <c r="M164" s="22">
        <v>1</v>
      </c>
      <c r="N164" s="19"/>
      <c r="O164" s="25"/>
      <c r="P164" s="23"/>
      <c r="Q164" s="21" t="s">
        <v>46</v>
      </c>
      <c r="R164" s="19" t="s">
        <v>47</v>
      </c>
      <c r="S164" s="21"/>
      <c r="T164" s="19"/>
      <c r="U164" s="21"/>
      <c r="V164" s="7"/>
      <c r="W164" s="7"/>
      <c r="X164" s="51" t="str">
        <f t="shared" si="0"/>
        <v/>
      </c>
      <c r="Y164" s="51" t="str">
        <f t="shared" si="1"/>
        <v/>
      </c>
      <c r="Z164" s="37"/>
    </row>
    <row r="165" spans="1:26" ht="14.25" customHeight="1" x14ac:dyDescent="0.3">
      <c r="A165" s="18">
        <v>40.4</v>
      </c>
      <c r="B165" s="19"/>
      <c r="C165" s="18" t="s">
        <v>55</v>
      </c>
      <c r="D165" s="19"/>
      <c r="E165" s="25"/>
      <c r="F165" s="19"/>
      <c r="G165" s="21">
        <v>0</v>
      </c>
      <c r="H165" s="21"/>
      <c r="I165" s="21"/>
      <c r="J165" s="21"/>
      <c r="K165" s="19"/>
      <c r="L165" s="19"/>
      <c r="M165" s="22">
        <v>1</v>
      </c>
      <c r="N165" s="19"/>
      <c r="O165" s="25"/>
      <c r="P165" s="23"/>
      <c r="Q165" s="21" t="s">
        <v>46</v>
      </c>
      <c r="R165" s="19" t="s">
        <v>47</v>
      </c>
      <c r="S165" s="21"/>
      <c r="T165" s="19"/>
      <c r="U165" s="21"/>
      <c r="V165" s="7"/>
      <c r="W165" s="7"/>
      <c r="X165" s="51" t="str">
        <f t="shared" si="0"/>
        <v/>
      </c>
      <c r="Y165" s="51" t="str">
        <f t="shared" si="1"/>
        <v/>
      </c>
      <c r="Z165" s="37"/>
    </row>
    <row r="166" spans="1:26" ht="14.25" customHeight="1" x14ac:dyDescent="0.3">
      <c r="A166" s="18">
        <v>41.1</v>
      </c>
      <c r="B166" s="19"/>
      <c r="C166" s="18" t="s">
        <v>55</v>
      </c>
      <c r="D166" s="19"/>
      <c r="E166" s="25"/>
      <c r="F166" s="19"/>
      <c r="G166" s="21">
        <v>0</v>
      </c>
      <c r="H166" s="21"/>
      <c r="I166" s="21"/>
      <c r="J166" s="21"/>
      <c r="K166" s="19"/>
      <c r="L166" s="19"/>
      <c r="M166" s="22">
        <v>1</v>
      </c>
      <c r="N166" s="19"/>
      <c r="O166" s="25"/>
      <c r="P166" s="23"/>
      <c r="Q166" s="21" t="s">
        <v>46</v>
      </c>
      <c r="R166" s="19" t="s">
        <v>47</v>
      </c>
      <c r="S166" s="21"/>
      <c r="T166" s="19"/>
      <c r="U166" s="21"/>
      <c r="V166" s="7"/>
      <c r="W166" s="7"/>
      <c r="X166" s="51" t="str">
        <f t="shared" si="0"/>
        <v/>
      </c>
      <c r="Y166" s="51" t="str">
        <f t="shared" si="1"/>
        <v/>
      </c>
      <c r="Z166" s="37"/>
    </row>
    <row r="167" spans="1:26" ht="14.25" customHeight="1" x14ac:dyDescent="0.3">
      <c r="A167" s="18">
        <v>41.2</v>
      </c>
      <c r="B167" s="19"/>
      <c r="C167" s="18" t="s">
        <v>55</v>
      </c>
      <c r="D167" s="19"/>
      <c r="E167" s="25"/>
      <c r="F167" s="19"/>
      <c r="G167" s="21">
        <v>0</v>
      </c>
      <c r="H167" s="21"/>
      <c r="I167" s="21"/>
      <c r="J167" s="21"/>
      <c r="K167" s="19"/>
      <c r="L167" s="19"/>
      <c r="M167" s="22">
        <v>1</v>
      </c>
      <c r="N167" s="19"/>
      <c r="O167" s="25"/>
      <c r="P167" s="23"/>
      <c r="Q167" s="21" t="s">
        <v>46</v>
      </c>
      <c r="R167" s="19" t="s">
        <v>47</v>
      </c>
      <c r="S167" s="21"/>
      <c r="T167" s="19"/>
      <c r="U167" s="21"/>
      <c r="V167" s="7"/>
      <c r="W167" s="7"/>
      <c r="X167" s="51" t="str">
        <f t="shared" si="0"/>
        <v/>
      </c>
      <c r="Y167" s="51" t="str">
        <f t="shared" si="1"/>
        <v/>
      </c>
      <c r="Z167" s="37"/>
    </row>
    <row r="168" spans="1:26" ht="14.25" customHeight="1" x14ac:dyDescent="0.3">
      <c r="A168" s="18">
        <v>41.3</v>
      </c>
      <c r="B168" s="19"/>
      <c r="C168" s="18" t="s">
        <v>55</v>
      </c>
      <c r="D168" s="19"/>
      <c r="E168" s="25"/>
      <c r="F168" s="19"/>
      <c r="G168" s="21">
        <v>0</v>
      </c>
      <c r="H168" s="21"/>
      <c r="I168" s="21"/>
      <c r="J168" s="21"/>
      <c r="K168" s="19"/>
      <c r="L168" s="19"/>
      <c r="M168" s="22">
        <v>1</v>
      </c>
      <c r="N168" s="19"/>
      <c r="O168" s="25"/>
      <c r="P168" s="23"/>
      <c r="Q168" s="21" t="s">
        <v>46</v>
      </c>
      <c r="R168" s="19" t="s">
        <v>47</v>
      </c>
      <c r="S168" s="21"/>
      <c r="T168" s="19"/>
      <c r="U168" s="21"/>
      <c r="V168" s="7"/>
      <c r="W168" s="7"/>
      <c r="X168" s="51" t="str">
        <f t="shared" si="0"/>
        <v/>
      </c>
      <c r="Y168" s="51" t="str">
        <f t="shared" si="1"/>
        <v/>
      </c>
      <c r="Z168" s="37"/>
    </row>
    <row r="169" spans="1:26" ht="14.25" customHeight="1" x14ac:dyDescent="0.3">
      <c r="A169" s="18">
        <v>41.4</v>
      </c>
      <c r="B169" s="19"/>
      <c r="C169" s="18" t="s">
        <v>55</v>
      </c>
      <c r="D169" s="19"/>
      <c r="E169" s="25"/>
      <c r="F169" s="19"/>
      <c r="G169" s="21">
        <v>0</v>
      </c>
      <c r="H169" s="21"/>
      <c r="I169" s="21"/>
      <c r="J169" s="21"/>
      <c r="K169" s="19"/>
      <c r="L169" s="19"/>
      <c r="M169" s="22">
        <v>1</v>
      </c>
      <c r="N169" s="19"/>
      <c r="O169" s="25"/>
      <c r="P169" s="23"/>
      <c r="Q169" s="21" t="s">
        <v>46</v>
      </c>
      <c r="R169" s="19" t="s">
        <v>47</v>
      </c>
      <c r="S169" s="21"/>
      <c r="T169" s="19"/>
      <c r="U169" s="21"/>
      <c r="V169" s="7"/>
      <c r="W169" s="7"/>
      <c r="X169" s="51" t="str">
        <f t="shared" si="0"/>
        <v/>
      </c>
      <c r="Y169" s="51" t="str">
        <f t="shared" si="1"/>
        <v/>
      </c>
      <c r="Z169" s="37"/>
    </row>
    <row r="170" spans="1:26" ht="14.25" customHeight="1" x14ac:dyDescent="0.3">
      <c r="A170" s="18">
        <v>42.1</v>
      </c>
      <c r="B170" s="19"/>
      <c r="C170" s="18" t="s">
        <v>55</v>
      </c>
      <c r="D170" s="19"/>
      <c r="E170" s="25"/>
      <c r="F170" s="19"/>
      <c r="G170" s="21">
        <v>0</v>
      </c>
      <c r="H170" s="21"/>
      <c r="I170" s="21"/>
      <c r="J170" s="21"/>
      <c r="K170" s="19"/>
      <c r="L170" s="19"/>
      <c r="M170" s="22">
        <v>1</v>
      </c>
      <c r="N170" s="19"/>
      <c r="O170" s="25"/>
      <c r="P170" s="23"/>
      <c r="Q170" s="21" t="s">
        <v>46</v>
      </c>
      <c r="R170" s="19" t="s">
        <v>47</v>
      </c>
      <c r="S170" s="21"/>
      <c r="T170" s="19"/>
      <c r="U170" s="21"/>
      <c r="V170" s="7"/>
      <c r="W170" s="7"/>
      <c r="X170" s="51" t="str">
        <f t="shared" si="0"/>
        <v/>
      </c>
      <c r="Y170" s="51" t="str">
        <f t="shared" si="1"/>
        <v/>
      </c>
      <c r="Z170" s="37"/>
    </row>
    <row r="171" spans="1:26" ht="14.25" customHeight="1" x14ac:dyDescent="0.3">
      <c r="A171" s="18">
        <v>42.2</v>
      </c>
      <c r="B171" s="19"/>
      <c r="C171" s="18" t="s">
        <v>55</v>
      </c>
      <c r="D171" s="19"/>
      <c r="E171" s="25"/>
      <c r="F171" s="19"/>
      <c r="G171" s="21">
        <v>0</v>
      </c>
      <c r="H171" s="21"/>
      <c r="I171" s="21"/>
      <c r="J171" s="21"/>
      <c r="K171" s="19"/>
      <c r="L171" s="19"/>
      <c r="M171" s="22">
        <v>1</v>
      </c>
      <c r="N171" s="19"/>
      <c r="O171" s="25"/>
      <c r="P171" s="23"/>
      <c r="Q171" s="21" t="s">
        <v>46</v>
      </c>
      <c r="R171" s="19" t="s">
        <v>47</v>
      </c>
      <c r="S171" s="21"/>
      <c r="T171" s="19"/>
      <c r="U171" s="21"/>
      <c r="V171" s="7"/>
      <c r="W171" s="7"/>
      <c r="X171" s="51" t="str">
        <f t="shared" si="0"/>
        <v/>
      </c>
      <c r="Y171" s="51" t="str">
        <f t="shared" si="1"/>
        <v/>
      </c>
      <c r="Z171" s="37"/>
    </row>
    <row r="172" spans="1:26" ht="14.25" customHeight="1" x14ac:dyDescent="0.3">
      <c r="A172" s="18">
        <v>42.3</v>
      </c>
      <c r="B172" s="19"/>
      <c r="C172" s="18" t="s">
        <v>55</v>
      </c>
      <c r="D172" s="19"/>
      <c r="E172" s="25"/>
      <c r="F172" s="19"/>
      <c r="G172" s="21">
        <v>0</v>
      </c>
      <c r="H172" s="21"/>
      <c r="I172" s="21"/>
      <c r="J172" s="21"/>
      <c r="K172" s="19"/>
      <c r="L172" s="19"/>
      <c r="M172" s="22">
        <v>1</v>
      </c>
      <c r="N172" s="19"/>
      <c r="O172" s="25"/>
      <c r="P172" s="23"/>
      <c r="Q172" s="21" t="s">
        <v>46</v>
      </c>
      <c r="R172" s="19" t="s">
        <v>47</v>
      </c>
      <c r="S172" s="21"/>
      <c r="T172" s="19"/>
      <c r="U172" s="21"/>
      <c r="V172" s="7"/>
      <c r="W172" s="7"/>
      <c r="X172" s="51" t="str">
        <f t="shared" si="0"/>
        <v/>
      </c>
      <c r="Y172" s="51" t="str">
        <f t="shared" si="1"/>
        <v/>
      </c>
      <c r="Z172" s="37"/>
    </row>
    <row r="173" spans="1:26" ht="14.25" customHeight="1" x14ac:dyDescent="0.3">
      <c r="A173" s="18">
        <v>42.4</v>
      </c>
      <c r="B173" s="19"/>
      <c r="C173" s="18" t="s">
        <v>55</v>
      </c>
      <c r="D173" s="19"/>
      <c r="E173" s="25"/>
      <c r="F173" s="19"/>
      <c r="G173" s="21">
        <v>0</v>
      </c>
      <c r="H173" s="21"/>
      <c r="I173" s="21"/>
      <c r="J173" s="21"/>
      <c r="K173" s="19"/>
      <c r="L173" s="19"/>
      <c r="M173" s="22">
        <v>1</v>
      </c>
      <c r="N173" s="19"/>
      <c r="O173" s="25"/>
      <c r="P173" s="23"/>
      <c r="Q173" s="21" t="s">
        <v>46</v>
      </c>
      <c r="R173" s="19" t="s">
        <v>47</v>
      </c>
      <c r="S173" s="21"/>
      <c r="T173" s="19"/>
      <c r="U173" s="21"/>
      <c r="V173" s="7"/>
      <c r="W173" s="7"/>
      <c r="X173" s="51" t="str">
        <f t="shared" si="0"/>
        <v/>
      </c>
      <c r="Y173" s="51" t="str">
        <f t="shared" si="1"/>
        <v/>
      </c>
      <c r="Z173" s="37"/>
    </row>
    <row r="174" spans="1:26" ht="14.25" customHeight="1" x14ac:dyDescent="0.3">
      <c r="A174" s="18">
        <v>43.1</v>
      </c>
      <c r="B174" s="19"/>
      <c r="C174" s="18" t="s">
        <v>55</v>
      </c>
      <c r="D174" s="19"/>
      <c r="E174" s="25"/>
      <c r="F174" s="19"/>
      <c r="G174" s="21">
        <v>0</v>
      </c>
      <c r="H174" s="21"/>
      <c r="I174" s="21"/>
      <c r="J174" s="21"/>
      <c r="K174" s="19"/>
      <c r="L174" s="19"/>
      <c r="M174" s="22">
        <v>1</v>
      </c>
      <c r="N174" s="19"/>
      <c r="O174" s="25"/>
      <c r="P174" s="23"/>
      <c r="Q174" s="21" t="s">
        <v>46</v>
      </c>
      <c r="R174" s="19" t="s">
        <v>47</v>
      </c>
      <c r="S174" s="21"/>
      <c r="T174" s="19"/>
      <c r="U174" s="21"/>
      <c r="V174" s="7"/>
      <c r="W174" s="7"/>
      <c r="X174" s="51" t="str">
        <f t="shared" si="0"/>
        <v/>
      </c>
      <c r="Y174" s="51" t="str">
        <f t="shared" si="1"/>
        <v/>
      </c>
      <c r="Z174" s="37"/>
    </row>
    <row r="175" spans="1:26" ht="14.25" customHeight="1" x14ac:dyDescent="0.3">
      <c r="A175" s="18">
        <v>43.2</v>
      </c>
      <c r="B175" s="19"/>
      <c r="C175" s="18" t="s">
        <v>55</v>
      </c>
      <c r="D175" s="19"/>
      <c r="E175" s="25"/>
      <c r="F175" s="19"/>
      <c r="G175" s="21">
        <v>0</v>
      </c>
      <c r="H175" s="21"/>
      <c r="I175" s="21"/>
      <c r="J175" s="21"/>
      <c r="K175" s="19"/>
      <c r="L175" s="19"/>
      <c r="M175" s="22">
        <v>1</v>
      </c>
      <c r="N175" s="19"/>
      <c r="O175" s="25"/>
      <c r="P175" s="23"/>
      <c r="Q175" s="21" t="s">
        <v>46</v>
      </c>
      <c r="R175" s="19" t="s">
        <v>47</v>
      </c>
      <c r="S175" s="21"/>
      <c r="T175" s="19"/>
      <c r="U175" s="21"/>
      <c r="V175" s="7"/>
      <c r="W175" s="7"/>
      <c r="X175" s="51" t="str">
        <f t="shared" si="0"/>
        <v/>
      </c>
      <c r="Y175" s="51" t="str">
        <f t="shared" si="1"/>
        <v/>
      </c>
      <c r="Z175" s="37"/>
    </row>
    <row r="176" spans="1:26" ht="14.25" customHeight="1" x14ac:dyDescent="0.3">
      <c r="A176" s="18">
        <v>43.3</v>
      </c>
      <c r="B176" s="19"/>
      <c r="C176" s="18" t="s">
        <v>55</v>
      </c>
      <c r="D176" s="19"/>
      <c r="E176" s="25"/>
      <c r="F176" s="19"/>
      <c r="G176" s="21">
        <v>0</v>
      </c>
      <c r="H176" s="21"/>
      <c r="I176" s="21"/>
      <c r="J176" s="21"/>
      <c r="K176" s="19"/>
      <c r="L176" s="19"/>
      <c r="M176" s="22">
        <v>1</v>
      </c>
      <c r="N176" s="19"/>
      <c r="O176" s="25"/>
      <c r="P176" s="23"/>
      <c r="Q176" s="21" t="s">
        <v>46</v>
      </c>
      <c r="R176" s="19" t="s">
        <v>47</v>
      </c>
      <c r="S176" s="21"/>
      <c r="T176" s="19"/>
      <c r="U176" s="21"/>
      <c r="V176" s="7"/>
      <c r="W176" s="7"/>
      <c r="X176" s="51" t="str">
        <f t="shared" si="0"/>
        <v/>
      </c>
      <c r="Y176" s="51" t="str">
        <f t="shared" si="1"/>
        <v/>
      </c>
      <c r="Z176" s="37"/>
    </row>
    <row r="177" spans="1:26" ht="14.25" customHeight="1" x14ac:dyDescent="0.3">
      <c r="A177" s="18">
        <v>43.4</v>
      </c>
      <c r="B177" s="19"/>
      <c r="C177" s="18" t="s">
        <v>55</v>
      </c>
      <c r="D177" s="19"/>
      <c r="E177" s="25"/>
      <c r="F177" s="19"/>
      <c r="G177" s="21">
        <v>0</v>
      </c>
      <c r="H177" s="21"/>
      <c r="I177" s="21"/>
      <c r="J177" s="21"/>
      <c r="K177" s="19"/>
      <c r="L177" s="19"/>
      <c r="M177" s="22">
        <v>1</v>
      </c>
      <c r="N177" s="19"/>
      <c r="O177" s="25"/>
      <c r="P177" s="23"/>
      <c r="Q177" s="21" t="s">
        <v>46</v>
      </c>
      <c r="R177" s="19" t="s">
        <v>47</v>
      </c>
      <c r="S177" s="21"/>
      <c r="T177" s="19"/>
      <c r="U177" s="21"/>
      <c r="V177" s="7"/>
      <c r="W177" s="7"/>
      <c r="X177" s="51" t="str">
        <f t="shared" si="0"/>
        <v/>
      </c>
      <c r="Y177" s="51" t="str">
        <f t="shared" si="1"/>
        <v/>
      </c>
      <c r="Z177" s="37"/>
    </row>
    <row r="178" spans="1:26" ht="14.25" customHeight="1" x14ac:dyDescent="0.3">
      <c r="A178" s="18">
        <v>44.1</v>
      </c>
      <c r="B178" s="19"/>
      <c r="C178" s="18" t="s">
        <v>55</v>
      </c>
      <c r="D178" s="19"/>
      <c r="E178" s="25"/>
      <c r="F178" s="19"/>
      <c r="G178" s="21">
        <v>0</v>
      </c>
      <c r="H178" s="21"/>
      <c r="I178" s="21"/>
      <c r="J178" s="21"/>
      <c r="K178" s="19"/>
      <c r="L178" s="19"/>
      <c r="M178" s="22">
        <v>1</v>
      </c>
      <c r="N178" s="19"/>
      <c r="O178" s="25"/>
      <c r="P178" s="23"/>
      <c r="Q178" s="21" t="s">
        <v>46</v>
      </c>
      <c r="R178" s="19" t="s">
        <v>47</v>
      </c>
      <c r="S178" s="21"/>
      <c r="T178" s="19"/>
      <c r="U178" s="21"/>
      <c r="V178" s="7"/>
      <c r="W178" s="7"/>
      <c r="X178" s="51" t="str">
        <f t="shared" si="0"/>
        <v/>
      </c>
      <c r="Y178" s="51" t="str">
        <f t="shared" si="1"/>
        <v/>
      </c>
      <c r="Z178" s="37"/>
    </row>
    <row r="179" spans="1:26" ht="14.25" customHeight="1" x14ac:dyDescent="0.3">
      <c r="A179" s="18">
        <v>44.2</v>
      </c>
      <c r="B179" s="19"/>
      <c r="C179" s="18" t="s">
        <v>55</v>
      </c>
      <c r="D179" s="19"/>
      <c r="E179" s="25"/>
      <c r="F179" s="19"/>
      <c r="G179" s="21">
        <v>0</v>
      </c>
      <c r="H179" s="21"/>
      <c r="I179" s="21"/>
      <c r="J179" s="21"/>
      <c r="K179" s="19"/>
      <c r="L179" s="19"/>
      <c r="M179" s="22">
        <v>1</v>
      </c>
      <c r="N179" s="19"/>
      <c r="O179" s="25"/>
      <c r="P179" s="23"/>
      <c r="Q179" s="21" t="s">
        <v>46</v>
      </c>
      <c r="R179" s="19" t="s">
        <v>47</v>
      </c>
      <c r="S179" s="21"/>
      <c r="T179" s="19"/>
      <c r="U179" s="21"/>
      <c r="V179" s="7"/>
      <c r="W179" s="7"/>
      <c r="X179" s="51" t="str">
        <f t="shared" si="0"/>
        <v/>
      </c>
      <c r="Y179" s="51" t="str">
        <f t="shared" si="1"/>
        <v/>
      </c>
      <c r="Z179" s="37"/>
    </row>
    <row r="180" spans="1:26" ht="14.25" customHeight="1" x14ac:dyDescent="0.3">
      <c r="A180" s="18">
        <v>44.3</v>
      </c>
      <c r="B180" s="19"/>
      <c r="C180" s="18" t="s">
        <v>55</v>
      </c>
      <c r="D180" s="19"/>
      <c r="E180" s="25"/>
      <c r="F180" s="19"/>
      <c r="G180" s="21">
        <v>0</v>
      </c>
      <c r="H180" s="21"/>
      <c r="I180" s="21"/>
      <c r="J180" s="21"/>
      <c r="K180" s="19"/>
      <c r="L180" s="19"/>
      <c r="M180" s="22">
        <v>1</v>
      </c>
      <c r="N180" s="19"/>
      <c r="O180" s="25"/>
      <c r="P180" s="23"/>
      <c r="Q180" s="21" t="s">
        <v>46</v>
      </c>
      <c r="R180" s="19" t="s">
        <v>47</v>
      </c>
      <c r="S180" s="21"/>
      <c r="T180" s="19"/>
      <c r="U180" s="21"/>
      <c r="V180" s="7"/>
      <c r="W180" s="7"/>
      <c r="X180" s="51" t="str">
        <f t="shared" si="0"/>
        <v/>
      </c>
      <c r="Y180" s="51" t="str">
        <f t="shared" si="1"/>
        <v/>
      </c>
      <c r="Z180" s="37"/>
    </row>
    <row r="181" spans="1:26" ht="14.25" customHeight="1" x14ac:dyDescent="0.3">
      <c r="A181" s="18">
        <v>44.4</v>
      </c>
      <c r="B181" s="19"/>
      <c r="C181" s="18" t="s">
        <v>55</v>
      </c>
      <c r="D181" s="19"/>
      <c r="E181" s="25"/>
      <c r="F181" s="19"/>
      <c r="G181" s="21">
        <v>0</v>
      </c>
      <c r="H181" s="21"/>
      <c r="I181" s="21"/>
      <c r="J181" s="21"/>
      <c r="K181" s="19"/>
      <c r="L181" s="19"/>
      <c r="M181" s="22">
        <v>1</v>
      </c>
      <c r="N181" s="19"/>
      <c r="O181" s="25"/>
      <c r="P181" s="23"/>
      <c r="Q181" s="21" t="s">
        <v>46</v>
      </c>
      <c r="R181" s="19" t="s">
        <v>47</v>
      </c>
      <c r="S181" s="21"/>
      <c r="T181" s="19"/>
      <c r="U181" s="21"/>
      <c r="V181" s="7"/>
      <c r="W181" s="7"/>
      <c r="X181" s="51" t="str">
        <f t="shared" si="0"/>
        <v/>
      </c>
      <c r="Y181" s="51" t="str">
        <f t="shared" si="1"/>
        <v/>
      </c>
      <c r="Z181" s="37"/>
    </row>
    <row r="182" spans="1:26" ht="14.25" customHeight="1" x14ac:dyDescent="0.3">
      <c r="A182" s="18">
        <v>45.1</v>
      </c>
      <c r="B182" s="19"/>
      <c r="C182" s="18" t="s">
        <v>55</v>
      </c>
      <c r="D182" s="19"/>
      <c r="E182" s="25"/>
      <c r="F182" s="19"/>
      <c r="G182" s="21">
        <v>0</v>
      </c>
      <c r="H182" s="21"/>
      <c r="I182" s="21"/>
      <c r="J182" s="21"/>
      <c r="K182" s="19"/>
      <c r="L182" s="19"/>
      <c r="M182" s="22">
        <v>1</v>
      </c>
      <c r="N182" s="19"/>
      <c r="O182" s="25"/>
      <c r="P182" s="23"/>
      <c r="Q182" s="21" t="s">
        <v>46</v>
      </c>
      <c r="R182" s="19" t="s">
        <v>47</v>
      </c>
      <c r="S182" s="21"/>
      <c r="T182" s="19"/>
      <c r="U182" s="21"/>
      <c r="V182" s="7"/>
      <c r="W182" s="7"/>
      <c r="X182" s="51" t="str">
        <f t="shared" si="0"/>
        <v/>
      </c>
      <c r="Y182" s="51" t="str">
        <f t="shared" si="1"/>
        <v/>
      </c>
      <c r="Z182" s="37"/>
    </row>
    <row r="183" spans="1:26" ht="14.25" customHeight="1" x14ac:dyDescent="0.3">
      <c r="A183" s="18">
        <v>45.2</v>
      </c>
      <c r="B183" s="19"/>
      <c r="C183" s="18" t="s">
        <v>55</v>
      </c>
      <c r="D183" s="19"/>
      <c r="E183" s="25"/>
      <c r="F183" s="19"/>
      <c r="G183" s="21">
        <v>0</v>
      </c>
      <c r="H183" s="21"/>
      <c r="I183" s="21"/>
      <c r="J183" s="21"/>
      <c r="K183" s="19"/>
      <c r="L183" s="19"/>
      <c r="M183" s="22">
        <v>1</v>
      </c>
      <c r="N183" s="19"/>
      <c r="O183" s="25"/>
      <c r="P183" s="23"/>
      <c r="Q183" s="21" t="s">
        <v>46</v>
      </c>
      <c r="R183" s="19" t="s">
        <v>47</v>
      </c>
      <c r="S183" s="21"/>
      <c r="T183" s="19"/>
      <c r="U183" s="21"/>
      <c r="V183" s="7"/>
      <c r="W183" s="7"/>
      <c r="X183" s="51" t="str">
        <f t="shared" si="0"/>
        <v/>
      </c>
      <c r="Y183" s="51" t="str">
        <f t="shared" si="1"/>
        <v/>
      </c>
      <c r="Z183" s="37"/>
    </row>
    <row r="184" spans="1:26" ht="14.25" customHeight="1" x14ac:dyDescent="0.3">
      <c r="A184" s="18">
        <v>45.3</v>
      </c>
      <c r="B184" s="19"/>
      <c r="C184" s="18" t="s">
        <v>55</v>
      </c>
      <c r="D184" s="19"/>
      <c r="E184" s="25"/>
      <c r="F184" s="19"/>
      <c r="G184" s="21">
        <v>0</v>
      </c>
      <c r="H184" s="21"/>
      <c r="I184" s="21"/>
      <c r="J184" s="21"/>
      <c r="K184" s="19"/>
      <c r="L184" s="19"/>
      <c r="M184" s="22">
        <v>1</v>
      </c>
      <c r="N184" s="19"/>
      <c r="O184" s="25"/>
      <c r="P184" s="23"/>
      <c r="Q184" s="21" t="s">
        <v>46</v>
      </c>
      <c r="R184" s="19" t="s">
        <v>47</v>
      </c>
      <c r="S184" s="21"/>
      <c r="T184" s="19"/>
      <c r="U184" s="21"/>
      <c r="V184" s="7"/>
      <c r="W184" s="7"/>
      <c r="X184" s="51" t="str">
        <f t="shared" si="0"/>
        <v/>
      </c>
      <c r="Y184" s="51" t="str">
        <f t="shared" si="1"/>
        <v/>
      </c>
      <c r="Z184" s="37"/>
    </row>
    <row r="185" spans="1:26" ht="14.25" customHeight="1" x14ac:dyDescent="0.3">
      <c r="A185" s="18">
        <v>45.4</v>
      </c>
      <c r="B185" s="19"/>
      <c r="C185" s="18" t="s">
        <v>55</v>
      </c>
      <c r="D185" s="19"/>
      <c r="E185" s="25"/>
      <c r="F185" s="19"/>
      <c r="G185" s="21">
        <v>0</v>
      </c>
      <c r="H185" s="21"/>
      <c r="I185" s="21"/>
      <c r="J185" s="21"/>
      <c r="K185" s="19"/>
      <c r="L185" s="19"/>
      <c r="M185" s="22">
        <v>1</v>
      </c>
      <c r="N185" s="19"/>
      <c r="O185" s="25"/>
      <c r="P185" s="23"/>
      <c r="Q185" s="21" t="s">
        <v>46</v>
      </c>
      <c r="R185" s="19" t="s">
        <v>47</v>
      </c>
      <c r="S185" s="21"/>
      <c r="T185" s="19"/>
      <c r="U185" s="21"/>
      <c r="V185" s="7"/>
      <c r="W185" s="7"/>
      <c r="X185" s="51" t="str">
        <f t="shared" si="0"/>
        <v/>
      </c>
      <c r="Y185" s="51" t="str">
        <f t="shared" si="1"/>
        <v/>
      </c>
      <c r="Z185" s="37"/>
    </row>
    <row r="186" spans="1:26" ht="14.25" customHeight="1" x14ac:dyDescent="0.3">
      <c r="A186" s="18">
        <v>46.1</v>
      </c>
      <c r="B186" s="19"/>
      <c r="C186" s="18" t="s">
        <v>55</v>
      </c>
      <c r="D186" s="19"/>
      <c r="E186" s="25"/>
      <c r="F186" s="19"/>
      <c r="G186" s="21">
        <v>0</v>
      </c>
      <c r="H186" s="21"/>
      <c r="I186" s="21"/>
      <c r="J186" s="21"/>
      <c r="K186" s="19"/>
      <c r="L186" s="19"/>
      <c r="M186" s="22">
        <v>1</v>
      </c>
      <c r="N186" s="19"/>
      <c r="O186" s="25"/>
      <c r="P186" s="23"/>
      <c r="Q186" s="21" t="s">
        <v>46</v>
      </c>
      <c r="R186" s="19" t="s">
        <v>47</v>
      </c>
      <c r="S186" s="21"/>
      <c r="T186" s="19"/>
      <c r="U186" s="21"/>
      <c r="V186" s="7"/>
      <c r="W186" s="7"/>
      <c r="X186" s="51" t="str">
        <f t="shared" si="0"/>
        <v/>
      </c>
      <c r="Y186" s="51" t="str">
        <f t="shared" si="1"/>
        <v/>
      </c>
      <c r="Z186" s="37"/>
    </row>
    <row r="187" spans="1:26" ht="14.25" customHeight="1" x14ac:dyDescent="0.3">
      <c r="A187" s="18">
        <v>46.2</v>
      </c>
      <c r="B187" s="19"/>
      <c r="C187" s="18" t="s">
        <v>55</v>
      </c>
      <c r="D187" s="19"/>
      <c r="E187" s="25"/>
      <c r="F187" s="19"/>
      <c r="G187" s="21">
        <v>0</v>
      </c>
      <c r="H187" s="21"/>
      <c r="I187" s="21"/>
      <c r="J187" s="21"/>
      <c r="K187" s="19"/>
      <c r="L187" s="19"/>
      <c r="M187" s="22">
        <v>1</v>
      </c>
      <c r="N187" s="19"/>
      <c r="O187" s="25"/>
      <c r="P187" s="23"/>
      <c r="Q187" s="21" t="s">
        <v>46</v>
      </c>
      <c r="R187" s="19" t="s">
        <v>47</v>
      </c>
      <c r="S187" s="21"/>
      <c r="T187" s="19"/>
      <c r="U187" s="21"/>
      <c r="V187" s="7"/>
      <c r="W187" s="7"/>
      <c r="X187" s="51" t="str">
        <f t="shared" si="0"/>
        <v/>
      </c>
      <c r="Y187" s="51" t="str">
        <f t="shared" si="1"/>
        <v/>
      </c>
      <c r="Z187" s="37"/>
    </row>
    <row r="188" spans="1:26" ht="14.25" customHeight="1" x14ac:dyDescent="0.3">
      <c r="A188" s="18">
        <v>46.3</v>
      </c>
      <c r="B188" s="19"/>
      <c r="C188" s="18" t="s">
        <v>55</v>
      </c>
      <c r="D188" s="19"/>
      <c r="E188" s="25"/>
      <c r="F188" s="19"/>
      <c r="G188" s="21">
        <v>0</v>
      </c>
      <c r="H188" s="21"/>
      <c r="I188" s="21"/>
      <c r="J188" s="21"/>
      <c r="K188" s="19"/>
      <c r="L188" s="19"/>
      <c r="M188" s="22">
        <v>1</v>
      </c>
      <c r="N188" s="19"/>
      <c r="O188" s="25"/>
      <c r="P188" s="23"/>
      <c r="Q188" s="21" t="s">
        <v>46</v>
      </c>
      <c r="R188" s="19" t="s">
        <v>47</v>
      </c>
      <c r="S188" s="21"/>
      <c r="T188" s="19"/>
      <c r="U188" s="21"/>
      <c r="V188" s="7"/>
      <c r="W188" s="7"/>
      <c r="X188" s="51" t="str">
        <f t="shared" si="0"/>
        <v/>
      </c>
      <c r="Y188" s="51" t="str">
        <f t="shared" si="1"/>
        <v/>
      </c>
      <c r="Z188" s="37"/>
    </row>
    <row r="189" spans="1:26" ht="14.25" customHeight="1" x14ac:dyDescent="0.3">
      <c r="A189" s="18">
        <v>46.4</v>
      </c>
      <c r="B189" s="19"/>
      <c r="C189" s="18" t="s">
        <v>55</v>
      </c>
      <c r="D189" s="19"/>
      <c r="E189" s="25"/>
      <c r="F189" s="19"/>
      <c r="G189" s="21">
        <v>0</v>
      </c>
      <c r="H189" s="21"/>
      <c r="I189" s="21"/>
      <c r="J189" s="21"/>
      <c r="K189" s="19"/>
      <c r="L189" s="19"/>
      <c r="M189" s="22">
        <v>1</v>
      </c>
      <c r="N189" s="19"/>
      <c r="O189" s="25"/>
      <c r="P189" s="23"/>
      <c r="Q189" s="21" t="s">
        <v>46</v>
      </c>
      <c r="R189" s="19" t="s">
        <v>47</v>
      </c>
      <c r="S189" s="21"/>
      <c r="T189" s="19"/>
      <c r="U189" s="21"/>
      <c r="V189" s="7"/>
      <c r="W189" s="7"/>
      <c r="X189" s="51" t="str">
        <f t="shared" si="0"/>
        <v/>
      </c>
      <c r="Y189" s="51" t="str">
        <f t="shared" si="1"/>
        <v/>
      </c>
      <c r="Z189" s="37"/>
    </row>
    <row r="190" spans="1:26" ht="14.25" customHeight="1" x14ac:dyDescent="0.3">
      <c r="A190" s="18">
        <v>47.1</v>
      </c>
      <c r="B190" s="19"/>
      <c r="C190" s="18" t="s">
        <v>55</v>
      </c>
      <c r="D190" s="19"/>
      <c r="E190" s="25"/>
      <c r="F190" s="19"/>
      <c r="G190" s="21">
        <v>0</v>
      </c>
      <c r="H190" s="21"/>
      <c r="I190" s="21"/>
      <c r="J190" s="21"/>
      <c r="K190" s="19"/>
      <c r="L190" s="19"/>
      <c r="M190" s="22">
        <v>1</v>
      </c>
      <c r="N190" s="19"/>
      <c r="O190" s="25"/>
      <c r="P190" s="23"/>
      <c r="Q190" s="21" t="s">
        <v>46</v>
      </c>
      <c r="R190" s="19" t="s">
        <v>47</v>
      </c>
      <c r="S190" s="21"/>
      <c r="T190" s="19"/>
      <c r="U190" s="21"/>
      <c r="V190" s="7"/>
      <c r="W190" s="7"/>
      <c r="X190" s="51" t="str">
        <f t="shared" si="0"/>
        <v/>
      </c>
      <c r="Y190" s="51" t="str">
        <f t="shared" si="1"/>
        <v/>
      </c>
      <c r="Z190" s="37"/>
    </row>
    <row r="191" spans="1:26" ht="14.25" customHeight="1" x14ac:dyDescent="0.3">
      <c r="A191" s="18">
        <v>47.2</v>
      </c>
      <c r="B191" s="19"/>
      <c r="C191" s="18" t="s">
        <v>55</v>
      </c>
      <c r="D191" s="19"/>
      <c r="E191" s="25"/>
      <c r="F191" s="19"/>
      <c r="G191" s="21">
        <v>0</v>
      </c>
      <c r="H191" s="21"/>
      <c r="I191" s="21"/>
      <c r="J191" s="21"/>
      <c r="K191" s="19"/>
      <c r="L191" s="19"/>
      <c r="M191" s="22">
        <v>1</v>
      </c>
      <c r="N191" s="19"/>
      <c r="O191" s="25"/>
      <c r="P191" s="23"/>
      <c r="Q191" s="21" t="s">
        <v>46</v>
      </c>
      <c r="R191" s="19" t="s">
        <v>47</v>
      </c>
      <c r="S191" s="21"/>
      <c r="T191" s="19"/>
      <c r="U191" s="21"/>
      <c r="V191" s="7"/>
      <c r="W191" s="7"/>
      <c r="X191" s="51" t="str">
        <f t="shared" si="0"/>
        <v/>
      </c>
      <c r="Y191" s="51" t="str">
        <f t="shared" si="1"/>
        <v/>
      </c>
      <c r="Z191" s="37"/>
    </row>
    <row r="192" spans="1:26" ht="14.25" customHeight="1" x14ac:dyDescent="0.3">
      <c r="A192" s="18">
        <v>47.3</v>
      </c>
      <c r="B192" s="19"/>
      <c r="C192" s="18" t="s">
        <v>55</v>
      </c>
      <c r="D192" s="19"/>
      <c r="E192" s="25"/>
      <c r="F192" s="19"/>
      <c r="G192" s="21">
        <v>0</v>
      </c>
      <c r="H192" s="21"/>
      <c r="I192" s="21"/>
      <c r="J192" s="21"/>
      <c r="K192" s="19"/>
      <c r="L192" s="19"/>
      <c r="M192" s="22">
        <v>1</v>
      </c>
      <c r="N192" s="19"/>
      <c r="O192" s="25"/>
      <c r="P192" s="23"/>
      <c r="Q192" s="21" t="s">
        <v>46</v>
      </c>
      <c r="R192" s="19" t="s">
        <v>47</v>
      </c>
      <c r="S192" s="21"/>
      <c r="T192" s="19"/>
      <c r="U192" s="21"/>
      <c r="V192" s="7"/>
      <c r="W192" s="7"/>
      <c r="X192" s="51" t="str">
        <f t="shared" si="0"/>
        <v/>
      </c>
      <c r="Y192" s="51" t="str">
        <f t="shared" si="1"/>
        <v/>
      </c>
      <c r="Z192" s="37"/>
    </row>
    <row r="193" spans="1:26" ht="14.25" customHeight="1" x14ac:dyDescent="0.3">
      <c r="A193" s="18">
        <v>47.4</v>
      </c>
      <c r="B193" s="19"/>
      <c r="C193" s="18" t="s">
        <v>55</v>
      </c>
      <c r="D193" s="19"/>
      <c r="E193" s="25"/>
      <c r="F193" s="19"/>
      <c r="G193" s="21">
        <v>0</v>
      </c>
      <c r="H193" s="21"/>
      <c r="I193" s="21"/>
      <c r="J193" s="21"/>
      <c r="K193" s="19"/>
      <c r="L193" s="19"/>
      <c r="M193" s="22">
        <v>1</v>
      </c>
      <c r="N193" s="19"/>
      <c r="O193" s="25"/>
      <c r="P193" s="23"/>
      <c r="Q193" s="21" t="s">
        <v>46</v>
      </c>
      <c r="R193" s="19" t="s">
        <v>47</v>
      </c>
      <c r="S193" s="21"/>
      <c r="T193" s="19"/>
      <c r="U193" s="21"/>
      <c r="V193" s="7"/>
      <c r="W193" s="7"/>
      <c r="X193" s="51" t="str">
        <f t="shared" si="0"/>
        <v/>
      </c>
      <c r="Y193" s="51" t="str">
        <f t="shared" si="1"/>
        <v/>
      </c>
      <c r="Z193" s="37"/>
    </row>
    <row r="194" spans="1:26" ht="14.25" customHeight="1" x14ac:dyDescent="0.3">
      <c r="A194" s="18">
        <v>48.1</v>
      </c>
      <c r="B194" s="19"/>
      <c r="C194" s="18" t="s">
        <v>55</v>
      </c>
      <c r="D194" s="19"/>
      <c r="E194" s="25"/>
      <c r="F194" s="19"/>
      <c r="G194" s="21">
        <v>0</v>
      </c>
      <c r="H194" s="21"/>
      <c r="I194" s="21"/>
      <c r="J194" s="21"/>
      <c r="K194" s="19"/>
      <c r="L194" s="19"/>
      <c r="M194" s="22">
        <v>1</v>
      </c>
      <c r="N194" s="19"/>
      <c r="O194" s="25"/>
      <c r="P194" s="23"/>
      <c r="Q194" s="21" t="s">
        <v>46</v>
      </c>
      <c r="R194" s="19" t="s">
        <v>47</v>
      </c>
      <c r="S194" s="21"/>
      <c r="T194" s="19"/>
      <c r="U194" s="21"/>
      <c r="V194" s="7"/>
      <c r="W194" s="7"/>
      <c r="X194" s="51" t="str">
        <f t="shared" si="0"/>
        <v/>
      </c>
      <c r="Y194" s="51" t="str">
        <f t="shared" si="1"/>
        <v/>
      </c>
      <c r="Z194" s="37"/>
    </row>
    <row r="195" spans="1:26" ht="14.25" customHeight="1" x14ac:dyDescent="0.3">
      <c r="A195" s="18">
        <v>48.2</v>
      </c>
      <c r="B195" s="19"/>
      <c r="C195" s="18" t="s">
        <v>55</v>
      </c>
      <c r="D195" s="19"/>
      <c r="E195" s="25"/>
      <c r="F195" s="19"/>
      <c r="G195" s="21">
        <v>0</v>
      </c>
      <c r="H195" s="21"/>
      <c r="I195" s="21"/>
      <c r="J195" s="21"/>
      <c r="K195" s="19"/>
      <c r="L195" s="19"/>
      <c r="M195" s="22">
        <v>1</v>
      </c>
      <c r="N195" s="19"/>
      <c r="O195" s="25"/>
      <c r="P195" s="23"/>
      <c r="Q195" s="21" t="s">
        <v>46</v>
      </c>
      <c r="R195" s="19" t="s">
        <v>47</v>
      </c>
      <c r="S195" s="21"/>
      <c r="T195" s="19"/>
      <c r="U195" s="21"/>
      <c r="V195" s="7"/>
      <c r="W195" s="7"/>
      <c r="X195" s="51" t="str">
        <f t="shared" si="0"/>
        <v/>
      </c>
      <c r="Y195" s="51" t="str">
        <f t="shared" si="1"/>
        <v/>
      </c>
      <c r="Z195" s="37"/>
    </row>
    <row r="196" spans="1:26" ht="14.25" customHeight="1" x14ac:dyDescent="0.3">
      <c r="A196" s="18">
        <v>48.3</v>
      </c>
      <c r="B196" s="19"/>
      <c r="C196" s="18" t="s">
        <v>55</v>
      </c>
      <c r="D196" s="19"/>
      <c r="E196" s="25"/>
      <c r="F196" s="19"/>
      <c r="G196" s="21">
        <v>0</v>
      </c>
      <c r="H196" s="21"/>
      <c r="I196" s="21"/>
      <c r="J196" s="21"/>
      <c r="K196" s="19"/>
      <c r="L196" s="19"/>
      <c r="M196" s="22">
        <v>1</v>
      </c>
      <c r="N196" s="19"/>
      <c r="O196" s="25"/>
      <c r="P196" s="23"/>
      <c r="Q196" s="21" t="s">
        <v>46</v>
      </c>
      <c r="R196" s="19" t="s">
        <v>47</v>
      </c>
      <c r="S196" s="21"/>
      <c r="T196" s="19"/>
      <c r="U196" s="21"/>
      <c r="V196" s="7"/>
      <c r="W196" s="7"/>
      <c r="X196" s="51" t="str">
        <f t="shared" si="0"/>
        <v/>
      </c>
      <c r="Y196" s="51" t="str">
        <f t="shared" si="1"/>
        <v/>
      </c>
      <c r="Z196" s="37"/>
    </row>
    <row r="197" spans="1:26" ht="14.25" customHeight="1" x14ac:dyDescent="0.3">
      <c r="A197" s="18">
        <v>48.4</v>
      </c>
      <c r="B197" s="19"/>
      <c r="C197" s="18" t="s">
        <v>55</v>
      </c>
      <c r="D197" s="19"/>
      <c r="E197" s="25"/>
      <c r="F197" s="19"/>
      <c r="G197" s="21">
        <v>0</v>
      </c>
      <c r="H197" s="21"/>
      <c r="I197" s="21"/>
      <c r="J197" s="21"/>
      <c r="K197" s="19"/>
      <c r="L197" s="19"/>
      <c r="M197" s="22">
        <v>1</v>
      </c>
      <c r="N197" s="19"/>
      <c r="O197" s="25"/>
      <c r="P197" s="23"/>
      <c r="Q197" s="21" t="s">
        <v>46</v>
      </c>
      <c r="R197" s="19" t="s">
        <v>47</v>
      </c>
      <c r="S197" s="21"/>
      <c r="T197" s="19"/>
      <c r="U197" s="21"/>
      <c r="V197" s="7"/>
      <c r="W197" s="7"/>
      <c r="X197" s="51" t="str">
        <f t="shared" si="0"/>
        <v/>
      </c>
      <c r="Y197" s="51" t="str">
        <f t="shared" si="1"/>
        <v/>
      </c>
      <c r="Z197" s="37"/>
    </row>
    <row r="198" spans="1:26" ht="14.25" customHeight="1" x14ac:dyDescent="0.3">
      <c r="A198" s="18">
        <v>49.1</v>
      </c>
      <c r="B198" s="19"/>
      <c r="C198" s="18" t="s">
        <v>55</v>
      </c>
      <c r="D198" s="19"/>
      <c r="E198" s="25"/>
      <c r="F198" s="19"/>
      <c r="G198" s="21">
        <v>0</v>
      </c>
      <c r="H198" s="21"/>
      <c r="I198" s="21"/>
      <c r="J198" s="21"/>
      <c r="K198" s="19"/>
      <c r="L198" s="19"/>
      <c r="M198" s="22">
        <v>1</v>
      </c>
      <c r="N198" s="19"/>
      <c r="O198" s="25"/>
      <c r="P198" s="23"/>
      <c r="Q198" s="21" t="s">
        <v>46</v>
      </c>
      <c r="R198" s="19" t="s">
        <v>47</v>
      </c>
      <c r="S198" s="21"/>
      <c r="T198" s="19"/>
      <c r="U198" s="21"/>
      <c r="V198" s="7"/>
      <c r="W198" s="7"/>
      <c r="X198" s="51" t="str">
        <f t="shared" si="0"/>
        <v/>
      </c>
      <c r="Y198" s="51" t="str">
        <f t="shared" si="1"/>
        <v/>
      </c>
      <c r="Z198" s="37"/>
    </row>
    <row r="199" spans="1:26" ht="14.25" customHeight="1" x14ac:dyDescent="0.3">
      <c r="A199" s="18">
        <v>49.2</v>
      </c>
      <c r="B199" s="19"/>
      <c r="C199" s="18" t="s">
        <v>55</v>
      </c>
      <c r="D199" s="19"/>
      <c r="E199" s="25"/>
      <c r="F199" s="19"/>
      <c r="G199" s="21">
        <v>0</v>
      </c>
      <c r="H199" s="21"/>
      <c r="I199" s="21"/>
      <c r="J199" s="21"/>
      <c r="K199" s="19"/>
      <c r="L199" s="19"/>
      <c r="M199" s="22">
        <v>1</v>
      </c>
      <c r="N199" s="19"/>
      <c r="O199" s="25"/>
      <c r="P199" s="23"/>
      <c r="Q199" s="21" t="s">
        <v>46</v>
      </c>
      <c r="R199" s="19" t="s">
        <v>47</v>
      </c>
      <c r="S199" s="21"/>
      <c r="T199" s="19"/>
      <c r="U199" s="21"/>
      <c r="V199" s="7"/>
      <c r="W199" s="7"/>
      <c r="X199" s="51" t="str">
        <f t="shared" si="0"/>
        <v/>
      </c>
      <c r="Y199" s="51" t="str">
        <f t="shared" si="1"/>
        <v/>
      </c>
      <c r="Z199" s="37"/>
    </row>
    <row r="200" spans="1:26" ht="14.25" customHeight="1" x14ac:dyDescent="0.3">
      <c r="A200" s="18">
        <v>49.3</v>
      </c>
      <c r="B200" s="19"/>
      <c r="C200" s="18" t="s">
        <v>55</v>
      </c>
      <c r="D200" s="19"/>
      <c r="E200" s="25"/>
      <c r="F200" s="19"/>
      <c r="G200" s="21">
        <v>0</v>
      </c>
      <c r="H200" s="21"/>
      <c r="I200" s="21"/>
      <c r="J200" s="21"/>
      <c r="K200" s="19"/>
      <c r="L200" s="19"/>
      <c r="M200" s="22">
        <v>1</v>
      </c>
      <c r="N200" s="19"/>
      <c r="O200" s="25"/>
      <c r="P200" s="23"/>
      <c r="Q200" s="21" t="s">
        <v>46</v>
      </c>
      <c r="R200" s="19" t="s">
        <v>47</v>
      </c>
      <c r="S200" s="21"/>
      <c r="T200" s="19"/>
      <c r="U200" s="21"/>
      <c r="V200" s="7"/>
      <c r="W200" s="7"/>
      <c r="X200" s="51" t="str">
        <f t="shared" si="0"/>
        <v/>
      </c>
      <c r="Y200" s="51" t="str">
        <f t="shared" si="1"/>
        <v/>
      </c>
      <c r="Z200" s="37"/>
    </row>
    <row r="201" spans="1:26" ht="14.25" customHeight="1" x14ac:dyDescent="0.3">
      <c r="A201" s="18">
        <v>49.4</v>
      </c>
      <c r="B201" s="19"/>
      <c r="C201" s="18" t="s">
        <v>55</v>
      </c>
      <c r="D201" s="19"/>
      <c r="E201" s="25"/>
      <c r="F201" s="19"/>
      <c r="G201" s="21">
        <v>0</v>
      </c>
      <c r="H201" s="21"/>
      <c r="I201" s="21"/>
      <c r="J201" s="21"/>
      <c r="K201" s="19"/>
      <c r="L201" s="19"/>
      <c r="M201" s="22">
        <v>1</v>
      </c>
      <c r="N201" s="19"/>
      <c r="O201" s="25"/>
      <c r="P201" s="23"/>
      <c r="Q201" s="21" t="s">
        <v>46</v>
      </c>
      <c r="R201" s="19" t="s">
        <v>47</v>
      </c>
      <c r="S201" s="21"/>
      <c r="T201" s="19"/>
      <c r="U201" s="21"/>
      <c r="V201" s="7"/>
      <c r="W201" s="7"/>
      <c r="X201" s="51" t="str">
        <f t="shared" si="0"/>
        <v/>
      </c>
      <c r="Y201" s="51" t="str">
        <f t="shared" si="1"/>
        <v/>
      </c>
      <c r="Z201" s="37"/>
    </row>
    <row r="202" spans="1:26" ht="14.25" customHeight="1" x14ac:dyDescent="0.3">
      <c r="A202" s="18">
        <v>50.1</v>
      </c>
      <c r="B202" s="19"/>
      <c r="C202" s="18" t="s">
        <v>55</v>
      </c>
      <c r="D202" s="19"/>
      <c r="E202" s="25"/>
      <c r="F202" s="19"/>
      <c r="G202" s="21">
        <v>0</v>
      </c>
      <c r="H202" s="21"/>
      <c r="I202" s="21"/>
      <c r="J202" s="21"/>
      <c r="K202" s="19"/>
      <c r="L202" s="19"/>
      <c r="M202" s="22">
        <v>1</v>
      </c>
      <c r="N202" s="19"/>
      <c r="O202" s="25"/>
      <c r="P202" s="23"/>
      <c r="Q202" s="21" t="s">
        <v>46</v>
      </c>
      <c r="R202" s="19" t="s">
        <v>47</v>
      </c>
      <c r="S202" s="21"/>
      <c r="T202" s="19"/>
      <c r="U202" s="21"/>
      <c r="V202" s="7"/>
      <c r="W202" s="7"/>
      <c r="X202" s="51" t="str">
        <f t="shared" si="0"/>
        <v/>
      </c>
      <c r="Y202" s="51" t="str">
        <f t="shared" si="1"/>
        <v/>
      </c>
      <c r="Z202" s="37"/>
    </row>
    <row r="203" spans="1:26" ht="14.25" customHeight="1" x14ac:dyDescent="0.3">
      <c r="A203" s="18">
        <v>50.2</v>
      </c>
      <c r="B203" s="19"/>
      <c r="C203" s="18" t="s">
        <v>55</v>
      </c>
      <c r="D203" s="19"/>
      <c r="E203" s="25"/>
      <c r="F203" s="19"/>
      <c r="G203" s="21">
        <v>0</v>
      </c>
      <c r="H203" s="21"/>
      <c r="I203" s="21"/>
      <c r="J203" s="21"/>
      <c r="K203" s="19"/>
      <c r="L203" s="19"/>
      <c r="M203" s="22">
        <v>1</v>
      </c>
      <c r="N203" s="19"/>
      <c r="O203" s="25"/>
      <c r="P203" s="23"/>
      <c r="Q203" s="21" t="s">
        <v>46</v>
      </c>
      <c r="R203" s="19" t="s">
        <v>47</v>
      </c>
      <c r="S203" s="21"/>
      <c r="T203" s="19"/>
      <c r="U203" s="21"/>
      <c r="V203" s="7"/>
      <c r="W203" s="7"/>
      <c r="X203" s="51" t="str">
        <f t="shared" si="0"/>
        <v/>
      </c>
      <c r="Y203" s="51" t="str">
        <f t="shared" si="1"/>
        <v/>
      </c>
      <c r="Z203" s="37"/>
    </row>
    <row r="204" spans="1:26" ht="14.25" customHeight="1" x14ac:dyDescent="0.3">
      <c r="A204" s="18">
        <v>50.3</v>
      </c>
      <c r="B204" s="19"/>
      <c r="C204" s="18" t="s">
        <v>55</v>
      </c>
      <c r="D204" s="19"/>
      <c r="E204" s="25"/>
      <c r="F204" s="19"/>
      <c r="G204" s="21">
        <v>0</v>
      </c>
      <c r="H204" s="21"/>
      <c r="I204" s="21"/>
      <c r="J204" s="21"/>
      <c r="K204" s="19"/>
      <c r="L204" s="19"/>
      <c r="M204" s="22">
        <v>1</v>
      </c>
      <c r="N204" s="19"/>
      <c r="O204" s="25"/>
      <c r="P204" s="23"/>
      <c r="Q204" s="21" t="s">
        <v>46</v>
      </c>
      <c r="R204" s="19" t="s">
        <v>47</v>
      </c>
      <c r="S204" s="21"/>
      <c r="T204" s="19"/>
      <c r="U204" s="21"/>
      <c r="V204" s="7"/>
      <c r="W204" s="7"/>
      <c r="X204" s="51" t="str">
        <f t="shared" si="0"/>
        <v/>
      </c>
      <c r="Y204" s="51" t="str">
        <f t="shared" si="1"/>
        <v/>
      </c>
      <c r="Z204" s="37"/>
    </row>
    <row r="205" spans="1:26" ht="14.25" customHeight="1" x14ac:dyDescent="0.3">
      <c r="A205" s="18">
        <v>50.4</v>
      </c>
      <c r="B205" s="19"/>
      <c r="C205" s="18" t="s">
        <v>55</v>
      </c>
      <c r="D205" s="19"/>
      <c r="E205" s="25"/>
      <c r="F205" s="19"/>
      <c r="G205" s="21">
        <v>0</v>
      </c>
      <c r="H205" s="21"/>
      <c r="I205" s="21"/>
      <c r="J205" s="21"/>
      <c r="K205" s="19"/>
      <c r="L205" s="19"/>
      <c r="M205" s="22">
        <v>1</v>
      </c>
      <c r="N205" s="19"/>
      <c r="O205" s="25"/>
      <c r="P205" s="23"/>
      <c r="Q205" s="21" t="s">
        <v>46</v>
      </c>
      <c r="R205" s="19" t="s">
        <v>47</v>
      </c>
      <c r="S205" s="21"/>
      <c r="T205" s="19"/>
      <c r="U205" s="21"/>
      <c r="V205" s="7"/>
      <c r="W205" s="7"/>
      <c r="X205" s="51" t="str">
        <f t="shared" si="0"/>
        <v/>
      </c>
      <c r="Y205" s="51" t="str">
        <f t="shared" si="1"/>
        <v/>
      </c>
      <c r="Z205" s="37"/>
    </row>
    <row r="206" spans="1:26" ht="14.25" customHeight="1" x14ac:dyDescent="0.3">
      <c r="A206" s="18">
        <v>51.1</v>
      </c>
      <c r="B206" s="19"/>
      <c r="C206" s="18" t="s">
        <v>55</v>
      </c>
      <c r="D206" s="19"/>
      <c r="E206" s="25"/>
      <c r="F206" s="19"/>
      <c r="G206" s="21">
        <v>0</v>
      </c>
      <c r="H206" s="21"/>
      <c r="I206" s="21"/>
      <c r="J206" s="21"/>
      <c r="K206" s="19"/>
      <c r="L206" s="19"/>
      <c r="M206" s="22">
        <v>1</v>
      </c>
      <c r="N206" s="19"/>
      <c r="O206" s="25"/>
      <c r="P206" s="23"/>
      <c r="Q206" s="21" t="s">
        <v>46</v>
      </c>
      <c r="R206" s="19" t="s">
        <v>47</v>
      </c>
      <c r="S206" s="21"/>
      <c r="T206" s="19"/>
      <c r="U206" s="21"/>
      <c r="V206" s="7"/>
      <c r="W206" s="7"/>
      <c r="X206" s="51" t="str">
        <f t="shared" si="0"/>
        <v/>
      </c>
      <c r="Y206" s="51" t="str">
        <f t="shared" si="1"/>
        <v/>
      </c>
      <c r="Z206" s="37"/>
    </row>
    <row r="207" spans="1:26" ht="14.25" customHeight="1" x14ac:dyDescent="0.3">
      <c r="A207" s="18">
        <v>51.2</v>
      </c>
      <c r="B207" s="19"/>
      <c r="C207" s="18" t="s">
        <v>55</v>
      </c>
      <c r="D207" s="19"/>
      <c r="E207" s="25"/>
      <c r="F207" s="19"/>
      <c r="G207" s="21">
        <v>0</v>
      </c>
      <c r="H207" s="21"/>
      <c r="I207" s="21"/>
      <c r="J207" s="21"/>
      <c r="K207" s="19"/>
      <c r="L207" s="19"/>
      <c r="M207" s="22">
        <v>1</v>
      </c>
      <c r="N207" s="19"/>
      <c r="O207" s="25"/>
      <c r="P207" s="23"/>
      <c r="Q207" s="21" t="s">
        <v>46</v>
      </c>
      <c r="R207" s="19" t="s">
        <v>47</v>
      </c>
      <c r="S207" s="21"/>
      <c r="T207" s="19"/>
      <c r="U207" s="21"/>
      <c r="V207" s="7"/>
      <c r="W207" s="7"/>
      <c r="X207" s="51" t="str">
        <f t="shared" si="0"/>
        <v/>
      </c>
      <c r="Y207" s="51" t="str">
        <f t="shared" si="1"/>
        <v/>
      </c>
      <c r="Z207" s="37"/>
    </row>
    <row r="208" spans="1:26" ht="14.25" customHeight="1" x14ac:dyDescent="0.3">
      <c r="A208" s="18">
        <v>51.3</v>
      </c>
      <c r="B208" s="19"/>
      <c r="C208" s="18" t="s">
        <v>55</v>
      </c>
      <c r="D208" s="19"/>
      <c r="E208" s="25"/>
      <c r="F208" s="19"/>
      <c r="G208" s="21">
        <v>0</v>
      </c>
      <c r="H208" s="21"/>
      <c r="I208" s="21"/>
      <c r="J208" s="21"/>
      <c r="K208" s="19"/>
      <c r="L208" s="19"/>
      <c r="M208" s="22">
        <v>1</v>
      </c>
      <c r="N208" s="19"/>
      <c r="O208" s="25"/>
      <c r="P208" s="23"/>
      <c r="Q208" s="21" t="s">
        <v>46</v>
      </c>
      <c r="R208" s="19" t="s">
        <v>47</v>
      </c>
      <c r="S208" s="21"/>
      <c r="T208" s="19"/>
      <c r="U208" s="21"/>
      <c r="V208" s="7"/>
      <c r="W208" s="7"/>
      <c r="X208" s="51" t="str">
        <f t="shared" si="0"/>
        <v/>
      </c>
      <c r="Y208" s="51" t="str">
        <f t="shared" si="1"/>
        <v/>
      </c>
      <c r="Z208" s="37"/>
    </row>
    <row r="209" spans="1:26" ht="14.25" customHeight="1" x14ac:dyDescent="0.3">
      <c r="A209" s="18">
        <v>51.4</v>
      </c>
      <c r="B209" s="19"/>
      <c r="C209" s="18" t="s">
        <v>55</v>
      </c>
      <c r="D209" s="19"/>
      <c r="E209" s="25"/>
      <c r="F209" s="19"/>
      <c r="G209" s="21">
        <v>0</v>
      </c>
      <c r="H209" s="21"/>
      <c r="I209" s="21"/>
      <c r="J209" s="21"/>
      <c r="K209" s="19"/>
      <c r="L209" s="19"/>
      <c r="M209" s="22">
        <v>1</v>
      </c>
      <c r="N209" s="19"/>
      <c r="O209" s="25"/>
      <c r="P209" s="23"/>
      <c r="Q209" s="21" t="s">
        <v>46</v>
      </c>
      <c r="R209" s="19" t="s">
        <v>47</v>
      </c>
      <c r="S209" s="21"/>
      <c r="T209" s="19"/>
      <c r="U209" s="21"/>
      <c r="V209" s="7"/>
      <c r="W209" s="7"/>
      <c r="X209" s="51" t="str">
        <f t="shared" si="0"/>
        <v/>
      </c>
      <c r="Y209" s="51" t="str">
        <f t="shared" si="1"/>
        <v/>
      </c>
      <c r="Z209" s="37"/>
    </row>
    <row r="210" spans="1:26" ht="14.25" customHeight="1" x14ac:dyDescent="0.3">
      <c r="A210" s="18">
        <v>52.1</v>
      </c>
      <c r="B210" s="19"/>
      <c r="C210" s="18" t="s">
        <v>55</v>
      </c>
      <c r="D210" s="19"/>
      <c r="E210" s="25"/>
      <c r="F210" s="19"/>
      <c r="G210" s="21">
        <v>0</v>
      </c>
      <c r="H210" s="21"/>
      <c r="I210" s="21"/>
      <c r="J210" s="21"/>
      <c r="K210" s="19"/>
      <c r="L210" s="19"/>
      <c r="M210" s="22">
        <v>1</v>
      </c>
      <c r="N210" s="19"/>
      <c r="O210" s="25"/>
      <c r="P210" s="23"/>
      <c r="Q210" s="21" t="s">
        <v>46</v>
      </c>
      <c r="R210" s="19" t="s">
        <v>47</v>
      </c>
      <c r="S210" s="21"/>
      <c r="T210" s="19"/>
      <c r="U210" s="21"/>
      <c r="V210" s="7"/>
      <c r="W210" s="7"/>
      <c r="X210" s="51" t="str">
        <f t="shared" si="0"/>
        <v/>
      </c>
      <c r="Y210" s="51" t="str">
        <f t="shared" si="1"/>
        <v/>
      </c>
      <c r="Z210" s="37"/>
    </row>
    <row r="211" spans="1:26" ht="14.25" customHeight="1" x14ac:dyDescent="0.3">
      <c r="A211" s="18">
        <v>52.2</v>
      </c>
      <c r="B211" s="19"/>
      <c r="C211" s="18" t="s">
        <v>55</v>
      </c>
      <c r="D211" s="19"/>
      <c r="E211" s="25"/>
      <c r="F211" s="19"/>
      <c r="G211" s="21">
        <v>0</v>
      </c>
      <c r="H211" s="21"/>
      <c r="I211" s="21"/>
      <c r="J211" s="21"/>
      <c r="K211" s="19"/>
      <c r="L211" s="19"/>
      <c r="M211" s="22">
        <v>1</v>
      </c>
      <c r="N211" s="19"/>
      <c r="O211" s="25"/>
      <c r="P211" s="23"/>
      <c r="Q211" s="21" t="s">
        <v>46</v>
      </c>
      <c r="R211" s="19" t="s">
        <v>47</v>
      </c>
      <c r="S211" s="21"/>
      <c r="T211" s="19"/>
      <c r="U211" s="21"/>
      <c r="V211" s="7"/>
      <c r="W211" s="7"/>
      <c r="X211" s="51" t="str">
        <f t="shared" si="0"/>
        <v/>
      </c>
      <c r="Y211" s="51" t="str">
        <f t="shared" si="1"/>
        <v/>
      </c>
      <c r="Z211" s="37"/>
    </row>
    <row r="212" spans="1:26" ht="14.25" customHeight="1" x14ac:dyDescent="0.3">
      <c r="A212" s="18">
        <v>52.3</v>
      </c>
      <c r="B212" s="19"/>
      <c r="C212" s="18" t="s">
        <v>55</v>
      </c>
      <c r="D212" s="19"/>
      <c r="E212" s="25"/>
      <c r="F212" s="19"/>
      <c r="G212" s="21">
        <v>0</v>
      </c>
      <c r="H212" s="21"/>
      <c r="I212" s="21"/>
      <c r="J212" s="21"/>
      <c r="K212" s="19"/>
      <c r="L212" s="19"/>
      <c r="M212" s="22">
        <v>1</v>
      </c>
      <c r="N212" s="19"/>
      <c r="O212" s="25"/>
      <c r="P212" s="23"/>
      <c r="Q212" s="21" t="s">
        <v>46</v>
      </c>
      <c r="R212" s="19" t="s">
        <v>47</v>
      </c>
      <c r="S212" s="21"/>
      <c r="T212" s="19"/>
      <c r="U212" s="21"/>
      <c r="V212" s="7"/>
      <c r="W212" s="7"/>
      <c r="X212" s="51" t="str">
        <f t="shared" si="0"/>
        <v/>
      </c>
      <c r="Y212" s="51" t="str">
        <f t="shared" si="1"/>
        <v/>
      </c>
      <c r="Z212" s="37"/>
    </row>
    <row r="213" spans="1:26" ht="14.25" customHeight="1" x14ac:dyDescent="0.3">
      <c r="A213" s="18">
        <v>52.4</v>
      </c>
      <c r="B213" s="19"/>
      <c r="C213" s="18" t="s">
        <v>55</v>
      </c>
      <c r="D213" s="19"/>
      <c r="E213" s="25"/>
      <c r="F213" s="19"/>
      <c r="G213" s="21">
        <v>0</v>
      </c>
      <c r="H213" s="21"/>
      <c r="I213" s="21"/>
      <c r="J213" s="21"/>
      <c r="K213" s="19"/>
      <c r="L213" s="19"/>
      <c r="M213" s="22">
        <v>1</v>
      </c>
      <c r="N213" s="19"/>
      <c r="O213" s="25"/>
      <c r="P213" s="23"/>
      <c r="Q213" s="21" t="s">
        <v>46</v>
      </c>
      <c r="R213" s="19" t="s">
        <v>47</v>
      </c>
      <c r="S213" s="21"/>
      <c r="T213" s="19"/>
      <c r="U213" s="21"/>
      <c r="V213" s="7"/>
      <c r="W213" s="7"/>
      <c r="X213" s="51" t="str">
        <f t="shared" si="0"/>
        <v/>
      </c>
      <c r="Y213" s="51" t="str">
        <f t="shared" si="1"/>
        <v/>
      </c>
      <c r="Z213" s="37"/>
    </row>
    <row r="214" spans="1:26" ht="14.25" customHeight="1" x14ac:dyDescent="0.3">
      <c r="A214" s="18">
        <v>53.1</v>
      </c>
      <c r="B214" s="19"/>
      <c r="C214" s="18" t="s">
        <v>55</v>
      </c>
      <c r="D214" s="19"/>
      <c r="E214" s="25"/>
      <c r="F214" s="19"/>
      <c r="G214" s="21">
        <v>0</v>
      </c>
      <c r="H214" s="21"/>
      <c r="I214" s="21"/>
      <c r="J214" s="21"/>
      <c r="K214" s="19"/>
      <c r="L214" s="19"/>
      <c r="M214" s="22">
        <v>1</v>
      </c>
      <c r="N214" s="19"/>
      <c r="O214" s="25"/>
      <c r="P214" s="23"/>
      <c r="Q214" s="21" t="s">
        <v>46</v>
      </c>
      <c r="R214" s="19" t="s">
        <v>47</v>
      </c>
      <c r="S214" s="21"/>
      <c r="T214" s="19"/>
      <c r="U214" s="21"/>
      <c r="V214" s="7"/>
      <c r="W214" s="7"/>
      <c r="X214" s="51" t="str">
        <f t="shared" si="0"/>
        <v/>
      </c>
      <c r="Y214" s="51" t="str">
        <f t="shared" si="1"/>
        <v/>
      </c>
      <c r="Z214" s="37"/>
    </row>
    <row r="215" spans="1:26" ht="14.25" customHeight="1" x14ac:dyDescent="0.3">
      <c r="A215" s="18">
        <v>53.2</v>
      </c>
      <c r="B215" s="19"/>
      <c r="C215" s="18" t="s">
        <v>55</v>
      </c>
      <c r="D215" s="19"/>
      <c r="E215" s="25"/>
      <c r="F215" s="19"/>
      <c r="G215" s="21">
        <v>0</v>
      </c>
      <c r="H215" s="21"/>
      <c r="I215" s="21"/>
      <c r="J215" s="21"/>
      <c r="K215" s="19"/>
      <c r="L215" s="19"/>
      <c r="M215" s="22">
        <v>1</v>
      </c>
      <c r="N215" s="19"/>
      <c r="O215" s="25"/>
      <c r="P215" s="23"/>
      <c r="Q215" s="21" t="s">
        <v>46</v>
      </c>
      <c r="R215" s="19" t="s">
        <v>47</v>
      </c>
      <c r="S215" s="21"/>
      <c r="T215" s="19"/>
      <c r="U215" s="21"/>
      <c r="V215" s="7"/>
      <c r="W215" s="7"/>
      <c r="X215" s="51" t="str">
        <f t="shared" si="0"/>
        <v/>
      </c>
      <c r="Y215" s="51" t="str">
        <f t="shared" si="1"/>
        <v/>
      </c>
      <c r="Z215" s="37"/>
    </row>
    <row r="216" spans="1:26" ht="14.25" customHeight="1" x14ac:dyDescent="0.3">
      <c r="A216" s="18">
        <v>53.3</v>
      </c>
      <c r="B216" s="19"/>
      <c r="C216" s="18" t="s">
        <v>55</v>
      </c>
      <c r="D216" s="19"/>
      <c r="E216" s="25"/>
      <c r="F216" s="19"/>
      <c r="G216" s="21">
        <v>0</v>
      </c>
      <c r="H216" s="21"/>
      <c r="I216" s="21"/>
      <c r="J216" s="21"/>
      <c r="K216" s="19"/>
      <c r="L216" s="19"/>
      <c r="M216" s="22">
        <v>1</v>
      </c>
      <c r="N216" s="19"/>
      <c r="O216" s="25"/>
      <c r="P216" s="23"/>
      <c r="Q216" s="21" t="s">
        <v>46</v>
      </c>
      <c r="R216" s="19" t="s">
        <v>47</v>
      </c>
      <c r="S216" s="21"/>
      <c r="T216" s="19"/>
      <c r="U216" s="21"/>
      <c r="V216" s="7"/>
      <c r="W216" s="7"/>
      <c r="X216" s="51" t="str">
        <f t="shared" si="0"/>
        <v/>
      </c>
      <c r="Y216" s="51" t="str">
        <f t="shared" si="1"/>
        <v/>
      </c>
      <c r="Z216" s="37"/>
    </row>
    <row r="217" spans="1:26" ht="14.25" customHeight="1" x14ac:dyDescent="0.3">
      <c r="A217" s="18">
        <v>53.4</v>
      </c>
      <c r="B217" s="19"/>
      <c r="C217" s="18" t="s">
        <v>55</v>
      </c>
      <c r="D217" s="19"/>
      <c r="E217" s="25"/>
      <c r="F217" s="19"/>
      <c r="G217" s="21">
        <v>0</v>
      </c>
      <c r="H217" s="21"/>
      <c r="I217" s="21"/>
      <c r="J217" s="21"/>
      <c r="K217" s="19"/>
      <c r="L217" s="19"/>
      <c r="M217" s="22">
        <v>1</v>
      </c>
      <c r="N217" s="19"/>
      <c r="O217" s="25"/>
      <c r="P217" s="23"/>
      <c r="Q217" s="21" t="s">
        <v>46</v>
      </c>
      <c r="R217" s="19" t="s">
        <v>47</v>
      </c>
      <c r="S217" s="21"/>
      <c r="T217" s="19"/>
      <c r="U217" s="21"/>
      <c r="V217" s="7"/>
      <c r="W217" s="7"/>
      <c r="X217" s="51" t="str">
        <f t="shared" si="0"/>
        <v/>
      </c>
      <c r="Y217" s="51" t="str">
        <f t="shared" si="1"/>
        <v/>
      </c>
      <c r="Z217" s="37"/>
    </row>
    <row r="218" spans="1:26" ht="14.25" customHeight="1" x14ac:dyDescent="0.3">
      <c r="A218" s="18">
        <v>54.1</v>
      </c>
      <c r="B218" s="19"/>
      <c r="C218" s="18" t="s">
        <v>55</v>
      </c>
      <c r="D218" s="19"/>
      <c r="E218" s="25"/>
      <c r="F218" s="19"/>
      <c r="G218" s="21">
        <v>0</v>
      </c>
      <c r="H218" s="21"/>
      <c r="I218" s="21"/>
      <c r="J218" s="21"/>
      <c r="K218" s="19"/>
      <c r="L218" s="19"/>
      <c r="M218" s="22">
        <v>1</v>
      </c>
      <c r="N218" s="19"/>
      <c r="O218" s="25"/>
      <c r="P218" s="23"/>
      <c r="Q218" s="21" t="s">
        <v>46</v>
      </c>
      <c r="R218" s="19" t="s">
        <v>47</v>
      </c>
      <c r="S218" s="21"/>
      <c r="T218" s="19"/>
      <c r="U218" s="21"/>
      <c r="V218" s="7"/>
      <c r="W218" s="7"/>
      <c r="X218" s="51" t="str">
        <f t="shared" si="0"/>
        <v/>
      </c>
      <c r="Y218" s="51" t="str">
        <f t="shared" si="1"/>
        <v/>
      </c>
      <c r="Z218" s="37"/>
    </row>
    <row r="219" spans="1:26" ht="14.25" customHeight="1" x14ac:dyDescent="0.3">
      <c r="A219" s="18">
        <v>54.2</v>
      </c>
      <c r="B219" s="19"/>
      <c r="C219" s="18" t="s">
        <v>55</v>
      </c>
      <c r="D219" s="19"/>
      <c r="E219" s="25"/>
      <c r="F219" s="19"/>
      <c r="G219" s="21">
        <v>0</v>
      </c>
      <c r="H219" s="21"/>
      <c r="I219" s="21"/>
      <c r="J219" s="21"/>
      <c r="K219" s="19"/>
      <c r="L219" s="19"/>
      <c r="M219" s="22">
        <v>1</v>
      </c>
      <c r="N219" s="19"/>
      <c r="O219" s="25"/>
      <c r="P219" s="23"/>
      <c r="Q219" s="21" t="s">
        <v>46</v>
      </c>
      <c r="R219" s="19" t="s">
        <v>47</v>
      </c>
      <c r="S219" s="21"/>
      <c r="T219" s="19"/>
      <c r="U219" s="21"/>
      <c r="V219" s="7"/>
      <c r="W219" s="7"/>
      <c r="X219" s="51" t="str">
        <f t="shared" si="0"/>
        <v/>
      </c>
      <c r="Y219" s="51" t="str">
        <f t="shared" si="1"/>
        <v/>
      </c>
      <c r="Z219" s="37"/>
    </row>
    <row r="220" spans="1:26" ht="14.25" customHeight="1" x14ac:dyDescent="0.3">
      <c r="A220" s="18">
        <v>54.3</v>
      </c>
      <c r="B220" s="19"/>
      <c r="C220" s="18" t="s">
        <v>55</v>
      </c>
      <c r="D220" s="19"/>
      <c r="E220" s="25"/>
      <c r="F220" s="19"/>
      <c r="G220" s="21">
        <v>0</v>
      </c>
      <c r="H220" s="21"/>
      <c r="I220" s="21"/>
      <c r="J220" s="21"/>
      <c r="K220" s="19"/>
      <c r="L220" s="19"/>
      <c r="M220" s="22">
        <v>1</v>
      </c>
      <c r="N220" s="19"/>
      <c r="O220" s="25"/>
      <c r="P220" s="23"/>
      <c r="Q220" s="21" t="s">
        <v>46</v>
      </c>
      <c r="R220" s="19" t="s">
        <v>47</v>
      </c>
      <c r="S220" s="21"/>
      <c r="T220" s="19"/>
      <c r="U220" s="21"/>
      <c r="V220" s="7"/>
      <c r="W220" s="7"/>
      <c r="X220" s="51" t="str">
        <f t="shared" si="0"/>
        <v/>
      </c>
      <c r="Y220" s="51" t="str">
        <f t="shared" si="1"/>
        <v/>
      </c>
      <c r="Z220" s="37"/>
    </row>
    <row r="221" spans="1:26" ht="14.25" customHeight="1" x14ac:dyDescent="0.3">
      <c r="A221" s="18">
        <v>54.4</v>
      </c>
      <c r="B221" s="19"/>
      <c r="C221" s="18" t="s">
        <v>55</v>
      </c>
      <c r="D221" s="19"/>
      <c r="E221" s="25"/>
      <c r="F221" s="19"/>
      <c r="G221" s="21">
        <v>0</v>
      </c>
      <c r="H221" s="21"/>
      <c r="I221" s="21"/>
      <c r="J221" s="21"/>
      <c r="K221" s="19"/>
      <c r="L221" s="19"/>
      <c r="M221" s="22">
        <v>1</v>
      </c>
      <c r="N221" s="19"/>
      <c r="O221" s="25"/>
      <c r="P221" s="23"/>
      <c r="Q221" s="21" t="s">
        <v>46</v>
      </c>
      <c r="R221" s="19" t="s">
        <v>47</v>
      </c>
      <c r="S221" s="21"/>
      <c r="T221" s="19"/>
      <c r="U221" s="21"/>
      <c r="V221" s="7"/>
      <c r="W221" s="7"/>
      <c r="X221" s="51" t="str">
        <f t="shared" si="0"/>
        <v/>
      </c>
      <c r="Y221" s="51" t="str">
        <f t="shared" si="1"/>
        <v/>
      </c>
      <c r="Z221" s="37"/>
    </row>
    <row r="222" spans="1:26" ht="14.25" customHeight="1" x14ac:dyDescent="0.3">
      <c r="A222" s="18">
        <v>55.1</v>
      </c>
      <c r="B222" s="19"/>
      <c r="C222" s="18" t="s">
        <v>55</v>
      </c>
      <c r="D222" s="19"/>
      <c r="E222" s="25"/>
      <c r="F222" s="19"/>
      <c r="G222" s="21">
        <v>0</v>
      </c>
      <c r="H222" s="21"/>
      <c r="I222" s="21"/>
      <c r="J222" s="21"/>
      <c r="K222" s="19"/>
      <c r="L222" s="19"/>
      <c r="M222" s="22">
        <v>1</v>
      </c>
      <c r="N222" s="19"/>
      <c r="O222" s="25"/>
      <c r="P222" s="23"/>
      <c r="Q222" s="21" t="s">
        <v>46</v>
      </c>
      <c r="R222" s="19" t="s">
        <v>47</v>
      </c>
      <c r="S222" s="21"/>
      <c r="T222" s="19"/>
      <c r="U222" s="21"/>
      <c r="V222" s="7"/>
      <c r="W222" s="7"/>
      <c r="X222" s="51" t="str">
        <f t="shared" si="0"/>
        <v/>
      </c>
      <c r="Y222" s="51" t="str">
        <f t="shared" si="1"/>
        <v/>
      </c>
      <c r="Z222" s="37"/>
    </row>
    <row r="223" spans="1:26" ht="14.25" customHeight="1" x14ac:dyDescent="0.3">
      <c r="A223" s="18">
        <v>55.2</v>
      </c>
      <c r="B223" s="19"/>
      <c r="C223" s="18" t="s">
        <v>55</v>
      </c>
      <c r="D223" s="19"/>
      <c r="E223" s="25"/>
      <c r="F223" s="19"/>
      <c r="G223" s="21">
        <v>0</v>
      </c>
      <c r="H223" s="21"/>
      <c r="I223" s="21"/>
      <c r="J223" s="21"/>
      <c r="K223" s="19"/>
      <c r="L223" s="19"/>
      <c r="M223" s="22">
        <v>1</v>
      </c>
      <c r="N223" s="19"/>
      <c r="O223" s="25"/>
      <c r="P223" s="23"/>
      <c r="Q223" s="21" t="s">
        <v>46</v>
      </c>
      <c r="R223" s="19" t="s">
        <v>47</v>
      </c>
      <c r="S223" s="21"/>
      <c r="T223" s="19"/>
      <c r="U223" s="21"/>
      <c r="V223" s="7"/>
      <c r="W223" s="7"/>
      <c r="X223" s="51" t="str">
        <f t="shared" si="0"/>
        <v/>
      </c>
      <c r="Y223" s="51" t="str">
        <f t="shared" si="1"/>
        <v/>
      </c>
      <c r="Z223" s="37"/>
    </row>
    <row r="224" spans="1:26" ht="14.25" customHeight="1" x14ac:dyDescent="0.3">
      <c r="A224" s="18">
        <v>55.3</v>
      </c>
      <c r="B224" s="19"/>
      <c r="C224" s="18" t="s">
        <v>55</v>
      </c>
      <c r="D224" s="19"/>
      <c r="E224" s="25"/>
      <c r="F224" s="19"/>
      <c r="G224" s="21">
        <v>0</v>
      </c>
      <c r="H224" s="21"/>
      <c r="I224" s="21"/>
      <c r="J224" s="21"/>
      <c r="K224" s="19"/>
      <c r="L224" s="19"/>
      <c r="M224" s="22">
        <v>1</v>
      </c>
      <c r="N224" s="19"/>
      <c r="O224" s="25"/>
      <c r="P224" s="23"/>
      <c r="Q224" s="21" t="s">
        <v>46</v>
      </c>
      <c r="R224" s="19" t="s">
        <v>47</v>
      </c>
      <c r="S224" s="21"/>
      <c r="T224" s="19"/>
      <c r="U224" s="21"/>
      <c r="V224" s="7"/>
      <c r="W224" s="7"/>
      <c r="X224" s="51" t="str">
        <f t="shared" si="0"/>
        <v/>
      </c>
      <c r="Y224" s="51" t="str">
        <f t="shared" si="1"/>
        <v/>
      </c>
      <c r="Z224" s="37"/>
    </row>
    <row r="225" spans="1:26" ht="14.25" customHeight="1" x14ac:dyDescent="0.3">
      <c r="A225" s="18">
        <v>55.4</v>
      </c>
      <c r="B225" s="19"/>
      <c r="C225" s="18" t="s">
        <v>55</v>
      </c>
      <c r="D225" s="19"/>
      <c r="E225" s="25"/>
      <c r="F225" s="19"/>
      <c r="G225" s="21">
        <v>0</v>
      </c>
      <c r="H225" s="21"/>
      <c r="I225" s="21"/>
      <c r="J225" s="21"/>
      <c r="K225" s="19"/>
      <c r="L225" s="19"/>
      <c r="M225" s="22">
        <v>1</v>
      </c>
      <c r="N225" s="19"/>
      <c r="O225" s="25"/>
      <c r="P225" s="23"/>
      <c r="Q225" s="21" t="s">
        <v>46</v>
      </c>
      <c r="R225" s="19" t="s">
        <v>47</v>
      </c>
      <c r="S225" s="21"/>
      <c r="T225" s="19"/>
      <c r="U225" s="21"/>
      <c r="V225" s="7"/>
      <c r="W225" s="7"/>
      <c r="X225" s="51" t="str">
        <f t="shared" si="0"/>
        <v/>
      </c>
      <c r="Y225" s="51" t="str">
        <f t="shared" si="1"/>
        <v/>
      </c>
      <c r="Z225" s="37"/>
    </row>
    <row r="226" spans="1:26" ht="14.25" customHeight="1" x14ac:dyDescent="0.3">
      <c r="A226" s="18">
        <v>56.1</v>
      </c>
      <c r="B226" s="19"/>
      <c r="C226" s="18" t="s">
        <v>55</v>
      </c>
      <c r="D226" s="19"/>
      <c r="E226" s="25"/>
      <c r="F226" s="19"/>
      <c r="G226" s="21">
        <v>0</v>
      </c>
      <c r="H226" s="21"/>
      <c r="I226" s="21"/>
      <c r="J226" s="21"/>
      <c r="K226" s="19"/>
      <c r="L226" s="19"/>
      <c r="M226" s="22">
        <v>1</v>
      </c>
      <c r="N226" s="19"/>
      <c r="O226" s="25"/>
      <c r="P226" s="23"/>
      <c r="Q226" s="21" t="s">
        <v>46</v>
      </c>
      <c r="R226" s="19" t="s">
        <v>47</v>
      </c>
      <c r="S226" s="21"/>
      <c r="T226" s="19"/>
      <c r="U226" s="21"/>
      <c r="V226" s="7"/>
      <c r="W226" s="7"/>
      <c r="X226" s="51" t="str">
        <f t="shared" si="0"/>
        <v/>
      </c>
      <c r="Y226" s="51" t="str">
        <f t="shared" si="1"/>
        <v/>
      </c>
      <c r="Z226" s="37"/>
    </row>
    <row r="227" spans="1:26" ht="14.25" customHeight="1" x14ac:dyDescent="0.3">
      <c r="A227" s="18">
        <v>56.2</v>
      </c>
      <c r="B227" s="19"/>
      <c r="C227" s="18" t="s">
        <v>55</v>
      </c>
      <c r="D227" s="19"/>
      <c r="E227" s="25"/>
      <c r="F227" s="19"/>
      <c r="G227" s="21">
        <v>0</v>
      </c>
      <c r="H227" s="21"/>
      <c r="I227" s="21"/>
      <c r="J227" s="21"/>
      <c r="K227" s="19"/>
      <c r="L227" s="19"/>
      <c r="M227" s="22">
        <v>1</v>
      </c>
      <c r="N227" s="19"/>
      <c r="O227" s="25"/>
      <c r="P227" s="23"/>
      <c r="Q227" s="21" t="s">
        <v>46</v>
      </c>
      <c r="R227" s="19" t="s">
        <v>47</v>
      </c>
      <c r="S227" s="21"/>
      <c r="T227" s="19"/>
      <c r="U227" s="21"/>
      <c r="V227" s="7"/>
      <c r="W227" s="7"/>
      <c r="X227" s="51" t="str">
        <f t="shared" si="0"/>
        <v/>
      </c>
      <c r="Y227" s="51" t="str">
        <f t="shared" si="1"/>
        <v/>
      </c>
      <c r="Z227" s="37"/>
    </row>
    <row r="228" spans="1:26" ht="14.25" customHeight="1" x14ac:dyDescent="0.3">
      <c r="A228" s="18">
        <v>56.3</v>
      </c>
      <c r="B228" s="19"/>
      <c r="C228" s="18" t="s">
        <v>55</v>
      </c>
      <c r="D228" s="19"/>
      <c r="E228" s="25"/>
      <c r="F228" s="19"/>
      <c r="G228" s="21">
        <v>0</v>
      </c>
      <c r="H228" s="21"/>
      <c r="I228" s="21"/>
      <c r="J228" s="21"/>
      <c r="K228" s="19"/>
      <c r="L228" s="19"/>
      <c r="M228" s="22">
        <v>1</v>
      </c>
      <c r="N228" s="19"/>
      <c r="O228" s="25"/>
      <c r="P228" s="23"/>
      <c r="Q228" s="21" t="s">
        <v>46</v>
      </c>
      <c r="R228" s="19" t="s">
        <v>47</v>
      </c>
      <c r="S228" s="21"/>
      <c r="T228" s="19"/>
      <c r="U228" s="21"/>
      <c r="V228" s="7"/>
      <c r="W228" s="7"/>
      <c r="X228" s="51" t="str">
        <f t="shared" si="0"/>
        <v/>
      </c>
      <c r="Y228" s="51" t="str">
        <f t="shared" si="1"/>
        <v/>
      </c>
      <c r="Z228" s="37"/>
    </row>
    <row r="229" spans="1:26" ht="14.25" customHeight="1" x14ac:dyDescent="0.3">
      <c r="A229" s="18">
        <v>56.4</v>
      </c>
      <c r="B229" s="19"/>
      <c r="C229" s="18" t="s">
        <v>55</v>
      </c>
      <c r="D229" s="19"/>
      <c r="E229" s="25"/>
      <c r="F229" s="19"/>
      <c r="G229" s="21">
        <v>0</v>
      </c>
      <c r="H229" s="21"/>
      <c r="I229" s="21"/>
      <c r="J229" s="21"/>
      <c r="K229" s="19"/>
      <c r="L229" s="19"/>
      <c r="M229" s="22">
        <v>1</v>
      </c>
      <c r="N229" s="19"/>
      <c r="O229" s="25"/>
      <c r="P229" s="23"/>
      <c r="Q229" s="21" t="s">
        <v>46</v>
      </c>
      <c r="R229" s="19" t="s">
        <v>47</v>
      </c>
      <c r="S229" s="21"/>
      <c r="T229" s="19"/>
      <c r="U229" s="21"/>
      <c r="V229" s="7"/>
      <c r="W229" s="7"/>
      <c r="X229" s="51" t="str">
        <f t="shared" si="0"/>
        <v/>
      </c>
      <c r="Y229" s="51" t="str">
        <f t="shared" si="1"/>
        <v/>
      </c>
      <c r="Z229" s="37"/>
    </row>
    <row r="230" spans="1:26" ht="14.25" customHeight="1" x14ac:dyDescent="0.3">
      <c r="A230" s="18">
        <v>57.1</v>
      </c>
      <c r="B230" s="19"/>
      <c r="C230" s="18" t="s">
        <v>55</v>
      </c>
      <c r="D230" s="19"/>
      <c r="E230" s="25"/>
      <c r="F230" s="19"/>
      <c r="G230" s="21">
        <v>0</v>
      </c>
      <c r="H230" s="21"/>
      <c r="I230" s="21"/>
      <c r="J230" s="21"/>
      <c r="K230" s="19"/>
      <c r="L230" s="19"/>
      <c r="M230" s="22">
        <v>1</v>
      </c>
      <c r="N230" s="19"/>
      <c r="O230" s="25"/>
      <c r="P230" s="23"/>
      <c r="Q230" s="21" t="s">
        <v>46</v>
      </c>
      <c r="R230" s="19" t="s">
        <v>47</v>
      </c>
      <c r="S230" s="21"/>
      <c r="T230" s="19"/>
      <c r="U230" s="21"/>
      <c r="V230" s="7"/>
      <c r="W230" s="7"/>
      <c r="X230" s="51" t="str">
        <f t="shared" si="0"/>
        <v/>
      </c>
      <c r="Y230" s="51" t="str">
        <f t="shared" si="1"/>
        <v/>
      </c>
      <c r="Z230" s="37"/>
    </row>
    <row r="231" spans="1:26" ht="14.25" customHeight="1" x14ac:dyDescent="0.3">
      <c r="A231" s="18">
        <v>57.2</v>
      </c>
      <c r="B231" s="19"/>
      <c r="C231" s="18" t="s">
        <v>55</v>
      </c>
      <c r="D231" s="19"/>
      <c r="E231" s="25"/>
      <c r="F231" s="19"/>
      <c r="G231" s="21">
        <v>0</v>
      </c>
      <c r="H231" s="21"/>
      <c r="I231" s="21"/>
      <c r="J231" s="21"/>
      <c r="K231" s="19"/>
      <c r="L231" s="19"/>
      <c r="M231" s="22">
        <v>1</v>
      </c>
      <c r="N231" s="19"/>
      <c r="O231" s="25"/>
      <c r="P231" s="23"/>
      <c r="Q231" s="21" t="s">
        <v>46</v>
      </c>
      <c r="R231" s="19" t="s">
        <v>47</v>
      </c>
      <c r="S231" s="21"/>
      <c r="T231" s="19"/>
      <c r="U231" s="21"/>
      <c r="V231" s="7"/>
      <c r="W231" s="7"/>
      <c r="X231" s="51" t="str">
        <f t="shared" si="0"/>
        <v/>
      </c>
      <c r="Y231" s="51" t="str">
        <f t="shared" si="1"/>
        <v/>
      </c>
      <c r="Z231" s="37"/>
    </row>
    <row r="232" spans="1:26" ht="14.25" customHeight="1" x14ac:dyDescent="0.3">
      <c r="A232" s="18">
        <v>57.3</v>
      </c>
      <c r="B232" s="19"/>
      <c r="C232" s="18" t="s">
        <v>55</v>
      </c>
      <c r="D232" s="19"/>
      <c r="E232" s="25"/>
      <c r="F232" s="19"/>
      <c r="G232" s="21">
        <v>0</v>
      </c>
      <c r="H232" s="21"/>
      <c r="I232" s="21"/>
      <c r="J232" s="21"/>
      <c r="K232" s="19"/>
      <c r="L232" s="19"/>
      <c r="M232" s="22">
        <v>1</v>
      </c>
      <c r="N232" s="19"/>
      <c r="O232" s="25"/>
      <c r="P232" s="23"/>
      <c r="Q232" s="21" t="s">
        <v>46</v>
      </c>
      <c r="R232" s="19" t="s">
        <v>47</v>
      </c>
      <c r="S232" s="21"/>
      <c r="T232" s="19"/>
      <c r="U232" s="21"/>
      <c r="V232" s="7"/>
      <c r="W232" s="7"/>
      <c r="X232" s="51" t="str">
        <f t="shared" si="0"/>
        <v/>
      </c>
      <c r="Y232" s="51" t="str">
        <f t="shared" si="1"/>
        <v/>
      </c>
      <c r="Z232" s="37"/>
    </row>
    <row r="233" spans="1:26" ht="14.25" customHeight="1" x14ac:dyDescent="0.3">
      <c r="A233" s="18">
        <v>57.4</v>
      </c>
      <c r="B233" s="19"/>
      <c r="C233" s="18" t="s">
        <v>55</v>
      </c>
      <c r="D233" s="19"/>
      <c r="E233" s="25"/>
      <c r="F233" s="19"/>
      <c r="G233" s="21">
        <v>0</v>
      </c>
      <c r="H233" s="21"/>
      <c r="I233" s="21"/>
      <c r="J233" s="21"/>
      <c r="K233" s="19"/>
      <c r="L233" s="19"/>
      <c r="M233" s="22">
        <v>1</v>
      </c>
      <c r="N233" s="19"/>
      <c r="O233" s="25"/>
      <c r="P233" s="23"/>
      <c r="Q233" s="21" t="s">
        <v>46</v>
      </c>
      <c r="R233" s="19" t="s">
        <v>47</v>
      </c>
      <c r="S233" s="21"/>
      <c r="T233" s="19"/>
      <c r="U233" s="21"/>
      <c r="V233" s="7"/>
      <c r="W233" s="7"/>
      <c r="X233" s="51" t="str">
        <f t="shared" si="0"/>
        <v/>
      </c>
      <c r="Y233" s="51" t="str">
        <f t="shared" si="1"/>
        <v/>
      </c>
      <c r="Z233" s="37"/>
    </row>
    <row r="234" spans="1:26" ht="14.25" customHeight="1" x14ac:dyDescent="0.3">
      <c r="A234" s="18">
        <v>58.1</v>
      </c>
      <c r="B234" s="19"/>
      <c r="C234" s="18" t="s">
        <v>55</v>
      </c>
      <c r="D234" s="19"/>
      <c r="E234" s="25"/>
      <c r="F234" s="19"/>
      <c r="G234" s="21">
        <v>0</v>
      </c>
      <c r="H234" s="21"/>
      <c r="I234" s="21"/>
      <c r="J234" s="21"/>
      <c r="K234" s="19"/>
      <c r="L234" s="19"/>
      <c r="M234" s="22">
        <v>1</v>
      </c>
      <c r="N234" s="19"/>
      <c r="O234" s="25"/>
      <c r="P234" s="23"/>
      <c r="Q234" s="21" t="s">
        <v>46</v>
      </c>
      <c r="R234" s="19" t="s">
        <v>47</v>
      </c>
      <c r="S234" s="21"/>
      <c r="T234" s="19"/>
      <c r="U234" s="21"/>
      <c r="V234" s="7"/>
      <c r="W234" s="7"/>
      <c r="X234" s="51" t="str">
        <f t="shared" si="0"/>
        <v/>
      </c>
      <c r="Y234" s="51" t="str">
        <f t="shared" si="1"/>
        <v/>
      </c>
      <c r="Z234" s="37"/>
    </row>
    <row r="235" spans="1:26" ht="14.25" customHeight="1" x14ac:dyDescent="0.3">
      <c r="A235" s="18">
        <v>58.2</v>
      </c>
      <c r="B235" s="19"/>
      <c r="C235" s="18" t="s">
        <v>55</v>
      </c>
      <c r="D235" s="19"/>
      <c r="E235" s="25"/>
      <c r="F235" s="19"/>
      <c r="G235" s="21">
        <v>0</v>
      </c>
      <c r="H235" s="21"/>
      <c r="I235" s="21"/>
      <c r="J235" s="21"/>
      <c r="K235" s="19"/>
      <c r="L235" s="19"/>
      <c r="M235" s="22">
        <v>1</v>
      </c>
      <c r="N235" s="19"/>
      <c r="O235" s="25"/>
      <c r="P235" s="23"/>
      <c r="Q235" s="21" t="s">
        <v>46</v>
      </c>
      <c r="R235" s="19" t="s">
        <v>47</v>
      </c>
      <c r="S235" s="21"/>
      <c r="T235" s="19"/>
      <c r="U235" s="21"/>
      <c r="V235" s="7"/>
      <c r="W235" s="7"/>
      <c r="X235" s="51" t="str">
        <f t="shared" si="0"/>
        <v/>
      </c>
      <c r="Y235" s="51" t="str">
        <f t="shared" si="1"/>
        <v/>
      </c>
      <c r="Z235" s="37"/>
    </row>
    <row r="236" spans="1:26" ht="14.25" customHeight="1" x14ac:dyDescent="0.3">
      <c r="A236" s="18">
        <v>58.3</v>
      </c>
      <c r="B236" s="19"/>
      <c r="C236" s="18" t="s">
        <v>55</v>
      </c>
      <c r="D236" s="19"/>
      <c r="E236" s="25"/>
      <c r="F236" s="19"/>
      <c r="G236" s="21">
        <v>0</v>
      </c>
      <c r="H236" s="21"/>
      <c r="I236" s="21"/>
      <c r="J236" s="21"/>
      <c r="K236" s="19"/>
      <c r="L236" s="19"/>
      <c r="M236" s="22">
        <v>1</v>
      </c>
      <c r="N236" s="19"/>
      <c r="O236" s="25"/>
      <c r="P236" s="23"/>
      <c r="Q236" s="21" t="s">
        <v>46</v>
      </c>
      <c r="R236" s="19" t="s">
        <v>47</v>
      </c>
      <c r="S236" s="21"/>
      <c r="T236" s="19"/>
      <c r="U236" s="21"/>
      <c r="V236" s="7"/>
      <c r="W236" s="7"/>
      <c r="X236" s="51" t="str">
        <f t="shared" si="0"/>
        <v/>
      </c>
      <c r="Y236" s="51" t="str">
        <f t="shared" si="1"/>
        <v/>
      </c>
      <c r="Z236" s="37"/>
    </row>
    <row r="237" spans="1:26" ht="14.25" customHeight="1" x14ac:dyDescent="0.3">
      <c r="A237" s="18">
        <v>58.4</v>
      </c>
      <c r="B237" s="19"/>
      <c r="C237" s="18" t="s">
        <v>55</v>
      </c>
      <c r="D237" s="19"/>
      <c r="E237" s="25"/>
      <c r="F237" s="19"/>
      <c r="G237" s="21">
        <v>0</v>
      </c>
      <c r="H237" s="21"/>
      <c r="I237" s="21"/>
      <c r="J237" s="21"/>
      <c r="K237" s="19"/>
      <c r="L237" s="19"/>
      <c r="M237" s="22">
        <v>1</v>
      </c>
      <c r="N237" s="19"/>
      <c r="O237" s="25"/>
      <c r="P237" s="23"/>
      <c r="Q237" s="21" t="s">
        <v>46</v>
      </c>
      <c r="R237" s="19" t="s">
        <v>47</v>
      </c>
      <c r="S237" s="21"/>
      <c r="T237" s="19"/>
      <c r="U237" s="21"/>
      <c r="V237" s="7"/>
      <c r="W237" s="7"/>
      <c r="X237" s="51" t="str">
        <f t="shared" si="0"/>
        <v/>
      </c>
      <c r="Y237" s="51" t="str">
        <f t="shared" si="1"/>
        <v/>
      </c>
      <c r="Z237" s="37"/>
    </row>
    <row r="238" spans="1:26" ht="14.25" customHeight="1" x14ac:dyDescent="0.3">
      <c r="A238" s="18">
        <v>59.1</v>
      </c>
      <c r="B238" s="19"/>
      <c r="C238" s="18" t="s">
        <v>55</v>
      </c>
      <c r="D238" s="19"/>
      <c r="E238" s="25"/>
      <c r="F238" s="19"/>
      <c r="G238" s="21">
        <v>0</v>
      </c>
      <c r="H238" s="21"/>
      <c r="I238" s="21"/>
      <c r="J238" s="21"/>
      <c r="K238" s="19"/>
      <c r="L238" s="19"/>
      <c r="M238" s="22">
        <v>1</v>
      </c>
      <c r="N238" s="19"/>
      <c r="O238" s="25"/>
      <c r="P238" s="23"/>
      <c r="Q238" s="21" t="s">
        <v>46</v>
      </c>
      <c r="R238" s="19" t="s">
        <v>47</v>
      </c>
      <c r="S238" s="21"/>
      <c r="T238" s="19"/>
      <c r="U238" s="21"/>
      <c r="V238" s="7"/>
      <c r="W238" s="7"/>
      <c r="X238" s="51" t="str">
        <f t="shared" si="0"/>
        <v/>
      </c>
      <c r="Y238" s="51" t="str">
        <f t="shared" si="1"/>
        <v/>
      </c>
      <c r="Z238" s="37"/>
    </row>
    <row r="239" spans="1:26" ht="14.25" customHeight="1" x14ac:dyDescent="0.3">
      <c r="A239" s="18">
        <v>59.2</v>
      </c>
      <c r="B239" s="19"/>
      <c r="C239" s="18" t="s">
        <v>55</v>
      </c>
      <c r="D239" s="19"/>
      <c r="E239" s="25"/>
      <c r="F239" s="19"/>
      <c r="G239" s="21">
        <v>0</v>
      </c>
      <c r="H239" s="21"/>
      <c r="I239" s="21"/>
      <c r="J239" s="21"/>
      <c r="K239" s="19"/>
      <c r="L239" s="19"/>
      <c r="M239" s="22">
        <v>1</v>
      </c>
      <c r="N239" s="19"/>
      <c r="O239" s="25"/>
      <c r="P239" s="23"/>
      <c r="Q239" s="21" t="s">
        <v>46</v>
      </c>
      <c r="R239" s="19" t="s">
        <v>47</v>
      </c>
      <c r="S239" s="21"/>
      <c r="T239" s="19"/>
      <c r="U239" s="21"/>
      <c r="V239" s="7"/>
      <c r="W239" s="7"/>
      <c r="X239" s="51" t="str">
        <f t="shared" si="0"/>
        <v/>
      </c>
      <c r="Y239" s="51" t="str">
        <f t="shared" si="1"/>
        <v/>
      </c>
      <c r="Z239" s="37"/>
    </row>
    <row r="240" spans="1:26" ht="14.25" customHeight="1" x14ac:dyDescent="0.3">
      <c r="A240" s="18">
        <v>59.3</v>
      </c>
      <c r="B240" s="19"/>
      <c r="C240" s="18" t="s">
        <v>55</v>
      </c>
      <c r="D240" s="19"/>
      <c r="E240" s="25"/>
      <c r="F240" s="19"/>
      <c r="G240" s="21">
        <v>0</v>
      </c>
      <c r="H240" s="21"/>
      <c r="I240" s="21"/>
      <c r="J240" s="21"/>
      <c r="K240" s="19"/>
      <c r="L240" s="19"/>
      <c r="M240" s="22">
        <v>1</v>
      </c>
      <c r="N240" s="19"/>
      <c r="O240" s="25"/>
      <c r="P240" s="23"/>
      <c r="Q240" s="21" t="s">
        <v>46</v>
      </c>
      <c r="R240" s="19" t="s">
        <v>47</v>
      </c>
      <c r="S240" s="21"/>
      <c r="T240" s="19"/>
      <c r="U240" s="21"/>
      <c r="V240" s="7"/>
      <c r="W240" s="7"/>
      <c r="X240" s="51" t="str">
        <f t="shared" si="0"/>
        <v/>
      </c>
      <c r="Y240" s="51" t="str">
        <f t="shared" si="1"/>
        <v/>
      </c>
      <c r="Z240" s="37"/>
    </row>
    <row r="241" spans="1:26" ht="14.25" customHeight="1" x14ac:dyDescent="0.3">
      <c r="A241" s="18">
        <v>59.4</v>
      </c>
      <c r="B241" s="19"/>
      <c r="C241" s="18" t="s">
        <v>55</v>
      </c>
      <c r="D241" s="19"/>
      <c r="E241" s="25"/>
      <c r="F241" s="19"/>
      <c r="G241" s="21">
        <v>0</v>
      </c>
      <c r="H241" s="21"/>
      <c r="I241" s="21"/>
      <c r="J241" s="21"/>
      <c r="K241" s="19"/>
      <c r="L241" s="19"/>
      <c r="M241" s="22">
        <v>1</v>
      </c>
      <c r="N241" s="19"/>
      <c r="O241" s="25"/>
      <c r="P241" s="23"/>
      <c r="Q241" s="21" t="s">
        <v>46</v>
      </c>
      <c r="R241" s="19" t="s">
        <v>47</v>
      </c>
      <c r="S241" s="21"/>
      <c r="T241" s="19"/>
      <c r="U241" s="21"/>
      <c r="V241" s="7"/>
      <c r="W241" s="7"/>
      <c r="X241" s="51" t="str">
        <f t="shared" si="0"/>
        <v/>
      </c>
      <c r="Y241" s="51" t="str">
        <f t="shared" si="1"/>
        <v/>
      </c>
      <c r="Z241" s="37"/>
    </row>
    <row r="242" spans="1:26" ht="14.25" customHeight="1" x14ac:dyDescent="0.3">
      <c r="A242" s="18">
        <v>60.1</v>
      </c>
      <c r="B242" s="19"/>
      <c r="C242" s="18" t="s">
        <v>55</v>
      </c>
      <c r="D242" s="19"/>
      <c r="E242" s="25"/>
      <c r="F242" s="19"/>
      <c r="G242" s="21">
        <v>0</v>
      </c>
      <c r="H242" s="21"/>
      <c r="I242" s="21"/>
      <c r="J242" s="21"/>
      <c r="K242" s="19"/>
      <c r="L242" s="19"/>
      <c r="M242" s="22">
        <v>1</v>
      </c>
      <c r="N242" s="19"/>
      <c r="O242" s="25"/>
      <c r="P242" s="23"/>
      <c r="Q242" s="21" t="s">
        <v>46</v>
      </c>
      <c r="R242" s="19" t="s">
        <v>47</v>
      </c>
      <c r="S242" s="21"/>
      <c r="T242" s="19"/>
      <c r="U242" s="21"/>
      <c r="V242" s="7"/>
      <c r="W242" s="7"/>
      <c r="X242" s="51" t="str">
        <f t="shared" si="0"/>
        <v/>
      </c>
      <c r="Y242" s="51" t="str">
        <f t="shared" si="1"/>
        <v/>
      </c>
      <c r="Z242" s="37"/>
    </row>
    <row r="243" spans="1:26" ht="14.25" customHeight="1" x14ac:dyDescent="0.3">
      <c r="A243" s="18">
        <v>60.2</v>
      </c>
      <c r="B243" s="19"/>
      <c r="C243" s="18" t="s">
        <v>55</v>
      </c>
      <c r="D243" s="19"/>
      <c r="E243" s="25"/>
      <c r="F243" s="19"/>
      <c r="G243" s="21">
        <v>0</v>
      </c>
      <c r="H243" s="21"/>
      <c r="I243" s="21"/>
      <c r="J243" s="21"/>
      <c r="K243" s="19"/>
      <c r="L243" s="19"/>
      <c r="M243" s="22">
        <v>1</v>
      </c>
      <c r="N243" s="19"/>
      <c r="O243" s="25"/>
      <c r="P243" s="23"/>
      <c r="Q243" s="21" t="s">
        <v>46</v>
      </c>
      <c r="R243" s="19" t="s">
        <v>47</v>
      </c>
      <c r="S243" s="21"/>
      <c r="T243" s="19"/>
      <c r="U243" s="21"/>
      <c r="V243" s="7"/>
      <c r="W243" s="7"/>
      <c r="X243" s="51" t="str">
        <f t="shared" si="0"/>
        <v/>
      </c>
      <c r="Y243" s="51" t="str">
        <f t="shared" si="1"/>
        <v/>
      </c>
      <c r="Z243" s="37"/>
    </row>
    <row r="244" spans="1:26" ht="14.25" customHeight="1" x14ac:dyDescent="0.3">
      <c r="A244" s="18">
        <v>60.3</v>
      </c>
      <c r="B244" s="19"/>
      <c r="C244" s="18" t="s">
        <v>55</v>
      </c>
      <c r="D244" s="19"/>
      <c r="E244" s="25"/>
      <c r="F244" s="19"/>
      <c r="G244" s="21">
        <v>0</v>
      </c>
      <c r="H244" s="21"/>
      <c r="I244" s="21"/>
      <c r="J244" s="21"/>
      <c r="K244" s="19"/>
      <c r="L244" s="19"/>
      <c r="M244" s="22">
        <v>1</v>
      </c>
      <c r="N244" s="19"/>
      <c r="O244" s="25"/>
      <c r="P244" s="23"/>
      <c r="Q244" s="21" t="s">
        <v>46</v>
      </c>
      <c r="R244" s="19" t="s">
        <v>47</v>
      </c>
      <c r="S244" s="21"/>
      <c r="T244" s="19"/>
      <c r="U244" s="21"/>
      <c r="V244" s="7"/>
      <c r="W244" s="7"/>
      <c r="X244" s="51" t="str">
        <f t="shared" si="0"/>
        <v/>
      </c>
      <c r="Y244" s="51" t="str">
        <f t="shared" si="1"/>
        <v/>
      </c>
      <c r="Z244" s="37"/>
    </row>
    <row r="245" spans="1:26" ht="14.25" customHeight="1" x14ac:dyDescent="0.3">
      <c r="A245" s="18">
        <v>60.4</v>
      </c>
      <c r="B245" s="19"/>
      <c r="C245" s="18" t="s">
        <v>55</v>
      </c>
      <c r="D245" s="19"/>
      <c r="E245" s="25"/>
      <c r="F245" s="19"/>
      <c r="G245" s="21">
        <v>0</v>
      </c>
      <c r="H245" s="21"/>
      <c r="I245" s="21"/>
      <c r="J245" s="21"/>
      <c r="K245" s="19"/>
      <c r="L245" s="19"/>
      <c r="M245" s="22">
        <v>1</v>
      </c>
      <c r="N245" s="19"/>
      <c r="O245" s="25"/>
      <c r="P245" s="23"/>
      <c r="Q245" s="21" t="s">
        <v>46</v>
      </c>
      <c r="R245" s="19" t="s">
        <v>47</v>
      </c>
      <c r="S245" s="21"/>
      <c r="T245" s="19"/>
      <c r="U245" s="21"/>
      <c r="V245" s="7"/>
      <c r="W245" s="7"/>
      <c r="X245" s="51" t="str">
        <f t="shared" si="0"/>
        <v/>
      </c>
      <c r="Y245" s="51" t="str">
        <f t="shared" si="1"/>
        <v/>
      </c>
      <c r="Z245" s="37"/>
    </row>
    <row r="246" spans="1:26" ht="14.25" customHeight="1" x14ac:dyDescent="0.3">
      <c r="A246" s="18">
        <v>61.1</v>
      </c>
      <c r="B246" s="19"/>
      <c r="C246" s="18" t="s">
        <v>55</v>
      </c>
      <c r="D246" s="19"/>
      <c r="E246" s="25"/>
      <c r="F246" s="19"/>
      <c r="G246" s="21">
        <v>0</v>
      </c>
      <c r="H246" s="21"/>
      <c r="I246" s="21"/>
      <c r="J246" s="21"/>
      <c r="K246" s="19"/>
      <c r="L246" s="19"/>
      <c r="M246" s="22">
        <v>1</v>
      </c>
      <c r="N246" s="19"/>
      <c r="O246" s="25"/>
      <c r="P246" s="23"/>
      <c r="Q246" s="21" t="s">
        <v>46</v>
      </c>
      <c r="R246" s="19" t="s">
        <v>47</v>
      </c>
      <c r="S246" s="21"/>
      <c r="T246" s="19"/>
      <c r="U246" s="21"/>
      <c r="V246" s="7"/>
      <c r="W246" s="7"/>
      <c r="X246" s="51" t="str">
        <f t="shared" si="0"/>
        <v/>
      </c>
      <c r="Y246" s="51" t="str">
        <f t="shared" si="1"/>
        <v/>
      </c>
      <c r="Z246" s="37"/>
    </row>
    <row r="247" spans="1:26" ht="14.25" customHeight="1" x14ac:dyDescent="0.3">
      <c r="A247" s="18">
        <v>61.2</v>
      </c>
      <c r="B247" s="19"/>
      <c r="C247" s="18" t="s">
        <v>55</v>
      </c>
      <c r="D247" s="19"/>
      <c r="E247" s="25"/>
      <c r="F247" s="19"/>
      <c r="G247" s="21">
        <v>0</v>
      </c>
      <c r="H247" s="21"/>
      <c r="I247" s="21"/>
      <c r="J247" s="21"/>
      <c r="K247" s="19"/>
      <c r="L247" s="19"/>
      <c r="M247" s="22">
        <v>1</v>
      </c>
      <c r="N247" s="19"/>
      <c r="O247" s="25"/>
      <c r="P247" s="23"/>
      <c r="Q247" s="21" t="s">
        <v>46</v>
      </c>
      <c r="R247" s="19" t="s">
        <v>47</v>
      </c>
      <c r="S247" s="21"/>
      <c r="T247" s="19"/>
      <c r="U247" s="21"/>
      <c r="V247" s="7"/>
      <c r="W247" s="7"/>
      <c r="X247" s="51" t="str">
        <f t="shared" si="0"/>
        <v/>
      </c>
      <c r="Y247" s="51" t="str">
        <f t="shared" si="1"/>
        <v/>
      </c>
      <c r="Z247" s="37"/>
    </row>
    <row r="248" spans="1:26" ht="14.25" customHeight="1" x14ac:dyDescent="0.3">
      <c r="A248" s="18">
        <v>61.3</v>
      </c>
      <c r="B248" s="19"/>
      <c r="C248" s="18" t="s">
        <v>55</v>
      </c>
      <c r="D248" s="19"/>
      <c r="E248" s="25"/>
      <c r="F248" s="19"/>
      <c r="G248" s="21">
        <v>0</v>
      </c>
      <c r="H248" s="21"/>
      <c r="I248" s="21"/>
      <c r="J248" s="21"/>
      <c r="K248" s="19"/>
      <c r="L248" s="19"/>
      <c r="M248" s="22">
        <v>1</v>
      </c>
      <c r="N248" s="19"/>
      <c r="O248" s="25"/>
      <c r="P248" s="23"/>
      <c r="Q248" s="21" t="s">
        <v>46</v>
      </c>
      <c r="R248" s="19" t="s">
        <v>47</v>
      </c>
      <c r="S248" s="21"/>
      <c r="T248" s="19"/>
      <c r="U248" s="21"/>
      <c r="V248" s="7"/>
      <c r="W248" s="7"/>
      <c r="X248" s="51" t="str">
        <f t="shared" si="0"/>
        <v/>
      </c>
      <c r="Y248" s="51" t="str">
        <f t="shared" si="1"/>
        <v/>
      </c>
      <c r="Z248" s="37"/>
    </row>
    <row r="249" spans="1:26" ht="14.25" customHeight="1" x14ac:dyDescent="0.3">
      <c r="A249" s="18">
        <v>61.4</v>
      </c>
      <c r="B249" s="19"/>
      <c r="C249" s="18" t="s">
        <v>55</v>
      </c>
      <c r="D249" s="19"/>
      <c r="E249" s="25"/>
      <c r="F249" s="19"/>
      <c r="G249" s="21">
        <v>0</v>
      </c>
      <c r="H249" s="21"/>
      <c r="I249" s="21"/>
      <c r="J249" s="21"/>
      <c r="K249" s="19"/>
      <c r="L249" s="19"/>
      <c r="M249" s="22">
        <v>1</v>
      </c>
      <c r="N249" s="19"/>
      <c r="O249" s="25"/>
      <c r="P249" s="23"/>
      <c r="Q249" s="21" t="s">
        <v>46</v>
      </c>
      <c r="R249" s="19" t="s">
        <v>47</v>
      </c>
      <c r="S249" s="21"/>
      <c r="T249" s="19"/>
      <c r="U249" s="21"/>
      <c r="V249" s="7"/>
      <c r="W249" s="7"/>
      <c r="X249" s="51" t="str">
        <f t="shared" si="0"/>
        <v/>
      </c>
      <c r="Y249" s="51" t="str">
        <f t="shared" si="1"/>
        <v/>
      </c>
      <c r="Z249" s="37"/>
    </row>
    <row r="250" spans="1:26" ht="14.25" customHeight="1" x14ac:dyDescent="0.3">
      <c r="A250" s="18">
        <v>62.1</v>
      </c>
      <c r="B250" s="19"/>
      <c r="C250" s="18" t="s">
        <v>55</v>
      </c>
      <c r="D250" s="19"/>
      <c r="E250" s="25"/>
      <c r="F250" s="19"/>
      <c r="G250" s="21">
        <v>0</v>
      </c>
      <c r="H250" s="21"/>
      <c r="I250" s="21"/>
      <c r="J250" s="21"/>
      <c r="K250" s="19"/>
      <c r="L250" s="19"/>
      <c r="M250" s="22">
        <v>1</v>
      </c>
      <c r="N250" s="19"/>
      <c r="O250" s="25"/>
      <c r="P250" s="23"/>
      <c r="Q250" s="21" t="s">
        <v>46</v>
      </c>
      <c r="R250" s="19" t="s">
        <v>47</v>
      </c>
      <c r="S250" s="21"/>
      <c r="T250" s="19"/>
      <c r="U250" s="21"/>
      <c r="V250" s="7"/>
      <c r="W250" s="7"/>
      <c r="X250" s="51" t="str">
        <f t="shared" si="0"/>
        <v/>
      </c>
      <c r="Y250" s="51" t="str">
        <f t="shared" si="1"/>
        <v/>
      </c>
      <c r="Z250" s="37"/>
    </row>
    <row r="251" spans="1:26" ht="14.25" customHeight="1" x14ac:dyDescent="0.3">
      <c r="A251" s="18">
        <v>62.2</v>
      </c>
      <c r="B251" s="19"/>
      <c r="C251" s="18" t="s">
        <v>55</v>
      </c>
      <c r="D251" s="19"/>
      <c r="E251" s="25"/>
      <c r="F251" s="19"/>
      <c r="G251" s="21">
        <v>0</v>
      </c>
      <c r="H251" s="21"/>
      <c r="I251" s="21"/>
      <c r="J251" s="21"/>
      <c r="K251" s="19"/>
      <c r="L251" s="19"/>
      <c r="M251" s="22">
        <v>1</v>
      </c>
      <c r="N251" s="19"/>
      <c r="O251" s="25"/>
      <c r="P251" s="23"/>
      <c r="Q251" s="21" t="s">
        <v>46</v>
      </c>
      <c r="R251" s="19" t="s">
        <v>47</v>
      </c>
      <c r="S251" s="21"/>
      <c r="T251" s="19"/>
      <c r="U251" s="21"/>
      <c r="V251" s="7"/>
      <c r="W251" s="7"/>
      <c r="X251" s="51" t="str">
        <f t="shared" si="0"/>
        <v/>
      </c>
      <c r="Y251" s="51" t="str">
        <f t="shared" si="1"/>
        <v/>
      </c>
      <c r="Z251" s="37"/>
    </row>
    <row r="252" spans="1:26" ht="14.25" customHeight="1" x14ac:dyDescent="0.3">
      <c r="A252" s="18">
        <v>62.3</v>
      </c>
      <c r="B252" s="19"/>
      <c r="C252" s="18" t="s">
        <v>55</v>
      </c>
      <c r="D252" s="19"/>
      <c r="E252" s="25"/>
      <c r="F252" s="19"/>
      <c r="G252" s="21">
        <v>0</v>
      </c>
      <c r="H252" s="21"/>
      <c r="I252" s="21"/>
      <c r="J252" s="21"/>
      <c r="K252" s="19"/>
      <c r="L252" s="19"/>
      <c r="M252" s="22">
        <v>1</v>
      </c>
      <c r="N252" s="19"/>
      <c r="O252" s="25"/>
      <c r="P252" s="23"/>
      <c r="Q252" s="21" t="s">
        <v>46</v>
      </c>
      <c r="R252" s="19" t="s">
        <v>47</v>
      </c>
      <c r="S252" s="21"/>
      <c r="T252" s="19"/>
      <c r="U252" s="21"/>
      <c r="V252" s="7"/>
      <c r="W252" s="7"/>
      <c r="X252" s="51" t="str">
        <f t="shared" si="0"/>
        <v/>
      </c>
      <c r="Y252" s="51" t="str">
        <f t="shared" si="1"/>
        <v/>
      </c>
      <c r="Z252" s="37"/>
    </row>
    <row r="253" spans="1:26" ht="14.25" customHeight="1" x14ac:dyDescent="0.3">
      <c r="A253" s="18">
        <v>62.4</v>
      </c>
      <c r="B253" s="19"/>
      <c r="C253" s="18" t="s">
        <v>55</v>
      </c>
      <c r="D253" s="19"/>
      <c r="E253" s="25"/>
      <c r="F253" s="19"/>
      <c r="G253" s="21">
        <v>0</v>
      </c>
      <c r="H253" s="21"/>
      <c r="I253" s="21"/>
      <c r="J253" s="21"/>
      <c r="K253" s="19"/>
      <c r="L253" s="19"/>
      <c r="M253" s="22">
        <v>1</v>
      </c>
      <c r="N253" s="19"/>
      <c r="O253" s="25"/>
      <c r="P253" s="23"/>
      <c r="Q253" s="21" t="s">
        <v>46</v>
      </c>
      <c r="R253" s="19" t="s">
        <v>47</v>
      </c>
      <c r="S253" s="21"/>
      <c r="T253" s="19"/>
      <c r="U253" s="21"/>
      <c r="V253" s="7"/>
      <c r="W253" s="7"/>
      <c r="X253" s="51" t="str">
        <f t="shared" si="0"/>
        <v/>
      </c>
      <c r="Y253" s="51" t="str">
        <f t="shared" si="1"/>
        <v/>
      </c>
      <c r="Z253" s="37"/>
    </row>
    <row r="254" spans="1:26" ht="14.25" customHeight="1" x14ac:dyDescent="0.3">
      <c r="A254" s="18">
        <v>63.1</v>
      </c>
      <c r="B254" s="19"/>
      <c r="C254" s="18" t="s">
        <v>55</v>
      </c>
      <c r="D254" s="19"/>
      <c r="E254" s="25"/>
      <c r="F254" s="19"/>
      <c r="G254" s="21">
        <v>0</v>
      </c>
      <c r="H254" s="21"/>
      <c r="I254" s="21"/>
      <c r="J254" s="21"/>
      <c r="K254" s="19"/>
      <c r="L254" s="19"/>
      <c r="M254" s="22">
        <v>1</v>
      </c>
      <c r="N254" s="19"/>
      <c r="O254" s="25"/>
      <c r="P254" s="23"/>
      <c r="Q254" s="21" t="s">
        <v>46</v>
      </c>
      <c r="R254" s="19" t="s">
        <v>47</v>
      </c>
      <c r="S254" s="21"/>
      <c r="T254" s="19"/>
      <c r="U254" s="21"/>
      <c r="V254" s="7"/>
      <c r="W254" s="7"/>
      <c r="X254" s="51" t="str">
        <f t="shared" si="0"/>
        <v/>
      </c>
      <c r="Y254" s="51" t="str">
        <f t="shared" si="1"/>
        <v/>
      </c>
      <c r="Z254" s="37"/>
    </row>
    <row r="255" spans="1:26" ht="14.25" customHeight="1" x14ac:dyDescent="0.3">
      <c r="A255" s="18">
        <v>63.2</v>
      </c>
      <c r="B255" s="19"/>
      <c r="C255" s="18" t="s">
        <v>55</v>
      </c>
      <c r="D255" s="19"/>
      <c r="E255" s="25"/>
      <c r="F255" s="19"/>
      <c r="G255" s="21">
        <v>0</v>
      </c>
      <c r="H255" s="21"/>
      <c r="I255" s="21"/>
      <c r="J255" s="21"/>
      <c r="K255" s="19"/>
      <c r="L255" s="19"/>
      <c r="M255" s="22">
        <v>1</v>
      </c>
      <c r="N255" s="19"/>
      <c r="O255" s="25"/>
      <c r="P255" s="23"/>
      <c r="Q255" s="21" t="s">
        <v>46</v>
      </c>
      <c r="R255" s="19" t="s">
        <v>47</v>
      </c>
      <c r="S255" s="21"/>
      <c r="T255" s="19"/>
      <c r="U255" s="21"/>
      <c r="V255" s="7"/>
      <c r="W255" s="7"/>
      <c r="X255" s="51" t="str">
        <f t="shared" si="0"/>
        <v/>
      </c>
      <c r="Y255" s="51" t="str">
        <f t="shared" si="1"/>
        <v/>
      </c>
      <c r="Z255" s="37"/>
    </row>
    <row r="256" spans="1:26" ht="14.25" customHeight="1" x14ac:dyDescent="0.3">
      <c r="A256" s="18">
        <v>63.3</v>
      </c>
      <c r="B256" s="19"/>
      <c r="C256" s="18" t="s">
        <v>55</v>
      </c>
      <c r="D256" s="19"/>
      <c r="E256" s="25"/>
      <c r="F256" s="19"/>
      <c r="G256" s="21">
        <v>0</v>
      </c>
      <c r="H256" s="21"/>
      <c r="I256" s="21"/>
      <c r="J256" s="21"/>
      <c r="K256" s="19"/>
      <c r="L256" s="19"/>
      <c r="M256" s="22">
        <v>1</v>
      </c>
      <c r="N256" s="19"/>
      <c r="O256" s="25"/>
      <c r="P256" s="23"/>
      <c r="Q256" s="21" t="s">
        <v>46</v>
      </c>
      <c r="R256" s="19" t="s">
        <v>47</v>
      </c>
      <c r="S256" s="21"/>
      <c r="T256" s="19"/>
      <c r="U256" s="21"/>
      <c r="V256" s="7"/>
      <c r="W256" s="7"/>
      <c r="X256" s="51" t="str">
        <f t="shared" si="0"/>
        <v/>
      </c>
      <c r="Y256" s="51" t="str">
        <f t="shared" si="1"/>
        <v/>
      </c>
      <c r="Z256" s="37"/>
    </row>
    <row r="257" spans="1:26" ht="14.25" customHeight="1" x14ac:dyDescent="0.3">
      <c r="A257" s="18">
        <v>63.4</v>
      </c>
      <c r="B257" s="19"/>
      <c r="C257" s="18" t="s">
        <v>55</v>
      </c>
      <c r="D257" s="19"/>
      <c r="E257" s="25"/>
      <c r="F257" s="19"/>
      <c r="G257" s="21">
        <v>0</v>
      </c>
      <c r="H257" s="21"/>
      <c r="I257" s="21"/>
      <c r="J257" s="21"/>
      <c r="K257" s="19"/>
      <c r="L257" s="19"/>
      <c r="M257" s="22">
        <v>1</v>
      </c>
      <c r="N257" s="19"/>
      <c r="O257" s="25"/>
      <c r="P257" s="23"/>
      <c r="Q257" s="21" t="s">
        <v>46</v>
      </c>
      <c r="R257" s="19" t="s">
        <v>47</v>
      </c>
      <c r="S257" s="21"/>
      <c r="T257" s="19"/>
      <c r="U257" s="21"/>
      <c r="V257" s="7"/>
      <c r="W257" s="7"/>
      <c r="X257" s="51" t="str">
        <f t="shared" si="0"/>
        <v/>
      </c>
      <c r="Y257" s="51" t="str">
        <f t="shared" si="1"/>
        <v/>
      </c>
      <c r="Z257" s="37"/>
    </row>
    <row r="258" spans="1:26" ht="14.25" customHeight="1" x14ac:dyDescent="0.3">
      <c r="A258" s="18">
        <v>64.099999999999994</v>
      </c>
      <c r="B258" s="19"/>
      <c r="C258" s="18" t="s">
        <v>55</v>
      </c>
      <c r="D258" s="19"/>
      <c r="E258" s="25"/>
      <c r="F258" s="19"/>
      <c r="G258" s="21">
        <v>0</v>
      </c>
      <c r="H258" s="21"/>
      <c r="I258" s="21"/>
      <c r="J258" s="21"/>
      <c r="K258" s="19"/>
      <c r="L258" s="19"/>
      <c r="M258" s="22">
        <v>1</v>
      </c>
      <c r="N258" s="19"/>
      <c r="O258" s="25"/>
      <c r="P258" s="23"/>
      <c r="Q258" s="21" t="s">
        <v>46</v>
      </c>
      <c r="R258" s="19" t="s">
        <v>47</v>
      </c>
      <c r="S258" s="21"/>
      <c r="T258" s="19"/>
      <c r="U258" s="21"/>
      <c r="V258" s="7"/>
      <c r="W258" s="7"/>
      <c r="X258" s="51" t="str">
        <f t="shared" si="0"/>
        <v/>
      </c>
      <c r="Y258" s="51" t="str">
        <f t="shared" si="1"/>
        <v/>
      </c>
      <c r="Z258" s="37"/>
    </row>
    <row r="259" spans="1:26" ht="14.25" customHeight="1" x14ac:dyDescent="0.3">
      <c r="A259" s="18">
        <v>64.2</v>
      </c>
      <c r="B259" s="19"/>
      <c r="C259" s="18" t="s">
        <v>55</v>
      </c>
      <c r="D259" s="19"/>
      <c r="E259" s="25"/>
      <c r="F259" s="19"/>
      <c r="G259" s="21">
        <v>0</v>
      </c>
      <c r="H259" s="21"/>
      <c r="I259" s="21"/>
      <c r="J259" s="21"/>
      <c r="K259" s="19"/>
      <c r="L259" s="19"/>
      <c r="M259" s="22">
        <v>1</v>
      </c>
      <c r="N259" s="19"/>
      <c r="O259" s="25"/>
      <c r="P259" s="23"/>
      <c r="Q259" s="21" t="s">
        <v>46</v>
      </c>
      <c r="R259" s="19" t="s">
        <v>47</v>
      </c>
      <c r="S259" s="21"/>
      <c r="T259" s="19"/>
      <c r="U259" s="21"/>
      <c r="V259" s="7"/>
      <c r="W259" s="7"/>
      <c r="X259" s="51" t="str">
        <f t="shared" si="0"/>
        <v/>
      </c>
      <c r="Y259" s="51" t="str">
        <f t="shared" si="1"/>
        <v/>
      </c>
      <c r="Z259" s="37"/>
    </row>
    <row r="260" spans="1:26" ht="14.25" customHeight="1" x14ac:dyDescent="0.3">
      <c r="A260" s="18">
        <v>64.3</v>
      </c>
      <c r="B260" s="19"/>
      <c r="C260" s="18" t="s">
        <v>55</v>
      </c>
      <c r="D260" s="19"/>
      <c r="E260" s="25"/>
      <c r="F260" s="19"/>
      <c r="G260" s="21">
        <v>0</v>
      </c>
      <c r="H260" s="21"/>
      <c r="I260" s="21"/>
      <c r="J260" s="21"/>
      <c r="K260" s="19"/>
      <c r="L260" s="19"/>
      <c r="M260" s="22">
        <v>1</v>
      </c>
      <c r="N260" s="19"/>
      <c r="O260" s="25"/>
      <c r="P260" s="23"/>
      <c r="Q260" s="21" t="s">
        <v>46</v>
      </c>
      <c r="R260" s="19" t="s">
        <v>47</v>
      </c>
      <c r="S260" s="21"/>
      <c r="T260" s="19"/>
      <c r="U260" s="21"/>
      <c r="V260" s="7"/>
      <c r="W260" s="7"/>
      <c r="X260" s="51" t="str">
        <f t="shared" si="0"/>
        <v/>
      </c>
      <c r="Y260" s="51" t="str">
        <f t="shared" si="1"/>
        <v/>
      </c>
      <c r="Z260" s="37"/>
    </row>
    <row r="261" spans="1:26" ht="14.25" customHeight="1" x14ac:dyDescent="0.3">
      <c r="A261" s="18">
        <v>64.400000000000006</v>
      </c>
      <c r="B261" s="19"/>
      <c r="C261" s="18" t="s">
        <v>55</v>
      </c>
      <c r="D261" s="19"/>
      <c r="E261" s="25"/>
      <c r="F261" s="19"/>
      <c r="G261" s="21">
        <v>0</v>
      </c>
      <c r="H261" s="21"/>
      <c r="I261" s="21"/>
      <c r="J261" s="21"/>
      <c r="K261" s="19"/>
      <c r="L261" s="19"/>
      <c r="M261" s="22">
        <v>1</v>
      </c>
      <c r="N261" s="19"/>
      <c r="O261" s="25"/>
      <c r="P261" s="23"/>
      <c r="Q261" s="21" t="s">
        <v>46</v>
      </c>
      <c r="R261" s="19" t="s">
        <v>47</v>
      </c>
      <c r="S261" s="21"/>
      <c r="T261" s="19"/>
      <c r="U261" s="21"/>
      <c r="V261" s="7"/>
      <c r="W261" s="7"/>
      <c r="X261" s="51" t="str">
        <f t="shared" ref="X261:X515" si="2">IF($G$4="Default", IF(ISNUMBER(SEARCH("Straight Pipe", D261)), "A106", IF(D261="", "", "A234")), "")</f>
        <v/>
      </c>
      <c r="Y261" s="51" t="str">
        <f t="shared" ref="Y261:Y515" si="3">IF($G$4="Default", IF(ISNUMBER(SEARCH("Straight Pipe", D261)), "B", IF(D261="", "", "WPB")), "")</f>
        <v/>
      </c>
      <c r="Z261" s="37"/>
    </row>
    <row r="262" spans="1:26" ht="14.25" customHeight="1" x14ac:dyDescent="0.3">
      <c r="A262" s="18">
        <v>65.099999999999994</v>
      </c>
      <c r="B262" s="19"/>
      <c r="C262" s="18" t="s">
        <v>55</v>
      </c>
      <c r="D262" s="19"/>
      <c r="E262" s="25"/>
      <c r="F262" s="19"/>
      <c r="G262" s="21">
        <v>0</v>
      </c>
      <c r="H262" s="21"/>
      <c r="I262" s="21"/>
      <c r="J262" s="21"/>
      <c r="K262" s="19"/>
      <c r="L262" s="19"/>
      <c r="M262" s="22">
        <v>1</v>
      </c>
      <c r="N262" s="19"/>
      <c r="O262" s="25"/>
      <c r="P262" s="23"/>
      <c r="Q262" s="21" t="s">
        <v>46</v>
      </c>
      <c r="R262" s="19" t="s">
        <v>47</v>
      </c>
      <c r="S262" s="21"/>
      <c r="T262" s="19"/>
      <c r="U262" s="21"/>
      <c r="V262" s="7"/>
      <c r="W262" s="7"/>
      <c r="X262" s="51" t="str">
        <f t="shared" si="2"/>
        <v/>
      </c>
      <c r="Y262" s="51" t="str">
        <f t="shared" si="3"/>
        <v/>
      </c>
      <c r="Z262" s="37"/>
    </row>
    <row r="263" spans="1:26" ht="14.25" customHeight="1" x14ac:dyDescent="0.3">
      <c r="A263" s="18">
        <v>65.2</v>
      </c>
      <c r="B263" s="19"/>
      <c r="C263" s="18" t="s">
        <v>55</v>
      </c>
      <c r="D263" s="19"/>
      <c r="E263" s="25"/>
      <c r="F263" s="19"/>
      <c r="G263" s="21">
        <v>0</v>
      </c>
      <c r="H263" s="21"/>
      <c r="I263" s="21"/>
      <c r="J263" s="21"/>
      <c r="K263" s="19"/>
      <c r="L263" s="19"/>
      <c r="M263" s="22">
        <v>1</v>
      </c>
      <c r="N263" s="19"/>
      <c r="O263" s="25"/>
      <c r="P263" s="23"/>
      <c r="Q263" s="21" t="s">
        <v>46</v>
      </c>
      <c r="R263" s="19" t="s">
        <v>47</v>
      </c>
      <c r="S263" s="21"/>
      <c r="T263" s="19"/>
      <c r="U263" s="21"/>
      <c r="V263" s="7"/>
      <c r="W263" s="7"/>
      <c r="X263" s="51" t="str">
        <f t="shared" si="2"/>
        <v/>
      </c>
      <c r="Y263" s="51" t="str">
        <f t="shared" si="3"/>
        <v/>
      </c>
      <c r="Z263" s="37"/>
    </row>
    <row r="264" spans="1:26" ht="14.25" customHeight="1" x14ac:dyDescent="0.3">
      <c r="A264" s="18">
        <v>65.3</v>
      </c>
      <c r="B264" s="19"/>
      <c r="C264" s="18" t="s">
        <v>55</v>
      </c>
      <c r="D264" s="19"/>
      <c r="E264" s="25"/>
      <c r="F264" s="19"/>
      <c r="G264" s="21">
        <v>0</v>
      </c>
      <c r="H264" s="21"/>
      <c r="I264" s="21"/>
      <c r="J264" s="21"/>
      <c r="K264" s="19"/>
      <c r="L264" s="19"/>
      <c r="M264" s="22">
        <v>1</v>
      </c>
      <c r="N264" s="19"/>
      <c r="O264" s="25"/>
      <c r="P264" s="23"/>
      <c r="Q264" s="21" t="s">
        <v>46</v>
      </c>
      <c r="R264" s="19" t="s">
        <v>47</v>
      </c>
      <c r="S264" s="21"/>
      <c r="T264" s="19"/>
      <c r="U264" s="21"/>
      <c r="V264" s="7"/>
      <c r="W264" s="7"/>
      <c r="X264" s="51" t="str">
        <f t="shared" si="2"/>
        <v/>
      </c>
      <c r="Y264" s="51" t="str">
        <f t="shared" si="3"/>
        <v/>
      </c>
      <c r="Z264" s="37"/>
    </row>
    <row r="265" spans="1:26" ht="14.25" customHeight="1" x14ac:dyDescent="0.3">
      <c r="A265" s="18">
        <v>65.400000000000006</v>
      </c>
      <c r="B265" s="19"/>
      <c r="C265" s="18" t="s">
        <v>55</v>
      </c>
      <c r="D265" s="19"/>
      <c r="E265" s="25"/>
      <c r="F265" s="19"/>
      <c r="G265" s="21">
        <v>0</v>
      </c>
      <c r="H265" s="21"/>
      <c r="I265" s="21"/>
      <c r="J265" s="21"/>
      <c r="K265" s="19"/>
      <c r="L265" s="19"/>
      <c r="M265" s="22">
        <v>1</v>
      </c>
      <c r="N265" s="19"/>
      <c r="O265" s="25"/>
      <c r="P265" s="23"/>
      <c r="Q265" s="21" t="s">
        <v>46</v>
      </c>
      <c r="R265" s="19" t="s">
        <v>47</v>
      </c>
      <c r="S265" s="21"/>
      <c r="T265" s="19"/>
      <c r="U265" s="21"/>
      <c r="V265" s="7"/>
      <c r="W265" s="7"/>
      <c r="X265" s="51" t="str">
        <f t="shared" si="2"/>
        <v/>
      </c>
      <c r="Y265" s="51" t="str">
        <f t="shared" si="3"/>
        <v/>
      </c>
      <c r="Z265" s="37"/>
    </row>
    <row r="266" spans="1:26" ht="14.25" customHeight="1" x14ac:dyDescent="0.3">
      <c r="A266" s="18">
        <v>66.099999999999994</v>
      </c>
      <c r="B266" s="19"/>
      <c r="C266" s="18" t="s">
        <v>55</v>
      </c>
      <c r="D266" s="19"/>
      <c r="E266" s="25"/>
      <c r="F266" s="19"/>
      <c r="G266" s="21">
        <v>0</v>
      </c>
      <c r="H266" s="21"/>
      <c r="I266" s="21"/>
      <c r="J266" s="21"/>
      <c r="K266" s="19"/>
      <c r="L266" s="19"/>
      <c r="M266" s="22">
        <v>1</v>
      </c>
      <c r="N266" s="19"/>
      <c r="O266" s="25"/>
      <c r="P266" s="23"/>
      <c r="Q266" s="21" t="s">
        <v>46</v>
      </c>
      <c r="R266" s="19" t="s">
        <v>47</v>
      </c>
      <c r="S266" s="21"/>
      <c r="T266" s="19"/>
      <c r="U266" s="21"/>
      <c r="V266" s="7"/>
      <c r="W266" s="7"/>
      <c r="X266" s="51" t="str">
        <f t="shared" si="2"/>
        <v/>
      </c>
      <c r="Y266" s="51" t="str">
        <f t="shared" si="3"/>
        <v/>
      </c>
      <c r="Z266" s="37"/>
    </row>
    <row r="267" spans="1:26" ht="14.25" customHeight="1" x14ac:dyDescent="0.3">
      <c r="A267" s="18">
        <v>66.2</v>
      </c>
      <c r="B267" s="19"/>
      <c r="C267" s="18" t="s">
        <v>55</v>
      </c>
      <c r="D267" s="19"/>
      <c r="E267" s="25"/>
      <c r="F267" s="19"/>
      <c r="G267" s="21">
        <v>0</v>
      </c>
      <c r="H267" s="21"/>
      <c r="I267" s="21"/>
      <c r="J267" s="21"/>
      <c r="K267" s="19"/>
      <c r="L267" s="19"/>
      <c r="M267" s="22">
        <v>1</v>
      </c>
      <c r="N267" s="19"/>
      <c r="O267" s="25"/>
      <c r="P267" s="23"/>
      <c r="Q267" s="21" t="s">
        <v>46</v>
      </c>
      <c r="R267" s="19" t="s">
        <v>47</v>
      </c>
      <c r="S267" s="21"/>
      <c r="T267" s="19"/>
      <c r="U267" s="21"/>
      <c r="V267" s="7"/>
      <c r="W267" s="7"/>
      <c r="X267" s="51" t="str">
        <f t="shared" si="2"/>
        <v/>
      </c>
      <c r="Y267" s="51" t="str">
        <f t="shared" si="3"/>
        <v/>
      </c>
      <c r="Z267" s="37"/>
    </row>
    <row r="268" spans="1:26" ht="14.25" customHeight="1" x14ac:dyDescent="0.3">
      <c r="A268" s="18">
        <v>66.3</v>
      </c>
      <c r="B268" s="19"/>
      <c r="C268" s="18" t="s">
        <v>55</v>
      </c>
      <c r="D268" s="19"/>
      <c r="E268" s="25"/>
      <c r="F268" s="19"/>
      <c r="G268" s="21">
        <v>0</v>
      </c>
      <c r="H268" s="21"/>
      <c r="I268" s="21"/>
      <c r="J268" s="21"/>
      <c r="K268" s="19"/>
      <c r="L268" s="19"/>
      <c r="M268" s="22">
        <v>1</v>
      </c>
      <c r="N268" s="19"/>
      <c r="O268" s="25"/>
      <c r="P268" s="23"/>
      <c r="Q268" s="21" t="s">
        <v>46</v>
      </c>
      <c r="R268" s="19" t="s">
        <v>47</v>
      </c>
      <c r="S268" s="21"/>
      <c r="T268" s="19"/>
      <c r="U268" s="21"/>
      <c r="V268" s="7"/>
      <c r="W268" s="7"/>
      <c r="X268" s="51" t="str">
        <f t="shared" si="2"/>
        <v/>
      </c>
      <c r="Y268" s="51" t="str">
        <f t="shared" si="3"/>
        <v/>
      </c>
      <c r="Z268" s="37"/>
    </row>
    <row r="269" spans="1:26" ht="14.25" customHeight="1" x14ac:dyDescent="0.3">
      <c r="A269" s="18">
        <v>66.400000000000006</v>
      </c>
      <c r="B269" s="19"/>
      <c r="C269" s="18" t="s">
        <v>55</v>
      </c>
      <c r="D269" s="19"/>
      <c r="E269" s="25"/>
      <c r="F269" s="19"/>
      <c r="G269" s="21">
        <v>0</v>
      </c>
      <c r="H269" s="21"/>
      <c r="I269" s="21"/>
      <c r="J269" s="21"/>
      <c r="K269" s="19"/>
      <c r="L269" s="19"/>
      <c r="M269" s="22">
        <v>1</v>
      </c>
      <c r="N269" s="19"/>
      <c r="O269" s="25"/>
      <c r="P269" s="23"/>
      <c r="Q269" s="21" t="s">
        <v>46</v>
      </c>
      <c r="R269" s="19" t="s">
        <v>47</v>
      </c>
      <c r="S269" s="21"/>
      <c r="T269" s="19"/>
      <c r="U269" s="21"/>
      <c r="V269" s="7"/>
      <c r="W269" s="7"/>
      <c r="X269" s="51" t="str">
        <f t="shared" si="2"/>
        <v/>
      </c>
      <c r="Y269" s="51" t="str">
        <f t="shared" si="3"/>
        <v/>
      </c>
      <c r="Z269" s="37"/>
    </row>
    <row r="270" spans="1:26" ht="14.25" customHeight="1" x14ac:dyDescent="0.3">
      <c r="A270" s="18">
        <v>67.099999999999994</v>
      </c>
      <c r="B270" s="19"/>
      <c r="C270" s="18" t="s">
        <v>55</v>
      </c>
      <c r="D270" s="19"/>
      <c r="E270" s="25"/>
      <c r="F270" s="19"/>
      <c r="G270" s="21">
        <v>0</v>
      </c>
      <c r="H270" s="21"/>
      <c r="I270" s="21"/>
      <c r="J270" s="21"/>
      <c r="K270" s="19"/>
      <c r="L270" s="19"/>
      <c r="M270" s="22">
        <v>1</v>
      </c>
      <c r="N270" s="19"/>
      <c r="O270" s="25"/>
      <c r="P270" s="23"/>
      <c r="Q270" s="21" t="s">
        <v>46</v>
      </c>
      <c r="R270" s="19" t="s">
        <v>47</v>
      </c>
      <c r="S270" s="21"/>
      <c r="T270" s="19"/>
      <c r="U270" s="21"/>
      <c r="V270" s="7"/>
      <c r="W270" s="7"/>
      <c r="X270" s="51" t="str">
        <f t="shared" si="2"/>
        <v/>
      </c>
      <c r="Y270" s="51" t="str">
        <f t="shared" si="3"/>
        <v/>
      </c>
      <c r="Z270" s="37"/>
    </row>
    <row r="271" spans="1:26" ht="14.25" customHeight="1" x14ac:dyDescent="0.3">
      <c r="A271" s="18">
        <v>67.2</v>
      </c>
      <c r="B271" s="19"/>
      <c r="C271" s="18" t="s">
        <v>55</v>
      </c>
      <c r="D271" s="19"/>
      <c r="E271" s="25"/>
      <c r="F271" s="19"/>
      <c r="G271" s="21">
        <v>0</v>
      </c>
      <c r="H271" s="21"/>
      <c r="I271" s="21"/>
      <c r="J271" s="21"/>
      <c r="K271" s="19"/>
      <c r="L271" s="19"/>
      <c r="M271" s="22">
        <v>1</v>
      </c>
      <c r="N271" s="19"/>
      <c r="O271" s="25"/>
      <c r="P271" s="23"/>
      <c r="Q271" s="21" t="s">
        <v>46</v>
      </c>
      <c r="R271" s="19" t="s">
        <v>47</v>
      </c>
      <c r="S271" s="21"/>
      <c r="T271" s="19"/>
      <c r="U271" s="21"/>
      <c r="V271" s="7"/>
      <c r="W271" s="7"/>
      <c r="X271" s="51" t="str">
        <f t="shared" si="2"/>
        <v/>
      </c>
      <c r="Y271" s="51" t="str">
        <f t="shared" si="3"/>
        <v/>
      </c>
      <c r="Z271" s="37"/>
    </row>
    <row r="272" spans="1:26" ht="14.25" customHeight="1" x14ac:dyDescent="0.3">
      <c r="A272" s="18">
        <v>67.3</v>
      </c>
      <c r="B272" s="19"/>
      <c r="C272" s="18" t="s">
        <v>55</v>
      </c>
      <c r="D272" s="19"/>
      <c r="E272" s="25"/>
      <c r="F272" s="19"/>
      <c r="G272" s="21">
        <v>0</v>
      </c>
      <c r="H272" s="21"/>
      <c r="I272" s="21"/>
      <c r="J272" s="21"/>
      <c r="K272" s="19"/>
      <c r="L272" s="19"/>
      <c r="M272" s="22">
        <v>1</v>
      </c>
      <c r="N272" s="19"/>
      <c r="O272" s="25"/>
      <c r="P272" s="23"/>
      <c r="Q272" s="21" t="s">
        <v>46</v>
      </c>
      <c r="R272" s="19" t="s">
        <v>47</v>
      </c>
      <c r="S272" s="21"/>
      <c r="T272" s="19"/>
      <c r="U272" s="21"/>
      <c r="V272" s="7"/>
      <c r="W272" s="7"/>
      <c r="X272" s="51" t="str">
        <f t="shared" si="2"/>
        <v/>
      </c>
      <c r="Y272" s="51" t="str">
        <f t="shared" si="3"/>
        <v/>
      </c>
      <c r="Z272" s="37"/>
    </row>
    <row r="273" spans="1:26" ht="14.25" customHeight="1" x14ac:dyDescent="0.3">
      <c r="A273" s="18">
        <v>67.400000000000006</v>
      </c>
      <c r="B273" s="19"/>
      <c r="C273" s="18" t="s">
        <v>55</v>
      </c>
      <c r="D273" s="19"/>
      <c r="E273" s="25"/>
      <c r="F273" s="19"/>
      <c r="G273" s="21">
        <v>0</v>
      </c>
      <c r="H273" s="21"/>
      <c r="I273" s="21"/>
      <c r="J273" s="21"/>
      <c r="K273" s="19"/>
      <c r="L273" s="19"/>
      <c r="M273" s="22">
        <v>1</v>
      </c>
      <c r="N273" s="19"/>
      <c r="O273" s="25"/>
      <c r="P273" s="23"/>
      <c r="Q273" s="21" t="s">
        <v>46</v>
      </c>
      <c r="R273" s="19" t="s">
        <v>47</v>
      </c>
      <c r="S273" s="21"/>
      <c r="T273" s="19"/>
      <c r="U273" s="21"/>
      <c r="V273" s="7"/>
      <c r="W273" s="7"/>
      <c r="X273" s="51" t="str">
        <f t="shared" si="2"/>
        <v/>
      </c>
      <c r="Y273" s="51" t="str">
        <f t="shared" si="3"/>
        <v/>
      </c>
      <c r="Z273" s="37"/>
    </row>
    <row r="274" spans="1:26" ht="14.25" customHeight="1" x14ac:dyDescent="0.3">
      <c r="A274" s="18">
        <v>68.099999999999994</v>
      </c>
      <c r="B274" s="19"/>
      <c r="C274" s="18" t="s">
        <v>55</v>
      </c>
      <c r="D274" s="19"/>
      <c r="E274" s="25"/>
      <c r="F274" s="19"/>
      <c r="G274" s="21">
        <v>0</v>
      </c>
      <c r="H274" s="21"/>
      <c r="I274" s="21"/>
      <c r="J274" s="21"/>
      <c r="K274" s="19"/>
      <c r="L274" s="19"/>
      <c r="M274" s="22">
        <v>1</v>
      </c>
      <c r="N274" s="19"/>
      <c r="O274" s="25"/>
      <c r="P274" s="23"/>
      <c r="Q274" s="21" t="s">
        <v>46</v>
      </c>
      <c r="R274" s="19" t="s">
        <v>47</v>
      </c>
      <c r="S274" s="21"/>
      <c r="T274" s="19"/>
      <c r="U274" s="21"/>
      <c r="V274" s="7"/>
      <c r="W274" s="7"/>
      <c r="X274" s="51" t="str">
        <f t="shared" si="2"/>
        <v/>
      </c>
      <c r="Y274" s="51" t="str">
        <f t="shared" si="3"/>
        <v/>
      </c>
      <c r="Z274" s="37"/>
    </row>
    <row r="275" spans="1:26" ht="14.25" customHeight="1" x14ac:dyDescent="0.3">
      <c r="A275" s="18">
        <v>68.2</v>
      </c>
      <c r="B275" s="19"/>
      <c r="C275" s="18" t="s">
        <v>55</v>
      </c>
      <c r="D275" s="19"/>
      <c r="E275" s="25"/>
      <c r="F275" s="19"/>
      <c r="G275" s="21">
        <v>0</v>
      </c>
      <c r="H275" s="21"/>
      <c r="I275" s="21"/>
      <c r="J275" s="21"/>
      <c r="K275" s="19"/>
      <c r="L275" s="19"/>
      <c r="M275" s="22">
        <v>1</v>
      </c>
      <c r="N275" s="19"/>
      <c r="O275" s="25"/>
      <c r="P275" s="23"/>
      <c r="Q275" s="21" t="s">
        <v>46</v>
      </c>
      <c r="R275" s="19" t="s">
        <v>47</v>
      </c>
      <c r="S275" s="21"/>
      <c r="T275" s="19"/>
      <c r="U275" s="21"/>
      <c r="V275" s="7"/>
      <c r="W275" s="7"/>
      <c r="X275" s="51" t="str">
        <f t="shared" si="2"/>
        <v/>
      </c>
      <c r="Y275" s="51" t="str">
        <f t="shared" si="3"/>
        <v/>
      </c>
      <c r="Z275" s="37"/>
    </row>
    <row r="276" spans="1:26" ht="14.25" customHeight="1" x14ac:dyDescent="0.3">
      <c r="A276" s="18">
        <v>68.3</v>
      </c>
      <c r="B276" s="19"/>
      <c r="C276" s="18" t="s">
        <v>55</v>
      </c>
      <c r="D276" s="19"/>
      <c r="E276" s="25"/>
      <c r="F276" s="19"/>
      <c r="G276" s="21">
        <v>0</v>
      </c>
      <c r="H276" s="21"/>
      <c r="I276" s="21"/>
      <c r="J276" s="21"/>
      <c r="K276" s="19"/>
      <c r="L276" s="19"/>
      <c r="M276" s="22">
        <v>1</v>
      </c>
      <c r="N276" s="19"/>
      <c r="O276" s="25"/>
      <c r="P276" s="23"/>
      <c r="Q276" s="21" t="s">
        <v>46</v>
      </c>
      <c r="R276" s="19" t="s">
        <v>47</v>
      </c>
      <c r="S276" s="21"/>
      <c r="T276" s="19"/>
      <c r="U276" s="21"/>
      <c r="V276" s="7"/>
      <c r="W276" s="7"/>
      <c r="X276" s="51" t="str">
        <f t="shared" si="2"/>
        <v/>
      </c>
      <c r="Y276" s="51" t="str">
        <f t="shared" si="3"/>
        <v/>
      </c>
      <c r="Z276" s="37"/>
    </row>
    <row r="277" spans="1:26" ht="14.25" customHeight="1" x14ac:dyDescent="0.3">
      <c r="A277" s="18">
        <v>68.400000000000006</v>
      </c>
      <c r="B277" s="19"/>
      <c r="C277" s="18" t="s">
        <v>55</v>
      </c>
      <c r="D277" s="19"/>
      <c r="E277" s="25"/>
      <c r="F277" s="19"/>
      <c r="G277" s="21">
        <v>0</v>
      </c>
      <c r="H277" s="21"/>
      <c r="I277" s="21"/>
      <c r="J277" s="21"/>
      <c r="K277" s="19"/>
      <c r="L277" s="19"/>
      <c r="M277" s="22">
        <v>1</v>
      </c>
      <c r="N277" s="19"/>
      <c r="O277" s="25"/>
      <c r="P277" s="23"/>
      <c r="Q277" s="21" t="s">
        <v>46</v>
      </c>
      <c r="R277" s="19" t="s">
        <v>47</v>
      </c>
      <c r="S277" s="21"/>
      <c r="T277" s="19"/>
      <c r="U277" s="21"/>
      <c r="V277" s="7"/>
      <c r="W277" s="7"/>
      <c r="X277" s="51" t="str">
        <f t="shared" si="2"/>
        <v/>
      </c>
      <c r="Y277" s="51" t="str">
        <f t="shared" si="3"/>
        <v/>
      </c>
      <c r="Z277" s="37"/>
    </row>
    <row r="278" spans="1:26" ht="14.25" customHeight="1" x14ac:dyDescent="0.3">
      <c r="A278" s="18">
        <v>69.099999999999994</v>
      </c>
      <c r="B278" s="19"/>
      <c r="C278" s="18" t="s">
        <v>55</v>
      </c>
      <c r="D278" s="19"/>
      <c r="E278" s="25"/>
      <c r="F278" s="19"/>
      <c r="G278" s="21">
        <v>0</v>
      </c>
      <c r="H278" s="21"/>
      <c r="I278" s="21"/>
      <c r="J278" s="21"/>
      <c r="K278" s="19"/>
      <c r="L278" s="19"/>
      <c r="M278" s="22">
        <v>1</v>
      </c>
      <c r="N278" s="19"/>
      <c r="O278" s="25"/>
      <c r="P278" s="23"/>
      <c r="Q278" s="21" t="s">
        <v>46</v>
      </c>
      <c r="R278" s="19" t="s">
        <v>47</v>
      </c>
      <c r="S278" s="21"/>
      <c r="T278" s="19"/>
      <c r="U278" s="21"/>
      <c r="V278" s="7"/>
      <c r="W278" s="7"/>
      <c r="X278" s="51" t="str">
        <f t="shared" si="2"/>
        <v/>
      </c>
      <c r="Y278" s="51" t="str">
        <f t="shared" si="3"/>
        <v/>
      </c>
      <c r="Z278" s="37"/>
    </row>
    <row r="279" spans="1:26" ht="14.25" customHeight="1" x14ac:dyDescent="0.3">
      <c r="A279" s="18">
        <v>69.2</v>
      </c>
      <c r="B279" s="19"/>
      <c r="C279" s="18" t="s">
        <v>55</v>
      </c>
      <c r="D279" s="19"/>
      <c r="E279" s="25"/>
      <c r="F279" s="19"/>
      <c r="G279" s="21">
        <v>0</v>
      </c>
      <c r="H279" s="21"/>
      <c r="I279" s="21"/>
      <c r="J279" s="21"/>
      <c r="K279" s="19"/>
      <c r="L279" s="19"/>
      <c r="M279" s="22">
        <v>1</v>
      </c>
      <c r="N279" s="19"/>
      <c r="O279" s="25"/>
      <c r="P279" s="23"/>
      <c r="Q279" s="21" t="s">
        <v>46</v>
      </c>
      <c r="R279" s="19" t="s">
        <v>47</v>
      </c>
      <c r="S279" s="21"/>
      <c r="T279" s="19"/>
      <c r="U279" s="21"/>
      <c r="V279" s="7"/>
      <c r="W279" s="7"/>
      <c r="X279" s="51" t="str">
        <f t="shared" si="2"/>
        <v/>
      </c>
      <c r="Y279" s="51" t="str">
        <f t="shared" si="3"/>
        <v/>
      </c>
      <c r="Z279" s="37"/>
    </row>
    <row r="280" spans="1:26" ht="14.25" customHeight="1" x14ac:dyDescent="0.3">
      <c r="A280" s="18">
        <v>69.3</v>
      </c>
      <c r="B280" s="19"/>
      <c r="C280" s="18" t="s">
        <v>55</v>
      </c>
      <c r="D280" s="19"/>
      <c r="E280" s="25"/>
      <c r="F280" s="19"/>
      <c r="G280" s="21">
        <v>0</v>
      </c>
      <c r="H280" s="21"/>
      <c r="I280" s="21"/>
      <c r="J280" s="21"/>
      <c r="K280" s="19"/>
      <c r="L280" s="19"/>
      <c r="M280" s="22">
        <v>1</v>
      </c>
      <c r="N280" s="19"/>
      <c r="O280" s="25"/>
      <c r="P280" s="23"/>
      <c r="Q280" s="21" t="s">
        <v>46</v>
      </c>
      <c r="R280" s="19" t="s">
        <v>47</v>
      </c>
      <c r="S280" s="21"/>
      <c r="T280" s="19"/>
      <c r="U280" s="21"/>
      <c r="V280" s="7"/>
      <c r="W280" s="7"/>
      <c r="X280" s="51" t="str">
        <f t="shared" si="2"/>
        <v/>
      </c>
      <c r="Y280" s="51" t="str">
        <f t="shared" si="3"/>
        <v/>
      </c>
      <c r="Z280" s="37"/>
    </row>
    <row r="281" spans="1:26" ht="14.25" customHeight="1" x14ac:dyDescent="0.3">
      <c r="A281" s="18">
        <v>69.400000000000006</v>
      </c>
      <c r="B281" s="19"/>
      <c r="C281" s="18" t="s">
        <v>55</v>
      </c>
      <c r="D281" s="19"/>
      <c r="E281" s="25"/>
      <c r="F281" s="19"/>
      <c r="G281" s="21">
        <v>0</v>
      </c>
      <c r="H281" s="21"/>
      <c r="I281" s="21"/>
      <c r="J281" s="21"/>
      <c r="K281" s="19"/>
      <c r="L281" s="19"/>
      <c r="M281" s="22">
        <v>1</v>
      </c>
      <c r="N281" s="19"/>
      <c r="O281" s="25"/>
      <c r="P281" s="23"/>
      <c r="Q281" s="21" t="s">
        <v>46</v>
      </c>
      <c r="R281" s="19" t="s">
        <v>47</v>
      </c>
      <c r="S281" s="21"/>
      <c r="T281" s="19"/>
      <c r="U281" s="21"/>
      <c r="V281" s="7"/>
      <c r="W281" s="7"/>
      <c r="X281" s="51" t="str">
        <f t="shared" si="2"/>
        <v/>
      </c>
      <c r="Y281" s="51" t="str">
        <f t="shared" si="3"/>
        <v/>
      </c>
      <c r="Z281" s="37"/>
    </row>
    <row r="282" spans="1:26" ht="14.25" customHeight="1" x14ac:dyDescent="0.3">
      <c r="A282" s="18">
        <v>70.099999999999994</v>
      </c>
      <c r="B282" s="19"/>
      <c r="C282" s="18" t="s">
        <v>55</v>
      </c>
      <c r="D282" s="19"/>
      <c r="E282" s="25"/>
      <c r="F282" s="19"/>
      <c r="G282" s="21">
        <v>0</v>
      </c>
      <c r="H282" s="21"/>
      <c r="I282" s="21"/>
      <c r="J282" s="21"/>
      <c r="K282" s="19"/>
      <c r="L282" s="19"/>
      <c r="M282" s="22">
        <v>1</v>
      </c>
      <c r="N282" s="19"/>
      <c r="O282" s="25"/>
      <c r="P282" s="23"/>
      <c r="Q282" s="21" t="s">
        <v>46</v>
      </c>
      <c r="R282" s="19" t="s">
        <v>47</v>
      </c>
      <c r="S282" s="21"/>
      <c r="T282" s="19"/>
      <c r="U282" s="21"/>
      <c r="V282" s="7"/>
      <c r="W282" s="7"/>
      <c r="X282" s="51" t="str">
        <f t="shared" si="2"/>
        <v/>
      </c>
      <c r="Y282" s="51" t="str">
        <f t="shared" si="3"/>
        <v/>
      </c>
      <c r="Z282" s="37"/>
    </row>
    <row r="283" spans="1:26" ht="14.25" customHeight="1" x14ac:dyDescent="0.3">
      <c r="A283" s="18">
        <v>70.2</v>
      </c>
      <c r="B283" s="19"/>
      <c r="C283" s="18" t="s">
        <v>55</v>
      </c>
      <c r="D283" s="19"/>
      <c r="E283" s="25"/>
      <c r="F283" s="19"/>
      <c r="G283" s="21">
        <v>0</v>
      </c>
      <c r="H283" s="21"/>
      <c r="I283" s="21"/>
      <c r="J283" s="21"/>
      <c r="K283" s="19"/>
      <c r="L283" s="19"/>
      <c r="M283" s="22">
        <v>1</v>
      </c>
      <c r="N283" s="19"/>
      <c r="O283" s="25"/>
      <c r="P283" s="23"/>
      <c r="Q283" s="21" t="s">
        <v>46</v>
      </c>
      <c r="R283" s="19" t="s">
        <v>47</v>
      </c>
      <c r="S283" s="21"/>
      <c r="T283" s="19"/>
      <c r="U283" s="21"/>
      <c r="V283" s="7"/>
      <c r="W283" s="7"/>
      <c r="X283" s="51" t="str">
        <f t="shared" si="2"/>
        <v/>
      </c>
      <c r="Y283" s="51" t="str">
        <f t="shared" si="3"/>
        <v/>
      </c>
      <c r="Z283" s="37"/>
    </row>
    <row r="284" spans="1:26" ht="14.25" customHeight="1" x14ac:dyDescent="0.3">
      <c r="A284" s="18">
        <v>70.3</v>
      </c>
      <c r="B284" s="19"/>
      <c r="C284" s="18" t="s">
        <v>55</v>
      </c>
      <c r="D284" s="19"/>
      <c r="E284" s="25"/>
      <c r="F284" s="19"/>
      <c r="G284" s="21">
        <v>0</v>
      </c>
      <c r="H284" s="21"/>
      <c r="I284" s="21"/>
      <c r="J284" s="21"/>
      <c r="K284" s="19"/>
      <c r="L284" s="19"/>
      <c r="M284" s="22">
        <v>1</v>
      </c>
      <c r="N284" s="19"/>
      <c r="O284" s="25"/>
      <c r="P284" s="23"/>
      <c r="Q284" s="21" t="s">
        <v>46</v>
      </c>
      <c r="R284" s="19" t="s">
        <v>47</v>
      </c>
      <c r="S284" s="21"/>
      <c r="T284" s="19"/>
      <c r="U284" s="21"/>
      <c r="V284" s="7"/>
      <c r="W284" s="7"/>
      <c r="X284" s="51" t="str">
        <f t="shared" si="2"/>
        <v/>
      </c>
      <c r="Y284" s="51" t="str">
        <f t="shared" si="3"/>
        <v/>
      </c>
      <c r="Z284" s="37"/>
    </row>
    <row r="285" spans="1:26" ht="14.25" customHeight="1" x14ac:dyDescent="0.3">
      <c r="A285" s="18">
        <v>70.400000000000006</v>
      </c>
      <c r="B285" s="19"/>
      <c r="C285" s="18" t="s">
        <v>55</v>
      </c>
      <c r="D285" s="19"/>
      <c r="E285" s="25"/>
      <c r="F285" s="19"/>
      <c r="G285" s="21">
        <v>0</v>
      </c>
      <c r="H285" s="21"/>
      <c r="I285" s="21"/>
      <c r="J285" s="21"/>
      <c r="K285" s="19"/>
      <c r="L285" s="19"/>
      <c r="M285" s="22">
        <v>1</v>
      </c>
      <c r="N285" s="19"/>
      <c r="O285" s="25"/>
      <c r="P285" s="23"/>
      <c r="Q285" s="21" t="s">
        <v>46</v>
      </c>
      <c r="R285" s="19" t="s">
        <v>47</v>
      </c>
      <c r="S285" s="21"/>
      <c r="T285" s="19"/>
      <c r="U285" s="21"/>
      <c r="V285" s="7"/>
      <c r="W285" s="7"/>
      <c r="X285" s="51" t="str">
        <f t="shared" si="2"/>
        <v/>
      </c>
      <c r="Y285" s="51" t="str">
        <f t="shared" si="3"/>
        <v/>
      </c>
      <c r="Z285" s="37"/>
    </row>
    <row r="286" spans="1:26" ht="14.25" customHeight="1" x14ac:dyDescent="0.3">
      <c r="A286" s="18">
        <v>71.099999999999994</v>
      </c>
      <c r="B286" s="19"/>
      <c r="C286" s="18" t="s">
        <v>55</v>
      </c>
      <c r="D286" s="19"/>
      <c r="E286" s="25"/>
      <c r="F286" s="19"/>
      <c r="G286" s="21">
        <v>0</v>
      </c>
      <c r="H286" s="21"/>
      <c r="I286" s="21"/>
      <c r="J286" s="21"/>
      <c r="K286" s="19"/>
      <c r="L286" s="19"/>
      <c r="M286" s="22">
        <v>1</v>
      </c>
      <c r="N286" s="19"/>
      <c r="O286" s="25"/>
      <c r="P286" s="23"/>
      <c r="Q286" s="21" t="s">
        <v>46</v>
      </c>
      <c r="R286" s="19" t="s">
        <v>47</v>
      </c>
      <c r="S286" s="21"/>
      <c r="T286" s="19"/>
      <c r="U286" s="21"/>
      <c r="V286" s="7"/>
      <c r="W286" s="7"/>
      <c r="X286" s="51" t="str">
        <f t="shared" si="2"/>
        <v/>
      </c>
      <c r="Y286" s="51" t="str">
        <f t="shared" si="3"/>
        <v/>
      </c>
      <c r="Z286" s="37"/>
    </row>
    <row r="287" spans="1:26" ht="14.25" customHeight="1" x14ac:dyDescent="0.3">
      <c r="A287" s="18">
        <v>71.2</v>
      </c>
      <c r="B287" s="19"/>
      <c r="C287" s="18" t="s">
        <v>55</v>
      </c>
      <c r="D287" s="19"/>
      <c r="E287" s="25"/>
      <c r="F287" s="19"/>
      <c r="G287" s="21">
        <v>0</v>
      </c>
      <c r="H287" s="21"/>
      <c r="I287" s="21"/>
      <c r="J287" s="21"/>
      <c r="K287" s="19"/>
      <c r="L287" s="19"/>
      <c r="M287" s="22">
        <v>1</v>
      </c>
      <c r="N287" s="19"/>
      <c r="O287" s="25"/>
      <c r="P287" s="23"/>
      <c r="Q287" s="21" t="s">
        <v>46</v>
      </c>
      <c r="R287" s="19" t="s">
        <v>47</v>
      </c>
      <c r="S287" s="21"/>
      <c r="T287" s="19"/>
      <c r="U287" s="21"/>
      <c r="V287" s="7"/>
      <c r="W287" s="7"/>
      <c r="X287" s="51" t="str">
        <f t="shared" si="2"/>
        <v/>
      </c>
      <c r="Y287" s="51" t="str">
        <f t="shared" si="3"/>
        <v/>
      </c>
      <c r="Z287" s="37"/>
    </row>
    <row r="288" spans="1:26" ht="14.25" customHeight="1" x14ac:dyDescent="0.3">
      <c r="A288" s="18">
        <v>71.3</v>
      </c>
      <c r="B288" s="19"/>
      <c r="C288" s="18" t="s">
        <v>55</v>
      </c>
      <c r="D288" s="19"/>
      <c r="E288" s="25"/>
      <c r="F288" s="19"/>
      <c r="G288" s="21">
        <v>0</v>
      </c>
      <c r="H288" s="21"/>
      <c r="I288" s="21"/>
      <c r="J288" s="21"/>
      <c r="K288" s="19"/>
      <c r="L288" s="19"/>
      <c r="M288" s="22">
        <v>1</v>
      </c>
      <c r="N288" s="19"/>
      <c r="O288" s="25"/>
      <c r="P288" s="23"/>
      <c r="Q288" s="21" t="s">
        <v>46</v>
      </c>
      <c r="R288" s="19" t="s">
        <v>47</v>
      </c>
      <c r="S288" s="21"/>
      <c r="T288" s="19"/>
      <c r="U288" s="21"/>
      <c r="V288" s="7"/>
      <c r="W288" s="7"/>
      <c r="X288" s="51" t="str">
        <f t="shared" si="2"/>
        <v/>
      </c>
      <c r="Y288" s="51" t="str">
        <f t="shared" si="3"/>
        <v/>
      </c>
      <c r="Z288" s="37"/>
    </row>
    <row r="289" spans="1:26" ht="14.25" customHeight="1" x14ac:dyDescent="0.3">
      <c r="A289" s="18">
        <v>71.400000000000006</v>
      </c>
      <c r="B289" s="19"/>
      <c r="C289" s="18" t="s">
        <v>55</v>
      </c>
      <c r="D289" s="19"/>
      <c r="E289" s="25"/>
      <c r="F289" s="19"/>
      <c r="G289" s="21">
        <v>0</v>
      </c>
      <c r="H289" s="21"/>
      <c r="I289" s="21"/>
      <c r="J289" s="21"/>
      <c r="K289" s="19"/>
      <c r="L289" s="19"/>
      <c r="M289" s="22">
        <v>1</v>
      </c>
      <c r="N289" s="19"/>
      <c r="O289" s="25"/>
      <c r="P289" s="23"/>
      <c r="Q289" s="21" t="s">
        <v>46</v>
      </c>
      <c r="R289" s="19" t="s">
        <v>47</v>
      </c>
      <c r="S289" s="21"/>
      <c r="T289" s="19"/>
      <c r="U289" s="21"/>
      <c r="V289" s="7"/>
      <c r="W289" s="7"/>
      <c r="X289" s="51" t="str">
        <f t="shared" si="2"/>
        <v/>
      </c>
      <c r="Y289" s="51" t="str">
        <f t="shared" si="3"/>
        <v/>
      </c>
      <c r="Z289" s="37"/>
    </row>
    <row r="290" spans="1:26" ht="14.25" customHeight="1" x14ac:dyDescent="0.3">
      <c r="A290" s="18">
        <v>72.099999999999994</v>
      </c>
      <c r="B290" s="19"/>
      <c r="C290" s="18" t="s">
        <v>55</v>
      </c>
      <c r="D290" s="19"/>
      <c r="E290" s="25"/>
      <c r="F290" s="19"/>
      <c r="G290" s="21">
        <v>0</v>
      </c>
      <c r="H290" s="21"/>
      <c r="I290" s="21"/>
      <c r="J290" s="21"/>
      <c r="K290" s="19"/>
      <c r="L290" s="19"/>
      <c r="M290" s="22">
        <v>1</v>
      </c>
      <c r="N290" s="19"/>
      <c r="O290" s="25"/>
      <c r="P290" s="23"/>
      <c r="Q290" s="21" t="s">
        <v>46</v>
      </c>
      <c r="R290" s="19" t="s">
        <v>47</v>
      </c>
      <c r="S290" s="21"/>
      <c r="T290" s="19"/>
      <c r="U290" s="21"/>
      <c r="V290" s="7"/>
      <c r="W290" s="7"/>
      <c r="X290" s="51" t="str">
        <f t="shared" si="2"/>
        <v/>
      </c>
      <c r="Y290" s="51" t="str">
        <f t="shared" si="3"/>
        <v/>
      </c>
      <c r="Z290" s="37"/>
    </row>
    <row r="291" spans="1:26" ht="14.25" customHeight="1" x14ac:dyDescent="0.3">
      <c r="A291" s="18">
        <v>72.2</v>
      </c>
      <c r="B291" s="19"/>
      <c r="C291" s="18" t="s">
        <v>55</v>
      </c>
      <c r="D291" s="19"/>
      <c r="E291" s="25"/>
      <c r="F291" s="19"/>
      <c r="G291" s="21">
        <v>0</v>
      </c>
      <c r="H291" s="21"/>
      <c r="I291" s="21"/>
      <c r="J291" s="21"/>
      <c r="K291" s="19"/>
      <c r="L291" s="19"/>
      <c r="M291" s="22">
        <v>1</v>
      </c>
      <c r="N291" s="19"/>
      <c r="O291" s="25"/>
      <c r="P291" s="23"/>
      <c r="Q291" s="21" t="s">
        <v>46</v>
      </c>
      <c r="R291" s="19" t="s">
        <v>47</v>
      </c>
      <c r="S291" s="21"/>
      <c r="T291" s="19"/>
      <c r="U291" s="21"/>
      <c r="V291" s="7"/>
      <c r="W291" s="7"/>
      <c r="X291" s="51" t="str">
        <f t="shared" si="2"/>
        <v/>
      </c>
      <c r="Y291" s="51" t="str">
        <f t="shared" si="3"/>
        <v/>
      </c>
      <c r="Z291" s="37"/>
    </row>
    <row r="292" spans="1:26" ht="14.25" customHeight="1" x14ac:dyDescent="0.3">
      <c r="A292" s="18">
        <v>72.3</v>
      </c>
      <c r="B292" s="19"/>
      <c r="C292" s="18" t="s">
        <v>55</v>
      </c>
      <c r="D292" s="19"/>
      <c r="E292" s="25"/>
      <c r="F292" s="19"/>
      <c r="G292" s="21">
        <v>0</v>
      </c>
      <c r="H292" s="21"/>
      <c r="I292" s="21"/>
      <c r="J292" s="21"/>
      <c r="K292" s="19"/>
      <c r="L292" s="19"/>
      <c r="M292" s="22">
        <v>1</v>
      </c>
      <c r="N292" s="19"/>
      <c r="O292" s="25"/>
      <c r="P292" s="23"/>
      <c r="Q292" s="21" t="s">
        <v>46</v>
      </c>
      <c r="R292" s="19" t="s">
        <v>47</v>
      </c>
      <c r="S292" s="21"/>
      <c r="T292" s="19"/>
      <c r="U292" s="21"/>
      <c r="V292" s="7"/>
      <c r="W292" s="7"/>
      <c r="X292" s="51" t="str">
        <f t="shared" si="2"/>
        <v/>
      </c>
      <c r="Y292" s="51" t="str">
        <f t="shared" si="3"/>
        <v/>
      </c>
      <c r="Z292" s="37"/>
    </row>
    <row r="293" spans="1:26" ht="14.25" customHeight="1" x14ac:dyDescent="0.3">
      <c r="A293" s="18">
        <v>72.400000000000006</v>
      </c>
      <c r="B293" s="19"/>
      <c r="C293" s="18" t="s">
        <v>55</v>
      </c>
      <c r="D293" s="19"/>
      <c r="E293" s="25"/>
      <c r="F293" s="19"/>
      <c r="G293" s="21">
        <v>0</v>
      </c>
      <c r="H293" s="21"/>
      <c r="I293" s="21"/>
      <c r="J293" s="21"/>
      <c r="K293" s="19"/>
      <c r="L293" s="19"/>
      <c r="M293" s="22">
        <v>1</v>
      </c>
      <c r="N293" s="19"/>
      <c r="O293" s="25"/>
      <c r="P293" s="23"/>
      <c r="Q293" s="21" t="s">
        <v>46</v>
      </c>
      <c r="R293" s="19" t="s">
        <v>47</v>
      </c>
      <c r="S293" s="21"/>
      <c r="T293" s="19"/>
      <c r="U293" s="21"/>
      <c r="V293" s="7"/>
      <c r="W293" s="7"/>
      <c r="X293" s="51" t="str">
        <f t="shared" si="2"/>
        <v/>
      </c>
      <c r="Y293" s="51" t="str">
        <f t="shared" si="3"/>
        <v/>
      </c>
      <c r="Z293" s="37"/>
    </row>
    <row r="294" spans="1:26" ht="14.25" customHeight="1" x14ac:dyDescent="0.3">
      <c r="A294" s="18">
        <v>73.099999999999994</v>
      </c>
      <c r="B294" s="19"/>
      <c r="C294" s="18" t="s">
        <v>55</v>
      </c>
      <c r="D294" s="19"/>
      <c r="E294" s="25"/>
      <c r="F294" s="19"/>
      <c r="G294" s="21">
        <v>0</v>
      </c>
      <c r="H294" s="21"/>
      <c r="I294" s="21"/>
      <c r="J294" s="21"/>
      <c r="K294" s="19"/>
      <c r="L294" s="19"/>
      <c r="M294" s="22">
        <v>1</v>
      </c>
      <c r="N294" s="19"/>
      <c r="O294" s="25"/>
      <c r="P294" s="23"/>
      <c r="Q294" s="21" t="s">
        <v>46</v>
      </c>
      <c r="R294" s="19" t="s">
        <v>47</v>
      </c>
      <c r="S294" s="21"/>
      <c r="T294" s="19"/>
      <c r="U294" s="21"/>
      <c r="V294" s="7"/>
      <c r="W294" s="7"/>
      <c r="X294" s="51" t="str">
        <f t="shared" si="2"/>
        <v/>
      </c>
      <c r="Y294" s="51" t="str">
        <f t="shared" si="3"/>
        <v/>
      </c>
      <c r="Z294" s="37"/>
    </row>
    <row r="295" spans="1:26" ht="14.25" customHeight="1" x14ac:dyDescent="0.3">
      <c r="A295" s="18">
        <v>73.2</v>
      </c>
      <c r="B295" s="19"/>
      <c r="C295" s="18" t="s">
        <v>55</v>
      </c>
      <c r="D295" s="19"/>
      <c r="E295" s="25"/>
      <c r="F295" s="19"/>
      <c r="G295" s="21">
        <v>0</v>
      </c>
      <c r="H295" s="21"/>
      <c r="I295" s="21"/>
      <c r="J295" s="21"/>
      <c r="K295" s="19"/>
      <c r="L295" s="19"/>
      <c r="M295" s="22">
        <v>1</v>
      </c>
      <c r="N295" s="19"/>
      <c r="O295" s="25"/>
      <c r="P295" s="23"/>
      <c r="Q295" s="21" t="s">
        <v>46</v>
      </c>
      <c r="R295" s="19" t="s">
        <v>47</v>
      </c>
      <c r="S295" s="21"/>
      <c r="T295" s="19"/>
      <c r="U295" s="21"/>
      <c r="V295" s="7"/>
      <c r="W295" s="7"/>
      <c r="X295" s="51" t="str">
        <f t="shared" si="2"/>
        <v/>
      </c>
      <c r="Y295" s="51" t="str">
        <f t="shared" si="3"/>
        <v/>
      </c>
      <c r="Z295" s="37"/>
    </row>
    <row r="296" spans="1:26" ht="14.25" customHeight="1" x14ac:dyDescent="0.3">
      <c r="A296" s="18">
        <v>73.3</v>
      </c>
      <c r="B296" s="19"/>
      <c r="C296" s="18" t="s">
        <v>55</v>
      </c>
      <c r="D296" s="19"/>
      <c r="E296" s="25"/>
      <c r="F296" s="19"/>
      <c r="G296" s="21">
        <v>0</v>
      </c>
      <c r="H296" s="21"/>
      <c r="I296" s="21"/>
      <c r="J296" s="21"/>
      <c r="K296" s="19"/>
      <c r="L296" s="19"/>
      <c r="M296" s="22">
        <v>1</v>
      </c>
      <c r="N296" s="19"/>
      <c r="O296" s="25"/>
      <c r="P296" s="23"/>
      <c r="Q296" s="21" t="s">
        <v>46</v>
      </c>
      <c r="R296" s="19" t="s">
        <v>47</v>
      </c>
      <c r="S296" s="21"/>
      <c r="T296" s="19"/>
      <c r="U296" s="21"/>
      <c r="V296" s="7"/>
      <c r="W296" s="7"/>
      <c r="X296" s="51" t="str">
        <f t="shared" si="2"/>
        <v/>
      </c>
      <c r="Y296" s="51" t="str">
        <f t="shared" si="3"/>
        <v/>
      </c>
      <c r="Z296" s="37"/>
    </row>
    <row r="297" spans="1:26" ht="14.25" customHeight="1" x14ac:dyDescent="0.3">
      <c r="A297" s="18">
        <v>73.400000000000006</v>
      </c>
      <c r="B297" s="19"/>
      <c r="C297" s="18" t="s">
        <v>55</v>
      </c>
      <c r="D297" s="19"/>
      <c r="E297" s="25"/>
      <c r="F297" s="19"/>
      <c r="G297" s="21">
        <v>0</v>
      </c>
      <c r="H297" s="21"/>
      <c r="I297" s="21"/>
      <c r="J297" s="21"/>
      <c r="K297" s="19"/>
      <c r="L297" s="19"/>
      <c r="M297" s="22">
        <v>1</v>
      </c>
      <c r="N297" s="19"/>
      <c r="O297" s="25"/>
      <c r="P297" s="23"/>
      <c r="Q297" s="21" t="s">
        <v>46</v>
      </c>
      <c r="R297" s="19" t="s">
        <v>47</v>
      </c>
      <c r="S297" s="21"/>
      <c r="T297" s="19"/>
      <c r="U297" s="21"/>
      <c r="V297" s="7"/>
      <c r="W297" s="7"/>
      <c r="X297" s="51" t="str">
        <f t="shared" si="2"/>
        <v/>
      </c>
      <c r="Y297" s="51" t="str">
        <f t="shared" si="3"/>
        <v/>
      </c>
      <c r="Z297" s="37"/>
    </row>
    <row r="298" spans="1:26" ht="14.25" customHeight="1" x14ac:dyDescent="0.3">
      <c r="A298" s="18">
        <v>74.099999999999994</v>
      </c>
      <c r="B298" s="19"/>
      <c r="C298" s="18" t="s">
        <v>55</v>
      </c>
      <c r="D298" s="19"/>
      <c r="E298" s="25"/>
      <c r="F298" s="19"/>
      <c r="G298" s="21">
        <v>0</v>
      </c>
      <c r="H298" s="21"/>
      <c r="I298" s="21"/>
      <c r="J298" s="21"/>
      <c r="K298" s="19"/>
      <c r="L298" s="19"/>
      <c r="M298" s="22">
        <v>1</v>
      </c>
      <c r="N298" s="19"/>
      <c r="O298" s="25"/>
      <c r="P298" s="23"/>
      <c r="Q298" s="21" t="s">
        <v>46</v>
      </c>
      <c r="R298" s="19" t="s">
        <v>47</v>
      </c>
      <c r="S298" s="21"/>
      <c r="T298" s="19"/>
      <c r="U298" s="21"/>
      <c r="V298" s="7"/>
      <c r="W298" s="7"/>
      <c r="X298" s="51" t="str">
        <f t="shared" si="2"/>
        <v/>
      </c>
      <c r="Y298" s="51" t="str">
        <f t="shared" si="3"/>
        <v/>
      </c>
      <c r="Z298" s="37"/>
    </row>
    <row r="299" spans="1:26" ht="14.25" customHeight="1" x14ac:dyDescent="0.3">
      <c r="A299" s="18">
        <v>74.2</v>
      </c>
      <c r="B299" s="19"/>
      <c r="C299" s="18" t="s">
        <v>55</v>
      </c>
      <c r="D299" s="19"/>
      <c r="E299" s="25"/>
      <c r="F299" s="19"/>
      <c r="G299" s="21">
        <v>0</v>
      </c>
      <c r="H299" s="21"/>
      <c r="I299" s="21"/>
      <c r="J299" s="21"/>
      <c r="K299" s="19"/>
      <c r="L299" s="19"/>
      <c r="M299" s="22">
        <v>1</v>
      </c>
      <c r="N299" s="19"/>
      <c r="O299" s="25"/>
      <c r="P299" s="23"/>
      <c r="Q299" s="21" t="s">
        <v>46</v>
      </c>
      <c r="R299" s="19" t="s">
        <v>47</v>
      </c>
      <c r="S299" s="21"/>
      <c r="T299" s="19"/>
      <c r="U299" s="21"/>
      <c r="V299" s="7"/>
      <c r="W299" s="7"/>
      <c r="X299" s="51" t="str">
        <f t="shared" si="2"/>
        <v/>
      </c>
      <c r="Y299" s="51" t="str">
        <f t="shared" si="3"/>
        <v/>
      </c>
      <c r="Z299" s="37"/>
    </row>
    <row r="300" spans="1:26" ht="14.25" customHeight="1" x14ac:dyDescent="0.3">
      <c r="A300" s="18">
        <v>74.3</v>
      </c>
      <c r="B300" s="19"/>
      <c r="C300" s="18" t="s">
        <v>55</v>
      </c>
      <c r="D300" s="19"/>
      <c r="E300" s="25"/>
      <c r="F300" s="19"/>
      <c r="G300" s="21">
        <v>0</v>
      </c>
      <c r="H300" s="21"/>
      <c r="I300" s="21"/>
      <c r="J300" s="21"/>
      <c r="K300" s="19"/>
      <c r="L300" s="19"/>
      <c r="M300" s="22">
        <v>1</v>
      </c>
      <c r="N300" s="19"/>
      <c r="O300" s="25"/>
      <c r="P300" s="23"/>
      <c r="Q300" s="21" t="s">
        <v>46</v>
      </c>
      <c r="R300" s="19" t="s">
        <v>47</v>
      </c>
      <c r="S300" s="21"/>
      <c r="T300" s="19"/>
      <c r="U300" s="21"/>
      <c r="V300" s="7"/>
      <c r="W300" s="7"/>
      <c r="X300" s="51" t="str">
        <f t="shared" si="2"/>
        <v/>
      </c>
      <c r="Y300" s="51" t="str">
        <f t="shared" si="3"/>
        <v/>
      </c>
      <c r="Z300" s="37"/>
    </row>
    <row r="301" spans="1:26" ht="14.25" customHeight="1" x14ac:dyDescent="0.3">
      <c r="A301" s="18">
        <v>74.400000000000006</v>
      </c>
      <c r="B301" s="19"/>
      <c r="C301" s="18" t="s">
        <v>55</v>
      </c>
      <c r="D301" s="19"/>
      <c r="E301" s="25"/>
      <c r="F301" s="19"/>
      <c r="G301" s="21">
        <v>0</v>
      </c>
      <c r="H301" s="21"/>
      <c r="I301" s="21"/>
      <c r="J301" s="21"/>
      <c r="K301" s="19"/>
      <c r="L301" s="19"/>
      <c r="M301" s="22">
        <v>1</v>
      </c>
      <c r="N301" s="19"/>
      <c r="O301" s="25"/>
      <c r="P301" s="23"/>
      <c r="Q301" s="21" t="s">
        <v>46</v>
      </c>
      <c r="R301" s="19" t="s">
        <v>47</v>
      </c>
      <c r="S301" s="21"/>
      <c r="T301" s="19"/>
      <c r="U301" s="21"/>
      <c r="V301" s="7"/>
      <c r="W301" s="7"/>
      <c r="X301" s="51" t="str">
        <f t="shared" si="2"/>
        <v/>
      </c>
      <c r="Y301" s="51" t="str">
        <f t="shared" si="3"/>
        <v/>
      </c>
      <c r="Z301" s="37"/>
    </row>
    <row r="302" spans="1:26" ht="14.25" customHeight="1" x14ac:dyDescent="0.3">
      <c r="A302" s="18">
        <v>75.099999999999994</v>
      </c>
      <c r="B302" s="19"/>
      <c r="C302" s="18" t="s">
        <v>55</v>
      </c>
      <c r="D302" s="19"/>
      <c r="E302" s="25"/>
      <c r="F302" s="19"/>
      <c r="G302" s="21">
        <v>0</v>
      </c>
      <c r="H302" s="21"/>
      <c r="I302" s="21"/>
      <c r="J302" s="21"/>
      <c r="K302" s="19"/>
      <c r="L302" s="19"/>
      <c r="M302" s="22">
        <v>1</v>
      </c>
      <c r="N302" s="19"/>
      <c r="O302" s="25"/>
      <c r="P302" s="23"/>
      <c r="Q302" s="21" t="s">
        <v>46</v>
      </c>
      <c r="R302" s="19" t="s">
        <v>47</v>
      </c>
      <c r="S302" s="21"/>
      <c r="T302" s="19"/>
      <c r="U302" s="21"/>
      <c r="V302" s="7"/>
      <c r="W302" s="7"/>
      <c r="X302" s="51" t="str">
        <f t="shared" si="2"/>
        <v/>
      </c>
      <c r="Y302" s="51" t="str">
        <f t="shared" si="3"/>
        <v/>
      </c>
      <c r="Z302" s="37"/>
    </row>
    <row r="303" spans="1:26" ht="14.25" customHeight="1" x14ac:dyDescent="0.3">
      <c r="A303" s="18">
        <v>75.2</v>
      </c>
      <c r="B303" s="19"/>
      <c r="C303" s="18" t="s">
        <v>55</v>
      </c>
      <c r="D303" s="19"/>
      <c r="E303" s="25"/>
      <c r="F303" s="19"/>
      <c r="G303" s="21">
        <v>0</v>
      </c>
      <c r="H303" s="21"/>
      <c r="I303" s="21"/>
      <c r="J303" s="21"/>
      <c r="K303" s="19"/>
      <c r="L303" s="19"/>
      <c r="M303" s="22">
        <v>1</v>
      </c>
      <c r="N303" s="19"/>
      <c r="O303" s="25"/>
      <c r="P303" s="23"/>
      <c r="Q303" s="21" t="s">
        <v>46</v>
      </c>
      <c r="R303" s="19" t="s">
        <v>47</v>
      </c>
      <c r="S303" s="21"/>
      <c r="T303" s="19"/>
      <c r="U303" s="21"/>
      <c r="V303" s="7"/>
      <c r="W303" s="7"/>
      <c r="X303" s="51" t="str">
        <f t="shared" si="2"/>
        <v/>
      </c>
      <c r="Y303" s="51" t="str">
        <f t="shared" si="3"/>
        <v/>
      </c>
      <c r="Z303" s="37"/>
    </row>
    <row r="304" spans="1:26" ht="14.25" customHeight="1" x14ac:dyDescent="0.3">
      <c r="A304" s="18">
        <v>75.3</v>
      </c>
      <c r="B304" s="19"/>
      <c r="C304" s="18" t="s">
        <v>55</v>
      </c>
      <c r="D304" s="19"/>
      <c r="E304" s="25"/>
      <c r="F304" s="19"/>
      <c r="G304" s="21">
        <v>0</v>
      </c>
      <c r="H304" s="21"/>
      <c r="I304" s="21"/>
      <c r="J304" s="21"/>
      <c r="K304" s="19"/>
      <c r="L304" s="19"/>
      <c r="M304" s="22">
        <v>1</v>
      </c>
      <c r="N304" s="19"/>
      <c r="O304" s="25"/>
      <c r="P304" s="23"/>
      <c r="Q304" s="21" t="s">
        <v>46</v>
      </c>
      <c r="R304" s="19" t="s">
        <v>47</v>
      </c>
      <c r="S304" s="21"/>
      <c r="T304" s="19"/>
      <c r="U304" s="21"/>
      <c r="V304" s="7"/>
      <c r="W304" s="7"/>
      <c r="X304" s="51" t="str">
        <f t="shared" si="2"/>
        <v/>
      </c>
      <c r="Y304" s="51" t="str">
        <f t="shared" si="3"/>
        <v/>
      </c>
      <c r="Z304" s="37"/>
    </row>
    <row r="305" spans="1:26" ht="14.25" customHeight="1" x14ac:dyDescent="0.3">
      <c r="A305" s="18">
        <v>75.400000000000006</v>
      </c>
      <c r="B305" s="19"/>
      <c r="C305" s="18" t="s">
        <v>55</v>
      </c>
      <c r="D305" s="19"/>
      <c r="E305" s="25"/>
      <c r="F305" s="19"/>
      <c r="G305" s="21">
        <v>0</v>
      </c>
      <c r="H305" s="21"/>
      <c r="I305" s="21"/>
      <c r="J305" s="21"/>
      <c r="K305" s="19"/>
      <c r="L305" s="19"/>
      <c r="M305" s="22">
        <v>1</v>
      </c>
      <c r="N305" s="19"/>
      <c r="O305" s="25"/>
      <c r="P305" s="23"/>
      <c r="Q305" s="21" t="s">
        <v>46</v>
      </c>
      <c r="R305" s="19" t="s">
        <v>47</v>
      </c>
      <c r="S305" s="21"/>
      <c r="T305" s="19"/>
      <c r="U305" s="21"/>
      <c r="V305" s="7"/>
      <c r="W305" s="7"/>
      <c r="X305" s="51" t="str">
        <f t="shared" si="2"/>
        <v/>
      </c>
      <c r="Y305" s="51" t="str">
        <f t="shared" si="3"/>
        <v/>
      </c>
      <c r="Z305" s="37"/>
    </row>
    <row r="306" spans="1:26" ht="14.25" customHeight="1" x14ac:dyDescent="0.3">
      <c r="A306" s="18">
        <v>76.099999999999994</v>
      </c>
      <c r="B306" s="19"/>
      <c r="C306" s="18" t="s">
        <v>55</v>
      </c>
      <c r="D306" s="19"/>
      <c r="E306" s="25"/>
      <c r="F306" s="19"/>
      <c r="G306" s="21">
        <v>0</v>
      </c>
      <c r="H306" s="21"/>
      <c r="I306" s="21"/>
      <c r="J306" s="21"/>
      <c r="K306" s="19"/>
      <c r="L306" s="19"/>
      <c r="M306" s="22">
        <v>1</v>
      </c>
      <c r="N306" s="19"/>
      <c r="O306" s="25"/>
      <c r="P306" s="23"/>
      <c r="Q306" s="21" t="s">
        <v>46</v>
      </c>
      <c r="R306" s="19" t="s">
        <v>47</v>
      </c>
      <c r="S306" s="21"/>
      <c r="T306" s="19"/>
      <c r="U306" s="21"/>
      <c r="V306" s="7"/>
      <c r="W306" s="7"/>
      <c r="X306" s="51" t="str">
        <f t="shared" si="2"/>
        <v/>
      </c>
      <c r="Y306" s="51" t="str">
        <f t="shared" si="3"/>
        <v/>
      </c>
      <c r="Z306" s="37"/>
    </row>
    <row r="307" spans="1:26" ht="14.25" customHeight="1" x14ac:dyDescent="0.3">
      <c r="A307" s="18">
        <v>76.2</v>
      </c>
      <c r="B307" s="19"/>
      <c r="C307" s="18" t="s">
        <v>55</v>
      </c>
      <c r="D307" s="19"/>
      <c r="E307" s="25"/>
      <c r="F307" s="19"/>
      <c r="G307" s="21">
        <v>0</v>
      </c>
      <c r="H307" s="21"/>
      <c r="I307" s="21"/>
      <c r="J307" s="21"/>
      <c r="K307" s="19"/>
      <c r="L307" s="19"/>
      <c r="M307" s="22">
        <v>1</v>
      </c>
      <c r="N307" s="19"/>
      <c r="O307" s="25"/>
      <c r="P307" s="23"/>
      <c r="Q307" s="21" t="s">
        <v>46</v>
      </c>
      <c r="R307" s="19" t="s">
        <v>47</v>
      </c>
      <c r="S307" s="21"/>
      <c r="T307" s="19"/>
      <c r="U307" s="21"/>
      <c r="V307" s="7"/>
      <c r="W307" s="7"/>
      <c r="X307" s="51" t="str">
        <f t="shared" si="2"/>
        <v/>
      </c>
      <c r="Y307" s="51" t="str">
        <f t="shared" si="3"/>
        <v/>
      </c>
      <c r="Z307" s="37"/>
    </row>
    <row r="308" spans="1:26" ht="14.25" customHeight="1" x14ac:dyDescent="0.3">
      <c r="A308" s="18">
        <v>76.3</v>
      </c>
      <c r="B308" s="19"/>
      <c r="C308" s="18" t="s">
        <v>55</v>
      </c>
      <c r="D308" s="19"/>
      <c r="E308" s="25"/>
      <c r="F308" s="19"/>
      <c r="G308" s="21">
        <v>0</v>
      </c>
      <c r="H308" s="21"/>
      <c r="I308" s="21"/>
      <c r="J308" s="21"/>
      <c r="K308" s="19"/>
      <c r="L308" s="19"/>
      <c r="M308" s="22">
        <v>1</v>
      </c>
      <c r="N308" s="19"/>
      <c r="O308" s="25"/>
      <c r="P308" s="23"/>
      <c r="Q308" s="21" t="s">
        <v>46</v>
      </c>
      <c r="R308" s="19" t="s">
        <v>47</v>
      </c>
      <c r="S308" s="21"/>
      <c r="T308" s="19"/>
      <c r="U308" s="21"/>
      <c r="V308" s="7"/>
      <c r="W308" s="7"/>
      <c r="X308" s="51" t="str">
        <f t="shared" si="2"/>
        <v/>
      </c>
      <c r="Y308" s="51" t="str">
        <f t="shared" si="3"/>
        <v/>
      </c>
      <c r="Z308" s="37"/>
    </row>
    <row r="309" spans="1:26" ht="14.25" customHeight="1" x14ac:dyDescent="0.3">
      <c r="A309" s="18">
        <v>76.400000000000006</v>
      </c>
      <c r="B309" s="19"/>
      <c r="C309" s="18" t="s">
        <v>55</v>
      </c>
      <c r="D309" s="19"/>
      <c r="E309" s="25"/>
      <c r="F309" s="19"/>
      <c r="G309" s="21">
        <v>0</v>
      </c>
      <c r="H309" s="21"/>
      <c r="I309" s="21"/>
      <c r="J309" s="21"/>
      <c r="K309" s="19"/>
      <c r="L309" s="19"/>
      <c r="M309" s="22">
        <v>1</v>
      </c>
      <c r="N309" s="19"/>
      <c r="O309" s="25"/>
      <c r="P309" s="23"/>
      <c r="Q309" s="21" t="s">
        <v>46</v>
      </c>
      <c r="R309" s="19" t="s">
        <v>47</v>
      </c>
      <c r="S309" s="21"/>
      <c r="T309" s="19"/>
      <c r="U309" s="21"/>
      <c r="V309" s="7"/>
      <c r="W309" s="7"/>
      <c r="X309" s="51" t="str">
        <f t="shared" si="2"/>
        <v/>
      </c>
      <c r="Y309" s="51" t="str">
        <f t="shared" si="3"/>
        <v/>
      </c>
      <c r="Z309" s="37"/>
    </row>
    <row r="310" spans="1:26" ht="14.25" customHeight="1" x14ac:dyDescent="0.3">
      <c r="A310" s="18">
        <v>77.099999999999994</v>
      </c>
      <c r="B310" s="19"/>
      <c r="C310" s="18" t="s">
        <v>55</v>
      </c>
      <c r="D310" s="19"/>
      <c r="E310" s="25"/>
      <c r="F310" s="19"/>
      <c r="G310" s="21">
        <v>0</v>
      </c>
      <c r="H310" s="21"/>
      <c r="I310" s="21"/>
      <c r="J310" s="21"/>
      <c r="K310" s="19"/>
      <c r="L310" s="19"/>
      <c r="M310" s="22">
        <v>1</v>
      </c>
      <c r="N310" s="19"/>
      <c r="O310" s="25"/>
      <c r="P310" s="23"/>
      <c r="Q310" s="21" t="s">
        <v>46</v>
      </c>
      <c r="R310" s="19" t="s">
        <v>47</v>
      </c>
      <c r="S310" s="21"/>
      <c r="T310" s="19"/>
      <c r="U310" s="21"/>
      <c r="V310" s="7"/>
      <c r="W310" s="7"/>
      <c r="X310" s="51" t="str">
        <f t="shared" si="2"/>
        <v/>
      </c>
      <c r="Y310" s="51" t="str">
        <f t="shared" si="3"/>
        <v/>
      </c>
      <c r="Z310" s="37"/>
    </row>
    <row r="311" spans="1:26" ht="14.25" customHeight="1" x14ac:dyDescent="0.3">
      <c r="A311" s="18">
        <v>77.2</v>
      </c>
      <c r="B311" s="19"/>
      <c r="C311" s="18" t="s">
        <v>55</v>
      </c>
      <c r="D311" s="19"/>
      <c r="E311" s="25"/>
      <c r="F311" s="19"/>
      <c r="G311" s="21">
        <v>0</v>
      </c>
      <c r="H311" s="21"/>
      <c r="I311" s="21"/>
      <c r="J311" s="21"/>
      <c r="K311" s="19"/>
      <c r="L311" s="19"/>
      <c r="M311" s="22">
        <v>1</v>
      </c>
      <c r="N311" s="19"/>
      <c r="O311" s="25"/>
      <c r="P311" s="23"/>
      <c r="Q311" s="21" t="s">
        <v>46</v>
      </c>
      <c r="R311" s="19" t="s">
        <v>47</v>
      </c>
      <c r="S311" s="21"/>
      <c r="T311" s="19"/>
      <c r="U311" s="21"/>
      <c r="V311" s="7"/>
      <c r="W311" s="7"/>
      <c r="X311" s="51" t="str">
        <f t="shared" si="2"/>
        <v/>
      </c>
      <c r="Y311" s="51" t="str">
        <f t="shared" si="3"/>
        <v/>
      </c>
      <c r="Z311" s="37"/>
    </row>
    <row r="312" spans="1:26" ht="14.25" customHeight="1" x14ac:dyDescent="0.3">
      <c r="A312" s="18">
        <v>77.3</v>
      </c>
      <c r="B312" s="19"/>
      <c r="C312" s="18" t="s">
        <v>55</v>
      </c>
      <c r="D312" s="19"/>
      <c r="E312" s="25"/>
      <c r="F312" s="19"/>
      <c r="G312" s="21">
        <v>0</v>
      </c>
      <c r="H312" s="21"/>
      <c r="I312" s="21"/>
      <c r="J312" s="21"/>
      <c r="K312" s="19"/>
      <c r="L312" s="19"/>
      <c r="M312" s="22">
        <v>1</v>
      </c>
      <c r="N312" s="19"/>
      <c r="O312" s="25"/>
      <c r="P312" s="23"/>
      <c r="Q312" s="21" t="s">
        <v>46</v>
      </c>
      <c r="R312" s="19" t="s">
        <v>47</v>
      </c>
      <c r="S312" s="21"/>
      <c r="T312" s="19"/>
      <c r="U312" s="21"/>
      <c r="V312" s="7"/>
      <c r="W312" s="7"/>
      <c r="X312" s="51" t="str">
        <f t="shared" si="2"/>
        <v/>
      </c>
      <c r="Y312" s="51" t="str">
        <f t="shared" si="3"/>
        <v/>
      </c>
      <c r="Z312" s="37"/>
    </row>
    <row r="313" spans="1:26" ht="14.25" customHeight="1" x14ac:dyDescent="0.3">
      <c r="A313" s="18">
        <v>77.400000000000006</v>
      </c>
      <c r="B313" s="19"/>
      <c r="C313" s="18" t="s">
        <v>55</v>
      </c>
      <c r="D313" s="19"/>
      <c r="E313" s="25"/>
      <c r="F313" s="19"/>
      <c r="G313" s="21">
        <v>0</v>
      </c>
      <c r="H313" s="21"/>
      <c r="I313" s="21"/>
      <c r="J313" s="21"/>
      <c r="K313" s="19"/>
      <c r="L313" s="19"/>
      <c r="M313" s="22">
        <v>1</v>
      </c>
      <c r="N313" s="19"/>
      <c r="O313" s="25"/>
      <c r="P313" s="23"/>
      <c r="Q313" s="21" t="s">
        <v>46</v>
      </c>
      <c r="R313" s="19" t="s">
        <v>47</v>
      </c>
      <c r="S313" s="21"/>
      <c r="T313" s="19"/>
      <c r="U313" s="21"/>
      <c r="V313" s="7"/>
      <c r="W313" s="7"/>
      <c r="X313" s="51" t="str">
        <f t="shared" si="2"/>
        <v/>
      </c>
      <c r="Y313" s="51" t="str">
        <f t="shared" si="3"/>
        <v/>
      </c>
      <c r="Z313" s="37"/>
    </row>
    <row r="314" spans="1:26" ht="14.25" customHeight="1" x14ac:dyDescent="0.3">
      <c r="A314" s="18">
        <v>78.099999999999994</v>
      </c>
      <c r="B314" s="19"/>
      <c r="C314" s="18" t="s">
        <v>55</v>
      </c>
      <c r="D314" s="19"/>
      <c r="E314" s="25"/>
      <c r="F314" s="19"/>
      <c r="G314" s="21">
        <v>0</v>
      </c>
      <c r="H314" s="21"/>
      <c r="I314" s="21"/>
      <c r="J314" s="21"/>
      <c r="K314" s="19"/>
      <c r="L314" s="19"/>
      <c r="M314" s="22">
        <v>1</v>
      </c>
      <c r="N314" s="19"/>
      <c r="O314" s="25"/>
      <c r="P314" s="23"/>
      <c r="Q314" s="21" t="s">
        <v>46</v>
      </c>
      <c r="R314" s="19" t="s">
        <v>47</v>
      </c>
      <c r="S314" s="21"/>
      <c r="T314" s="19"/>
      <c r="U314" s="21"/>
      <c r="V314" s="7"/>
      <c r="W314" s="7"/>
      <c r="X314" s="51" t="str">
        <f t="shared" si="2"/>
        <v/>
      </c>
      <c r="Y314" s="51" t="str">
        <f t="shared" si="3"/>
        <v/>
      </c>
      <c r="Z314" s="37"/>
    </row>
    <row r="315" spans="1:26" ht="14.25" customHeight="1" x14ac:dyDescent="0.3">
      <c r="A315" s="18">
        <v>78.2</v>
      </c>
      <c r="B315" s="19"/>
      <c r="C315" s="18" t="s">
        <v>55</v>
      </c>
      <c r="D315" s="19"/>
      <c r="E315" s="25"/>
      <c r="F315" s="19"/>
      <c r="G315" s="21">
        <v>0</v>
      </c>
      <c r="H315" s="21"/>
      <c r="I315" s="21"/>
      <c r="J315" s="21"/>
      <c r="K315" s="19"/>
      <c r="L315" s="19"/>
      <c r="M315" s="22">
        <v>1</v>
      </c>
      <c r="N315" s="19"/>
      <c r="O315" s="25"/>
      <c r="P315" s="23"/>
      <c r="Q315" s="21" t="s">
        <v>46</v>
      </c>
      <c r="R315" s="19" t="s">
        <v>47</v>
      </c>
      <c r="S315" s="21"/>
      <c r="T315" s="19"/>
      <c r="U315" s="21"/>
      <c r="V315" s="7"/>
      <c r="W315" s="7"/>
      <c r="X315" s="51" t="str">
        <f t="shared" si="2"/>
        <v/>
      </c>
      <c r="Y315" s="51" t="str">
        <f t="shared" si="3"/>
        <v/>
      </c>
      <c r="Z315" s="37"/>
    </row>
    <row r="316" spans="1:26" ht="14.25" customHeight="1" x14ac:dyDescent="0.3">
      <c r="A316" s="18">
        <v>78.3</v>
      </c>
      <c r="B316" s="19"/>
      <c r="C316" s="18" t="s">
        <v>55</v>
      </c>
      <c r="D316" s="19"/>
      <c r="E316" s="25"/>
      <c r="F316" s="19"/>
      <c r="G316" s="21">
        <v>0</v>
      </c>
      <c r="H316" s="21"/>
      <c r="I316" s="21"/>
      <c r="J316" s="21"/>
      <c r="K316" s="19"/>
      <c r="L316" s="19"/>
      <c r="M316" s="22">
        <v>1</v>
      </c>
      <c r="N316" s="19"/>
      <c r="O316" s="25"/>
      <c r="P316" s="23"/>
      <c r="Q316" s="21" t="s">
        <v>46</v>
      </c>
      <c r="R316" s="19" t="s">
        <v>47</v>
      </c>
      <c r="S316" s="21"/>
      <c r="T316" s="19"/>
      <c r="U316" s="21"/>
      <c r="V316" s="7"/>
      <c r="W316" s="7"/>
      <c r="X316" s="51" t="str">
        <f t="shared" si="2"/>
        <v/>
      </c>
      <c r="Y316" s="51" t="str">
        <f t="shared" si="3"/>
        <v/>
      </c>
      <c r="Z316" s="37"/>
    </row>
    <row r="317" spans="1:26" ht="14.25" customHeight="1" x14ac:dyDescent="0.3">
      <c r="A317" s="18">
        <v>78.400000000000006</v>
      </c>
      <c r="B317" s="19"/>
      <c r="C317" s="18" t="s">
        <v>55</v>
      </c>
      <c r="D317" s="19"/>
      <c r="E317" s="25"/>
      <c r="F317" s="19"/>
      <c r="G317" s="21">
        <v>0</v>
      </c>
      <c r="H317" s="21"/>
      <c r="I317" s="21"/>
      <c r="J317" s="21"/>
      <c r="K317" s="19"/>
      <c r="L317" s="19"/>
      <c r="M317" s="22">
        <v>1</v>
      </c>
      <c r="N317" s="19"/>
      <c r="O317" s="25"/>
      <c r="P317" s="23"/>
      <c r="Q317" s="21" t="s">
        <v>46</v>
      </c>
      <c r="R317" s="19" t="s">
        <v>47</v>
      </c>
      <c r="S317" s="21"/>
      <c r="T317" s="19"/>
      <c r="U317" s="21"/>
      <c r="V317" s="7"/>
      <c r="W317" s="7"/>
      <c r="X317" s="51" t="str">
        <f t="shared" si="2"/>
        <v/>
      </c>
      <c r="Y317" s="51" t="str">
        <f t="shared" si="3"/>
        <v/>
      </c>
      <c r="Z317" s="37"/>
    </row>
    <row r="318" spans="1:26" ht="14.25" customHeight="1" x14ac:dyDescent="0.3">
      <c r="A318" s="18">
        <v>79.099999999999994</v>
      </c>
      <c r="B318" s="19"/>
      <c r="C318" s="18" t="s">
        <v>55</v>
      </c>
      <c r="D318" s="19"/>
      <c r="E318" s="25"/>
      <c r="F318" s="19"/>
      <c r="G318" s="21">
        <v>0</v>
      </c>
      <c r="H318" s="21"/>
      <c r="I318" s="21"/>
      <c r="J318" s="21"/>
      <c r="K318" s="19"/>
      <c r="L318" s="19"/>
      <c r="M318" s="22">
        <v>1</v>
      </c>
      <c r="N318" s="19"/>
      <c r="O318" s="25"/>
      <c r="P318" s="23"/>
      <c r="Q318" s="21" t="s">
        <v>46</v>
      </c>
      <c r="R318" s="19" t="s">
        <v>47</v>
      </c>
      <c r="S318" s="21"/>
      <c r="T318" s="19"/>
      <c r="U318" s="21"/>
      <c r="V318" s="7"/>
      <c r="W318" s="7"/>
      <c r="X318" s="51" t="str">
        <f t="shared" si="2"/>
        <v/>
      </c>
      <c r="Y318" s="51" t="str">
        <f t="shared" si="3"/>
        <v/>
      </c>
      <c r="Z318" s="37"/>
    </row>
    <row r="319" spans="1:26" ht="14.25" customHeight="1" x14ac:dyDescent="0.3">
      <c r="A319" s="18">
        <v>79.2</v>
      </c>
      <c r="B319" s="19"/>
      <c r="C319" s="18" t="s">
        <v>55</v>
      </c>
      <c r="D319" s="19"/>
      <c r="E319" s="25"/>
      <c r="F319" s="19"/>
      <c r="G319" s="21">
        <v>0</v>
      </c>
      <c r="H319" s="21"/>
      <c r="I319" s="21"/>
      <c r="J319" s="21"/>
      <c r="K319" s="19"/>
      <c r="L319" s="19"/>
      <c r="M319" s="22">
        <v>1</v>
      </c>
      <c r="N319" s="19"/>
      <c r="O319" s="25"/>
      <c r="P319" s="23"/>
      <c r="Q319" s="21" t="s">
        <v>46</v>
      </c>
      <c r="R319" s="19" t="s">
        <v>47</v>
      </c>
      <c r="S319" s="21"/>
      <c r="T319" s="19"/>
      <c r="U319" s="21"/>
      <c r="V319" s="7"/>
      <c r="W319" s="7"/>
      <c r="X319" s="51" t="str">
        <f t="shared" si="2"/>
        <v/>
      </c>
      <c r="Y319" s="51" t="str">
        <f t="shared" si="3"/>
        <v/>
      </c>
      <c r="Z319" s="37"/>
    </row>
    <row r="320" spans="1:26" ht="14.25" customHeight="1" x14ac:dyDescent="0.3">
      <c r="A320" s="18">
        <v>79.3</v>
      </c>
      <c r="B320" s="19"/>
      <c r="C320" s="18" t="s">
        <v>55</v>
      </c>
      <c r="D320" s="19"/>
      <c r="E320" s="25"/>
      <c r="F320" s="19"/>
      <c r="G320" s="21">
        <v>0</v>
      </c>
      <c r="H320" s="21"/>
      <c r="I320" s="21"/>
      <c r="J320" s="21"/>
      <c r="K320" s="19"/>
      <c r="L320" s="19"/>
      <c r="M320" s="22">
        <v>1</v>
      </c>
      <c r="N320" s="19"/>
      <c r="O320" s="25"/>
      <c r="P320" s="23"/>
      <c r="Q320" s="21" t="s">
        <v>46</v>
      </c>
      <c r="R320" s="19" t="s">
        <v>47</v>
      </c>
      <c r="S320" s="21"/>
      <c r="T320" s="19"/>
      <c r="U320" s="21"/>
      <c r="V320" s="7"/>
      <c r="W320" s="7"/>
      <c r="X320" s="51" t="str">
        <f t="shared" si="2"/>
        <v/>
      </c>
      <c r="Y320" s="51" t="str">
        <f t="shared" si="3"/>
        <v/>
      </c>
      <c r="Z320" s="37"/>
    </row>
    <row r="321" spans="1:26" ht="14.25" customHeight="1" x14ac:dyDescent="0.3">
      <c r="A321" s="18">
        <v>79.400000000000006</v>
      </c>
      <c r="B321" s="19"/>
      <c r="C321" s="18" t="s">
        <v>55</v>
      </c>
      <c r="D321" s="19"/>
      <c r="E321" s="25"/>
      <c r="F321" s="19"/>
      <c r="G321" s="21">
        <v>0</v>
      </c>
      <c r="H321" s="21"/>
      <c r="I321" s="21"/>
      <c r="J321" s="21"/>
      <c r="K321" s="19"/>
      <c r="L321" s="19"/>
      <c r="M321" s="22">
        <v>1</v>
      </c>
      <c r="N321" s="19"/>
      <c r="O321" s="25"/>
      <c r="P321" s="23"/>
      <c r="Q321" s="21" t="s">
        <v>46</v>
      </c>
      <c r="R321" s="19" t="s">
        <v>47</v>
      </c>
      <c r="S321" s="21"/>
      <c r="T321" s="19"/>
      <c r="U321" s="21"/>
      <c r="V321" s="7"/>
      <c r="W321" s="7"/>
      <c r="X321" s="51" t="str">
        <f t="shared" si="2"/>
        <v/>
      </c>
      <c r="Y321" s="51" t="str">
        <f t="shared" si="3"/>
        <v/>
      </c>
      <c r="Z321" s="37"/>
    </row>
    <row r="322" spans="1:26" ht="14.25" customHeight="1" x14ac:dyDescent="0.3">
      <c r="A322" s="18">
        <v>80.099999999999994</v>
      </c>
      <c r="B322" s="19"/>
      <c r="C322" s="18" t="s">
        <v>55</v>
      </c>
      <c r="D322" s="19"/>
      <c r="E322" s="25"/>
      <c r="F322" s="19"/>
      <c r="G322" s="21">
        <v>0</v>
      </c>
      <c r="H322" s="21"/>
      <c r="I322" s="21"/>
      <c r="J322" s="21"/>
      <c r="K322" s="19"/>
      <c r="L322" s="19"/>
      <c r="M322" s="22">
        <v>1</v>
      </c>
      <c r="N322" s="19"/>
      <c r="O322" s="25"/>
      <c r="P322" s="23"/>
      <c r="Q322" s="21" t="s">
        <v>46</v>
      </c>
      <c r="R322" s="19" t="s">
        <v>47</v>
      </c>
      <c r="S322" s="21"/>
      <c r="T322" s="19"/>
      <c r="U322" s="21"/>
      <c r="V322" s="7"/>
      <c r="W322" s="7"/>
      <c r="X322" s="51" t="str">
        <f t="shared" si="2"/>
        <v/>
      </c>
      <c r="Y322" s="51" t="str">
        <f t="shared" si="3"/>
        <v/>
      </c>
      <c r="Z322" s="37"/>
    </row>
    <row r="323" spans="1:26" ht="14.25" customHeight="1" x14ac:dyDescent="0.3">
      <c r="A323" s="18">
        <v>80.2</v>
      </c>
      <c r="B323" s="19"/>
      <c r="C323" s="18" t="s">
        <v>55</v>
      </c>
      <c r="D323" s="19"/>
      <c r="E323" s="25"/>
      <c r="F323" s="19"/>
      <c r="G323" s="21">
        <v>0</v>
      </c>
      <c r="H323" s="21"/>
      <c r="I323" s="21"/>
      <c r="J323" s="21"/>
      <c r="K323" s="19"/>
      <c r="L323" s="19"/>
      <c r="M323" s="22">
        <v>1</v>
      </c>
      <c r="N323" s="19"/>
      <c r="O323" s="25"/>
      <c r="P323" s="23"/>
      <c r="Q323" s="21" t="s">
        <v>46</v>
      </c>
      <c r="R323" s="19" t="s">
        <v>47</v>
      </c>
      <c r="S323" s="21"/>
      <c r="T323" s="19"/>
      <c r="U323" s="21"/>
      <c r="V323" s="7"/>
      <c r="W323" s="7"/>
      <c r="X323" s="51" t="str">
        <f t="shared" si="2"/>
        <v/>
      </c>
      <c r="Y323" s="51" t="str">
        <f t="shared" si="3"/>
        <v/>
      </c>
      <c r="Z323" s="37"/>
    </row>
    <row r="324" spans="1:26" ht="14.25" customHeight="1" x14ac:dyDescent="0.3">
      <c r="A324" s="18">
        <v>80.3</v>
      </c>
      <c r="B324" s="19"/>
      <c r="C324" s="18" t="s">
        <v>55</v>
      </c>
      <c r="D324" s="19"/>
      <c r="E324" s="25"/>
      <c r="F324" s="19"/>
      <c r="G324" s="21">
        <v>0</v>
      </c>
      <c r="H324" s="21"/>
      <c r="I324" s="21"/>
      <c r="J324" s="21"/>
      <c r="K324" s="19"/>
      <c r="L324" s="19"/>
      <c r="M324" s="22">
        <v>1</v>
      </c>
      <c r="N324" s="19"/>
      <c r="O324" s="25"/>
      <c r="P324" s="23"/>
      <c r="Q324" s="21" t="s">
        <v>46</v>
      </c>
      <c r="R324" s="19" t="s">
        <v>47</v>
      </c>
      <c r="S324" s="21"/>
      <c r="T324" s="19"/>
      <c r="U324" s="21"/>
      <c r="V324" s="7"/>
      <c r="W324" s="7"/>
      <c r="X324" s="51" t="str">
        <f t="shared" si="2"/>
        <v/>
      </c>
      <c r="Y324" s="51" t="str">
        <f t="shared" si="3"/>
        <v/>
      </c>
      <c r="Z324" s="37"/>
    </row>
    <row r="325" spans="1:26" ht="14.25" customHeight="1" x14ac:dyDescent="0.3">
      <c r="A325" s="18">
        <v>80.400000000000006</v>
      </c>
      <c r="B325" s="19"/>
      <c r="C325" s="18" t="s">
        <v>55</v>
      </c>
      <c r="D325" s="19"/>
      <c r="E325" s="25"/>
      <c r="F325" s="19"/>
      <c r="G325" s="21">
        <v>0</v>
      </c>
      <c r="H325" s="21"/>
      <c r="I325" s="21"/>
      <c r="J325" s="21"/>
      <c r="K325" s="19"/>
      <c r="L325" s="19"/>
      <c r="M325" s="22">
        <v>1</v>
      </c>
      <c r="N325" s="19"/>
      <c r="O325" s="25"/>
      <c r="P325" s="23"/>
      <c r="Q325" s="21" t="s">
        <v>46</v>
      </c>
      <c r="R325" s="19" t="s">
        <v>47</v>
      </c>
      <c r="S325" s="21"/>
      <c r="T325" s="19"/>
      <c r="U325" s="21"/>
      <c r="V325" s="7"/>
      <c r="W325" s="7"/>
      <c r="X325" s="51" t="str">
        <f t="shared" si="2"/>
        <v/>
      </c>
      <c r="Y325" s="51" t="str">
        <f t="shared" si="3"/>
        <v/>
      </c>
      <c r="Z325" s="37"/>
    </row>
    <row r="326" spans="1:26" ht="14.25" customHeight="1" x14ac:dyDescent="0.3">
      <c r="A326" s="18">
        <v>81.099999999999994</v>
      </c>
      <c r="B326" s="19"/>
      <c r="C326" s="18" t="s">
        <v>55</v>
      </c>
      <c r="D326" s="19"/>
      <c r="E326" s="25"/>
      <c r="F326" s="19"/>
      <c r="G326" s="21">
        <v>0</v>
      </c>
      <c r="H326" s="21"/>
      <c r="I326" s="21"/>
      <c r="J326" s="21"/>
      <c r="K326" s="19"/>
      <c r="L326" s="19"/>
      <c r="M326" s="22">
        <v>1</v>
      </c>
      <c r="N326" s="19"/>
      <c r="O326" s="25"/>
      <c r="P326" s="23"/>
      <c r="Q326" s="21" t="s">
        <v>46</v>
      </c>
      <c r="R326" s="19" t="s">
        <v>47</v>
      </c>
      <c r="S326" s="21"/>
      <c r="T326" s="19"/>
      <c r="U326" s="21"/>
      <c r="V326" s="7"/>
      <c r="W326" s="7"/>
      <c r="X326" s="51" t="str">
        <f t="shared" si="2"/>
        <v/>
      </c>
      <c r="Y326" s="51" t="str">
        <f t="shared" si="3"/>
        <v/>
      </c>
      <c r="Z326" s="37"/>
    </row>
    <row r="327" spans="1:26" ht="14.25" customHeight="1" x14ac:dyDescent="0.3">
      <c r="A327" s="18">
        <v>81.2</v>
      </c>
      <c r="B327" s="19"/>
      <c r="C327" s="18" t="s">
        <v>55</v>
      </c>
      <c r="D327" s="19"/>
      <c r="E327" s="25"/>
      <c r="F327" s="19"/>
      <c r="G327" s="21">
        <v>0</v>
      </c>
      <c r="H327" s="21"/>
      <c r="I327" s="21"/>
      <c r="J327" s="21"/>
      <c r="K327" s="19"/>
      <c r="L327" s="19"/>
      <c r="M327" s="22">
        <v>1</v>
      </c>
      <c r="N327" s="19"/>
      <c r="O327" s="25"/>
      <c r="P327" s="23"/>
      <c r="Q327" s="21" t="s">
        <v>46</v>
      </c>
      <c r="R327" s="19" t="s">
        <v>47</v>
      </c>
      <c r="S327" s="21"/>
      <c r="T327" s="19"/>
      <c r="U327" s="21"/>
      <c r="V327" s="7"/>
      <c r="W327" s="7"/>
      <c r="X327" s="51" t="str">
        <f t="shared" si="2"/>
        <v/>
      </c>
      <c r="Y327" s="51" t="str">
        <f t="shared" si="3"/>
        <v/>
      </c>
      <c r="Z327" s="37"/>
    </row>
    <row r="328" spans="1:26" ht="14.25" customHeight="1" x14ac:dyDescent="0.3">
      <c r="A328" s="18">
        <v>81.3</v>
      </c>
      <c r="B328" s="19"/>
      <c r="C328" s="18" t="s">
        <v>55</v>
      </c>
      <c r="D328" s="19"/>
      <c r="E328" s="25"/>
      <c r="F328" s="19"/>
      <c r="G328" s="21">
        <v>0</v>
      </c>
      <c r="H328" s="21"/>
      <c r="I328" s="21"/>
      <c r="J328" s="21"/>
      <c r="K328" s="19"/>
      <c r="L328" s="19"/>
      <c r="M328" s="22">
        <v>1</v>
      </c>
      <c r="N328" s="19"/>
      <c r="O328" s="25"/>
      <c r="P328" s="23"/>
      <c r="Q328" s="21" t="s">
        <v>46</v>
      </c>
      <c r="R328" s="19" t="s">
        <v>47</v>
      </c>
      <c r="S328" s="21"/>
      <c r="T328" s="19"/>
      <c r="U328" s="21"/>
      <c r="V328" s="7"/>
      <c r="W328" s="7"/>
      <c r="X328" s="51" t="str">
        <f t="shared" si="2"/>
        <v/>
      </c>
      <c r="Y328" s="51" t="str">
        <f t="shared" si="3"/>
        <v/>
      </c>
      <c r="Z328" s="37"/>
    </row>
    <row r="329" spans="1:26" ht="14.25" customHeight="1" x14ac:dyDescent="0.3">
      <c r="A329" s="18">
        <v>81.400000000000006</v>
      </c>
      <c r="B329" s="19"/>
      <c r="C329" s="18" t="s">
        <v>55</v>
      </c>
      <c r="D329" s="19"/>
      <c r="E329" s="25"/>
      <c r="F329" s="19"/>
      <c r="G329" s="21">
        <v>0</v>
      </c>
      <c r="H329" s="21"/>
      <c r="I329" s="21"/>
      <c r="J329" s="21"/>
      <c r="K329" s="19"/>
      <c r="L329" s="19"/>
      <c r="M329" s="22">
        <v>1</v>
      </c>
      <c r="N329" s="19"/>
      <c r="O329" s="25"/>
      <c r="P329" s="23"/>
      <c r="Q329" s="21" t="s">
        <v>46</v>
      </c>
      <c r="R329" s="19" t="s">
        <v>47</v>
      </c>
      <c r="S329" s="21"/>
      <c r="T329" s="19"/>
      <c r="U329" s="21"/>
      <c r="V329" s="7"/>
      <c r="W329" s="7"/>
      <c r="X329" s="51" t="str">
        <f t="shared" si="2"/>
        <v/>
      </c>
      <c r="Y329" s="51" t="str">
        <f t="shared" si="3"/>
        <v/>
      </c>
      <c r="Z329" s="37"/>
    </row>
    <row r="330" spans="1:26" ht="14.25" customHeight="1" x14ac:dyDescent="0.3">
      <c r="A330" s="18">
        <v>82.1</v>
      </c>
      <c r="B330" s="19"/>
      <c r="C330" s="18" t="s">
        <v>55</v>
      </c>
      <c r="D330" s="19"/>
      <c r="E330" s="25"/>
      <c r="F330" s="19"/>
      <c r="G330" s="21">
        <v>0</v>
      </c>
      <c r="H330" s="21"/>
      <c r="I330" s="21"/>
      <c r="J330" s="21"/>
      <c r="K330" s="19"/>
      <c r="L330" s="19"/>
      <c r="M330" s="22">
        <v>1</v>
      </c>
      <c r="N330" s="19"/>
      <c r="O330" s="25"/>
      <c r="P330" s="23"/>
      <c r="Q330" s="21" t="s">
        <v>46</v>
      </c>
      <c r="R330" s="19" t="s">
        <v>47</v>
      </c>
      <c r="S330" s="21"/>
      <c r="T330" s="19"/>
      <c r="U330" s="21"/>
      <c r="V330" s="7"/>
      <c r="W330" s="7"/>
      <c r="X330" s="51" t="str">
        <f t="shared" si="2"/>
        <v/>
      </c>
      <c r="Y330" s="51" t="str">
        <f t="shared" si="3"/>
        <v/>
      </c>
      <c r="Z330" s="37"/>
    </row>
    <row r="331" spans="1:26" ht="14.25" customHeight="1" x14ac:dyDescent="0.3">
      <c r="A331" s="18">
        <v>82.2</v>
      </c>
      <c r="B331" s="19"/>
      <c r="C331" s="18" t="s">
        <v>55</v>
      </c>
      <c r="D331" s="19"/>
      <c r="E331" s="25"/>
      <c r="F331" s="19"/>
      <c r="G331" s="21">
        <v>0</v>
      </c>
      <c r="H331" s="21"/>
      <c r="I331" s="21"/>
      <c r="J331" s="21"/>
      <c r="K331" s="19"/>
      <c r="L331" s="19"/>
      <c r="M331" s="22">
        <v>1</v>
      </c>
      <c r="N331" s="19"/>
      <c r="O331" s="25"/>
      <c r="P331" s="23"/>
      <c r="Q331" s="21" t="s">
        <v>46</v>
      </c>
      <c r="R331" s="19" t="s">
        <v>47</v>
      </c>
      <c r="S331" s="21"/>
      <c r="T331" s="19"/>
      <c r="U331" s="21"/>
      <c r="V331" s="7"/>
      <c r="W331" s="7"/>
      <c r="X331" s="51" t="str">
        <f t="shared" si="2"/>
        <v/>
      </c>
      <c r="Y331" s="51" t="str">
        <f t="shared" si="3"/>
        <v/>
      </c>
      <c r="Z331" s="37"/>
    </row>
    <row r="332" spans="1:26" ht="14.25" customHeight="1" x14ac:dyDescent="0.3">
      <c r="A332" s="18">
        <v>82.3</v>
      </c>
      <c r="B332" s="19"/>
      <c r="C332" s="18" t="s">
        <v>55</v>
      </c>
      <c r="D332" s="19"/>
      <c r="E332" s="25"/>
      <c r="F332" s="19"/>
      <c r="G332" s="21">
        <v>0</v>
      </c>
      <c r="H332" s="21"/>
      <c r="I332" s="21"/>
      <c r="J332" s="21"/>
      <c r="K332" s="19"/>
      <c r="L332" s="19"/>
      <c r="M332" s="22">
        <v>1</v>
      </c>
      <c r="N332" s="19"/>
      <c r="O332" s="25"/>
      <c r="P332" s="23"/>
      <c r="Q332" s="21" t="s">
        <v>46</v>
      </c>
      <c r="R332" s="19" t="s">
        <v>47</v>
      </c>
      <c r="S332" s="21"/>
      <c r="T332" s="19"/>
      <c r="U332" s="21"/>
      <c r="V332" s="7"/>
      <c r="W332" s="7"/>
      <c r="X332" s="51" t="str">
        <f t="shared" si="2"/>
        <v/>
      </c>
      <c r="Y332" s="51" t="str">
        <f t="shared" si="3"/>
        <v/>
      </c>
      <c r="Z332" s="37"/>
    </row>
    <row r="333" spans="1:26" ht="14.25" customHeight="1" x14ac:dyDescent="0.3">
      <c r="A333" s="18">
        <v>82.4</v>
      </c>
      <c r="B333" s="19"/>
      <c r="C333" s="18" t="s">
        <v>55</v>
      </c>
      <c r="D333" s="19"/>
      <c r="E333" s="25"/>
      <c r="F333" s="19"/>
      <c r="G333" s="21">
        <v>0</v>
      </c>
      <c r="H333" s="21"/>
      <c r="I333" s="21"/>
      <c r="J333" s="21"/>
      <c r="K333" s="19"/>
      <c r="L333" s="19"/>
      <c r="M333" s="22">
        <v>1</v>
      </c>
      <c r="N333" s="19"/>
      <c r="O333" s="25"/>
      <c r="P333" s="23"/>
      <c r="Q333" s="21" t="s">
        <v>46</v>
      </c>
      <c r="R333" s="19" t="s">
        <v>47</v>
      </c>
      <c r="S333" s="21"/>
      <c r="T333" s="19"/>
      <c r="U333" s="21"/>
      <c r="V333" s="7"/>
      <c r="W333" s="7"/>
      <c r="X333" s="51" t="str">
        <f t="shared" si="2"/>
        <v/>
      </c>
      <c r="Y333" s="51" t="str">
        <f t="shared" si="3"/>
        <v/>
      </c>
      <c r="Z333" s="37"/>
    </row>
    <row r="334" spans="1:26" ht="14.25" customHeight="1" x14ac:dyDescent="0.3">
      <c r="A334" s="18">
        <v>83.1</v>
      </c>
      <c r="B334" s="19"/>
      <c r="C334" s="18" t="s">
        <v>55</v>
      </c>
      <c r="D334" s="19"/>
      <c r="E334" s="25"/>
      <c r="F334" s="19"/>
      <c r="G334" s="21">
        <v>0</v>
      </c>
      <c r="H334" s="21"/>
      <c r="I334" s="21"/>
      <c r="J334" s="21"/>
      <c r="K334" s="19"/>
      <c r="L334" s="19"/>
      <c r="M334" s="22">
        <v>1</v>
      </c>
      <c r="N334" s="19"/>
      <c r="O334" s="25"/>
      <c r="P334" s="23"/>
      <c r="Q334" s="21" t="s">
        <v>46</v>
      </c>
      <c r="R334" s="19" t="s">
        <v>47</v>
      </c>
      <c r="S334" s="21"/>
      <c r="T334" s="19"/>
      <c r="U334" s="21"/>
      <c r="V334" s="7"/>
      <c r="W334" s="7"/>
      <c r="X334" s="51" t="str">
        <f t="shared" si="2"/>
        <v/>
      </c>
      <c r="Y334" s="51" t="str">
        <f t="shared" si="3"/>
        <v/>
      </c>
      <c r="Z334" s="37"/>
    </row>
    <row r="335" spans="1:26" ht="14.25" customHeight="1" x14ac:dyDescent="0.3">
      <c r="A335" s="18">
        <v>83.2</v>
      </c>
      <c r="B335" s="19"/>
      <c r="C335" s="18" t="s">
        <v>55</v>
      </c>
      <c r="D335" s="19"/>
      <c r="E335" s="25"/>
      <c r="F335" s="19"/>
      <c r="G335" s="21">
        <v>0</v>
      </c>
      <c r="H335" s="21"/>
      <c r="I335" s="21"/>
      <c r="J335" s="21"/>
      <c r="K335" s="19"/>
      <c r="L335" s="19"/>
      <c r="M335" s="22">
        <v>1</v>
      </c>
      <c r="N335" s="19"/>
      <c r="O335" s="25"/>
      <c r="P335" s="23"/>
      <c r="Q335" s="21" t="s">
        <v>46</v>
      </c>
      <c r="R335" s="19" t="s">
        <v>47</v>
      </c>
      <c r="S335" s="21"/>
      <c r="T335" s="19"/>
      <c r="U335" s="21"/>
      <c r="V335" s="7"/>
      <c r="W335" s="7"/>
      <c r="X335" s="51" t="str">
        <f t="shared" si="2"/>
        <v/>
      </c>
      <c r="Y335" s="51" t="str">
        <f t="shared" si="3"/>
        <v/>
      </c>
      <c r="Z335" s="37"/>
    </row>
    <row r="336" spans="1:26" ht="14.25" customHeight="1" x14ac:dyDescent="0.3">
      <c r="A336" s="18">
        <v>83.3</v>
      </c>
      <c r="B336" s="19"/>
      <c r="C336" s="18" t="s">
        <v>55</v>
      </c>
      <c r="D336" s="19"/>
      <c r="E336" s="25"/>
      <c r="F336" s="19"/>
      <c r="G336" s="21">
        <v>0</v>
      </c>
      <c r="H336" s="21"/>
      <c r="I336" s="21"/>
      <c r="J336" s="21"/>
      <c r="K336" s="19"/>
      <c r="L336" s="19"/>
      <c r="M336" s="22">
        <v>1</v>
      </c>
      <c r="N336" s="19"/>
      <c r="O336" s="25"/>
      <c r="P336" s="23"/>
      <c r="Q336" s="21" t="s">
        <v>46</v>
      </c>
      <c r="R336" s="19" t="s">
        <v>47</v>
      </c>
      <c r="S336" s="21"/>
      <c r="T336" s="19"/>
      <c r="U336" s="21"/>
      <c r="V336" s="7"/>
      <c r="W336" s="7"/>
      <c r="X336" s="51" t="str">
        <f t="shared" si="2"/>
        <v/>
      </c>
      <c r="Y336" s="51" t="str">
        <f t="shared" si="3"/>
        <v/>
      </c>
      <c r="Z336" s="37"/>
    </row>
    <row r="337" spans="1:26" ht="14.25" customHeight="1" x14ac:dyDescent="0.3">
      <c r="A337" s="18">
        <v>83.4</v>
      </c>
      <c r="B337" s="19"/>
      <c r="C337" s="18" t="s">
        <v>55</v>
      </c>
      <c r="D337" s="19"/>
      <c r="E337" s="25"/>
      <c r="F337" s="19"/>
      <c r="G337" s="21">
        <v>0</v>
      </c>
      <c r="H337" s="21"/>
      <c r="I337" s="21"/>
      <c r="J337" s="21"/>
      <c r="K337" s="19"/>
      <c r="L337" s="19"/>
      <c r="M337" s="22">
        <v>1</v>
      </c>
      <c r="N337" s="19"/>
      <c r="O337" s="25"/>
      <c r="P337" s="23"/>
      <c r="Q337" s="21" t="s">
        <v>46</v>
      </c>
      <c r="R337" s="19" t="s">
        <v>47</v>
      </c>
      <c r="S337" s="21"/>
      <c r="T337" s="19"/>
      <c r="U337" s="21"/>
      <c r="V337" s="7"/>
      <c r="W337" s="7"/>
      <c r="X337" s="51" t="str">
        <f t="shared" si="2"/>
        <v/>
      </c>
      <c r="Y337" s="51" t="str">
        <f t="shared" si="3"/>
        <v/>
      </c>
      <c r="Z337" s="37"/>
    </row>
    <row r="338" spans="1:26" ht="14.25" customHeight="1" x14ac:dyDescent="0.3">
      <c r="A338" s="18">
        <v>84.1</v>
      </c>
      <c r="B338" s="19"/>
      <c r="C338" s="18" t="s">
        <v>55</v>
      </c>
      <c r="D338" s="19"/>
      <c r="E338" s="25"/>
      <c r="F338" s="19"/>
      <c r="G338" s="21">
        <v>0</v>
      </c>
      <c r="H338" s="21"/>
      <c r="I338" s="21"/>
      <c r="J338" s="21"/>
      <c r="K338" s="19"/>
      <c r="L338" s="19"/>
      <c r="M338" s="22">
        <v>1</v>
      </c>
      <c r="N338" s="19"/>
      <c r="O338" s="25"/>
      <c r="P338" s="23"/>
      <c r="Q338" s="21" t="s">
        <v>46</v>
      </c>
      <c r="R338" s="19" t="s">
        <v>47</v>
      </c>
      <c r="S338" s="21"/>
      <c r="T338" s="19"/>
      <c r="U338" s="21"/>
      <c r="V338" s="7"/>
      <c r="W338" s="7"/>
      <c r="X338" s="51" t="str">
        <f t="shared" si="2"/>
        <v/>
      </c>
      <c r="Y338" s="51" t="str">
        <f t="shared" si="3"/>
        <v/>
      </c>
      <c r="Z338" s="37"/>
    </row>
    <row r="339" spans="1:26" ht="14.25" customHeight="1" x14ac:dyDescent="0.3">
      <c r="A339" s="18">
        <v>84.2</v>
      </c>
      <c r="B339" s="19"/>
      <c r="C339" s="18" t="s">
        <v>55</v>
      </c>
      <c r="D339" s="19"/>
      <c r="E339" s="25"/>
      <c r="F339" s="19"/>
      <c r="G339" s="21">
        <v>0</v>
      </c>
      <c r="H339" s="21"/>
      <c r="I339" s="21"/>
      <c r="J339" s="21"/>
      <c r="K339" s="19"/>
      <c r="L339" s="19"/>
      <c r="M339" s="22">
        <v>1</v>
      </c>
      <c r="N339" s="19"/>
      <c r="O339" s="25"/>
      <c r="P339" s="23"/>
      <c r="Q339" s="21" t="s">
        <v>46</v>
      </c>
      <c r="R339" s="19" t="s">
        <v>47</v>
      </c>
      <c r="S339" s="21"/>
      <c r="T339" s="19"/>
      <c r="U339" s="21"/>
      <c r="V339" s="7"/>
      <c r="W339" s="7"/>
      <c r="X339" s="51" t="str">
        <f t="shared" si="2"/>
        <v/>
      </c>
      <c r="Y339" s="51" t="str">
        <f t="shared" si="3"/>
        <v/>
      </c>
      <c r="Z339" s="37"/>
    </row>
    <row r="340" spans="1:26" ht="14.25" customHeight="1" x14ac:dyDescent="0.3">
      <c r="A340" s="18">
        <v>84.3</v>
      </c>
      <c r="B340" s="19"/>
      <c r="C340" s="18" t="s">
        <v>55</v>
      </c>
      <c r="D340" s="19"/>
      <c r="E340" s="25"/>
      <c r="F340" s="19"/>
      <c r="G340" s="21">
        <v>0</v>
      </c>
      <c r="H340" s="21"/>
      <c r="I340" s="21"/>
      <c r="J340" s="21"/>
      <c r="K340" s="19"/>
      <c r="L340" s="19"/>
      <c r="M340" s="22">
        <v>1</v>
      </c>
      <c r="N340" s="19"/>
      <c r="O340" s="25"/>
      <c r="P340" s="23"/>
      <c r="Q340" s="21" t="s">
        <v>46</v>
      </c>
      <c r="R340" s="19" t="s">
        <v>47</v>
      </c>
      <c r="S340" s="21"/>
      <c r="T340" s="19"/>
      <c r="U340" s="21"/>
      <c r="V340" s="7"/>
      <c r="W340" s="7"/>
      <c r="X340" s="51" t="str">
        <f t="shared" si="2"/>
        <v/>
      </c>
      <c r="Y340" s="51" t="str">
        <f t="shared" si="3"/>
        <v/>
      </c>
      <c r="Z340" s="37"/>
    </row>
    <row r="341" spans="1:26" ht="14.25" customHeight="1" x14ac:dyDescent="0.3">
      <c r="A341" s="18">
        <v>84.4</v>
      </c>
      <c r="B341" s="19"/>
      <c r="C341" s="18" t="s">
        <v>55</v>
      </c>
      <c r="D341" s="19"/>
      <c r="E341" s="25"/>
      <c r="F341" s="19"/>
      <c r="G341" s="21">
        <v>0</v>
      </c>
      <c r="H341" s="21"/>
      <c r="I341" s="21"/>
      <c r="J341" s="21"/>
      <c r="K341" s="19"/>
      <c r="L341" s="19"/>
      <c r="M341" s="22">
        <v>1</v>
      </c>
      <c r="N341" s="19"/>
      <c r="O341" s="25"/>
      <c r="P341" s="23"/>
      <c r="Q341" s="21" t="s">
        <v>46</v>
      </c>
      <c r="R341" s="19" t="s">
        <v>47</v>
      </c>
      <c r="S341" s="21"/>
      <c r="T341" s="19"/>
      <c r="U341" s="21"/>
      <c r="V341" s="7"/>
      <c r="W341" s="7"/>
      <c r="X341" s="51" t="str">
        <f t="shared" si="2"/>
        <v/>
      </c>
      <c r="Y341" s="51" t="str">
        <f t="shared" si="3"/>
        <v/>
      </c>
      <c r="Z341" s="37"/>
    </row>
    <row r="342" spans="1:26" ht="14.25" customHeight="1" x14ac:dyDescent="0.3">
      <c r="A342" s="18">
        <v>85.1</v>
      </c>
      <c r="B342" s="19"/>
      <c r="C342" s="18" t="s">
        <v>55</v>
      </c>
      <c r="D342" s="19"/>
      <c r="E342" s="25"/>
      <c r="F342" s="19"/>
      <c r="G342" s="21">
        <v>0</v>
      </c>
      <c r="H342" s="21"/>
      <c r="I342" s="21"/>
      <c r="J342" s="21"/>
      <c r="K342" s="19"/>
      <c r="L342" s="19"/>
      <c r="M342" s="22">
        <v>1</v>
      </c>
      <c r="N342" s="19"/>
      <c r="O342" s="25"/>
      <c r="P342" s="23"/>
      <c r="Q342" s="21" t="s">
        <v>46</v>
      </c>
      <c r="R342" s="19" t="s">
        <v>47</v>
      </c>
      <c r="S342" s="21"/>
      <c r="T342" s="19"/>
      <c r="U342" s="21"/>
      <c r="V342" s="7"/>
      <c r="W342" s="7"/>
      <c r="X342" s="51" t="str">
        <f t="shared" si="2"/>
        <v/>
      </c>
      <c r="Y342" s="51" t="str">
        <f t="shared" si="3"/>
        <v/>
      </c>
      <c r="Z342" s="37"/>
    </row>
    <row r="343" spans="1:26" ht="14.25" customHeight="1" x14ac:dyDescent="0.3">
      <c r="A343" s="18">
        <v>85.2</v>
      </c>
      <c r="B343" s="19"/>
      <c r="C343" s="18" t="s">
        <v>55</v>
      </c>
      <c r="D343" s="19"/>
      <c r="E343" s="25"/>
      <c r="F343" s="19"/>
      <c r="G343" s="21">
        <v>0</v>
      </c>
      <c r="H343" s="21"/>
      <c r="I343" s="21"/>
      <c r="J343" s="21"/>
      <c r="K343" s="19"/>
      <c r="L343" s="19"/>
      <c r="M343" s="22">
        <v>1</v>
      </c>
      <c r="N343" s="19"/>
      <c r="O343" s="25"/>
      <c r="P343" s="23"/>
      <c r="Q343" s="21" t="s">
        <v>46</v>
      </c>
      <c r="R343" s="19" t="s">
        <v>47</v>
      </c>
      <c r="S343" s="21"/>
      <c r="T343" s="19"/>
      <c r="U343" s="21"/>
      <c r="V343" s="7"/>
      <c r="W343" s="7"/>
      <c r="X343" s="51" t="str">
        <f t="shared" si="2"/>
        <v/>
      </c>
      <c r="Y343" s="51" t="str">
        <f t="shared" si="3"/>
        <v/>
      </c>
      <c r="Z343" s="37"/>
    </row>
    <row r="344" spans="1:26" ht="14.25" customHeight="1" x14ac:dyDescent="0.3">
      <c r="A344" s="18">
        <v>85.3</v>
      </c>
      <c r="B344" s="19"/>
      <c r="C344" s="18" t="s">
        <v>55</v>
      </c>
      <c r="D344" s="19"/>
      <c r="E344" s="25"/>
      <c r="F344" s="19"/>
      <c r="G344" s="21">
        <v>0</v>
      </c>
      <c r="H344" s="21"/>
      <c r="I344" s="21"/>
      <c r="J344" s="21"/>
      <c r="K344" s="19"/>
      <c r="L344" s="19"/>
      <c r="M344" s="22">
        <v>1</v>
      </c>
      <c r="N344" s="19"/>
      <c r="O344" s="25"/>
      <c r="P344" s="23"/>
      <c r="Q344" s="21" t="s">
        <v>46</v>
      </c>
      <c r="R344" s="19" t="s">
        <v>47</v>
      </c>
      <c r="S344" s="21"/>
      <c r="T344" s="19"/>
      <c r="U344" s="21"/>
      <c r="V344" s="7"/>
      <c r="W344" s="7"/>
      <c r="X344" s="51" t="str">
        <f t="shared" si="2"/>
        <v/>
      </c>
      <c r="Y344" s="51" t="str">
        <f t="shared" si="3"/>
        <v/>
      </c>
      <c r="Z344" s="37"/>
    </row>
    <row r="345" spans="1:26" ht="14.25" customHeight="1" x14ac:dyDescent="0.3">
      <c r="A345" s="18">
        <v>85.4</v>
      </c>
      <c r="B345" s="19"/>
      <c r="C345" s="18" t="s">
        <v>55</v>
      </c>
      <c r="D345" s="19"/>
      <c r="E345" s="25"/>
      <c r="F345" s="19"/>
      <c r="G345" s="21">
        <v>0</v>
      </c>
      <c r="H345" s="21"/>
      <c r="I345" s="21"/>
      <c r="J345" s="21"/>
      <c r="K345" s="19"/>
      <c r="L345" s="19"/>
      <c r="M345" s="22">
        <v>1</v>
      </c>
      <c r="N345" s="19"/>
      <c r="O345" s="25"/>
      <c r="P345" s="23"/>
      <c r="Q345" s="21" t="s">
        <v>46</v>
      </c>
      <c r="R345" s="19" t="s">
        <v>47</v>
      </c>
      <c r="S345" s="21"/>
      <c r="T345" s="19"/>
      <c r="U345" s="21"/>
      <c r="V345" s="7"/>
      <c r="W345" s="7"/>
      <c r="X345" s="51" t="str">
        <f t="shared" si="2"/>
        <v/>
      </c>
      <c r="Y345" s="51" t="str">
        <f t="shared" si="3"/>
        <v/>
      </c>
      <c r="Z345" s="37"/>
    </row>
    <row r="346" spans="1:26" ht="14.25" customHeight="1" x14ac:dyDescent="0.3">
      <c r="A346" s="18">
        <v>86.1</v>
      </c>
      <c r="B346" s="19"/>
      <c r="C346" s="18" t="s">
        <v>55</v>
      </c>
      <c r="D346" s="19"/>
      <c r="E346" s="25"/>
      <c r="F346" s="19"/>
      <c r="G346" s="21">
        <v>0</v>
      </c>
      <c r="H346" s="21"/>
      <c r="I346" s="21"/>
      <c r="J346" s="21"/>
      <c r="K346" s="19"/>
      <c r="L346" s="19"/>
      <c r="M346" s="22">
        <v>1</v>
      </c>
      <c r="N346" s="19"/>
      <c r="O346" s="25"/>
      <c r="P346" s="23"/>
      <c r="Q346" s="21" t="s">
        <v>46</v>
      </c>
      <c r="R346" s="19" t="s">
        <v>47</v>
      </c>
      <c r="S346" s="21"/>
      <c r="T346" s="19"/>
      <c r="U346" s="21"/>
      <c r="V346" s="7"/>
      <c r="W346" s="7"/>
      <c r="X346" s="51" t="str">
        <f t="shared" si="2"/>
        <v/>
      </c>
      <c r="Y346" s="51" t="str">
        <f t="shared" si="3"/>
        <v/>
      </c>
      <c r="Z346" s="37"/>
    </row>
    <row r="347" spans="1:26" ht="14.25" customHeight="1" x14ac:dyDescent="0.3">
      <c r="A347" s="18">
        <v>86.2</v>
      </c>
      <c r="B347" s="19"/>
      <c r="C347" s="18" t="s">
        <v>55</v>
      </c>
      <c r="D347" s="19"/>
      <c r="E347" s="25"/>
      <c r="F347" s="19"/>
      <c r="G347" s="21">
        <v>0</v>
      </c>
      <c r="H347" s="21"/>
      <c r="I347" s="21"/>
      <c r="J347" s="21"/>
      <c r="K347" s="19"/>
      <c r="L347" s="19"/>
      <c r="M347" s="22">
        <v>1</v>
      </c>
      <c r="N347" s="19"/>
      <c r="O347" s="25"/>
      <c r="P347" s="23"/>
      <c r="Q347" s="21" t="s">
        <v>46</v>
      </c>
      <c r="R347" s="19" t="s">
        <v>47</v>
      </c>
      <c r="S347" s="21"/>
      <c r="T347" s="19"/>
      <c r="U347" s="21"/>
      <c r="V347" s="7"/>
      <c r="W347" s="7"/>
      <c r="X347" s="51" t="str">
        <f t="shared" si="2"/>
        <v/>
      </c>
      <c r="Y347" s="51" t="str">
        <f t="shared" si="3"/>
        <v/>
      </c>
      <c r="Z347" s="37"/>
    </row>
    <row r="348" spans="1:26" ht="14.25" customHeight="1" x14ac:dyDescent="0.3">
      <c r="A348" s="18">
        <v>86.3</v>
      </c>
      <c r="B348" s="19"/>
      <c r="C348" s="18" t="s">
        <v>55</v>
      </c>
      <c r="D348" s="19"/>
      <c r="E348" s="25"/>
      <c r="F348" s="19"/>
      <c r="G348" s="21">
        <v>0</v>
      </c>
      <c r="H348" s="21"/>
      <c r="I348" s="21"/>
      <c r="J348" s="21"/>
      <c r="K348" s="19"/>
      <c r="L348" s="19"/>
      <c r="M348" s="22">
        <v>1</v>
      </c>
      <c r="N348" s="19"/>
      <c r="O348" s="25"/>
      <c r="P348" s="23"/>
      <c r="Q348" s="21" t="s">
        <v>46</v>
      </c>
      <c r="R348" s="19" t="s">
        <v>47</v>
      </c>
      <c r="S348" s="21"/>
      <c r="T348" s="19"/>
      <c r="U348" s="21"/>
      <c r="V348" s="7"/>
      <c r="W348" s="7"/>
      <c r="X348" s="51" t="str">
        <f t="shared" si="2"/>
        <v/>
      </c>
      <c r="Y348" s="51" t="str">
        <f t="shared" si="3"/>
        <v/>
      </c>
      <c r="Z348" s="37"/>
    </row>
    <row r="349" spans="1:26" ht="14.25" customHeight="1" x14ac:dyDescent="0.3">
      <c r="A349" s="18">
        <v>86.4</v>
      </c>
      <c r="B349" s="19"/>
      <c r="C349" s="18" t="s">
        <v>55</v>
      </c>
      <c r="D349" s="19"/>
      <c r="E349" s="25"/>
      <c r="F349" s="19"/>
      <c r="G349" s="21">
        <v>0</v>
      </c>
      <c r="H349" s="21"/>
      <c r="I349" s="21"/>
      <c r="J349" s="21"/>
      <c r="K349" s="19"/>
      <c r="L349" s="19"/>
      <c r="M349" s="22">
        <v>1</v>
      </c>
      <c r="N349" s="19"/>
      <c r="O349" s="25"/>
      <c r="P349" s="23"/>
      <c r="Q349" s="21" t="s">
        <v>46</v>
      </c>
      <c r="R349" s="19" t="s">
        <v>47</v>
      </c>
      <c r="S349" s="21"/>
      <c r="T349" s="19"/>
      <c r="U349" s="21"/>
      <c r="V349" s="7"/>
      <c r="W349" s="7"/>
      <c r="X349" s="51" t="str">
        <f t="shared" si="2"/>
        <v/>
      </c>
      <c r="Y349" s="51" t="str">
        <f t="shared" si="3"/>
        <v/>
      </c>
      <c r="Z349" s="37"/>
    </row>
    <row r="350" spans="1:26" ht="14.25" customHeight="1" x14ac:dyDescent="0.3">
      <c r="A350" s="18">
        <v>87.1</v>
      </c>
      <c r="B350" s="19"/>
      <c r="C350" s="18" t="s">
        <v>55</v>
      </c>
      <c r="D350" s="19"/>
      <c r="E350" s="25"/>
      <c r="F350" s="19"/>
      <c r="G350" s="21">
        <v>0</v>
      </c>
      <c r="H350" s="21"/>
      <c r="I350" s="21"/>
      <c r="J350" s="21"/>
      <c r="K350" s="19"/>
      <c r="L350" s="19"/>
      <c r="M350" s="22">
        <v>1</v>
      </c>
      <c r="N350" s="19"/>
      <c r="O350" s="25"/>
      <c r="P350" s="23"/>
      <c r="Q350" s="21" t="s">
        <v>46</v>
      </c>
      <c r="R350" s="19" t="s">
        <v>47</v>
      </c>
      <c r="S350" s="21"/>
      <c r="T350" s="19"/>
      <c r="U350" s="21"/>
      <c r="V350" s="7"/>
      <c r="W350" s="7"/>
      <c r="X350" s="51" t="str">
        <f t="shared" si="2"/>
        <v/>
      </c>
      <c r="Y350" s="51" t="str">
        <f t="shared" si="3"/>
        <v/>
      </c>
      <c r="Z350" s="37"/>
    </row>
    <row r="351" spans="1:26" ht="14.25" customHeight="1" x14ac:dyDescent="0.3">
      <c r="A351" s="18">
        <v>87.2</v>
      </c>
      <c r="B351" s="19"/>
      <c r="C351" s="18" t="s">
        <v>55</v>
      </c>
      <c r="D351" s="19"/>
      <c r="E351" s="25"/>
      <c r="F351" s="19"/>
      <c r="G351" s="21">
        <v>0</v>
      </c>
      <c r="H351" s="21"/>
      <c r="I351" s="21"/>
      <c r="J351" s="21"/>
      <c r="K351" s="19"/>
      <c r="L351" s="19"/>
      <c r="M351" s="22">
        <v>1</v>
      </c>
      <c r="N351" s="19"/>
      <c r="O351" s="25"/>
      <c r="P351" s="23"/>
      <c r="Q351" s="21" t="s">
        <v>46</v>
      </c>
      <c r="R351" s="19" t="s">
        <v>47</v>
      </c>
      <c r="S351" s="21"/>
      <c r="T351" s="19"/>
      <c r="U351" s="21"/>
      <c r="V351" s="7"/>
      <c r="W351" s="7"/>
      <c r="X351" s="51" t="str">
        <f t="shared" si="2"/>
        <v/>
      </c>
      <c r="Y351" s="51" t="str">
        <f t="shared" si="3"/>
        <v/>
      </c>
      <c r="Z351" s="37"/>
    </row>
    <row r="352" spans="1:26" ht="14.25" customHeight="1" x14ac:dyDescent="0.3">
      <c r="A352" s="18">
        <v>87.3</v>
      </c>
      <c r="B352" s="19"/>
      <c r="C352" s="18" t="s">
        <v>55</v>
      </c>
      <c r="D352" s="19"/>
      <c r="E352" s="25"/>
      <c r="F352" s="19"/>
      <c r="G352" s="21">
        <v>0</v>
      </c>
      <c r="H352" s="21"/>
      <c r="I352" s="21"/>
      <c r="J352" s="21"/>
      <c r="K352" s="19"/>
      <c r="L352" s="19"/>
      <c r="M352" s="22">
        <v>1</v>
      </c>
      <c r="N352" s="19"/>
      <c r="O352" s="25"/>
      <c r="P352" s="23"/>
      <c r="Q352" s="21" t="s">
        <v>46</v>
      </c>
      <c r="R352" s="19" t="s">
        <v>47</v>
      </c>
      <c r="S352" s="21"/>
      <c r="T352" s="19"/>
      <c r="U352" s="21"/>
      <c r="V352" s="7"/>
      <c r="W352" s="7"/>
      <c r="X352" s="51" t="str">
        <f t="shared" si="2"/>
        <v/>
      </c>
      <c r="Y352" s="51" t="str">
        <f t="shared" si="3"/>
        <v/>
      </c>
      <c r="Z352" s="37"/>
    </row>
    <row r="353" spans="1:26" ht="14.25" customHeight="1" x14ac:dyDescent="0.3">
      <c r="A353" s="18">
        <v>87.4</v>
      </c>
      <c r="B353" s="19"/>
      <c r="C353" s="18" t="s">
        <v>55</v>
      </c>
      <c r="D353" s="19"/>
      <c r="E353" s="25"/>
      <c r="F353" s="19"/>
      <c r="G353" s="21">
        <v>0</v>
      </c>
      <c r="H353" s="21"/>
      <c r="I353" s="21"/>
      <c r="J353" s="21"/>
      <c r="K353" s="19"/>
      <c r="L353" s="19"/>
      <c r="M353" s="22">
        <v>1</v>
      </c>
      <c r="N353" s="19"/>
      <c r="O353" s="25"/>
      <c r="P353" s="23"/>
      <c r="Q353" s="21" t="s">
        <v>46</v>
      </c>
      <c r="R353" s="19" t="s">
        <v>47</v>
      </c>
      <c r="S353" s="21"/>
      <c r="T353" s="19"/>
      <c r="U353" s="21"/>
      <c r="V353" s="7"/>
      <c r="W353" s="7"/>
      <c r="X353" s="51" t="str">
        <f t="shared" si="2"/>
        <v/>
      </c>
      <c r="Y353" s="51" t="str">
        <f t="shared" si="3"/>
        <v/>
      </c>
      <c r="Z353" s="37"/>
    </row>
    <row r="354" spans="1:26" ht="14.25" customHeight="1" x14ac:dyDescent="0.3">
      <c r="A354" s="18">
        <v>88.1</v>
      </c>
      <c r="B354" s="19"/>
      <c r="C354" s="18" t="s">
        <v>55</v>
      </c>
      <c r="D354" s="19"/>
      <c r="E354" s="25"/>
      <c r="F354" s="19"/>
      <c r="G354" s="21">
        <v>0</v>
      </c>
      <c r="H354" s="21"/>
      <c r="I354" s="21"/>
      <c r="J354" s="21"/>
      <c r="K354" s="19"/>
      <c r="L354" s="19"/>
      <c r="M354" s="22">
        <v>1</v>
      </c>
      <c r="N354" s="19"/>
      <c r="O354" s="25"/>
      <c r="P354" s="23"/>
      <c r="Q354" s="21" t="s">
        <v>46</v>
      </c>
      <c r="R354" s="19" t="s">
        <v>47</v>
      </c>
      <c r="S354" s="21"/>
      <c r="T354" s="19"/>
      <c r="U354" s="21"/>
      <c r="V354" s="7"/>
      <c r="W354" s="7"/>
      <c r="X354" s="51" t="str">
        <f t="shared" si="2"/>
        <v/>
      </c>
      <c r="Y354" s="51" t="str">
        <f t="shared" si="3"/>
        <v/>
      </c>
      <c r="Z354" s="37"/>
    </row>
    <row r="355" spans="1:26" ht="14.25" customHeight="1" x14ac:dyDescent="0.3">
      <c r="A355" s="18">
        <v>88.2</v>
      </c>
      <c r="B355" s="19"/>
      <c r="C355" s="18" t="s">
        <v>55</v>
      </c>
      <c r="D355" s="19"/>
      <c r="E355" s="25"/>
      <c r="F355" s="19"/>
      <c r="G355" s="21">
        <v>0</v>
      </c>
      <c r="H355" s="21"/>
      <c r="I355" s="21"/>
      <c r="J355" s="21"/>
      <c r="K355" s="19"/>
      <c r="L355" s="19"/>
      <c r="M355" s="22">
        <v>1</v>
      </c>
      <c r="N355" s="19"/>
      <c r="O355" s="25"/>
      <c r="P355" s="23"/>
      <c r="Q355" s="21" t="s">
        <v>46</v>
      </c>
      <c r="R355" s="19" t="s">
        <v>47</v>
      </c>
      <c r="S355" s="21"/>
      <c r="T355" s="19"/>
      <c r="U355" s="21"/>
      <c r="V355" s="7"/>
      <c r="W355" s="7"/>
      <c r="X355" s="51" t="str">
        <f t="shared" si="2"/>
        <v/>
      </c>
      <c r="Y355" s="51" t="str">
        <f t="shared" si="3"/>
        <v/>
      </c>
      <c r="Z355" s="37"/>
    </row>
    <row r="356" spans="1:26" ht="14.25" customHeight="1" x14ac:dyDescent="0.3">
      <c r="A356" s="18">
        <v>88.3</v>
      </c>
      <c r="B356" s="19"/>
      <c r="C356" s="18" t="s">
        <v>55</v>
      </c>
      <c r="D356" s="19"/>
      <c r="E356" s="25"/>
      <c r="F356" s="19"/>
      <c r="G356" s="21">
        <v>0</v>
      </c>
      <c r="H356" s="21"/>
      <c r="I356" s="21"/>
      <c r="J356" s="21"/>
      <c r="K356" s="19"/>
      <c r="L356" s="19"/>
      <c r="M356" s="22">
        <v>1</v>
      </c>
      <c r="N356" s="19"/>
      <c r="O356" s="25"/>
      <c r="P356" s="23"/>
      <c r="Q356" s="21" t="s">
        <v>46</v>
      </c>
      <c r="R356" s="19" t="s">
        <v>47</v>
      </c>
      <c r="S356" s="21"/>
      <c r="T356" s="19"/>
      <c r="U356" s="21"/>
      <c r="V356" s="7"/>
      <c r="W356" s="7"/>
      <c r="X356" s="51" t="str">
        <f t="shared" si="2"/>
        <v/>
      </c>
      <c r="Y356" s="51" t="str">
        <f t="shared" si="3"/>
        <v/>
      </c>
      <c r="Z356" s="37"/>
    </row>
    <row r="357" spans="1:26" ht="14.25" customHeight="1" x14ac:dyDescent="0.3">
      <c r="A357" s="18">
        <v>88.4</v>
      </c>
      <c r="B357" s="19"/>
      <c r="C357" s="18" t="s">
        <v>55</v>
      </c>
      <c r="D357" s="19"/>
      <c r="E357" s="25"/>
      <c r="F357" s="19"/>
      <c r="G357" s="21">
        <v>0</v>
      </c>
      <c r="H357" s="21"/>
      <c r="I357" s="21"/>
      <c r="J357" s="21"/>
      <c r="K357" s="19"/>
      <c r="L357" s="19"/>
      <c r="M357" s="22">
        <v>1</v>
      </c>
      <c r="N357" s="19"/>
      <c r="O357" s="25"/>
      <c r="P357" s="23"/>
      <c r="Q357" s="21" t="s">
        <v>46</v>
      </c>
      <c r="R357" s="19" t="s">
        <v>47</v>
      </c>
      <c r="S357" s="21"/>
      <c r="T357" s="19"/>
      <c r="U357" s="21"/>
      <c r="V357" s="7"/>
      <c r="W357" s="7"/>
      <c r="X357" s="51" t="str">
        <f t="shared" si="2"/>
        <v/>
      </c>
      <c r="Y357" s="51" t="str">
        <f t="shared" si="3"/>
        <v/>
      </c>
      <c r="Z357" s="37"/>
    </row>
    <row r="358" spans="1:26" ht="14.25" customHeight="1" x14ac:dyDescent="0.3">
      <c r="A358" s="18">
        <v>89.1</v>
      </c>
      <c r="B358" s="19"/>
      <c r="C358" s="18" t="s">
        <v>55</v>
      </c>
      <c r="D358" s="19"/>
      <c r="E358" s="25"/>
      <c r="F358" s="19"/>
      <c r="G358" s="21">
        <v>0</v>
      </c>
      <c r="H358" s="21"/>
      <c r="I358" s="21"/>
      <c r="J358" s="21"/>
      <c r="K358" s="19"/>
      <c r="L358" s="19"/>
      <c r="M358" s="22">
        <v>1</v>
      </c>
      <c r="N358" s="19"/>
      <c r="O358" s="25"/>
      <c r="P358" s="23"/>
      <c r="Q358" s="21" t="s">
        <v>46</v>
      </c>
      <c r="R358" s="19" t="s">
        <v>47</v>
      </c>
      <c r="S358" s="21"/>
      <c r="T358" s="19"/>
      <c r="U358" s="21"/>
      <c r="V358" s="7"/>
      <c r="W358" s="7"/>
      <c r="X358" s="51" t="str">
        <f t="shared" si="2"/>
        <v/>
      </c>
      <c r="Y358" s="51" t="str">
        <f t="shared" si="3"/>
        <v/>
      </c>
      <c r="Z358" s="37"/>
    </row>
    <row r="359" spans="1:26" ht="14.25" customHeight="1" x14ac:dyDescent="0.3">
      <c r="A359" s="18">
        <v>89.2</v>
      </c>
      <c r="B359" s="19"/>
      <c r="C359" s="18" t="s">
        <v>55</v>
      </c>
      <c r="D359" s="19"/>
      <c r="E359" s="25"/>
      <c r="F359" s="19"/>
      <c r="G359" s="21">
        <v>0</v>
      </c>
      <c r="H359" s="21"/>
      <c r="I359" s="21"/>
      <c r="J359" s="21"/>
      <c r="K359" s="19"/>
      <c r="L359" s="19"/>
      <c r="M359" s="22">
        <v>1</v>
      </c>
      <c r="N359" s="19"/>
      <c r="O359" s="25"/>
      <c r="P359" s="23"/>
      <c r="Q359" s="21" t="s">
        <v>46</v>
      </c>
      <c r="R359" s="19" t="s">
        <v>47</v>
      </c>
      <c r="S359" s="21"/>
      <c r="T359" s="19"/>
      <c r="U359" s="21"/>
      <c r="V359" s="7"/>
      <c r="W359" s="7"/>
      <c r="X359" s="51" t="str">
        <f t="shared" si="2"/>
        <v/>
      </c>
      <c r="Y359" s="51" t="str">
        <f t="shared" si="3"/>
        <v/>
      </c>
      <c r="Z359" s="37"/>
    </row>
    <row r="360" spans="1:26" ht="14.25" customHeight="1" x14ac:dyDescent="0.3">
      <c r="A360" s="18">
        <v>89.3</v>
      </c>
      <c r="B360" s="19"/>
      <c r="C360" s="18" t="s">
        <v>55</v>
      </c>
      <c r="D360" s="19"/>
      <c r="E360" s="25"/>
      <c r="F360" s="19"/>
      <c r="G360" s="21">
        <v>0</v>
      </c>
      <c r="H360" s="21"/>
      <c r="I360" s="21"/>
      <c r="J360" s="21"/>
      <c r="K360" s="19"/>
      <c r="L360" s="19"/>
      <c r="M360" s="22">
        <v>1</v>
      </c>
      <c r="N360" s="19"/>
      <c r="O360" s="25"/>
      <c r="P360" s="23"/>
      <c r="Q360" s="21" t="s">
        <v>46</v>
      </c>
      <c r="R360" s="19" t="s">
        <v>47</v>
      </c>
      <c r="S360" s="21"/>
      <c r="T360" s="19"/>
      <c r="U360" s="21"/>
      <c r="V360" s="7"/>
      <c r="W360" s="7"/>
      <c r="X360" s="51" t="str">
        <f t="shared" si="2"/>
        <v/>
      </c>
      <c r="Y360" s="51" t="str">
        <f t="shared" si="3"/>
        <v/>
      </c>
      <c r="Z360" s="37"/>
    </row>
    <row r="361" spans="1:26" ht="14.25" customHeight="1" x14ac:dyDescent="0.3">
      <c r="A361" s="18">
        <v>89.4</v>
      </c>
      <c r="B361" s="19"/>
      <c r="C361" s="18" t="s">
        <v>55</v>
      </c>
      <c r="D361" s="19"/>
      <c r="E361" s="25"/>
      <c r="F361" s="19"/>
      <c r="G361" s="21">
        <v>0</v>
      </c>
      <c r="H361" s="21"/>
      <c r="I361" s="21"/>
      <c r="J361" s="21"/>
      <c r="K361" s="19"/>
      <c r="L361" s="19"/>
      <c r="M361" s="22">
        <v>1</v>
      </c>
      <c r="N361" s="19"/>
      <c r="O361" s="25"/>
      <c r="P361" s="23"/>
      <c r="Q361" s="21" t="s">
        <v>46</v>
      </c>
      <c r="R361" s="19" t="s">
        <v>47</v>
      </c>
      <c r="S361" s="21"/>
      <c r="T361" s="19"/>
      <c r="U361" s="21"/>
      <c r="V361" s="7"/>
      <c r="W361" s="7"/>
      <c r="X361" s="51" t="str">
        <f t="shared" si="2"/>
        <v/>
      </c>
      <c r="Y361" s="51" t="str">
        <f t="shared" si="3"/>
        <v/>
      </c>
      <c r="Z361" s="37"/>
    </row>
    <row r="362" spans="1:26" ht="14.25" customHeight="1" x14ac:dyDescent="0.3">
      <c r="A362" s="18">
        <v>90.1</v>
      </c>
      <c r="B362" s="19"/>
      <c r="C362" s="18" t="s">
        <v>55</v>
      </c>
      <c r="D362" s="19"/>
      <c r="E362" s="25"/>
      <c r="F362" s="19"/>
      <c r="G362" s="21">
        <v>0</v>
      </c>
      <c r="H362" s="21"/>
      <c r="I362" s="21"/>
      <c r="J362" s="21"/>
      <c r="K362" s="19"/>
      <c r="L362" s="19"/>
      <c r="M362" s="22">
        <v>1</v>
      </c>
      <c r="N362" s="19"/>
      <c r="O362" s="25"/>
      <c r="P362" s="23"/>
      <c r="Q362" s="21" t="s">
        <v>46</v>
      </c>
      <c r="R362" s="19" t="s">
        <v>47</v>
      </c>
      <c r="S362" s="21"/>
      <c r="T362" s="19"/>
      <c r="U362" s="21"/>
      <c r="V362" s="7"/>
      <c r="W362" s="7"/>
      <c r="X362" s="51" t="str">
        <f t="shared" si="2"/>
        <v/>
      </c>
      <c r="Y362" s="51" t="str">
        <f t="shared" si="3"/>
        <v/>
      </c>
      <c r="Z362" s="37"/>
    </row>
    <row r="363" spans="1:26" ht="14.25" customHeight="1" x14ac:dyDescent="0.3">
      <c r="A363" s="18">
        <v>90.2</v>
      </c>
      <c r="B363" s="19"/>
      <c r="C363" s="18" t="s">
        <v>55</v>
      </c>
      <c r="D363" s="19"/>
      <c r="E363" s="25"/>
      <c r="F363" s="19"/>
      <c r="G363" s="21">
        <v>0</v>
      </c>
      <c r="H363" s="21"/>
      <c r="I363" s="21"/>
      <c r="J363" s="21"/>
      <c r="K363" s="19"/>
      <c r="L363" s="19"/>
      <c r="M363" s="22">
        <v>1</v>
      </c>
      <c r="N363" s="19"/>
      <c r="O363" s="25"/>
      <c r="P363" s="23"/>
      <c r="Q363" s="21" t="s">
        <v>46</v>
      </c>
      <c r="R363" s="19" t="s">
        <v>47</v>
      </c>
      <c r="S363" s="21"/>
      <c r="T363" s="19"/>
      <c r="U363" s="21"/>
      <c r="V363" s="7"/>
      <c r="W363" s="7"/>
      <c r="X363" s="51" t="str">
        <f t="shared" si="2"/>
        <v/>
      </c>
      <c r="Y363" s="51" t="str">
        <f t="shared" si="3"/>
        <v/>
      </c>
      <c r="Z363" s="37"/>
    </row>
    <row r="364" spans="1:26" ht="14.25" customHeight="1" x14ac:dyDescent="0.3">
      <c r="A364" s="18">
        <v>90.3</v>
      </c>
      <c r="B364" s="19"/>
      <c r="C364" s="18" t="s">
        <v>55</v>
      </c>
      <c r="D364" s="19"/>
      <c r="E364" s="25"/>
      <c r="F364" s="19"/>
      <c r="G364" s="21">
        <v>0</v>
      </c>
      <c r="H364" s="21"/>
      <c r="I364" s="21"/>
      <c r="J364" s="21"/>
      <c r="K364" s="19"/>
      <c r="L364" s="19"/>
      <c r="M364" s="22">
        <v>1</v>
      </c>
      <c r="N364" s="19"/>
      <c r="O364" s="25"/>
      <c r="P364" s="23"/>
      <c r="Q364" s="21" t="s">
        <v>46</v>
      </c>
      <c r="R364" s="19" t="s">
        <v>47</v>
      </c>
      <c r="S364" s="21"/>
      <c r="T364" s="19"/>
      <c r="U364" s="21"/>
      <c r="V364" s="7"/>
      <c r="W364" s="7"/>
      <c r="X364" s="51" t="str">
        <f t="shared" si="2"/>
        <v/>
      </c>
      <c r="Y364" s="51" t="str">
        <f t="shared" si="3"/>
        <v/>
      </c>
      <c r="Z364" s="37"/>
    </row>
    <row r="365" spans="1:26" ht="14.25" customHeight="1" x14ac:dyDescent="0.3">
      <c r="A365" s="18">
        <v>90.4</v>
      </c>
      <c r="B365" s="19"/>
      <c r="C365" s="18" t="s">
        <v>55</v>
      </c>
      <c r="D365" s="19"/>
      <c r="E365" s="25"/>
      <c r="F365" s="19"/>
      <c r="G365" s="21">
        <v>0</v>
      </c>
      <c r="H365" s="21"/>
      <c r="I365" s="21"/>
      <c r="J365" s="21"/>
      <c r="K365" s="19"/>
      <c r="L365" s="19"/>
      <c r="M365" s="22">
        <v>1</v>
      </c>
      <c r="N365" s="19"/>
      <c r="O365" s="25"/>
      <c r="P365" s="23"/>
      <c r="Q365" s="21" t="s">
        <v>46</v>
      </c>
      <c r="R365" s="19" t="s">
        <v>47</v>
      </c>
      <c r="S365" s="21"/>
      <c r="T365" s="19"/>
      <c r="U365" s="21"/>
      <c r="V365" s="7"/>
      <c r="W365" s="7"/>
      <c r="X365" s="51" t="str">
        <f t="shared" si="2"/>
        <v/>
      </c>
      <c r="Y365" s="51" t="str">
        <f t="shared" si="3"/>
        <v/>
      </c>
      <c r="Z365" s="37"/>
    </row>
    <row r="366" spans="1:26" ht="14.25" customHeight="1" x14ac:dyDescent="0.3">
      <c r="A366" s="18">
        <v>91.1</v>
      </c>
      <c r="B366" s="19"/>
      <c r="C366" s="18" t="s">
        <v>55</v>
      </c>
      <c r="D366" s="19"/>
      <c r="E366" s="25"/>
      <c r="F366" s="19"/>
      <c r="G366" s="21">
        <v>0</v>
      </c>
      <c r="H366" s="21"/>
      <c r="I366" s="21"/>
      <c r="J366" s="21"/>
      <c r="K366" s="19"/>
      <c r="L366" s="19"/>
      <c r="M366" s="22">
        <v>1</v>
      </c>
      <c r="N366" s="19"/>
      <c r="O366" s="25"/>
      <c r="P366" s="23"/>
      <c r="Q366" s="21" t="s">
        <v>46</v>
      </c>
      <c r="R366" s="19" t="s">
        <v>47</v>
      </c>
      <c r="S366" s="21"/>
      <c r="T366" s="19"/>
      <c r="U366" s="21"/>
      <c r="V366" s="7"/>
      <c r="W366" s="7"/>
      <c r="X366" s="51" t="str">
        <f t="shared" si="2"/>
        <v/>
      </c>
      <c r="Y366" s="51" t="str">
        <f t="shared" si="3"/>
        <v/>
      </c>
      <c r="Z366" s="37"/>
    </row>
    <row r="367" spans="1:26" ht="14.25" customHeight="1" x14ac:dyDescent="0.3">
      <c r="A367" s="18">
        <v>91.2</v>
      </c>
      <c r="B367" s="19"/>
      <c r="C367" s="18" t="s">
        <v>55</v>
      </c>
      <c r="D367" s="19"/>
      <c r="E367" s="25"/>
      <c r="F367" s="19"/>
      <c r="G367" s="21">
        <v>0</v>
      </c>
      <c r="H367" s="21"/>
      <c r="I367" s="21"/>
      <c r="J367" s="21"/>
      <c r="K367" s="19"/>
      <c r="L367" s="19"/>
      <c r="M367" s="22">
        <v>1</v>
      </c>
      <c r="N367" s="19"/>
      <c r="O367" s="25"/>
      <c r="P367" s="23"/>
      <c r="Q367" s="21" t="s">
        <v>46</v>
      </c>
      <c r="R367" s="19" t="s">
        <v>47</v>
      </c>
      <c r="S367" s="21"/>
      <c r="T367" s="19"/>
      <c r="U367" s="21"/>
      <c r="V367" s="7"/>
      <c r="W367" s="7"/>
      <c r="X367" s="51" t="str">
        <f t="shared" si="2"/>
        <v/>
      </c>
      <c r="Y367" s="51" t="str">
        <f t="shared" si="3"/>
        <v/>
      </c>
      <c r="Z367" s="37"/>
    </row>
    <row r="368" spans="1:26" ht="14.25" customHeight="1" x14ac:dyDescent="0.3">
      <c r="A368" s="18">
        <v>91.3</v>
      </c>
      <c r="B368" s="19"/>
      <c r="C368" s="18" t="s">
        <v>55</v>
      </c>
      <c r="D368" s="19"/>
      <c r="E368" s="25"/>
      <c r="F368" s="19"/>
      <c r="G368" s="21">
        <v>0</v>
      </c>
      <c r="H368" s="21"/>
      <c r="I368" s="21"/>
      <c r="J368" s="21"/>
      <c r="K368" s="19"/>
      <c r="L368" s="19"/>
      <c r="M368" s="22">
        <v>1</v>
      </c>
      <c r="N368" s="19"/>
      <c r="O368" s="25"/>
      <c r="P368" s="23"/>
      <c r="Q368" s="21" t="s">
        <v>46</v>
      </c>
      <c r="R368" s="19" t="s">
        <v>47</v>
      </c>
      <c r="S368" s="21"/>
      <c r="T368" s="19"/>
      <c r="U368" s="21"/>
      <c r="V368" s="7"/>
      <c r="W368" s="7"/>
      <c r="X368" s="51" t="str">
        <f t="shared" si="2"/>
        <v/>
      </c>
      <c r="Y368" s="51" t="str">
        <f t="shared" si="3"/>
        <v/>
      </c>
      <c r="Z368" s="37"/>
    </row>
    <row r="369" spans="1:26" ht="14.25" customHeight="1" x14ac:dyDescent="0.3">
      <c r="A369" s="18">
        <v>91.4</v>
      </c>
      <c r="B369" s="19"/>
      <c r="C369" s="18" t="s">
        <v>55</v>
      </c>
      <c r="D369" s="19"/>
      <c r="E369" s="25"/>
      <c r="F369" s="19"/>
      <c r="G369" s="21">
        <v>0</v>
      </c>
      <c r="H369" s="21"/>
      <c r="I369" s="21"/>
      <c r="J369" s="21"/>
      <c r="K369" s="19"/>
      <c r="L369" s="19"/>
      <c r="M369" s="22">
        <v>1</v>
      </c>
      <c r="N369" s="19"/>
      <c r="O369" s="25"/>
      <c r="P369" s="23"/>
      <c r="Q369" s="21" t="s">
        <v>46</v>
      </c>
      <c r="R369" s="19" t="s">
        <v>47</v>
      </c>
      <c r="S369" s="21"/>
      <c r="T369" s="19"/>
      <c r="U369" s="21"/>
      <c r="V369" s="7"/>
      <c r="W369" s="7"/>
      <c r="X369" s="51" t="str">
        <f t="shared" si="2"/>
        <v/>
      </c>
      <c r="Y369" s="51" t="str">
        <f t="shared" si="3"/>
        <v/>
      </c>
      <c r="Z369" s="37"/>
    </row>
    <row r="370" spans="1:26" ht="14.25" customHeight="1" x14ac:dyDescent="0.3">
      <c r="A370" s="18">
        <v>92.1</v>
      </c>
      <c r="B370" s="19"/>
      <c r="C370" s="18" t="s">
        <v>55</v>
      </c>
      <c r="D370" s="19"/>
      <c r="E370" s="25"/>
      <c r="F370" s="19"/>
      <c r="G370" s="21">
        <v>0</v>
      </c>
      <c r="H370" s="21"/>
      <c r="I370" s="21"/>
      <c r="J370" s="21"/>
      <c r="K370" s="19"/>
      <c r="L370" s="19"/>
      <c r="M370" s="22">
        <v>1</v>
      </c>
      <c r="N370" s="19"/>
      <c r="O370" s="25"/>
      <c r="P370" s="23"/>
      <c r="Q370" s="21" t="s">
        <v>46</v>
      </c>
      <c r="R370" s="19" t="s">
        <v>47</v>
      </c>
      <c r="S370" s="21"/>
      <c r="T370" s="19"/>
      <c r="U370" s="21"/>
      <c r="V370" s="7"/>
      <c r="W370" s="7"/>
      <c r="X370" s="51" t="str">
        <f t="shared" si="2"/>
        <v/>
      </c>
      <c r="Y370" s="51" t="str">
        <f t="shared" si="3"/>
        <v/>
      </c>
      <c r="Z370" s="37"/>
    </row>
    <row r="371" spans="1:26" ht="14.25" customHeight="1" x14ac:dyDescent="0.3">
      <c r="A371" s="18">
        <v>92.2</v>
      </c>
      <c r="B371" s="19"/>
      <c r="C371" s="18" t="s">
        <v>55</v>
      </c>
      <c r="D371" s="19"/>
      <c r="E371" s="25"/>
      <c r="F371" s="19"/>
      <c r="G371" s="21">
        <v>0</v>
      </c>
      <c r="H371" s="21"/>
      <c r="I371" s="21"/>
      <c r="J371" s="21"/>
      <c r="K371" s="19"/>
      <c r="L371" s="19"/>
      <c r="M371" s="22">
        <v>1</v>
      </c>
      <c r="N371" s="19"/>
      <c r="O371" s="25"/>
      <c r="P371" s="23"/>
      <c r="Q371" s="21" t="s">
        <v>46</v>
      </c>
      <c r="R371" s="19" t="s">
        <v>47</v>
      </c>
      <c r="S371" s="21"/>
      <c r="T371" s="19"/>
      <c r="U371" s="21"/>
      <c r="V371" s="7"/>
      <c r="W371" s="7"/>
      <c r="X371" s="51" t="str">
        <f t="shared" si="2"/>
        <v/>
      </c>
      <c r="Y371" s="51" t="str">
        <f t="shared" si="3"/>
        <v/>
      </c>
      <c r="Z371" s="37"/>
    </row>
    <row r="372" spans="1:26" ht="14.25" customHeight="1" x14ac:dyDescent="0.3">
      <c r="A372" s="18">
        <v>92.3</v>
      </c>
      <c r="B372" s="19"/>
      <c r="C372" s="18" t="s">
        <v>55</v>
      </c>
      <c r="D372" s="19"/>
      <c r="E372" s="25"/>
      <c r="F372" s="19"/>
      <c r="G372" s="21">
        <v>0</v>
      </c>
      <c r="H372" s="21"/>
      <c r="I372" s="21"/>
      <c r="J372" s="21"/>
      <c r="K372" s="19"/>
      <c r="L372" s="19"/>
      <c r="M372" s="22">
        <v>1</v>
      </c>
      <c r="N372" s="19"/>
      <c r="O372" s="25"/>
      <c r="P372" s="23"/>
      <c r="Q372" s="21" t="s">
        <v>46</v>
      </c>
      <c r="R372" s="19" t="s">
        <v>47</v>
      </c>
      <c r="S372" s="21"/>
      <c r="T372" s="19"/>
      <c r="U372" s="21"/>
      <c r="V372" s="7"/>
      <c r="W372" s="7"/>
      <c r="X372" s="51" t="str">
        <f t="shared" si="2"/>
        <v/>
      </c>
      <c r="Y372" s="51" t="str">
        <f t="shared" si="3"/>
        <v/>
      </c>
      <c r="Z372" s="37"/>
    </row>
    <row r="373" spans="1:26" ht="14.25" customHeight="1" x14ac:dyDescent="0.3">
      <c r="A373" s="18">
        <v>92.4</v>
      </c>
      <c r="B373" s="19"/>
      <c r="C373" s="18" t="s">
        <v>55</v>
      </c>
      <c r="D373" s="19"/>
      <c r="E373" s="25"/>
      <c r="F373" s="19"/>
      <c r="G373" s="21">
        <v>0</v>
      </c>
      <c r="H373" s="21"/>
      <c r="I373" s="21"/>
      <c r="J373" s="21"/>
      <c r="K373" s="19"/>
      <c r="L373" s="19"/>
      <c r="M373" s="22">
        <v>1</v>
      </c>
      <c r="N373" s="19"/>
      <c r="O373" s="25"/>
      <c r="P373" s="23"/>
      <c r="Q373" s="21" t="s">
        <v>46</v>
      </c>
      <c r="R373" s="19" t="s">
        <v>47</v>
      </c>
      <c r="S373" s="21"/>
      <c r="T373" s="19"/>
      <c r="U373" s="21"/>
      <c r="V373" s="7"/>
      <c r="W373" s="7"/>
      <c r="X373" s="51" t="str">
        <f t="shared" si="2"/>
        <v/>
      </c>
      <c r="Y373" s="51" t="str">
        <f t="shared" si="3"/>
        <v/>
      </c>
      <c r="Z373" s="37"/>
    </row>
    <row r="374" spans="1:26" ht="14.25" customHeight="1" x14ac:dyDescent="0.3">
      <c r="A374" s="18">
        <v>93.1</v>
      </c>
      <c r="B374" s="19"/>
      <c r="C374" s="18" t="s">
        <v>55</v>
      </c>
      <c r="D374" s="19"/>
      <c r="E374" s="25"/>
      <c r="F374" s="19"/>
      <c r="G374" s="21">
        <v>0</v>
      </c>
      <c r="H374" s="21"/>
      <c r="I374" s="21"/>
      <c r="J374" s="21"/>
      <c r="K374" s="19"/>
      <c r="L374" s="19"/>
      <c r="M374" s="22">
        <v>1</v>
      </c>
      <c r="N374" s="19"/>
      <c r="O374" s="25"/>
      <c r="P374" s="23"/>
      <c r="Q374" s="21" t="s">
        <v>46</v>
      </c>
      <c r="R374" s="19" t="s">
        <v>47</v>
      </c>
      <c r="S374" s="21"/>
      <c r="T374" s="19"/>
      <c r="U374" s="21"/>
      <c r="V374" s="7"/>
      <c r="W374" s="7"/>
      <c r="X374" s="51" t="str">
        <f t="shared" si="2"/>
        <v/>
      </c>
      <c r="Y374" s="51" t="str">
        <f t="shared" si="3"/>
        <v/>
      </c>
      <c r="Z374" s="37"/>
    </row>
    <row r="375" spans="1:26" ht="14.25" customHeight="1" x14ac:dyDescent="0.3">
      <c r="A375" s="18">
        <v>93.2</v>
      </c>
      <c r="B375" s="19"/>
      <c r="C375" s="18" t="s">
        <v>55</v>
      </c>
      <c r="D375" s="19"/>
      <c r="E375" s="25"/>
      <c r="F375" s="19"/>
      <c r="G375" s="21">
        <v>0</v>
      </c>
      <c r="H375" s="21"/>
      <c r="I375" s="21"/>
      <c r="J375" s="21"/>
      <c r="K375" s="19"/>
      <c r="L375" s="19"/>
      <c r="M375" s="22">
        <v>1</v>
      </c>
      <c r="N375" s="19"/>
      <c r="O375" s="25"/>
      <c r="P375" s="23"/>
      <c r="Q375" s="21" t="s">
        <v>46</v>
      </c>
      <c r="R375" s="19" t="s">
        <v>47</v>
      </c>
      <c r="S375" s="21"/>
      <c r="T375" s="19"/>
      <c r="U375" s="21"/>
      <c r="V375" s="7"/>
      <c r="W375" s="7"/>
      <c r="X375" s="51" t="str">
        <f t="shared" si="2"/>
        <v/>
      </c>
      <c r="Y375" s="51" t="str">
        <f t="shared" si="3"/>
        <v/>
      </c>
      <c r="Z375" s="37"/>
    </row>
    <row r="376" spans="1:26" ht="14.25" customHeight="1" x14ac:dyDescent="0.3">
      <c r="A376" s="18">
        <v>93.3</v>
      </c>
      <c r="B376" s="19"/>
      <c r="C376" s="18" t="s">
        <v>55</v>
      </c>
      <c r="D376" s="19"/>
      <c r="E376" s="25"/>
      <c r="F376" s="19"/>
      <c r="G376" s="21">
        <v>0</v>
      </c>
      <c r="H376" s="21"/>
      <c r="I376" s="21"/>
      <c r="J376" s="21"/>
      <c r="K376" s="19"/>
      <c r="L376" s="19"/>
      <c r="M376" s="22">
        <v>1</v>
      </c>
      <c r="N376" s="19"/>
      <c r="O376" s="25"/>
      <c r="P376" s="23"/>
      <c r="Q376" s="21" t="s">
        <v>46</v>
      </c>
      <c r="R376" s="19" t="s">
        <v>47</v>
      </c>
      <c r="S376" s="21"/>
      <c r="T376" s="19"/>
      <c r="U376" s="21"/>
      <c r="V376" s="7"/>
      <c r="W376" s="7"/>
      <c r="X376" s="51" t="str">
        <f t="shared" si="2"/>
        <v/>
      </c>
      <c r="Y376" s="51" t="str">
        <f t="shared" si="3"/>
        <v/>
      </c>
      <c r="Z376" s="37"/>
    </row>
    <row r="377" spans="1:26" ht="14.25" customHeight="1" x14ac:dyDescent="0.3">
      <c r="A377" s="18">
        <v>93.4</v>
      </c>
      <c r="B377" s="19"/>
      <c r="C377" s="18" t="s">
        <v>55</v>
      </c>
      <c r="D377" s="19"/>
      <c r="E377" s="25"/>
      <c r="F377" s="19"/>
      <c r="G377" s="21">
        <v>0</v>
      </c>
      <c r="H377" s="21"/>
      <c r="I377" s="21"/>
      <c r="J377" s="21"/>
      <c r="K377" s="19"/>
      <c r="L377" s="19"/>
      <c r="M377" s="22">
        <v>1</v>
      </c>
      <c r="N377" s="19"/>
      <c r="O377" s="25"/>
      <c r="P377" s="23"/>
      <c r="Q377" s="21" t="s">
        <v>46</v>
      </c>
      <c r="R377" s="19" t="s">
        <v>47</v>
      </c>
      <c r="S377" s="21"/>
      <c r="T377" s="19"/>
      <c r="U377" s="21"/>
      <c r="V377" s="7"/>
      <c r="W377" s="7"/>
      <c r="X377" s="51" t="str">
        <f t="shared" si="2"/>
        <v/>
      </c>
      <c r="Y377" s="51" t="str">
        <f t="shared" si="3"/>
        <v/>
      </c>
      <c r="Z377" s="37"/>
    </row>
    <row r="378" spans="1:26" ht="14.25" customHeight="1" x14ac:dyDescent="0.3">
      <c r="A378" s="18">
        <v>94.1</v>
      </c>
      <c r="B378" s="19"/>
      <c r="C378" s="18" t="s">
        <v>55</v>
      </c>
      <c r="D378" s="19"/>
      <c r="E378" s="25"/>
      <c r="F378" s="19"/>
      <c r="G378" s="21">
        <v>0</v>
      </c>
      <c r="H378" s="21"/>
      <c r="I378" s="21"/>
      <c r="J378" s="21"/>
      <c r="K378" s="19"/>
      <c r="L378" s="19"/>
      <c r="M378" s="22">
        <v>1</v>
      </c>
      <c r="N378" s="19"/>
      <c r="O378" s="25"/>
      <c r="P378" s="23"/>
      <c r="Q378" s="21" t="s">
        <v>46</v>
      </c>
      <c r="R378" s="19" t="s">
        <v>47</v>
      </c>
      <c r="S378" s="21"/>
      <c r="T378" s="19"/>
      <c r="U378" s="21"/>
      <c r="V378" s="7"/>
      <c r="W378" s="7"/>
      <c r="X378" s="51" t="str">
        <f t="shared" si="2"/>
        <v/>
      </c>
      <c r="Y378" s="51" t="str">
        <f t="shared" si="3"/>
        <v/>
      </c>
      <c r="Z378" s="37"/>
    </row>
    <row r="379" spans="1:26" ht="14.25" customHeight="1" x14ac:dyDescent="0.3">
      <c r="A379" s="18">
        <v>94.2</v>
      </c>
      <c r="B379" s="19"/>
      <c r="C379" s="18" t="s">
        <v>55</v>
      </c>
      <c r="D379" s="19"/>
      <c r="E379" s="25"/>
      <c r="F379" s="19"/>
      <c r="G379" s="21">
        <v>0</v>
      </c>
      <c r="H379" s="21"/>
      <c r="I379" s="21"/>
      <c r="J379" s="21"/>
      <c r="K379" s="19"/>
      <c r="L379" s="19"/>
      <c r="M379" s="22">
        <v>1</v>
      </c>
      <c r="N379" s="19"/>
      <c r="O379" s="25"/>
      <c r="P379" s="23"/>
      <c r="Q379" s="21" t="s">
        <v>46</v>
      </c>
      <c r="R379" s="19" t="s">
        <v>47</v>
      </c>
      <c r="S379" s="21"/>
      <c r="T379" s="19"/>
      <c r="U379" s="21"/>
      <c r="V379" s="7"/>
      <c r="W379" s="7"/>
      <c r="X379" s="51" t="str">
        <f t="shared" si="2"/>
        <v/>
      </c>
      <c r="Y379" s="51" t="str">
        <f t="shared" si="3"/>
        <v/>
      </c>
      <c r="Z379" s="37"/>
    </row>
    <row r="380" spans="1:26" ht="14.25" customHeight="1" x14ac:dyDescent="0.3">
      <c r="A380" s="18">
        <v>94.3</v>
      </c>
      <c r="B380" s="19"/>
      <c r="C380" s="18" t="s">
        <v>55</v>
      </c>
      <c r="D380" s="19"/>
      <c r="E380" s="25"/>
      <c r="F380" s="19"/>
      <c r="G380" s="21">
        <v>0</v>
      </c>
      <c r="H380" s="21"/>
      <c r="I380" s="21"/>
      <c r="J380" s="21"/>
      <c r="K380" s="19"/>
      <c r="L380" s="19"/>
      <c r="M380" s="22">
        <v>1</v>
      </c>
      <c r="N380" s="19"/>
      <c r="O380" s="25"/>
      <c r="P380" s="23"/>
      <c r="Q380" s="21" t="s">
        <v>46</v>
      </c>
      <c r="R380" s="19" t="s">
        <v>47</v>
      </c>
      <c r="S380" s="21"/>
      <c r="T380" s="19"/>
      <c r="U380" s="21"/>
      <c r="V380" s="7"/>
      <c r="W380" s="7"/>
      <c r="X380" s="51" t="str">
        <f t="shared" si="2"/>
        <v/>
      </c>
      <c r="Y380" s="51" t="str">
        <f t="shared" si="3"/>
        <v/>
      </c>
      <c r="Z380" s="37"/>
    </row>
    <row r="381" spans="1:26" ht="14.25" customHeight="1" x14ac:dyDescent="0.3">
      <c r="A381" s="18">
        <v>94.4</v>
      </c>
      <c r="B381" s="19"/>
      <c r="C381" s="18" t="s">
        <v>55</v>
      </c>
      <c r="D381" s="19"/>
      <c r="E381" s="25"/>
      <c r="F381" s="19"/>
      <c r="G381" s="21">
        <v>0</v>
      </c>
      <c r="H381" s="21"/>
      <c r="I381" s="21"/>
      <c r="J381" s="21"/>
      <c r="K381" s="19"/>
      <c r="L381" s="19"/>
      <c r="M381" s="22">
        <v>1</v>
      </c>
      <c r="N381" s="19"/>
      <c r="O381" s="25"/>
      <c r="P381" s="23"/>
      <c r="Q381" s="21" t="s">
        <v>46</v>
      </c>
      <c r="R381" s="19" t="s">
        <v>47</v>
      </c>
      <c r="S381" s="21"/>
      <c r="T381" s="19"/>
      <c r="U381" s="21"/>
      <c r="V381" s="7"/>
      <c r="W381" s="7"/>
      <c r="X381" s="51" t="str">
        <f t="shared" si="2"/>
        <v/>
      </c>
      <c r="Y381" s="51" t="str">
        <f t="shared" si="3"/>
        <v/>
      </c>
      <c r="Z381" s="37"/>
    </row>
    <row r="382" spans="1:26" ht="14.25" customHeight="1" x14ac:dyDescent="0.3">
      <c r="A382" s="18">
        <v>95.1</v>
      </c>
      <c r="B382" s="19"/>
      <c r="C382" s="18" t="s">
        <v>55</v>
      </c>
      <c r="D382" s="19"/>
      <c r="E382" s="25"/>
      <c r="F382" s="19"/>
      <c r="G382" s="21">
        <v>0</v>
      </c>
      <c r="H382" s="21"/>
      <c r="I382" s="21"/>
      <c r="J382" s="21"/>
      <c r="K382" s="19"/>
      <c r="L382" s="19"/>
      <c r="M382" s="22">
        <v>1</v>
      </c>
      <c r="N382" s="19"/>
      <c r="O382" s="25"/>
      <c r="P382" s="23"/>
      <c r="Q382" s="21" t="s">
        <v>46</v>
      </c>
      <c r="R382" s="19" t="s">
        <v>47</v>
      </c>
      <c r="S382" s="21"/>
      <c r="T382" s="19"/>
      <c r="U382" s="21"/>
      <c r="V382" s="7"/>
      <c r="W382" s="7"/>
      <c r="X382" s="51" t="str">
        <f t="shared" si="2"/>
        <v/>
      </c>
      <c r="Y382" s="51" t="str">
        <f t="shared" si="3"/>
        <v/>
      </c>
      <c r="Z382" s="37"/>
    </row>
    <row r="383" spans="1:26" ht="14.25" customHeight="1" x14ac:dyDescent="0.3">
      <c r="A383" s="18">
        <v>95.2</v>
      </c>
      <c r="B383" s="19"/>
      <c r="C383" s="18" t="s">
        <v>55</v>
      </c>
      <c r="D383" s="19"/>
      <c r="E383" s="25"/>
      <c r="F383" s="19"/>
      <c r="G383" s="21">
        <v>0</v>
      </c>
      <c r="H383" s="21"/>
      <c r="I383" s="21"/>
      <c r="J383" s="21"/>
      <c r="K383" s="19"/>
      <c r="L383" s="19"/>
      <c r="M383" s="22">
        <v>1</v>
      </c>
      <c r="N383" s="19"/>
      <c r="O383" s="25"/>
      <c r="P383" s="23"/>
      <c r="Q383" s="21" t="s">
        <v>46</v>
      </c>
      <c r="R383" s="19" t="s">
        <v>47</v>
      </c>
      <c r="S383" s="21"/>
      <c r="T383" s="19"/>
      <c r="U383" s="21"/>
      <c r="V383" s="7"/>
      <c r="W383" s="7"/>
      <c r="X383" s="51" t="str">
        <f t="shared" si="2"/>
        <v/>
      </c>
      <c r="Y383" s="51" t="str">
        <f t="shared" si="3"/>
        <v/>
      </c>
      <c r="Z383" s="37"/>
    </row>
    <row r="384" spans="1:26" ht="14.25" customHeight="1" x14ac:dyDescent="0.3">
      <c r="A384" s="18">
        <v>95.3</v>
      </c>
      <c r="B384" s="19"/>
      <c r="C384" s="18" t="s">
        <v>55</v>
      </c>
      <c r="D384" s="19"/>
      <c r="E384" s="25"/>
      <c r="F384" s="19"/>
      <c r="G384" s="21">
        <v>0</v>
      </c>
      <c r="H384" s="21"/>
      <c r="I384" s="21"/>
      <c r="J384" s="21"/>
      <c r="K384" s="19"/>
      <c r="L384" s="19"/>
      <c r="M384" s="22">
        <v>1</v>
      </c>
      <c r="N384" s="19"/>
      <c r="O384" s="25"/>
      <c r="P384" s="23"/>
      <c r="Q384" s="21" t="s">
        <v>46</v>
      </c>
      <c r="R384" s="19" t="s">
        <v>47</v>
      </c>
      <c r="S384" s="21"/>
      <c r="T384" s="19"/>
      <c r="U384" s="21"/>
      <c r="V384" s="7"/>
      <c r="W384" s="7"/>
      <c r="X384" s="51" t="str">
        <f t="shared" si="2"/>
        <v/>
      </c>
      <c r="Y384" s="51" t="str">
        <f t="shared" si="3"/>
        <v/>
      </c>
      <c r="Z384" s="37"/>
    </row>
    <row r="385" spans="1:26" ht="14.25" customHeight="1" x14ac:dyDescent="0.3">
      <c r="A385" s="18">
        <v>95.4</v>
      </c>
      <c r="B385" s="19"/>
      <c r="C385" s="18" t="s">
        <v>55</v>
      </c>
      <c r="D385" s="19"/>
      <c r="E385" s="25"/>
      <c r="F385" s="19"/>
      <c r="G385" s="21">
        <v>0</v>
      </c>
      <c r="H385" s="21"/>
      <c r="I385" s="21"/>
      <c r="J385" s="21"/>
      <c r="K385" s="19"/>
      <c r="L385" s="19"/>
      <c r="M385" s="22">
        <v>1</v>
      </c>
      <c r="N385" s="19"/>
      <c r="O385" s="25"/>
      <c r="P385" s="23"/>
      <c r="Q385" s="21" t="s">
        <v>46</v>
      </c>
      <c r="R385" s="19" t="s">
        <v>47</v>
      </c>
      <c r="S385" s="21"/>
      <c r="T385" s="19"/>
      <c r="U385" s="21"/>
      <c r="V385" s="7"/>
      <c r="W385" s="7"/>
      <c r="X385" s="51" t="str">
        <f t="shared" si="2"/>
        <v/>
      </c>
      <c r="Y385" s="51" t="str">
        <f t="shared" si="3"/>
        <v/>
      </c>
      <c r="Z385" s="37"/>
    </row>
    <row r="386" spans="1:26" ht="14.25" customHeight="1" x14ac:dyDescent="0.3">
      <c r="A386" s="18">
        <v>96.1</v>
      </c>
      <c r="B386" s="19"/>
      <c r="C386" s="18" t="s">
        <v>55</v>
      </c>
      <c r="D386" s="19"/>
      <c r="E386" s="25"/>
      <c r="F386" s="19"/>
      <c r="G386" s="21">
        <v>0</v>
      </c>
      <c r="H386" s="21"/>
      <c r="I386" s="21"/>
      <c r="J386" s="21"/>
      <c r="K386" s="19"/>
      <c r="L386" s="19"/>
      <c r="M386" s="22">
        <v>1</v>
      </c>
      <c r="N386" s="19"/>
      <c r="O386" s="25"/>
      <c r="P386" s="23"/>
      <c r="Q386" s="21" t="s">
        <v>46</v>
      </c>
      <c r="R386" s="19" t="s">
        <v>47</v>
      </c>
      <c r="S386" s="21"/>
      <c r="T386" s="19"/>
      <c r="U386" s="21"/>
      <c r="V386" s="7"/>
      <c r="W386" s="7"/>
      <c r="X386" s="51" t="str">
        <f t="shared" si="2"/>
        <v/>
      </c>
      <c r="Y386" s="51" t="str">
        <f t="shared" si="3"/>
        <v/>
      </c>
      <c r="Z386" s="37"/>
    </row>
    <row r="387" spans="1:26" ht="14.25" customHeight="1" x14ac:dyDescent="0.3">
      <c r="A387" s="18">
        <v>96.2</v>
      </c>
      <c r="B387" s="19"/>
      <c r="C387" s="18" t="s">
        <v>55</v>
      </c>
      <c r="D387" s="19"/>
      <c r="E387" s="25"/>
      <c r="F387" s="19"/>
      <c r="G387" s="21">
        <v>0</v>
      </c>
      <c r="H387" s="21"/>
      <c r="I387" s="21"/>
      <c r="J387" s="21"/>
      <c r="K387" s="19"/>
      <c r="L387" s="19"/>
      <c r="M387" s="22">
        <v>1</v>
      </c>
      <c r="N387" s="19"/>
      <c r="O387" s="25"/>
      <c r="P387" s="23"/>
      <c r="Q387" s="21" t="s">
        <v>46</v>
      </c>
      <c r="R387" s="19" t="s">
        <v>47</v>
      </c>
      <c r="S387" s="21"/>
      <c r="T387" s="19"/>
      <c r="U387" s="21"/>
      <c r="V387" s="7"/>
      <c r="W387" s="7"/>
      <c r="X387" s="51" t="str">
        <f t="shared" si="2"/>
        <v/>
      </c>
      <c r="Y387" s="51" t="str">
        <f t="shared" si="3"/>
        <v/>
      </c>
      <c r="Z387" s="37"/>
    </row>
    <row r="388" spans="1:26" ht="14.25" customHeight="1" x14ac:dyDescent="0.3">
      <c r="A388" s="18">
        <v>96.3</v>
      </c>
      <c r="B388" s="19"/>
      <c r="C388" s="18" t="s">
        <v>55</v>
      </c>
      <c r="D388" s="19"/>
      <c r="E388" s="25"/>
      <c r="F388" s="19"/>
      <c r="G388" s="21">
        <v>0</v>
      </c>
      <c r="H388" s="21"/>
      <c r="I388" s="21"/>
      <c r="J388" s="21"/>
      <c r="K388" s="19"/>
      <c r="L388" s="19"/>
      <c r="M388" s="22">
        <v>1</v>
      </c>
      <c r="N388" s="19"/>
      <c r="O388" s="25"/>
      <c r="P388" s="23"/>
      <c r="Q388" s="21" t="s">
        <v>46</v>
      </c>
      <c r="R388" s="19" t="s">
        <v>47</v>
      </c>
      <c r="S388" s="21"/>
      <c r="T388" s="19"/>
      <c r="U388" s="21"/>
      <c r="V388" s="7"/>
      <c r="W388" s="7"/>
      <c r="X388" s="51" t="str">
        <f t="shared" si="2"/>
        <v/>
      </c>
      <c r="Y388" s="51" t="str">
        <f t="shared" si="3"/>
        <v/>
      </c>
      <c r="Z388" s="37"/>
    </row>
    <row r="389" spans="1:26" ht="14.25" customHeight="1" x14ac:dyDescent="0.3">
      <c r="A389" s="18">
        <v>96.4</v>
      </c>
      <c r="B389" s="19"/>
      <c r="C389" s="18" t="s">
        <v>55</v>
      </c>
      <c r="D389" s="19"/>
      <c r="E389" s="25"/>
      <c r="F389" s="19"/>
      <c r="G389" s="21">
        <v>0</v>
      </c>
      <c r="H389" s="21"/>
      <c r="I389" s="21"/>
      <c r="J389" s="21"/>
      <c r="K389" s="19"/>
      <c r="L389" s="19"/>
      <c r="M389" s="22">
        <v>1</v>
      </c>
      <c r="N389" s="19"/>
      <c r="O389" s="25"/>
      <c r="P389" s="23"/>
      <c r="Q389" s="21" t="s">
        <v>46</v>
      </c>
      <c r="R389" s="19" t="s">
        <v>47</v>
      </c>
      <c r="S389" s="21"/>
      <c r="T389" s="19"/>
      <c r="U389" s="21"/>
      <c r="V389" s="7"/>
      <c r="W389" s="7"/>
      <c r="X389" s="51" t="str">
        <f t="shared" si="2"/>
        <v/>
      </c>
      <c r="Y389" s="51" t="str">
        <f t="shared" si="3"/>
        <v/>
      </c>
      <c r="Z389" s="37"/>
    </row>
    <row r="390" spans="1:26" ht="14.25" customHeight="1" x14ac:dyDescent="0.3">
      <c r="A390" s="18">
        <v>97.1</v>
      </c>
      <c r="B390" s="19"/>
      <c r="C390" s="18" t="s">
        <v>55</v>
      </c>
      <c r="D390" s="19"/>
      <c r="E390" s="25"/>
      <c r="F390" s="19"/>
      <c r="G390" s="21">
        <v>0</v>
      </c>
      <c r="H390" s="21"/>
      <c r="I390" s="21"/>
      <c r="J390" s="21"/>
      <c r="K390" s="19"/>
      <c r="L390" s="19"/>
      <c r="M390" s="22">
        <v>1</v>
      </c>
      <c r="N390" s="19"/>
      <c r="O390" s="25"/>
      <c r="P390" s="23"/>
      <c r="Q390" s="21" t="s">
        <v>46</v>
      </c>
      <c r="R390" s="19" t="s">
        <v>47</v>
      </c>
      <c r="S390" s="21"/>
      <c r="T390" s="19"/>
      <c r="U390" s="21"/>
      <c r="V390" s="7"/>
      <c r="W390" s="7"/>
      <c r="X390" s="51" t="str">
        <f t="shared" si="2"/>
        <v/>
      </c>
      <c r="Y390" s="51" t="str">
        <f t="shared" si="3"/>
        <v/>
      </c>
      <c r="Z390" s="37"/>
    </row>
    <row r="391" spans="1:26" ht="14.25" customHeight="1" x14ac:dyDescent="0.3">
      <c r="A391" s="18">
        <v>97.2</v>
      </c>
      <c r="B391" s="19"/>
      <c r="C391" s="18" t="s">
        <v>55</v>
      </c>
      <c r="D391" s="19"/>
      <c r="E391" s="25"/>
      <c r="F391" s="19"/>
      <c r="G391" s="21">
        <v>0</v>
      </c>
      <c r="H391" s="21"/>
      <c r="I391" s="21"/>
      <c r="J391" s="21"/>
      <c r="K391" s="19"/>
      <c r="L391" s="19"/>
      <c r="M391" s="22">
        <v>1</v>
      </c>
      <c r="N391" s="19"/>
      <c r="O391" s="25"/>
      <c r="P391" s="23"/>
      <c r="Q391" s="21" t="s">
        <v>46</v>
      </c>
      <c r="R391" s="19" t="s">
        <v>47</v>
      </c>
      <c r="S391" s="21"/>
      <c r="T391" s="19"/>
      <c r="U391" s="21"/>
      <c r="V391" s="7"/>
      <c r="W391" s="7"/>
      <c r="X391" s="51" t="str">
        <f t="shared" si="2"/>
        <v/>
      </c>
      <c r="Y391" s="51" t="str">
        <f t="shared" si="3"/>
        <v/>
      </c>
      <c r="Z391" s="37"/>
    </row>
    <row r="392" spans="1:26" ht="14.25" customHeight="1" x14ac:dyDescent="0.3">
      <c r="A392" s="18">
        <v>97.3</v>
      </c>
      <c r="B392" s="19"/>
      <c r="C392" s="18" t="s">
        <v>55</v>
      </c>
      <c r="D392" s="19"/>
      <c r="E392" s="25"/>
      <c r="F392" s="19"/>
      <c r="G392" s="21">
        <v>0</v>
      </c>
      <c r="H392" s="21"/>
      <c r="I392" s="21"/>
      <c r="J392" s="21"/>
      <c r="K392" s="19"/>
      <c r="L392" s="19"/>
      <c r="M392" s="22">
        <v>1</v>
      </c>
      <c r="N392" s="19"/>
      <c r="O392" s="25"/>
      <c r="P392" s="23"/>
      <c r="Q392" s="21" t="s">
        <v>46</v>
      </c>
      <c r="R392" s="19" t="s">
        <v>47</v>
      </c>
      <c r="S392" s="21"/>
      <c r="T392" s="19"/>
      <c r="U392" s="21"/>
      <c r="V392" s="7"/>
      <c r="W392" s="7"/>
      <c r="X392" s="51" t="str">
        <f t="shared" si="2"/>
        <v/>
      </c>
      <c r="Y392" s="51" t="str">
        <f t="shared" si="3"/>
        <v/>
      </c>
      <c r="Z392" s="37"/>
    </row>
    <row r="393" spans="1:26" ht="14.25" customHeight="1" x14ac:dyDescent="0.3">
      <c r="A393" s="18">
        <v>97.4</v>
      </c>
      <c r="B393" s="19"/>
      <c r="C393" s="18" t="s">
        <v>55</v>
      </c>
      <c r="D393" s="19"/>
      <c r="E393" s="25"/>
      <c r="F393" s="19"/>
      <c r="G393" s="21">
        <v>0</v>
      </c>
      <c r="H393" s="21"/>
      <c r="I393" s="21"/>
      <c r="J393" s="21"/>
      <c r="K393" s="19"/>
      <c r="L393" s="19"/>
      <c r="M393" s="22">
        <v>1</v>
      </c>
      <c r="N393" s="19"/>
      <c r="O393" s="25"/>
      <c r="P393" s="23"/>
      <c r="Q393" s="21" t="s">
        <v>46</v>
      </c>
      <c r="R393" s="19" t="s">
        <v>47</v>
      </c>
      <c r="S393" s="21"/>
      <c r="T393" s="19"/>
      <c r="U393" s="21"/>
      <c r="V393" s="7"/>
      <c r="W393" s="7"/>
      <c r="X393" s="51" t="str">
        <f t="shared" si="2"/>
        <v/>
      </c>
      <c r="Y393" s="51" t="str">
        <f t="shared" si="3"/>
        <v/>
      </c>
      <c r="Z393" s="37"/>
    </row>
    <row r="394" spans="1:26" ht="14.25" customHeight="1" x14ac:dyDescent="0.3">
      <c r="A394" s="18">
        <v>98.1</v>
      </c>
      <c r="B394" s="19"/>
      <c r="C394" s="18" t="s">
        <v>55</v>
      </c>
      <c r="D394" s="19"/>
      <c r="E394" s="25"/>
      <c r="F394" s="19"/>
      <c r="G394" s="21">
        <v>0</v>
      </c>
      <c r="H394" s="21"/>
      <c r="I394" s="21"/>
      <c r="J394" s="21"/>
      <c r="K394" s="19"/>
      <c r="L394" s="19"/>
      <c r="M394" s="22">
        <v>1</v>
      </c>
      <c r="N394" s="19"/>
      <c r="O394" s="25"/>
      <c r="P394" s="23"/>
      <c r="Q394" s="21" t="s">
        <v>46</v>
      </c>
      <c r="R394" s="19" t="s">
        <v>47</v>
      </c>
      <c r="S394" s="21"/>
      <c r="T394" s="19"/>
      <c r="U394" s="21"/>
      <c r="V394" s="7"/>
      <c r="W394" s="7"/>
      <c r="X394" s="51" t="str">
        <f t="shared" si="2"/>
        <v/>
      </c>
      <c r="Y394" s="51" t="str">
        <f t="shared" si="3"/>
        <v/>
      </c>
      <c r="Z394" s="37"/>
    </row>
    <row r="395" spans="1:26" ht="14.25" customHeight="1" x14ac:dyDescent="0.3">
      <c r="A395" s="18">
        <v>98.2</v>
      </c>
      <c r="B395" s="19"/>
      <c r="C395" s="18" t="s">
        <v>55</v>
      </c>
      <c r="D395" s="19"/>
      <c r="E395" s="25"/>
      <c r="F395" s="19"/>
      <c r="G395" s="21">
        <v>0</v>
      </c>
      <c r="H395" s="21"/>
      <c r="I395" s="21"/>
      <c r="J395" s="21"/>
      <c r="K395" s="19"/>
      <c r="L395" s="19"/>
      <c r="M395" s="22">
        <v>1</v>
      </c>
      <c r="N395" s="19"/>
      <c r="O395" s="25"/>
      <c r="P395" s="23"/>
      <c r="Q395" s="21" t="s">
        <v>46</v>
      </c>
      <c r="R395" s="19" t="s">
        <v>47</v>
      </c>
      <c r="S395" s="21"/>
      <c r="T395" s="19"/>
      <c r="U395" s="21"/>
      <c r="V395" s="7"/>
      <c r="W395" s="7"/>
      <c r="X395" s="51" t="str">
        <f t="shared" si="2"/>
        <v/>
      </c>
      <c r="Y395" s="51" t="str">
        <f t="shared" si="3"/>
        <v/>
      </c>
      <c r="Z395" s="37"/>
    </row>
    <row r="396" spans="1:26" ht="14.25" customHeight="1" x14ac:dyDescent="0.3">
      <c r="A396" s="18">
        <v>98.3</v>
      </c>
      <c r="B396" s="19"/>
      <c r="C396" s="18" t="s">
        <v>55</v>
      </c>
      <c r="D396" s="19"/>
      <c r="E396" s="25"/>
      <c r="F396" s="19"/>
      <c r="G396" s="21">
        <v>0</v>
      </c>
      <c r="H396" s="21"/>
      <c r="I396" s="21"/>
      <c r="J396" s="21"/>
      <c r="K396" s="19"/>
      <c r="L396" s="19"/>
      <c r="M396" s="22">
        <v>1</v>
      </c>
      <c r="N396" s="19"/>
      <c r="O396" s="25"/>
      <c r="P396" s="23"/>
      <c r="Q396" s="21" t="s">
        <v>46</v>
      </c>
      <c r="R396" s="19" t="s">
        <v>47</v>
      </c>
      <c r="S396" s="21"/>
      <c r="T396" s="19"/>
      <c r="U396" s="21"/>
      <c r="V396" s="7"/>
      <c r="W396" s="7"/>
      <c r="X396" s="51" t="str">
        <f t="shared" si="2"/>
        <v/>
      </c>
      <c r="Y396" s="51" t="str">
        <f t="shared" si="3"/>
        <v/>
      </c>
      <c r="Z396" s="37"/>
    </row>
    <row r="397" spans="1:26" ht="14.25" customHeight="1" x14ac:dyDescent="0.3">
      <c r="A397" s="18">
        <v>98.4</v>
      </c>
      <c r="B397" s="19"/>
      <c r="C397" s="18" t="s">
        <v>55</v>
      </c>
      <c r="D397" s="19"/>
      <c r="E397" s="25"/>
      <c r="F397" s="19"/>
      <c r="G397" s="21">
        <v>0</v>
      </c>
      <c r="H397" s="21"/>
      <c r="I397" s="21"/>
      <c r="J397" s="21"/>
      <c r="K397" s="19"/>
      <c r="L397" s="19"/>
      <c r="M397" s="22">
        <v>1</v>
      </c>
      <c r="N397" s="19"/>
      <c r="O397" s="25"/>
      <c r="P397" s="23"/>
      <c r="Q397" s="21" t="s">
        <v>46</v>
      </c>
      <c r="R397" s="19" t="s">
        <v>47</v>
      </c>
      <c r="S397" s="21"/>
      <c r="T397" s="19"/>
      <c r="U397" s="21"/>
      <c r="V397" s="7"/>
      <c r="W397" s="7"/>
      <c r="X397" s="51" t="str">
        <f t="shared" si="2"/>
        <v/>
      </c>
      <c r="Y397" s="51" t="str">
        <f t="shared" si="3"/>
        <v/>
      </c>
      <c r="Z397" s="37"/>
    </row>
    <row r="398" spans="1:26" ht="14.25" customHeight="1" x14ac:dyDescent="0.3">
      <c r="A398" s="18">
        <v>99.1</v>
      </c>
      <c r="B398" s="19"/>
      <c r="C398" s="18" t="s">
        <v>55</v>
      </c>
      <c r="D398" s="19"/>
      <c r="E398" s="25"/>
      <c r="F398" s="19"/>
      <c r="G398" s="21">
        <v>0</v>
      </c>
      <c r="H398" s="21"/>
      <c r="I398" s="21"/>
      <c r="J398" s="21"/>
      <c r="K398" s="19"/>
      <c r="L398" s="19"/>
      <c r="M398" s="22">
        <v>1</v>
      </c>
      <c r="N398" s="19"/>
      <c r="O398" s="25"/>
      <c r="P398" s="23"/>
      <c r="Q398" s="21" t="s">
        <v>46</v>
      </c>
      <c r="R398" s="19" t="s">
        <v>47</v>
      </c>
      <c r="S398" s="21"/>
      <c r="T398" s="19"/>
      <c r="U398" s="21"/>
      <c r="V398" s="7"/>
      <c r="W398" s="7"/>
      <c r="X398" s="51" t="str">
        <f t="shared" si="2"/>
        <v/>
      </c>
      <c r="Y398" s="51" t="str">
        <f t="shared" si="3"/>
        <v/>
      </c>
      <c r="Z398" s="37"/>
    </row>
    <row r="399" spans="1:26" ht="14.25" customHeight="1" x14ac:dyDescent="0.3">
      <c r="A399" s="18">
        <v>99.2</v>
      </c>
      <c r="B399" s="19"/>
      <c r="C399" s="18" t="s">
        <v>55</v>
      </c>
      <c r="D399" s="19"/>
      <c r="E399" s="25"/>
      <c r="F399" s="19"/>
      <c r="G399" s="21">
        <v>0</v>
      </c>
      <c r="H399" s="21"/>
      <c r="I399" s="21"/>
      <c r="J399" s="21"/>
      <c r="K399" s="19"/>
      <c r="L399" s="19"/>
      <c r="M399" s="22">
        <v>1</v>
      </c>
      <c r="N399" s="19"/>
      <c r="O399" s="25"/>
      <c r="P399" s="23"/>
      <c r="Q399" s="21" t="s">
        <v>46</v>
      </c>
      <c r="R399" s="19" t="s">
        <v>47</v>
      </c>
      <c r="S399" s="21"/>
      <c r="T399" s="19"/>
      <c r="U399" s="21"/>
      <c r="V399" s="7"/>
      <c r="W399" s="7"/>
      <c r="X399" s="51" t="str">
        <f t="shared" si="2"/>
        <v/>
      </c>
      <c r="Y399" s="51" t="str">
        <f t="shared" si="3"/>
        <v/>
      </c>
      <c r="Z399" s="37"/>
    </row>
    <row r="400" spans="1:26" ht="14.25" customHeight="1" x14ac:dyDescent="0.3">
      <c r="A400" s="18">
        <v>99.3</v>
      </c>
      <c r="B400" s="19"/>
      <c r="C400" s="18" t="s">
        <v>55</v>
      </c>
      <c r="D400" s="19"/>
      <c r="E400" s="25"/>
      <c r="F400" s="19"/>
      <c r="G400" s="21">
        <v>0</v>
      </c>
      <c r="H400" s="21"/>
      <c r="I400" s="21"/>
      <c r="J400" s="21"/>
      <c r="K400" s="19"/>
      <c r="L400" s="19"/>
      <c r="M400" s="22">
        <v>1</v>
      </c>
      <c r="N400" s="19"/>
      <c r="O400" s="25"/>
      <c r="P400" s="23"/>
      <c r="Q400" s="21" t="s">
        <v>46</v>
      </c>
      <c r="R400" s="19" t="s">
        <v>47</v>
      </c>
      <c r="S400" s="21"/>
      <c r="T400" s="19"/>
      <c r="U400" s="21"/>
      <c r="V400" s="7"/>
      <c r="W400" s="7"/>
      <c r="X400" s="51" t="str">
        <f t="shared" si="2"/>
        <v/>
      </c>
      <c r="Y400" s="51" t="str">
        <f t="shared" si="3"/>
        <v/>
      </c>
      <c r="Z400" s="37"/>
    </row>
    <row r="401" spans="1:26" ht="14.25" customHeight="1" x14ac:dyDescent="0.3">
      <c r="A401" s="18">
        <v>99.4</v>
      </c>
      <c r="B401" s="19"/>
      <c r="C401" s="18" t="s">
        <v>55</v>
      </c>
      <c r="D401" s="19"/>
      <c r="E401" s="25"/>
      <c r="F401" s="19"/>
      <c r="G401" s="21">
        <v>0</v>
      </c>
      <c r="H401" s="21"/>
      <c r="I401" s="21"/>
      <c r="J401" s="21"/>
      <c r="K401" s="19"/>
      <c r="L401" s="19"/>
      <c r="M401" s="22">
        <v>1</v>
      </c>
      <c r="N401" s="19"/>
      <c r="O401" s="25"/>
      <c r="P401" s="23"/>
      <c r="Q401" s="21" t="s">
        <v>46</v>
      </c>
      <c r="R401" s="19" t="s">
        <v>47</v>
      </c>
      <c r="S401" s="21"/>
      <c r="T401" s="19"/>
      <c r="U401" s="21"/>
      <c r="V401" s="7"/>
      <c r="W401" s="7"/>
      <c r="X401" s="51" t="str">
        <f t="shared" si="2"/>
        <v/>
      </c>
      <c r="Y401" s="51" t="str">
        <f t="shared" si="3"/>
        <v/>
      </c>
      <c r="Z401" s="37"/>
    </row>
    <row r="402" spans="1:26" ht="14.25" customHeight="1" x14ac:dyDescent="0.3">
      <c r="A402" s="18">
        <v>100.1</v>
      </c>
      <c r="B402" s="19"/>
      <c r="C402" s="18" t="s">
        <v>55</v>
      </c>
      <c r="D402" s="19"/>
      <c r="E402" s="25"/>
      <c r="F402" s="19"/>
      <c r="G402" s="21">
        <v>0</v>
      </c>
      <c r="H402" s="21"/>
      <c r="I402" s="21"/>
      <c r="J402" s="21"/>
      <c r="K402" s="19"/>
      <c r="L402" s="19"/>
      <c r="M402" s="22">
        <v>1</v>
      </c>
      <c r="N402" s="19"/>
      <c r="O402" s="25"/>
      <c r="P402" s="23"/>
      <c r="Q402" s="21" t="s">
        <v>46</v>
      </c>
      <c r="R402" s="19" t="s">
        <v>47</v>
      </c>
      <c r="S402" s="21"/>
      <c r="T402" s="19"/>
      <c r="U402" s="21"/>
      <c r="V402" s="7"/>
      <c r="W402" s="7"/>
      <c r="X402" s="51" t="str">
        <f t="shared" si="2"/>
        <v/>
      </c>
      <c r="Y402" s="51" t="str">
        <f t="shared" si="3"/>
        <v/>
      </c>
      <c r="Z402" s="37"/>
    </row>
    <row r="403" spans="1:26" ht="14.25" customHeight="1" x14ac:dyDescent="0.3">
      <c r="A403" s="18">
        <v>100.2</v>
      </c>
      <c r="B403" s="19"/>
      <c r="C403" s="18" t="s">
        <v>55</v>
      </c>
      <c r="D403" s="19"/>
      <c r="E403" s="25"/>
      <c r="F403" s="19"/>
      <c r="G403" s="21">
        <v>0</v>
      </c>
      <c r="H403" s="21"/>
      <c r="I403" s="21"/>
      <c r="J403" s="21"/>
      <c r="K403" s="19"/>
      <c r="L403" s="19"/>
      <c r="M403" s="22">
        <v>1</v>
      </c>
      <c r="N403" s="19"/>
      <c r="O403" s="25"/>
      <c r="P403" s="23"/>
      <c r="Q403" s="21" t="s">
        <v>46</v>
      </c>
      <c r="R403" s="19" t="s">
        <v>47</v>
      </c>
      <c r="S403" s="21"/>
      <c r="T403" s="19"/>
      <c r="U403" s="21"/>
      <c r="V403" s="7"/>
      <c r="W403" s="7"/>
      <c r="X403" s="51" t="str">
        <f t="shared" si="2"/>
        <v/>
      </c>
      <c r="Y403" s="51" t="str">
        <f t="shared" si="3"/>
        <v/>
      </c>
      <c r="Z403" s="37"/>
    </row>
    <row r="404" spans="1:26" ht="14.25" customHeight="1" x14ac:dyDescent="0.3">
      <c r="A404" s="18">
        <v>100.3</v>
      </c>
      <c r="B404" s="19"/>
      <c r="C404" s="18" t="s">
        <v>55</v>
      </c>
      <c r="D404" s="19"/>
      <c r="E404" s="25"/>
      <c r="F404" s="19"/>
      <c r="G404" s="21">
        <v>0</v>
      </c>
      <c r="H404" s="21"/>
      <c r="I404" s="21"/>
      <c r="J404" s="21"/>
      <c r="K404" s="19"/>
      <c r="L404" s="19"/>
      <c r="M404" s="22">
        <v>1</v>
      </c>
      <c r="N404" s="19"/>
      <c r="O404" s="25"/>
      <c r="P404" s="23"/>
      <c r="Q404" s="21" t="s">
        <v>46</v>
      </c>
      <c r="R404" s="19" t="s">
        <v>47</v>
      </c>
      <c r="S404" s="21"/>
      <c r="T404" s="19"/>
      <c r="U404" s="21"/>
      <c r="V404" s="7"/>
      <c r="W404" s="7"/>
      <c r="X404" s="51" t="str">
        <f t="shared" si="2"/>
        <v/>
      </c>
      <c r="Y404" s="51" t="str">
        <f t="shared" si="3"/>
        <v/>
      </c>
      <c r="Z404" s="37"/>
    </row>
    <row r="405" spans="1:26" ht="14.25" customHeight="1" x14ac:dyDescent="0.3">
      <c r="A405" s="18">
        <v>100.4</v>
      </c>
      <c r="B405" s="19"/>
      <c r="C405" s="18" t="s">
        <v>55</v>
      </c>
      <c r="D405" s="19"/>
      <c r="E405" s="25"/>
      <c r="F405" s="19"/>
      <c r="G405" s="21">
        <v>0</v>
      </c>
      <c r="H405" s="21"/>
      <c r="I405" s="21"/>
      <c r="J405" s="21"/>
      <c r="K405" s="19"/>
      <c r="L405" s="19"/>
      <c r="M405" s="22">
        <v>1</v>
      </c>
      <c r="N405" s="19"/>
      <c r="O405" s="25"/>
      <c r="P405" s="23"/>
      <c r="Q405" s="21" t="s">
        <v>46</v>
      </c>
      <c r="R405" s="19" t="s">
        <v>47</v>
      </c>
      <c r="S405" s="21"/>
      <c r="T405" s="19"/>
      <c r="U405" s="21"/>
      <c r="V405" s="7"/>
      <c r="W405" s="7"/>
      <c r="X405" s="51" t="str">
        <f t="shared" si="2"/>
        <v/>
      </c>
      <c r="Y405" s="51" t="str">
        <f t="shared" si="3"/>
        <v/>
      </c>
      <c r="Z405" s="37"/>
    </row>
    <row r="406" spans="1:26" ht="14.25" customHeight="1" x14ac:dyDescent="0.3">
      <c r="A406" s="18">
        <v>101.1</v>
      </c>
      <c r="B406" s="19"/>
      <c r="C406" s="18" t="s">
        <v>55</v>
      </c>
      <c r="D406" s="19"/>
      <c r="E406" s="25"/>
      <c r="F406" s="19"/>
      <c r="G406" s="21">
        <v>0</v>
      </c>
      <c r="H406" s="21"/>
      <c r="I406" s="21"/>
      <c r="J406" s="21"/>
      <c r="K406" s="19"/>
      <c r="L406" s="19"/>
      <c r="M406" s="22">
        <v>1</v>
      </c>
      <c r="N406" s="19"/>
      <c r="O406" s="25"/>
      <c r="P406" s="23"/>
      <c r="Q406" s="21" t="s">
        <v>46</v>
      </c>
      <c r="R406" s="19" t="s">
        <v>47</v>
      </c>
      <c r="S406" s="21"/>
      <c r="T406" s="19"/>
      <c r="U406" s="21"/>
      <c r="V406" s="7"/>
      <c r="W406" s="7"/>
      <c r="X406" s="51" t="str">
        <f t="shared" si="2"/>
        <v/>
      </c>
      <c r="Y406" s="51" t="str">
        <f t="shared" si="3"/>
        <v/>
      </c>
      <c r="Z406" s="37"/>
    </row>
    <row r="407" spans="1:26" ht="14.25" customHeight="1" x14ac:dyDescent="0.3">
      <c r="A407" s="18">
        <v>101.2</v>
      </c>
      <c r="B407" s="19"/>
      <c r="C407" s="18" t="s">
        <v>55</v>
      </c>
      <c r="D407" s="19"/>
      <c r="E407" s="25"/>
      <c r="F407" s="19"/>
      <c r="G407" s="21">
        <v>0</v>
      </c>
      <c r="H407" s="21"/>
      <c r="I407" s="21"/>
      <c r="J407" s="21"/>
      <c r="K407" s="19"/>
      <c r="L407" s="19"/>
      <c r="M407" s="22">
        <v>1</v>
      </c>
      <c r="N407" s="19"/>
      <c r="O407" s="25"/>
      <c r="P407" s="23"/>
      <c r="Q407" s="21" t="s">
        <v>46</v>
      </c>
      <c r="R407" s="19" t="s">
        <v>47</v>
      </c>
      <c r="S407" s="21"/>
      <c r="T407" s="19"/>
      <c r="U407" s="21"/>
      <c r="V407" s="7"/>
      <c r="W407" s="7"/>
      <c r="X407" s="51" t="str">
        <f t="shared" si="2"/>
        <v/>
      </c>
      <c r="Y407" s="51" t="str">
        <f t="shared" si="3"/>
        <v/>
      </c>
      <c r="Z407" s="37"/>
    </row>
    <row r="408" spans="1:26" ht="14.25" customHeight="1" x14ac:dyDescent="0.3">
      <c r="A408" s="18">
        <v>101.3</v>
      </c>
      <c r="B408" s="19"/>
      <c r="C408" s="18" t="s">
        <v>55</v>
      </c>
      <c r="D408" s="19"/>
      <c r="E408" s="25"/>
      <c r="F408" s="19"/>
      <c r="G408" s="21">
        <v>0</v>
      </c>
      <c r="H408" s="21"/>
      <c r="I408" s="21"/>
      <c r="J408" s="21"/>
      <c r="K408" s="19"/>
      <c r="L408" s="19"/>
      <c r="M408" s="22">
        <v>1</v>
      </c>
      <c r="N408" s="19"/>
      <c r="O408" s="25"/>
      <c r="P408" s="23"/>
      <c r="Q408" s="21" t="s">
        <v>46</v>
      </c>
      <c r="R408" s="19" t="s">
        <v>47</v>
      </c>
      <c r="S408" s="21"/>
      <c r="T408" s="19"/>
      <c r="U408" s="21"/>
      <c r="V408" s="7"/>
      <c r="W408" s="7"/>
      <c r="X408" s="51" t="str">
        <f t="shared" si="2"/>
        <v/>
      </c>
      <c r="Y408" s="51" t="str">
        <f t="shared" si="3"/>
        <v/>
      </c>
      <c r="Z408" s="37"/>
    </row>
    <row r="409" spans="1:26" ht="14.25" customHeight="1" x14ac:dyDescent="0.3">
      <c r="A409" s="18">
        <v>101.4</v>
      </c>
      <c r="B409" s="19"/>
      <c r="C409" s="18" t="s">
        <v>55</v>
      </c>
      <c r="D409" s="19"/>
      <c r="E409" s="25"/>
      <c r="F409" s="19"/>
      <c r="G409" s="21">
        <v>0</v>
      </c>
      <c r="H409" s="21"/>
      <c r="I409" s="21"/>
      <c r="J409" s="21"/>
      <c r="K409" s="19"/>
      <c r="L409" s="19"/>
      <c r="M409" s="22">
        <v>1</v>
      </c>
      <c r="N409" s="19"/>
      <c r="O409" s="25"/>
      <c r="P409" s="23"/>
      <c r="Q409" s="21" t="s">
        <v>46</v>
      </c>
      <c r="R409" s="19" t="s">
        <v>47</v>
      </c>
      <c r="S409" s="21"/>
      <c r="T409" s="19"/>
      <c r="U409" s="21"/>
      <c r="V409" s="7"/>
      <c r="W409" s="7"/>
      <c r="X409" s="51" t="str">
        <f t="shared" si="2"/>
        <v/>
      </c>
      <c r="Y409" s="51" t="str">
        <f t="shared" si="3"/>
        <v/>
      </c>
      <c r="Z409" s="37"/>
    </row>
    <row r="410" spans="1:26" ht="14.25" customHeight="1" x14ac:dyDescent="0.3">
      <c r="A410" s="18">
        <v>102.1</v>
      </c>
      <c r="B410" s="19"/>
      <c r="C410" s="18" t="s">
        <v>55</v>
      </c>
      <c r="D410" s="19"/>
      <c r="E410" s="25"/>
      <c r="F410" s="19"/>
      <c r="G410" s="21">
        <v>0</v>
      </c>
      <c r="H410" s="21"/>
      <c r="I410" s="21"/>
      <c r="J410" s="21"/>
      <c r="K410" s="19"/>
      <c r="L410" s="19"/>
      <c r="M410" s="22">
        <v>1</v>
      </c>
      <c r="N410" s="19"/>
      <c r="O410" s="25"/>
      <c r="P410" s="23"/>
      <c r="Q410" s="21" t="s">
        <v>46</v>
      </c>
      <c r="R410" s="19" t="s">
        <v>47</v>
      </c>
      <c r="S410" s="21"/>
      <c r="T410" s="19"/>
      <c r="U410" s="21"/>
      <c r="V410" s="7"/>
      <c r="W410" s="7"/>
      <c r="X410" s="51" t="str">
        <f t="shared" si="2"/>
        <v/>
      </c>
      <c r="Y410" s="51" t="str">
        <f t="shared" si="3"/>
        <v/>
      </c>
      <c r="Z410" s="37"/>
    </row>
    <row r="411" spans="1:26" ht="14.25" customHeight="1" x14ac:dyDescent="0.3">
      <c r="A411" s="18">
        <v>102.2</v>
      </c>
      <c r="B411" s="19"/>
      <c r="C411" s="18" t="s">
        <v>55</v>
      </c>
      <c r="D411" s="19"/>
      <c r="E411" s="25"/>
      <c r="F411" s="19"/>
      <c r="G411" s="21">
        <v>0</v>
      </c>
      <c r="H411" s="21"/>
      <c r="I411" s="21"/>
      <c r="J411" s="21"/>
      <c r="K411" s="19"/>
      <c r="L411" s="19"/>
      <c r="M411" s="22">
        <v>1</v>
      </c>
      <c r="N411" s="19"/>
      <c r="O411" s="25"/>
      <c r="P411" s="23"/>
      <c r="Q411" s="21" t="s">
        <v>46</v>
      </c>
      <c r="R411" s="19" t="s">
        <v>47</v>
      </c>
      <c r="S411" s="21"/>
      <c r="T411" s="19"/>
      <c r="U411" s="21"/>
      <c r="V411" s="7"/>
      <c r="W411" s="7"/>
      <c r="X411" s="51" t="str">
        <f t="shared" si="2"/>
        <v/>
      </c>
      <c r="Y411" s="51" t="str">
        <f t="shared" si="3"/>
        <v/>
      </c>
      <c r="Z411" s="37"/>
    </row>
    <row r="412" spans="1:26" ht="14.25" customHeight="1" x14ac:dyDescent="0.3">
      <c r="A412" s="18">
        <v>102.3</v>
      </c>
      <c r="B412" s="19"/>
      <c r="C412" s="18" t="s">
        <v>55</v>
      </c>
      <c r="D412" s="19"/>
      <c r="E412" s="25"/>
      <c r="F412" s="19"/>
      <c r="G412" s="21">
        <v>0</v>
      </c>
      <c r="H412" s="21"/>
      <c r="I412" s="21"/>
      <c r="J412" s="21"/>
      <c r="K412" s="19"/>
      <c r="L412" s="19"/>
      <c r="M412" s="22">
        <v>1</v>
      </c>
      <c r="N412" s="19"/>
      <c r="O412" s="25"/>
      <c r="P412" s="23"/>
      <c r="Q412" s="21" t="s">
        <v>46</v>
      </c>
      <c r="R412" s="19" t="s">
        <v>47</v>
      </c>
      <c r="S412" s="21"/>
      <c r="T412" s="19"/>
      <c r="U412" s="21"/>
      <c r="V412" s="7"/>
      <c r="W412" s="7"/>
      <c r="X412" s="51" t="str">
        <f t="shared" si="2"/>
        <v/>
      </c>
      <c r="Y412" s="51" t="str">
        <f t="shared" si="3"/>
        <v/>
      </c>
      <c r="Z412" s="37"/>
    </row>
    <row r="413" spans="1:26" ht="14.25" customHeight="1" x14ac:dyDescent="0.3">
      <c r="A413" s="18">
        <v>102.4</v>
      </c>
      <c r="B413" s="19"/>
      <c r="C413" s="18" t="s">
        <v>55</v>
      </c>
      <c r="D413" s="19"/>
      <c r="E413" s="25"/>
      <c r="F413" s="19"/>
      <c r="G413" s="21">
        <v>0</v>
      </c>
      <c r="H413" s="21"/>
      <c r="I413" s="21"/>
      <c r="J413" s="21"/>
      <c r="K413" s="19"/>
      <c r="L413" s="19"/>
      <c r="M413" s="22">
        <v>1</v>
      </c>
      <c r="N413" s="19"/>
      <c r="O413" s="25"/>
      <c r="P413" s="23"/>
      <c r="Q413" s="21" t="s">
        <v>46</v>
      </c>
      <c r="R413" s="19" t="s">
        <v>47</v>
      </c>
      <c r="S413" s="21"/>
      <c r="T413" s="19"/>
      <c r="U413" s="21"/>
      <c r="V413" s="7"/>
      <c r="W413" s="7"/>
      <c r="X413" s="51" t="str">
        <f t="shared" si="2"/>
        <v/>
      </c>
      <c r="Y413" s="51" t="str">
        <f t="shared" si="3"/>
        <v/>
      </c>
      <c r="Z413" s="37"/>
    </row>
    <row r="414" spans="1:26" ht="14.25" customHeight="1" x14ac:dyDescent="0.3">
      <c r="A414" s="18">
        <v>103.1</v>
      </c>
      <c r="B414" s="19"/>
      <c r="C414" s="18" t="s">
        <v>55</v>
      </c>
      <c r="D414" s="19"/>
      <c r="E414" s="25"/>
      <c r="F414" s="19"/>
      <c r="G414" s="21">
        <v>0</v>
      </c>
      <c r="H414" s="21"/>
      <c r="I414" s="21"/>
      <c r="J414" s="21"/>
      <c r="K414" s="19"/>
      <c r="L414" s="19"/>
      <c r="M414" s="22">
        <v>1</v>
      </c>
      <c r="N414" s="19"/>
      <c r="O414" s="25"/>
      <c r="P414" s="23"/>
      <c r="Q414" s="21" t="s">
        <v>46</v>
      </c>
      <c r="R414" s="19" t="s">
        <v>47</v>
      </c>
      <c r="S414" s="21"/>
      <c r="T414" s="19"/>
      <c r="U414" s="21"/>
      <c r="V414" s="7"/>
      <c r="W414" s="7"/>
      <c r="X414" s="51" t="str">
        <f t="shared" si="2"/>
        <v/>
      </c>
      <c r="Y414" s="51" t="str">
        <f t="shared" si="3"/>
        <v/>
      </c>
      <c r="Z414" s="37"/>
    </row>
    <row r="415" spans="1:26" ht="14.25" customHeight="1" x14ac:dyDescent="0.3">
      <c r="A415" s="18">
        <v>103.2</v>
      </c>
      <c r="B415" s="19"/>
      <c r="C415" s="18" t="s">
        <v>55</v>
      </c>
      <c r="D415" s="19"/>
      <c r="E415" s="25"/>
      <c r="F415" s="19"/>
      <c r="G415" s="21">
        <v>0</v>
      </c>
      <c r="H415" s="21"/>
      <c r="I415" s="21"/>
      <c r="J415" s="21"/>
      <c r="K415" s="19"/>
      <c r="L415" s="19"/>
      <c r="M415" s="22">
        <v>1</v>
      </c>
      <c r="N415" s="19"/>
      <c r="O415" s="25"/>
      <c r="P415" s="23"/>
      <c r="Q415" s="21" t="s">
        <v>46</v>
      </c>
      <c r="R415" s="19" t="s">
        <v>47</v>
      </c>
      <c r="S415" s="21"/>
      <c r="T415" s="19"/>
      <c r="U415" s="21"/>
      <c r="V415" s="7"/>
      <c r="W415" s="7"/>
      <c r="X415" s="51" t="str">
        <f t="shared" si="2"/>
        <v/>
      </c>
      <c r="Y415" s="51" t="str">
        <f t="shared" si="3"/>
        <v/>
      </c>
      <c r="Z415" s="37"/>
    </row>
    <row r="416" spans="1:26" ht="14.25" customHeight="1" x14ac:dyDescent="0.3">
      <c r="A416" s="18">
        <v>103.3</v>
      </c>
      <c r="B416" s="19"/>
      <c r="C416" s="18" t="s">
        <v>55</v>
      </c>
      <c r="D416" s="19"/>
      <c r="E416" s="25"/>
      <c r="F416" s="19"/>
      <c r="G416" s="21">
        <v>0</v>
      </c>
      <c r="H416" s="21"/>
      <c r="I416" s="21"/>
      <c r="J416" s="21"/>
      <c r="K416" s="19"/>
      <c r="L416" s="19"/>
      <c r="M416" s="22">
        <v>1</v>
      </c>
      <c r="N416" s="19"/>
      <c r="O416" s="25"/>
      <c r="P416" s="23"/>
      <c r="Q416" s="21" t="s">
        <v>46</v>
      </c>
      <c r="R416" s="19" t="s">
        <v>47</v>
      </c>
      <c r="S416" s="21"/>
      <c r="T416" s="19"/>
      <c r="U416" s="21"/>
      <c r="V416" s="7"/>
      <c r="W416" s="7"/>
      <c r="X416" s="51" t="str">
        <f t="shared" si="2"/>
        <v/>
      </c>
      <c r="Y416" s="51" t="str">
        <f t="shared" si="3"/>
        <v/>
      </c>
      <c r="Z416" s="37"/>
    </row>
    <row r="417" spans="1:26" ht="14.25" customHeight="1" x14ac:dyDescent="0.3">
      <c r="A417" s="18">
        <v>103.4</v>
      </c>
      <c r="B417" s="19"/>
      <c r="C417" s="18" t="s">
        <v>55</v>
      </c>
      <c r="D417" s="19"/>
      <c r="E417" s="25"/>
      <c r="F417" s="19"/>
      <c r="G417" s="21">
        <v>0</v>
      </c>
      <c r="H417" s="21"/>
      <c r="I417" s="21"/>
      <c r="J417" s="21"/>
      <c r="K417" s="19"/>
      <c r="L417" s="19"/>
      <c r="M417" s="22">
        <v>1</v>
      </c>
      <c r="N417" s="19"/>
      <c r="O417" s="25"/>
      <c r="P417" s="23"/>
      <c r="Q417" s="21" t="s">
        <v>46</v>
      </c>
      <c r="R417" s="19" t="s">
        <v>47</v>
      </c>
      <c r="S417" s="21"/>
      <c r="T417" s="19"/>
      <c r="U417" s="21"/>
      <c r="V417" s="7"/>
      <c r="W417" s="7"/>
      <c r="X417" s="51" t="str">
        <f t="shared" si="2"/>
        <v/>
      </c>
      <c r="Y417" s="51" t="str">
        <f t="shared" si="3"/>
        <v/>
      </c>
      <c r="Z417" s="37"/>
    </row>
    <row r="418" spans="1:26" ht="14.25" customHeight="1" x14ac:dyDescent="0.3">
      <c r="A418" s="18">
        <v>104.1</v>
      </c>
      <c r="B418" s="19"/>
      <c r="C418" s="18" t="s">
        <v>55</v>
      </c>
      <c r="D418" s="19"/>
      <c r="E418" s="25"/>
      <c r="F418" s="19"/>
      <c r="G418" s="21">
        <v>0</v>
      </c>
      <c r="H418" s="21"/>
      <c r="I418" s="21"/>
      <c r="J418" s="21"/>
      <c r="K418" s="19"/>
      <c r="L418" s="19"/>
      <c r="M418" s="22">
        <v>1</v>
      </c>
      <c r="N418" s="19"/>
      <c r="O418" s="25"/>
      <c r="P418" s="23"/>
      <c r="Q418" s="21" t="s">
        <v>46</v>
      </c>
      <c r="R418" s="19" t="s">
        <v>47</v>
      </c>
      <c r="S418" s="21"/>
      <c r="T418" s="19"/>
      <c r="U418" s="21"/>
      <c r="V418" s="7"/>
      <c r="W418" s="7"/>
      <c r="X418" s="51" t="str">
        <f t="shared" si="2"/>
        <v/>
      </c>
      <c r="Y418" s="51" t="str">
        <f t="shared" si="3"/>
        <v/>
      </c>
      <c r="Z418" s="37"/>
    </row>
    <row r="419" spans="1:26" ht="14.25" customHeight="1" x14ac:dyDescent="0.3">
      <c r="A419" s="18">
        <v>104.2</v>
      </c>
      <c r="B419" s="19"/>
      <c r="C419" s="18" t="s">
        <v>55</v>
      </c>
      <c r="D419" s="19"/>
      <c r="E419" s="25"/>
      <c r="F419" s="19"/>
      <c r="G419" s="21">
        <v>0</v>
      </c>
      <c r="H419" s="21"/>
      <c r="I419" s="21"/>
      <c r="J419" s="21"/>
      <c r="K419" s="19"/>
      <c r="L419" s="19"/>
      <c r="M419" s="22">
        <v>1</v>
      </c>
      <c r="N419" s="19"/>
      <c r="O419" s="25"/>
      <c r="P419" s="23"/>
      <c r="Q419" s="21" t="s">
        <v>46</v>
      </c>
      <c r="R419" s="19" t="s">
        <v>47</v>
      </c>
      <c r="S419" s="21"/>
      <c r="T419" s="19"/>
      <c r="U419" s="21"/>
      <c r="V419" s="7"/>
      <c r="W419" s="7"/>
      <c r="X419" s="51" t="str">
        <f t="shared" si="2"/>
        <v/>
      </c>
      <c r="Y419" s="51" t="str">
        <f t="shared" si="3"/>
        <v/>
      </c>
      <c r="Z419" s="37"/>
    </row>
    <row r="420" spans="1:26" ht="14.25" customHeight="1" x14ac:dyDescent="0.3">
      <c r="A420" s="18">
        <v>104.3</v>
      </c>
      <c r="B420" s="19"/>
      <c r="C420" s="18" t="s">
        <v>55</v>
      </c>
      <c r="D420" s="19"/>
      <c r="E420" s="25"/>
      <c r="F420" s="19"/>
      <c r="G420" s="21">
        <v>0</v>
      </c>
      <c r="H420" s="21"/>
      <c r="I420" s="21"/>
      <c r="J420" s="21"/>
      <c r="K420" s="19"/>
      <c r="L420" s="19"/>
      <c r="M420" s="22">
        <v>1</v>
      </c>
      <c r="N420" s="19"/>
      <c r="O420" s="25"/>
      <c r="P420" s="23"/>
      <c r="Q420" s="21" t="s">
        <v>46</v>
      </c>
      <c r="R420" s="19" t="s">
        <v>47</v>
      </c>
      <c r="S420" s="21"/>
      <c r="T420" s="19"/>
      <c r="U420" s="21"/>
      <c r="V420" s="7"/>
      <c r="W420" s="7"/>
      <c r="X420" s="51" t="str">
        <f t="shared" si="2"/>
        <v/>
      </c>
      <c r="Y420" s="51" t="str">
        <f t="shared" si="3"/>
        <v/>
      </c>
      <c r="Z420" s="37"/>
    </row>
    <row r="421" spans="1:26" ht="14.25" customHeight="1" x14ac:dyDescent="0.3">
      <c r="A421" s="18">
        <v>104.4</v>
      </c>
      <c r="B421" s="19"/>
      <c r="C421" s="18" t="s">
        <v>55</v>
      </c>
      <c r="D421" s="19"/>
      <c r="E421" s="25"/>
      <c r="F421" s="19"/>
      <c r="G421" s="21">
        <v>0</v>
      </c>
      <c r="H421" s="21"/>
      <c r="I421" s="21"/>
      <c r="J421" s="21"/>
      <c r="K421" s="19"/>
      <c r="L421" s="19"/>
      <c r="M421" s="22">
        <v>1</v>
      </c>
      <c r="N421" s="19"/>
      <c r="O421" s="25"/>
      <c r="P421" s="23"/>
      <c r="Q421" s="21" t="s">
        <v>46</v>
      </c>
      <c r="R421" s="19" t="s">
        <v>47</v>
      </c>
      <c r="S421" s="21"/>
      <c r="T421" s="19"/>
      <c r="U421" s="21"/>
      <c r="V421" s="7"/>
      <c r="W421" s="7"/>
      <c r="X421" s="51" t="str">
        <f t="shared" si="2"/>
        <v/>
      </c>
      <c r="Y421" s="51" t="str">
        <f t="shared" si="3"/>
        <v/>
      </c>
      <c r="Z421" s="37"/>
    </row>
    <row r="422" spans="1:26" ht="14.25" customHeight="1" x14ac:dyDescent="0.3">
      <c r="A422" s="18">
        <v>105.1</v>
      </c>
      <c r="B422" s="19"/>
      <c r="C422" s="18" t="s">
        <v>55</v>
      </c>
      <c r="D422" s="19"/>
      <c r="E422" s="25"/>
      <c r="F422" s="19"/>
      <c r="G422" s="21">
        <v>0</v>
      </c>
      <c r="H422" s="21"/>
      <c r="I422" s="21"/>
      <c r="J422" s="21"/>
      <c r="K422" s="19"/>
      <c r="L422" s="19"/>
      <c r="M422" s="22">
        <v>1</v>
      </c>
      <c r="N422" s="19"/>
      <c r="O422" s="25"/>
      <c r="P422" s="23"/>
      <c r="Q422" s="21" t="s">
        <v>46</v>
      </c>
      <c r="R422" s="19" t="s">
        <v>47</v>
      </c>
      <c r="S422" s="21"/>
      <c r="T422" s="19"/>
      <c r="U422" s="21"/>
      <c r="V422" s="7"/>
      <c r="W422" s="7"/>
      <c r="X422" s="51" t="str">
        <f t="shared" si="2"/>
        <v/>
      </c>
      <c r="Y422" s="51" t="str">
        <f t="shared" si="3"/>
        <v/>
      </c>
      <c r="Z422" s="37"/>
    </row>
    <row r="423" spans="1:26" ht="14.25" customHeight="1" x14ac:dyDescent="0.3">
      <c r="A423" s="18">
        <v>105.2</v>
      </c>
      <c r="B423" s="19"/>
      <c r="C423" s="18" t="s">
        <v>55</v>
      </c>
      <c r="D423" s="19"/>
      <c r="E423" s="25"/>
      <c r="F423" s="19"/>
      <c r="G423" s="21">
        <v>0</v>
      </c>
      <c r="H423" s="21"/>
      <c r="I423" s="21"/>
      <c r="J423" s="21"/>
      <c r="K423" s="19"/>
      <c r="L423" s="19"/>
      <c r="M423" s="22">
        <v>1</v>
      </c>
      <c r="N423" s="19"/>
      <c r="O423" s="25"/>
      <c r="P423" s="23"/>
      <c r="Q423" s="21" t="s">
        <v>46</v>
      </c>
      <c r="R423" s="19" t="s">
        <v>47</v>
      </c>
      <c r="S423" s="21"/>
      <c r="T423" s="19"/>
      <c r="U423" s="21"/>
      <c r="V423" s="7"/>
      <c r="W423" s="7"/>
      <c r="X423" s="51" t="str">
        <f t="shared" si="2"/>
        <v/>
      </c>
      <c r="Y423" s="51" t="str">
        <f t="shared" si="3"/>
        <v/>
      </c>
      <c r="Z423" s="37"/>
    </row>
    <row r="424" spans="1:26" ht="14.25" customHeight="1" x14ac:dyDescent="0.3">
      <c r="A424" s="18">
        <v>105.3</v>
      </c>
      <c r="B424" s="19"/>
      <c r="C424" s="18" t="s">
        <v>55</v>
      </c>
      <c r="D424" s="19"/>
      <c r="E424" s="25"/>
      <c r="F424" s="19"/>
      <c r="G424" s="21">
        <v>0</v>
      </c>
      <c r="H424" s="21"/>
      <c r="I424" s="21"/>
      <c r="J424" s="21"/>
      <c r="K424" s="19"/>
      <c r="L424" s="19"/>
      <c r="M424" s="22">
        <v>1</v>
      </c>
      <c r="N424" s="19"/>
      <c r="O424" s="25"/>
      <c r="P424" s="23"/>
      <c r="Q424" s="21" t="s">
        <v>46</v>
      </c>
      <c r="R424" s="19" t="s">
        <v>47</v>
      </c>
      <c r="S424" s="21"/>
      <c r="T424" s="19"/>
      <c r="U424" s="21"/>
      <c r="V424" s="7"/>
      <c r="W424" s="7"/>
      <c r="X424" s="51" t="str">
        <f t="shared" si="2"/>
        <v/>
      </c>
      <c r="Y424" s="51" t="str">
        <f t="shared" si="3"/>
        <v/>
      </c>
      <c r="Z424" s="37"/>
    </row>
    <row r="425" spans="1:26" ht="14.25" customHeight="1" x14ac:dyDescent="0.3">
      <c r="A425" s="18">
        <v>105.4</v>
      </c>
      <c r="B425" s="19"/>
      <c r="C425" s="18" t="s">
        <v>55</v>
      </c>
      <c r="D425" s="19"/>
      <c r="E425" s="25"/>
      <c r="F425" s="19"/>
      <c r="G425" s="21">
        <v>0</v>
      </c>
      <c r="H425" s="21"/>
      <c r="I425" s="21"/>
      <c r="J425" s="21"/>
      <c r="K425" s="19"/>
      <c r="L425" s="19"/>
      <c r="M425" s="22">
        <v>1</v>
      </c>
      <c r="N425" s="19"/>
      <c r="O425" s="25"/>
      <c r="P425" s="23"/>
      <c r="Q425" s="21" t="s">
        <v>46</v>
      </c>
      <c r="R425" s="19" t="s">
        <v>47</v>
      </c>
      <c r="S425" s="21"/>
      <c r="T425" s="19"/>
      <c r="U425" s="21"/>
      <c r="V425" s="7"/>
      <c r="W425" s="7"/>
      <c r="X425" s="51" t="str">
        <f t="shared" si="2"/>
        <v/>
      </c>
      <c r="Y425" s="51" t="str">
        <f t="shared" si="3"/>
        <v/>
      </c>
      <c r="Z425" s="37"/>
    </row>
    <row r="426" spans="1:26" ht="14.25" customHeight="1" x14ac:dyDescent="0.3">
      <c r="A426" s="18">
        <v>106.1</v>
      </c>
      <c r="B426" s="19"/>
      <c r="C426" s="18" t="s">
        <v>55</v>
      </c>
      <c r="D426" s="19"/>
      <c r="E426" s="25"/>
      <c r="F426" s="19"/>
      <c r="G426" s="21">
        <v>0</v>
      </c>
      <c r="H426" s="21"/>
      <c r="I426" s="21"/>
      <c r="J426" s="21"/>
      <c r="K426" s="19"/>
      <c r="L426" s="19"/>
      <c r="M426" s="22">
        <v>1</v>
      </c>
      <c r="N426" s="19"/>
      <c r="O426" s="25"/>
      <c r="P426" s="23"/>
      <c r="Q426" s="21" t="s">
        <v>46</v>
      </c>
      <c r="R426" s="19" t="s">
        <v>47</v>
      </c>
      <c r="S426" s="21"/>
      <c r="T426" s="19"/>
      <c r="U426" s="21"/>
      <c r="V426" s="7"/>
      <c r="W426" s="7"/>
      <c r="X426" s="51" t="str">
        <f t="shared" si="2"/>
        <v/>
      </c>
      <c r="Y426" s="51" t="str">
        <f t="shared" si="3"/>
        <v/>
      </c>
      <c r="Z426" s="37"/>
    </row>
    <row r="427" spans="1:26" ht="14.25" customHeight="1" x14ac:dyDescent="0.3">
      <c r="A427" s="18">
        <v>106.2</v>
      </c>
      <c r="B427" s="19"/>
      <c r="C427" s="18" t="s">
        <v>55</v>
      </c>
      <c r="D427" s="19"/>
      <c r="E427" s="25"/>
      <c r="F427" s="19"/>
      <c r="G427" s="21">
        <v>0</v>
      </c>
      <c r="H427" s="21"/>
      <c r="I427" s="21"/>
      <c r="J427" s="21"/>
      <c r="K427" s="19"/>
      <c r="L427" s="19"/>
      <c r="M427" s="22">
        <v>1</v>
      </c>
      <c r="N427" s="19"/>
      <c r="O427" s="25"/>
      <c r="P427" s="23"/>
      <c r="Q427" s="21" t="s">
        <v>46</v>
      </c>
      <c r="R427" s="19" t="s">
        <v>47</v>
      </c>
      <c r="S427" s="21"/>
      <c r="T427" s="19"/>
      <c r="U427" s="21"/>
      <c r="V427" s="7"/>
      <c r="W427" s="7"/>
      <c r="X427" s="51" t="str">
        <f t="shared" si="2"/>
        <v/>
      </c>
      <c r="Y427" s="51" t="str">
        <f t="shared" si="3"/>
        <v/>
      </c>
      <c r="Z427" s="37"/>
    </row>
    <row r="428" spans="1:26" ht="14.25" customHeight="1" x14ac:dyDescent="0.3">
      <c r="A428" s="18">
        <v>106.3</v>
      </c>
      <c r="B428" s="19"/>
      <c r="C428" s="18" t="s">
        <v>55</v>
      </c>
      <c r="D428" s="19"/>
      <c r="E428" s="25"/>
      <c r="F428" s="19"/>
      <c r="G428" s="21">
        <v>0</v>
      </c>
      <c r="H428" s="21"/>
      <c r="I428" s="21"/>
      <c r="J428" s="21"/>
      <c r="K428" s="19"/>
      <c r="L428" s="19"/>
      <c r="M428" s="22">
        <v>1</v>
      </c>
      <c r="N428" s="19"/>
      <c r="O428" s="25"/>
      <c r="P428" s="23"/>
      <c r="Q428" s="21" t="s">
        <v>46</v>
      </c>
      <c r="R428" s="19" t="s">
        <v>47</v>
      </c>
      <c r="S428" s="21"/>
      <c r="T428" s="19"/>
      <c r="U428" s="21"/>
      <c r="V428" s="7"/>
      <c r="W428" s="7"/>
      <c r="X428" s="51" t="str">
        <f t="shared" si="2"/>
        <v/>
      </c>
      <c r="Y428" s="51" t="str">
        <f t="shared" si="3"/>
        <v/>
      </c>
      <c r="Z428" s="37"/>
    </row>
    <row r="429" spans="1:26" ht="14.25" customHeight="1" x14ac:dyDescent="0.3">
      <c r="A429" s="18">
        <v>106.4</v>
      </c>
      <c r="B429" s="19"/>
      <c r="C429" s="18" t="s">
        <v>55</v>
      </c>
      <c r="D429" s="19"/>
      <c r="E429" s="25"/>
      <c r="F429" s="19"/>
      <c r="G429" s="21">
        <v>0</v>
      </c>
      <c r="H429" s="21"/>
      <c r="I429" s="21"/>
      <c r="J429" s="21"/>
      <c r="K429" s="19"/>
      <c r="L429" s="19"/>
      <c r="M429" s="22">
        <v>1</v>
      </c>
      <c r="N429" s="19"/>
      <c r="O429" s="25"/>
      <c r="P429" s="23"/>
      <c r="Q429" s="21" t="s">
        <v>46</v>
      </c>
      <c r="R429" s="19" t="s">
        <v>47</v>
      </c>
      <c r="S429" s="21"/>
      <c r="T429" s="19"/>
      <c r="U429" s="21"/>
      <c r="V429" s="7"/>
      <c r="W429" s="7"/>
      <c r="X429" s="51" t="str">
        <f t="shared" si="2"/>
        <v/>
      </c>
      <c r="Y429" s="51" t="str">
        <f t="shared" si="3"/>
        <v/>
      </c>
      <c r="Z429" s="37"/>
    </row>
    <row r="430" spans="1:26" ht="14.25" customHeight="1" x14ac:dyDescent="0.3">
      <c r="A430" s="18">
        <v>107.1</v>
      </c>
      <c r="B430" s="19"/>
      <c r="C430" s="18" t="s">
        <v>55</v>
      </c>
      <c r="D430" s="19"/>
      <c r="E430" s="25"/>
      <c r="F430" s="19"/>
      <c r="G430" s="21">
        <v>0</v>
      </c>
      <c r="H430" s="21"/>
      <c r="I430" s="21"/>
      <c r="J430" s="21"/>
      <c r="K430" s="19"/>
      <c r="L430" s="19"/>
      <c r="M430" s="22">
        <v>1</v>
      </c>
      <c r="N430" s="19"/>
      <c r="O430" s="25"/>
      <c r="P430" s="23"/>
      <c r="Q430" s="21" t="s">
        <v>46</v>
      </c>
      <c r="R430" s="19" t="s">
        <v>47</v>
      </c>
      <c r="S430" s="21"/>
      <c r="T430" s="19"/>
      <c r="U430" s="21"/>
      <c r="V430" s="7"/>
      <c r="W430" s="7"/>
      <c r="X430" s="51" t="str">
        <f t="shared" si="2"/>
        <v/>
      </c>
      <c r="Y430" s="51" t="str">
        <f t="shared" si="3"/>
        <v/>
      </c>
      <c r="Z430" s="37"/>
    </row>
    <row r="431" spans="1:26" ht="14.25" customHeight="1" x14ac:dyDescent="0.3">
      <c r="A431" s="18">
        <v>107.2</v>
      </c>
      <c r="B431" s="19"/>
      <c r="C431" s="18" t="s">
        <v>55</v>
      </c>
      <c r="D431" s="19"/>
      <c r="E431" s="25"/>
      <c r="F431" s="19"/>
      <c r="G431" s="21">
        <v>0</v>
      </c>
      <c r="H431" s="21"/>
      <c r="I431" s="21"/>
      <c r="J431" s="21"/>
      <c r="K431" s="19"/>
      <c r="L431" s="19"/>
      <c r="M431" s="22">
        <v>1</v>
      </c>
      <c r="N431" s="19"/>
      <c r="O431" s="25"/>
      <c r="P431" s="23"/>
      <c r="Q431" s="21" t="s">
        <v>46</v>
      </c>
      <c r="R431" s="19" t="s">
        <v>47</v>
      </c>
      <c r="S431" s="21"/>
      <c r="T431" s="19"/>
      <c r="U431" s="21"/>
      <c r="V431" s="7"/>
      <c r="W431" s="7"/>
      <c r="X431" s="51" t="str">
        <f t="shared" si="2"/>
        <v/>
      </c>
      <c r="Y431" s="51" t="str">
        <f t="shared" si="3"/>
        <v/>
      </c>
      <c r="Z431" s="37"/>
    </row>
    <row r="432" spans="1:26" ht="14.25" customHeight="1" x14ac:dyDescent="0.3">
      <c r="A432" s="18">
        <v>107.3</v>
      </c>
      <c r="B432" s="19"/>
      <c r="C432" s="18" t="s">
        <v>55</v>
      </c>
      <c r="D432" s="19"/>
      <c r="E432" s="25"/>
      <c r="F432" s="19"/>
      <c r="G432" s="21">
        <v>0</v>
      </c>
      <c r="H432" s="21"/>
      <c r="I432" s="21"/>
      <c r="J432" s="21"/>
      <c r="K432" s="19"/>
      <c r="L432" s="19"/>
      <c r="M432" s="22">
        <v>1</v>
      </c>
      <c r="N432" s="19"/>
      <c r="O432" s="25"/>
      <c r="P432" s="23"/>
      <c r="Q432" s="21" t="s">
        <v>46</v>
      </c>
      <c r="R432" s="19" t="s">
        <v>47</v>
      </c>
      <c r="S432" s="21"/>
      <c r="T432" s="19"/>
      <c r="U432" s="21"/>
      <c r="V432" s="7"/>
      <c r="W432" s="7"/>
      <c r="X432" s="51" t="str">
        <f t="shared" si="2"/>
        <v/>
      </c>
      <c r="Y432" s="51" t="str">
        <f t="shared" si="3"/>
        <v/>
      </c>
      <c r="Z432" s="37"/>
    </row>
    <row r="433" spans="1:26" ht="14.25" customHeight="1" x14ac:dyDescent="0.3">
      <c r="A433" s="18">
        <v>107.4</v>
      </c>
      <c r="B433" s="19"/>
      <c r="C433" s="18" t="s">
        <v>55</v>
      </c>
      <c r="D433" s="19"/>
      <c r="E433" s="25"/>
      <c r="F433" s="19"/>
      <c r="G433" s="21">
        <v>0</v>
      </c>
      <c r="H433" s="21"/>
      <c r="I433" s="21"/>
      <c r="J433" s="21"/>
      <c r="K433" s="19"/>
      <c r="L433" s="19"/>
      <c r="M433" s="22">
        <v>1</v>
      </c>
      <c r="N433" s="19"/>
      <c r="O433" s="25"/>
      <c r="P433" s="23"/>
      <c r="Q433" s="21" t="s">
        <v>46</v>
      </c>
      <c r="R433" s="19" t="s">
        <v>47</v>
      </c>
      <c r="S433" s="21"/>
      <c r="T433" s="19"/>
      <c r="U433" s="21"/>
      <c r="V433" s="7"/>
      <c r="W433" s="7"/>
      <c r="X433" s="51" t="str">
        <f t="shared" si="2"/>
        <v/>
      </c>
      <c r="Y433" s="51" t="str">
        <f t="shared" si="3"/>
        <v/>
      </c>
      <c r="Z433" s="37"/>
    </row>
    <row r="434" spans="1:26" ht="14.25" customHeight="1" x14ac:dyDescent="0.3">
      <c r="A434" s="18">
        <v>108.1</v>
      </c>
      <c r="B434" s="19"/>
      <c r="C434" s="18" t="s">
        <v>55</v>
      </c>
      <c r="D434" s="19"/>
      <c r="E434" s="25"/>
      <c r="F434" s="19"/>
      <c r="G434" s="21">
        <v>0</v>
      </c>
      <c r="H434" s="21"/>
      <c r="I434" s="21"/>
      <c r="J434" s="21"/>
      <c r="K434" s="19"/>
      <c r="L434" s="19"/>
      <c r="M434" s="22">
        <v>1</v>
      </c>
      <c r="N434" s="19"/>
      <c r="O434" s="25"/>
      <c r="P434" s="23"/>
      <c r="Q434" s="21" t="s">
        <v>46</v>
      </c>
      <c r="R434" s="19" t="s">
        <v>47</v>
      </c>
      <c r="S434" s="21"/>
      <c r="T434" s="19"/>
      <c r="U434" s="21"/>
      <c r="V434" s="7"/>
      <c r="W434" s="7"/>
      <c r="X434" s="51" t="str">
        <f t="shared" si="2"/>
        <v/>
      </c>
      <c r="Y434" s="51" t="str">
        <f t="shared" si="3"/>
        <v/>
      </c>
      <c r="Z434" s="37"/>
    </row>
    <row r="435" spans="1:26" ht="14.25" customHeight="1" x14ac:dyDescent="0.3">
      <c r="A435" s="18">
        <v>108.2</v>
      </c>
      <c r="B435" s="19"/>
      <c r="C435" s="18" t="s">
        <v>55</v>
      </c>
      <c r="D435" s="19"/>
      <c r="E435" s="25"/>
      <c r="F435" s="19"/>
      <c r="G435" s="21">
        <v>0</v>
      </c>
      <c r="H435" s="21"/>
      <c r="I435" s="21"/>
      <c r="J435" s="21"/>
      <c r="K435" s="19"/>
      <c r="L435" s="19"/>
      <c r="M435" s="22">
        <v>1</v>
      </c>
      <c r="N435" s="19"/>
      <c r="O435" s="25"/>
      <c r="P435" s="23"/>
      <c r="Q435" s="21" t="s">
        <v>46</v>
      </c>
      <c r="R435" s="19" t="s">
        <v>47</v>
      </c>
      <c r="S435" s="21"/>
      <c r="T435" s="19"/>
      <c r="U435" s="21"/>
      <c r="V435" s="7"/>
      <c r="W435" s="7"/>
      <c r="X435" s="51" t="str">
        <f t="shared" si="2"/>
        <v/>
      </c>
      <c r="Y435" s="51" t="str">
        <f t="shared" si="3"/>
        <v/>
      </c>
      <c r="Z435" s="37"/>
    </row>
    <row r="436" spans="1:26" ht="14.25" customHeight="1" x14ac:dyDescent="0.3">
      <c r="A436" s="18">
        <v>108.3</v>
      </c>
      <c r="B436" s="19"/>
      <c r="C436" s="18" t="s">
        <v>55</v>
      </c>
      <c r="D436" s="19"/>
      <c r="E436" s="25"/>
      <c r="F436" s="19"/>
      <c r="G436" s="21">
        <v>0</v>
      </c>
      <c r="H436" s="21"/>
      <c r="I436" s="21"/>
      <c r="J436" s="21"/>
      <c r="K436" s="19"/>
      <c r="L436" s="19"/>
      <c r="M436" s="22">
        <v>1</v>
      </c>
      <c r="N436" s="19"/>
      <c r="O436" s="25"/>
      <c r="P436" s="23"/>
      <c r="Q436" s="21" t="s">
        <v>46</v>
      </c>
      <c r="R436" s="19" t="s">
        <v>47</v>
      </c>
      <c r="S436" s="21"/>
      <c r="T436" s="19"/>
      <c r="U436" s="21"/>
      <c r="V436" s="7"/>
      <c r="W436" s="7"/>
      <c r="X436" s="51" t="str">
        <f t="shared" si="2"/>
        <v/>
      </c>
      <c r="Y436" s="51" t="str">
        <f t="shared" si="3"/>
        <v/>
      </c>
      <c r="Z436" s="37"/>
    </row>
    <row r="437" spans="1:26" ht="14.25" customHeight="1" x14ac:dyDescent="0.3">
      <c r="A437" s="18">
        <v>108.4</v>
      </c>
      <c r="B437" s="19"/>
      <c r="C437" s="18" t="s">
        <v>55</v>
      </c>
      <c r="D437" s="19"/>
      <c r="E437" s="25"/>
      <c r="F437" s="19"/>
      <c r="G437" s="21">
        <v>0</v>
      </c>
      <c r="H437" s="21"/>
      <c r="I437" s="21"/>
      <c r="J437" s="21"/>
      <c r="K437" s="19"/>
      <c r="L437" s="19"/>
      <c r="M437" s="22">
        <v>1</v>
      </c>
      <c r="N437" s="19"/>
      <c r="O437" s="25"/>
      <c r="P437" s="23"/>
      <c r="Q437" s="21" t="s">
        <v>46</v>
      </c>
      <c r="R437" s="19" t="s">
        <v>47</v>
      </c>
      <c r="S437" s="21"/>
      <c r="T437" s="19"/>
      <c r="U437" s="21"/>
      <c r="V437" s="7"/>
      <c r="W437" s="7"/>
      <c r="X437" s="51" t="str">
        <f t="shared" si="2"/>
        <v/>
      </c>
      <c r="Y437" s="51" t="str">
        <f t="shared" si="3"/>
        <v/>
      </c>
      <c r="Z437" s="37"/>
    </row>
    <row r="438" spans="1:26" ht="14.25" customHeight="1" x14ac:dyDescent="0.3">
      <c r="A438" s="18">
        <v>109.1</v>
      </c>
      <c r="B438" s="19"/>
      <c r="C438" s="18" t="s">
        <v>55</v>
      </c>
      <c r="D438" s="19"/>
      <c r="E438" s="25"/>
      <c r="F438" s="19"/>
      <c r="G438" s="21">
        <v>0</v>
      </c>
      <c r="H438" s="21"/>
      <c r="I438" s="21"/>
      <c r="J438" s="21"/>
      <c r="K438" s="19"/>
      <c r="L438" s="19"/>
      <c r="M438" s="22">
        <v>1</v>
      </c>
      <c r="N438" s="19"/>
      <c r="O438" s="25"/>
      <c r="P438" s="23"/>
      <c r="Q438" s="21" t="s">
        <v>46</v>
      </c>
      <c r="R438" s="19" t="s">
        <v>47</v>
      </c>
      <c r="S438" s="21"/>
      <c r="T438" s="19"/>
      <c r="U438" s="21"/>
      <c r="V438" s="7"/>
      <c r="W438" s="7"/>
      <c r="X438" s="51" t="str">
        <f t="shared" si="2"/>
        <v/>
      </c>
      <c r="Y438" s="51" t="str">
        <f t="shared" si="3"/>
        <v/>
      </c>
      <c r="Z438" s="37"/>
    </row>
    <row r="439" spans="1:26" ht="14.25" customHeight="1" x14ac:dyDescent="0.3">
      <c r="A439" s="18">
        <v>109.2</v>
      </c>
      <c r="B439" s="19"/>
      <c r="C439" s="18" t="s">
        <v>55</v>
      </c>
      <c r="D439" s="19"/>
      <c r="E439" s="25"/>
      <c r="F439" s="19"/>
      <c r="G439" s="21">
        <v>0</v>
      </c>
      <c r="H439" s="21"/>
      <c r="I439" s="21"/>
      <c r="J439" s="21"/>
      <c r="K439" s="19"/>
      <c r="L439" s="19"/>
      <c r="M439" s="22">
        <v>1</v>
      </c>
      <c r="N439" s="19"/>
      <c r="O439" s="25"/>
      <c r="P439" s="23"/>
      <c r="Q439" s="21" t="s">
        <v>46</v>
      </c>
      <c r="R439" s="19" t="s">
        <v>47</v>
      </c>
      <c r="S439" s="21"/>
      <c r="T439" s="19"/>
      <c r="U439" s="21"/>
      <c r="V439" s="7"/>
      <c r="W439" s="7"/>
      <c r="X439" s="51" t="str">
        <f t="shared" si="2"/>
        <v/>
      </c>
      <c r="Y439" s="51" t="str">
        <f t="shared" si="3"/>
        <v/>
      </c>
      <c r="Z439" s="37"/>
    </row>
    <row r="440" spans="1:26" ht="14.25" customHeight="1" x14ac:dyDescent="0.3">
      <c r="A440" s="18">
        <v>109.3</v>
      </c>
      <c r="B440" s="19"/>
      <c r="C440" s="18" t="s">
        <v>55</v>
      </c>
      <c r="D440" s="19"/>
      <c r="E440" s="25"/>
      <c r="F440" s="19"/>
      <c r="G440" s="21">
        <v>0</v>
      </c>
      <c r="H440" s="21"/>
      <c r="I440" s="21"/>
      <c r="J440" s="21"/>
      <c r="K440" s="19"/>
      <c r="L440" s="19"/>
      <c r="M440" s="22">
        <v>1</v>
      </c>
      <c r="N440" s="19"/>
      <c r="O440" s="25"/>
      <c r="P440" s="23"/>
      <c r="Q440" s="21" t="s">
        <v>46</v>
      </c>
      <c r="R440" s="19" t="s">
        <v>47</v>
      </c>
      <c r="S440" s="21"/>
      <c r="T440" s="19"/>
      <c r="U440" s="21"/>
      <c r="V440" s="7"/>
      <c r="W440" s="7"/>
      <c r="X440" s="51" t="str">
        <f t="shared" si="2"/>
        <v/>
      </c>
      <c r="Y440" s="51" t="str">
        <f t="shared" si="3"/>
        <v/>
      </c>
      <c r="Z440" s="37"/>
    </row>
    <row r="441" spans="1:26" ht="14.25" customHeight="1" x14ac:dyDescent="0.3">
      <c r="A441" s="18">
        <v>109.4</v>
      </c>
      <c r="B441" s="19"/>
      <c r="C441" s="18" t="s">
        <v>55</v>
      </c>
      <c r="D441" s="19"/>
      <c r="E441" s="25"/>
      <c r="F441" s="19"/>
      <c r="G441" s="21">
        <v>0</v>
      </c>
      <c r="H441" s="21"/>
      <c r="I441" s="21"/>
      <c r="J441" s="21"/>
      <c r="K441" s="19"/>
      <c r="L441" s="19"/>
      <c r="M441" s="22">
        <v>1</v>
      </c>
      <c r="N441" s="19"/>
      <c r="O441" s="25"/>
      <c r="P441" s="23"/>
      <c r="Q441" s="21" t="s">
        <v>46</v>
      </c>
      <c r="R441" s="19" t="s">
        <v>47</v>
      </c>
      <c r="S441" s="21"/>
      <c r="T441" s="19"/>
      <c r="U441" s="21"/>
      <c r="V441" s="7"/>
      <c r="W441" s="7"/>
      <c r="X441" s="51" t="str">
        <f t="shared" si="2"/>
        <v/>
      </c>
      <c r="Y441" s="51" t="str">
        <f t="shared" si="3"/>
        <v/>
      </c>
      <c r="Z441" s="37"/>
    </row>
    <row r="442" spans="1:26" ht="14.25" customHeight="1" x14ac:dyDescent="0.3">
      <c r="A442" s="18">
        <v>110.1</v>
      </c>
      <c r="B442" s="19"/>
      <c r="C442" s="18" t="s">
        <v>55</v>
      </c>
      <c r="D442" s="19"/>
      <c r="E442" s="25"/>
      <c r="F442" s="19"/>
      <c r="G442" s="21">
        <v>0</v>
      </c>
      <c r="H442" s="21"/>
      <c r="I442" s="21"/>
      <c r="J442" s="21"/>
      <c r="K442" s="19"/>
      <c r="L442" s="19"/>
      <c r="M442" s="22">
        <v>1</v>
      </c>
      <c r="N442" s="19"/>
      <c r="O442" s="25"/>
      <c r="P442" s="23"/>
      <c r="Q442" s="21" t="s">
        <v>46</v>
      </c>
      <c r="R442" s="19" t="s">
        <v>47</v>
      </c>
      <c r="S442" s="21"/>
      <c r="T442" s="19"/>
      <c r="U442" s="21"/>
      <c r="V442" s="7"/>
      <c r="W442" s="7"/>
      <c r="X442" s="51" t="str">
        <f t="shared" si="2"/>
        <v/>
      </c>
      <c r="Y442" s="51" t="str">
        <f t="shared" si="3"/>
        <v/>
      </c>
      <c r="Z442" s="37"/>
    </row>
    <row r="443" spans="1:26" ht="14.25" customHeight="1" x14ac:dyDescent="0.3">
      <c r="A443" s="18">
        <v>110.2</v>
      </c>
      <c r="B443" s="19"/>
      <c r="C443" s="18" t="s">
        <v>55</v>
      </c>
      <c r="D443" s="19"/>
      <c r="E443" s="25"/>
      <c r="F443" s="19"/>
      <c r="G443" s="21">
        <v>0</v>
      </c>
      <c r="H443" s="21"/>
      <c r="I443" s="21"/>
      <c r="J443" s="21"/>
      <c r="K443" s="19"/>
      <c r="L443" s="19"/>
      <c r="M443" s="22">
        <v>1</v>
      </c>
      <c r="N443" s="19"/>
      <c r="O443" s="25"/>
      <c r="P443" s="23"/>
      <c r="Q443" s="21" t="s">
        <v>46</v>
      </c>
      <c r="R443" s="19" t="s">
        <v>47</v>
      </c>
      <c r="S443" s="21"/>
      <c r="T443" s="19"/>
      <c r="U443" s="21"/>
      <c r="V443" s="7"/>
      <c r="W443" s="7"/>
      <c r="X443" s="51" t="str">
        <f t="shared" si="2"/>
        <v/>
      </c>
      <c r="Y443" s="51" t="str">
        <f t="shared" si="3"/>
        <v/>
      </c>
      <c r="Z443" s="37"/>
    </row>
    <row r="444" spans="1:26" ht="14.25" customHeight="1" x14ac:dyDescent="0.3">
      <c r="A444" s="18">
        <v>110.3</v>
      </c>
      <c r="B444" s="19"/>
      <c r="C444" s="18" t="s">
        <v>55</v>
      </c>
      <c r="D444" s="19"/>
      <c r="E444" s="25"/>
      <c r="F444" s="19"/>
      <c r="G444" s="21">
        <v>0</v>
      </c>
      <c r="H444" s="21"/>
      <c r="I444" s="21"/>
      <c r="J444" s="21"/>
      <c r="K444" s="19"/>
      <c r="L444" s="19"/>
      <c r="M444" s="22">
        <v>1</v>
      </c>
      <c r="N444" s="19"/>
      <c r="O444" s="25"/>
      <c r="P444" s="23"/>
      <c r="Q444" s="21" t="s">
        <v>46</v>
      </c>
      <c r="R444" s="19" t="s">
        <v>47</v>
      </c>
      <c r="S444" s="21"/>
      <c r="T444" s="19"/>
      <c r="U444" s="21"/>
      <c r="V444" s="7"/>
      <c r="W444" s="7"/>
      <c r="X444" s="51" t="str">
        <f t="shared" si="2"/>
        <v/>
      </c>
      <c r="Y444" s="51" t="str">
        <f t="shared" si="3"/>
        <v/>
      </c>
      <c r="Z444" s="37"/>
    </row>
    <row r="445" spans="1:26" ht="14.25" customHeight="1" x14ac:dyDescent="0.3">
      <c r="A445" s="18">
        <v>110.4</v>
      </c>
      <c r="B445" s="19"/>
      <c r="C445" s="18" t="s">
        <v>55</v>
      </c>
      <c r="D445" s="19"/>
      <c r="E445" s="25"/>
      <c r="F445" s="19"/>
      <c r="G445" s="21">
        <v>0</v>
      </c>
      <c r="H445" s="21"/>
      <c r="I445" s="21"/>
      <c r="J445" s="21"/>
      <c r="K445" s="19"/>
      <c r="L445" s="19"/>
      <c r="M445" s="22">
        <v>1</v>
      </c>
      <c r="N445" s="19"/>
      <c r="O445" s="25"/>
      <c r="P445" s="23"/>
      <c r="Q445" s="21" t="s">
        <v>46</v>
      </c>
      <c r="R445" s="19" t="s">
        <v>47</v>
      </c>
      <c r="S445" s="21"/>
      <c r="T445" s="19"/>
      <c r="U445" s="21"/>
      <c r="V445" s="7"/>
      <c r="W445" s="7"/>
      <c r="X445" s="51" t="str">
        <f t="shared" si="2"/>
        <v/>
      </c>
      <c r="Y445" s="51" t="str">
        <f t="shared" si="3"/>
        <v/>
      </c>
      <c r="Z445" s="37"/>
    </row>
    <row r="446" spans="1:26" ht="14.25" customHeight="1" x14ac:dyDescent="0.3">
      <c r="A446" s="18">
        <v>111.1</v>
      </c>
      <c r="B446" s="19"/>
      <c r="C446" s="18" t="s">
        <v>55</v>
      </c>
      <c r="D446" s="19"/>
      <c r="E446" s="25"/>
      <c r="F446" s="19"/>
      <c r="G446" s="21">
        <v>0</v>
      </c>
      <c r="H446" s="21"/>
      <c r="I446" s="21"/>
      <c r="J446" s="21"/>
      <c r="K446" s="19"/>
      <c r="L446" s="19"/>
      <c r="M446" s="22">
        <v>1</v>
      </c>
      <c r="N446" s="19"/>
      <c r="O446" s="25"/>
      <c r="P446" s="23"/>
      <c r="Q446" s="21" t="s">
        <v>46</v>
      </c>
      <c r="R446" s="19" t="s">
        <v>47</v>
      </c>
      <c r="S446" s="21"/>
      <c r="T446" s="19"/>
      <c r="U446" s="21"/>
      <c r="V446" s="7"/>
      <c r="W446" s="7"/>
      <c r="X446" s="51" t="str">
        <f t="shared" si="2"/>
        <v/>
      </c>
      <c r="Y446" s="51" t="str">
        <f t="shared" si="3"/>
        <v/>
      </c>
      <c r="Z446" s="37"/>
    </row>
    <row r="447" spans="1:26" ht="14.25" customHeight="1" x14ac:dyDescent="0.3">
      <c r="A447" s="18">
        <v>111.2</v>
      </c>
      <c r="B447" s="19"/>
      <c r="C447" s="18" t="s">
        <v>55</v>
      </c>
      <c r="D447" s="19"/>
      <c r="E447" s="25"/>
      <c r="F447" s="19"/>
      <c r="G447" s="21">
        <v>0</v>
      </c>
      <c r="H447" s="21"/>
      <c r="I447" s="21"/>
      <c r="J447" s="21"/>
      <c r="K447" s="19"/>
      <c r="L447" s="19"/>
      <c r="M447" s="22">
        <v>1</v>
      </c>
      <c r="N447" s="19"/>
      <c r="O447" s="25"/>
      <c r="P447" s="23"/>
      <c r="Q447" s="21" t="s">
        <v>46</v>
      </c>
      <c r="R447" s="19" t="s">
        <v>47</v>
      </c>
      <c r="S447" s="21"/>
      <c r="T447" s="19"/>
      <c r="U447" s="21"/>
      <c r="V447" s="7"/>
      <c r="W447" s="7"/>
      <c r="X447" s="51" t="str">
        <f t="shared" si="2"/>
        <v/>
      </c>
      <c r="Y447" s="51" t="str">
        <f t="shared" si="3"/>
        <v/>
      </c>
      <c r="Z447" s="37"/>
    </row>
    <row r="448" spans="1:26" ht="14.25" customHeight="1" x14ac:dyDescent="0.3">
      <c r="A448" s="18">
        <v>111.3</v>
      </c>
      <c r="B448" s="19"/>
      <c r="C448" s="18" t="s">
        <v>55</v>
      </c>
      <c r="D448" s="19"/>
      <c r="E448" s="25"/>
      <c r="F448" s="19"/>
      <c r="G448" s="21">
        <v>0</v>
      </c>
      <c r="H448" s="21"/>
      <c r="I448" s="21"/>
      <c r="J448" s="21"/>
      <c r="K448" s="19"/>
      <c r="L448" s="19"/>
      <c r="M448" s="22">
        <v>1</v>
      </c>
      <c r="N448" s="19"/>
      <c r="O448" s="25"/>
      <c r="P448" s="23"/>
      <c r="Q448" s="21" t="s">
        <v>46</v>
      </c>
      <c r="R448" s="19" t="s">
        <v>47</v>
      </c>
      <c r="S448" s="21"/>
      <c r="T448" s="19"/>
      <c r="U448" s="21"/>
      <c r="V448" s="7"/>
      <c r="W448" s="7"/>
      <c r="X448" s="51" t="str">
        <f t="shared" si="2"/>
        <v/>
      </c>
      <c r="Y448" s="51" t="str">
        <f t="shared" si="3"/>
        <v/>
      </c>
      <c r="Z448" s="37"/>
    </row>
    <row r="449" spans="1:26" ht="14.25" customHeight="1" x14ac:dyDescent="0.3">
      <c r="A449" s="18">
        <v>111.4</v>
      </c>
      <c r="B449" s="19"/>
      <c r="C449" s="18" t="s">
        <v>55</v>
      </c>
      <c r="D449" s="19"/>
      <c r="E449" s="25"/>
      <c r="F449" s="19"/>
      <c r="G449" s="21">
        <v>0</v>
      </c>
      <c r="H449" s="21"/>
      <c r="I449" s="21"/>
      <c r="J449" s="21"/>
      <c r="K449" s="19"/>
      <c r="L449" s="19"/>
      <c r="M449" s="22">
        <v>1</v>
      </c>
      <c r="N449" s="19"/>
      <c r="O449" s="25"/>
      <c r="P449" s="23"/>
      <c r="Q449" s="21" t="s">
        <v>46</v>
      </c>
      <c r="R449" s="19" t="s">
        <v>47</v>
      </c>
      <c r="S449" s="21"/>
      <c r="T449" s="19"/>
      <c r="U449" s="21"/>
      <c r="V449" s="7"/>
      <c r="W449" s="7"/>
      <c r="X449" s="51" t="str">
        <f t="shared" si="2"/>
        <v/>
      </c>
      <c r="Y449" s="51" t="str">
        <f t="shared" si="3"/>
        <v/>
      </c>
      <c r="Z449" s="37"/>
    </row>
    <row r="450" spans="1:26" ht="14.25" customHeight="1" x14ac:dyDescent="0.3">
      <c r="A450" s="18">
        <v>112.1</v>
      </c>
      <c r="B450" s="19"/>
      <c r="C450" s="18" t="s">
        <v>55</v>
      </c>
      <c r="D450" s="19"/>
      <c r="E450" s="25"/>
      <c r="F450" s="19"/>
      <c r="G450" s="21">
        <v>0</v>
      </c>
      <c r="H450" s="21"/>
      <c r="I450" s="21"/>
      <c r="J450" s="21"/>
      <c r="K450" s="19"/>
      <c r="L450" s="19"/>
      <c r="M450" s="22">
        <v>1</v>
      </c>
      <c r="N450" s="19"/>
      <c r="O450" s="25"/>
      <c r="P450" s="23"/>
      <c r="Q450" s="21" t="s">
        <v>46</v>
      </c>
      <c r="R450" s="19" t="s">
        <v>47</v>
      </c>
      <c r="S450" s="21"/>
      <c r="T450" s="19"/>
      <c r="U450" s="21"/>
      <c r="V450" s="7"/>
      <c r="W450" s="7"/>
      <c r="X450" s="51" t="str">
        <f t="shared" si="2"/>
        <v/>
      </c>
      <c r="Y450" s="51" t="str">
        <f t="shared" si="3"/>
        <v/>
      </c>
      <c r="Z450" s="37"/>
    </row>
    <row r="451" spans="1:26" ht="14.25" customHeight="1" x14ac:dyDescent="0.3">
      <c r="A451" s="18">
        <v>112.2</v>
      </c>
      <c r="B451" s="19"/>
      <c r="C451" s="18" t="s">
        <v>55</v>
      </c>
      <c r="D451" s="19"/>
      <c r="E451" s="25"/>
      <c r="F451" s="19"/>
      <c r="G451" s="21">
        <v>0</v>
      </c>
      <c r="H451" s="21"/>
      <c r="I451" s="21"/>
      <c r="J451" s="21"/>
      <c r="K451" s="19"/>
      <c r="L451" s="19"/>
      <c r="M451" s="22">
        <v>1</v>
      </c>
      <c r="N451" s="19"/>
      <c r="O451" s="25"/>
      <c r="P451" s="23"/>
      <c r="Q451" s="21" t="s">
        <v>46</v>
      </c>
      <c r="R451" s="19" t="s">
        <v>47</v>
      </c>
      <c r="S451" s="21"/>
      <c r="T451" s="19"/>
      <c r="U451" s="21"/>
      <c r="V451" s="7"/>
      <c r="W451" s="7"/>
      <c r="X451" s="51" t="str">
        <f t="shared" si="2"/>
        <v/>
      </c>
      <c r="Y451" s="51" t="str">
        <f t="shared" si="3"/>
        <v/>
      </c>
      <c r="Z451" s="37"/>
    </row>
    <row r="452" spans="1:26" ht="14.25" customHeight="1" x14ac:dyDescent="0.3">
      <c r="A452" s="18">
        <v>112.3</v>
      </c>
      <c r="B452" s="19"/>
      <c r="C452" s="18" t="s">
        <v>55</v>
      </c>
      <c r="D452" s="19"/>
      <c r="E452" s="25"/>
      <c r="F452" s="19"/>
      <c r="G452" s="21">
        <v>0</v>
      </c>
      <c r="H452" s="21"/>
      <c r="I452" s="21"/>
      <c r="J452" s="21"/>
      <c r="K452" s="19"/>
      <c r="L452" s="19"/>
      <c r="M452" s="22">
        <v>1</v>
      </c>
      <c r="N452" s="19"/>
      <c r="O452" s="25"/>
      <c r="P452" s="23"/>
      <c r="Q452" s="21" t="s">
        <v>46</v>
      </c>
      <c r="R452" s="19" t="s">
        <v>47</v>
      </c>
      <c r="S452" s="21"/>
      <c r="T452" s="19"/>
      <c r="U452" s="21"/>
      <c r="V452" s="7"/>
      <c r="W452" s="7"/>
      <c r="X452" s="51" t="str">
        <f t="shared" si="2"/>
        <v/>
      </c>
      <c r="Y452" s="51" t="str">
        <f t="shared" si="3"/>
        <v/>
      </c>
      <c r="Z452" s="37"/>
    </row>
    <row r="453" spans="1:26" ht="14.25" customHeight="1" x14ac:dyDescent="0.3">
      <c r="A453" s="18">
        <v>112.4</v>
      </c>
      <c r="B453" s="19"/>
      <c r="C453" s="18" t="s">
        <v>55</v>
      </c>
      <c r="D453" s="19"/>
      <c r="E453" s="25"/>
      <c r="F453" s="19"/>
      <c r="G453" s="21">
        <v>0</v>
      </c>
      <c r="H453" s="21"/>
      <c r="I453" s="21"/>
      <c r="J453" s="21"/>
      <c r="K453" s="19"/>
      <c r="L453" s="19"/>
      <c r="M453" s="22">
        <v>1</v>
      </c>
      <c r="N453" s="19"/>
      <c r="O453" s="25"/>
      <c r="P453" s="23"/>
      <c r="Q453" s="21" t="s">
        <v>46</v>
      </c>
      <c r="R453" s="19" t="s">
        <v>47</v>
      </c>
      <c r="S453" s="21"/>
      <c r="T453" s="19"/>
      <c r="U453" s="21"/>
      <c r="V453" s="7"/>
      <c r="W453" s="7"/>
      <c r="X453" s="51" t="str">
        <f t="shared" si="2"/>
        <v/>
      </c>
      <c r="Y453" s="51" t="str">
        <f t="shared" si="3"/>
        <v/>
      </c>
      <c r="Z453" s="37"/>
    </row>
    <row r="454" spans="1:26" ht="14.25" customHeight="1" x14ac:dyDescent="0.3">
      <c r="A454" s="18">
        <v>113.1</v>
      </c>
      <c r="B454" s="19"/>
      <c r="C454" s="18" t="s">
        <v>55</v>
      </c>
      <c r="D454" s="19"/>
      <c r="E454" s="25"/>
      <c r="F454" s="19"/>
      <c r="G454" s="21">
        <v>0</v>
      </c>
      <c r="H454" s="21"/>
      <c r="I454" s="21"/>
      <c r="J454" s="21"/>
      <c r="K454" s="19"/>
      <c r="L454" s="19"/>
      <c r="M454" s="22">
        <v>1</v>
      </c>
      <c r="N454" s="19"/>
      <c r="O454" s="25"/>
      <c r="P454" s="23"/>
      <c r="Q454" s="21" t="s">
        <v>46</v>
      </c>
      <c r="R454" s="19" t="s">
        <v>47</v>
      </c>
      <c r="S454" s="21"/>
      <c r="T454" s="19"/>
      <c r="U454" s="21"/>
      <c r="V454" s="7"/>
      <c r="W454" s="7"/>
      <c r="X454" s="51" t="str">
        <f t="shared" si="2"/>
        <v/>
      </c>
      <c r="Y454" s="51" t="str">
        <f t="shared" si="3"/>
        <v/>
      </c>
      <c r="Z454" s="37"/>
    </row>
    <row r="455" spans="1:26" ht="14.25" customHeight="1" x14ac:dyDescent="0.3">
      <c r="A455" s="18">
        <v>113.2</v>
      </c>
      <c r="B455" s="19"/>
      <c r="C455" s="18" t="s">
        <v>55</v>
      </c>
      <c r="D455" s="19"/>
      <c r="E455" s="25"/>
      <c r="F455" s="19"/>
      <c r="G455" s="21">
        <v>0</v>
      </c>
      <c r="H455" s="21"/>
      <c r="I455" s="21"/>
      <c r="J455" s="21"/>
      <c r="K455" s="19"/>
      <c r="L455" s="19"/>
      <c r="M455" s="22">
        <v>1</v>
      </c>
      <c r="N455" s="19"/>
      <c r="O455" s="25"/>
      <c r="P455" s="23"/>
      <c r="Q455" s="21" t="s">
        <v>46</v>
      </c>
      <c r="R455" s="19" t="s">
        <v>47</v>
      </c>
      <c r="S455" s="21"/>
      <c r="T455" s="19"/>
      <c r="U455" s="21"/>
      <c r="V455" s="7"/>
      <c r="W455" s="7"/>
      <c r="X455" s="51" t="str">
        <f t="shared" si="2"/>
        <v/>
      </c>
      <c r="Y455" s="51" t="str">
        <f t="shared" si="3"/>
        <v/>
      </c>
      <c r="Z455" s="37"/>
    </row>
    <row r="456" spans="1:26" ht="14.25" customHeight="1" x14ac:dyDescent="0.3">
      <c r="A456" s="18">
        <v>113.3</v>
      </c>
      <c r="B456" s="19"/>
      <c r="C456" s="18" t="s">
        <v>55</v>
      </c>
      <c r="D456" s="19"/>
      <c r="E456" s="25"/>
      <c r="F456" s="19"/>
      <c r="G456" s="21">
        <v>0</v>
      </c>
      <c r="H456" s="21"/>
      <c r="I456" s="21"/>
      <c r="J456" s="21"/>
      <c r="K456" s="19"/>
      <c r="L456" s="19"/>
      <c r="M456" s="22">
        <v>1</v>
      </c>
      <c r="N456" s="19"/>
      <c r="O456" s="25"/>
      <c r="P456" s="23"/>
      <c r="Q456" s="21" t="s">
        <v>46</v>
      </c>
      <c r="R456" s="19" t="s">
        <v>47</v>
      </c>
      <c r="S456" s="21"/>
      <c r="T456" s="19"/>
      <c r="U456" s="21"/>
      <c r="V456" s="7"/>
      <c r="W456" s="7"/>
      <c r="X456" s="51" t="str">
        <f t="shared" si="2"/>
        <v/>
      </c>
      <c r="Y456" s="51" t="str">
        <f t="shared" si="3"/>
        <v/>
      </c>
      <c r="Z456" s="37"/>
    </row>
    <row r="457" spans="1:26" ht="14.25" customHeight="1" x14ac:dyDescent="0.3">
      <c r="A457" s="18">
        <v>113.4</v>
      </c>
      <c r="B457" s="19"/>
      <c r="C457" s="18" t="s">
        <v>55</v>
      </c>
      <c r="D457" s="19"/>
      <c r="E457" s="25"/>
      <c r="F457" s="19"/>
      <c r="G457" s="21">
        <v>0</v>
      </c>
      <c r="H457" s="21"/>
      <c r="I457" s="21"/>
      <c r="J457" s="21"/>
      <c r="K457" s="19"/>
      <c r="L457" s="19"/>
      <c r="M457" s="22">
        <v>1</v>
      </c>
      <c r="N457" s="19"/>
      <c r="O457" s="25"/>
      <c r="P457" s="23"/>
      <c r="Q457" s="21" t="s">
        <v>46</v>
      </c>
      <c r="R457" s="19" t="s">
        <v>47</v>
      </c>
      <c r="S457" s="21"/>
      <c r="T457" s="19"/>
      <c r="U457" s="21"/>
      <c r="V457" s="7"/>
      <c r="W457" s="7"/>
      <c r="X457" s="51" t="str">
        <f t="shared" si="2"/>
        <v/>
      </c>
      <c r="Y457" s="51" t="str">
        <f t="shared" si="3"/>
        <v/>
      </c>
      <c r="Z457" s="37"/>
    </row>
    <row r="458" spans="1:26" ht="14.25" customHeight="1" x14ac:dyDescent="0.3">
      <c r="A458" s="18">
        <v>114.1</v>
      </c>
      <c r="B458" s="19"/>
      <c r="C458" s="18" t="s">
        <v>55</v>
      </c>
      <c r="D458" s="19"/>
      <c r="E458" s="25"/>
      <c r="F458" s="19"/>
      <c r="G458" s="21">
        <v>0</v>
      </c>
      <c r="H458" s="21"/>
      <c r="I458" s="21"/>
      <c r="J458" s="21"/>
      <c r="K458" s="19"/>
      <c r="L458" s="19"/>
      <c r="M458" s="22">
        <v>1</v>
      </c>
      <c r="N458" s="19"/>
      <c r="O458" s="25"/>
      <c r="P458" s="23"/>
      <c r="Q458" s="21" t="s">
        <v>46</v>
      </c>
      <c r="R458" s="19" t="s">
        <v>47</v>
      </c>
      <c r="S458" s="21"/>
      <c r="T458" s="19"/>
      <c r="U458" s="21"/>
      <c r="V458" s="7"/>
      <c r="W458" s="7"/>
      <c r="X458" s="51" t="str">
        <f t="shared" si="2"/>
        <v/>
      </c>
      <c r="Y458" s="51" t="str">
        <f t="shared" si="3"/>
        <v/>
      </c>
      <c r="Z458" s="37"/>
    </row>
    <row r="459" spans="1:26" ht="14.25" customHeight="1" x14ac:dyDescent="0.3">
      <c r="A459" s="18">
        <v>114.2</v>
      </c>
      <c r="B459" s="19"/>
      <c r="C459" s="18" t="s">
        <v>55</v>
      </c>
      <c r="D459" s="19"/>
      <c r="E459" s="25"/>
      <c r="F459" s="19"/>
      <c r="G459" s="21">
        <v>0</v>
      </c>
      <c r="H459" s="21"/>
      <c r="I459" s="21"/>
      <c r="J459" s="21"/>
      <c r="K459" s="19"/>
      <c r="L459" s="19"/>
      <c r="M459" s="22">
        <v>1</v>
      </c>
      <c r="N459" s="19"/>
      <c r="O459" s="25"/>
      <c r="P459" s="23"/>
      <c r="Q459" s="21" t="s">
        <v>46</v>
      </c>
      <c r="R459" s="19" t="s">
        <v>47</v>
      </c>
      <c r="S459" s="21"/>
      <c r="T459" s="19"/>
      <c r="U459" s="21"/>
      <c r="V459" s="7"/>
      <c r="W459" s="7"/>
      <c r="X459" s="51" t="str">
        <f t="shared" si="2"/>
        <v/>
      </c>
      <c r="Y459" s="51" t="str">
        <f t="shared" si="3"/>
        <v/>
      </c>
      <c r="Z459" s="37"/>
    </row>
    <row r="460" spans="1:26" ht="14.25" customHeight="1" x14ac:dyDescent="0.3">
      <c r="A460" s="18">
        <v>114.3</v>
      </c>
      <c r="B460" s="19"/>
      <c r="C460" s="18" t="s">
        <v>55</v>
      </c>
      <c r="D460" s="19"/>
      <c r="E460" s="25"/>
      <c r="F460" s="19"/>
      <c r="G460" s="21">
        <v>0</v>
      </c>
      <c r="H460" s="21"/>
      <c r="I460" s="21"/>
      <c r="J460" s="21"/>
      <c r="K460" s="19"/>
      <c r="L460" s="19"/>
      <c r="M460" s="22">
        <v>1</v>
      </c>
      <c r="N460" s="19"/>
      <c r="O460" s="25"/>
      <c r="P460" s="23"/>
      <c r="Q460" s="21" t="s">
        <v>46</v>
      </c>
      <c r="R460" s="19" t="s">
        <v>47</v>
      </c>
      <c r="S460" s="21"/>
      <c r="T460" s="19"/>
      <c r="U460" s="21"/>
      <c r="V460" s="7"/>
      <c r="W460" s="7"/>
      <c r="X460" s="51" t="str">
        <f t="shared" si="2"/>
        <v/>
      </c>
      <c r="Y460" s="51" t="str">
        <f t="shared" si="3"/>
        <v/>
      </c>
      <c r="Z460" s="37"/>
    </row>
    <row r="461" spans="1:26" ht="14.25" customHeight="1" x14ac:dyDescent="0.3">
      <c r="A461" s="18">
        <v>114.4</v>
      </c>
      <c r="B461" s="19"/>
      <c r="C461" s="18" t="s">
        <v>55</v>
      </c>
      <c r="D461" s="19"/>
      <c r="E461" s="25"/>
      <c r="F461" s="19"/>
      <c r="G461" s="21">
        <v>0</v>
      </c>
      <c r="H461" s="21"/>
      <c r="I461" s="21"/>
      <c r="J461" s="21"/>
      <c r="K461" s="19"/>
      <c r="L461" s="19"/>
      <c r="M461" s="22">
        <v>1</v>
      </c>
      <c r="N461" s="19"/>
      <c r="O461" s="25"/>
      <c r="P461" s="23"/>
      <c r="Q461" s="21" t="s">
        <v>46</v>
      </c>
      <c r="R461" s="19" t="s">
        <v>47</v>
      </c>
      <c r="S461" s="21"/>
      <c r="T461" s="19"/>
      <c r="U461" s="21"/>
      <c r="V461" s="7"/>
      <c r="W461" s="7"/>
      <c r="X461" s="51" t="str">
        <f t="shared" si="2"/>
        <v/>
      </c>
      <c r="Y461" s="51" t="str">
        <f t="shared" si="3"/>
        <v/>
      </c>
      <c r="Z461" s="37"/>
    </row>
    <row r="462" spans="1:26" ht="14.25" customHeight="1" x14ac:dyDescent="0.3">
      <c r="A462" s="18">
        <v>115.1</v>
      </c>
      <c r="B462" s="19"/>
      <c r="C462" s="18" t="s">
        <v>55</v>
      </c>
      <c r="D462" s="19"/>
      <c r="E462" s="25"/>
      <c r="F462" s="19"/>
      <c r="G462" s="21">
        <v>0</v>
      </c>
      <c r="H462" s="21"/>
      <c r="I462" s="21"/>
      <c r="J462" s="21"/>
      <c r="K462" s="19"/>
      <c r="L462" s="19"/>
      <c r="M462" s="22">
        <v>1</v>
      </c>
      <c r="N462" s="19"/>
      <c r="O462" s="25"/>
      <c r="P462" s="23"/>
      <c r="Q462" s="21" t="s">
        <v>46</v>
      </c>
      <c r="R462" s="19" t="s">
        <v>47</v>
      </c>
      <c r="S462" s="21"/>
      <c r="T462" s="19"/>
      <c r="U462" s="21"/>
      <c r="V462" s="7"/>
      <c r="W462" s="7"/>
      <c r="X462" s="51" t="str">
        <f t="shared" si="2"/>
        <v/>
      </c>
      <c r="Y462" s="51" t="str">
        <f t="shared" si="3"/>
        <v/>
      </c>
      <c r="Z462" s="37"/>
    </row>
    <row r="463" spans="1:26" ht="14.25" customHeight="1" x14ac:dyDescent="0.3">
      <c r="A463" s="18">
        <v>115.2</v>
      </c>
      <c r="B463" s="19"/>
      <c r="C463" s="18" t="s">
        <v>55</v>
      </c>
      <c r="D463" s="19"/>
      <c r="E463" s="25"/>
      <c r="F463" s="19"/>
      <c r="G463" s="21">
        <v>0</v>
      </c>
      <c r="H463" s="21"/>
      <c r="I463" s="21"/>
      <c r="J463" s="21"/>
      <c r="K463" s="19"/>
      <c r="L463" s="19"/>
      <c r="M463" s="22">
        <v>1</v>
      </c>
      <c r="N463" s="19"/>
      <c r="O463" s="25"/>
      <c r="P463" s="23"/>
      <c r="Q463" s="21" t="s">
        <v>46</v>
      </c>
      <c r="R463" s="19" t="s">
        <v>47</v>
      </c>
      <c r="S463" s="21"/>
      <c r="T463" s="19"/>
      <c r="U463" s="21"/>
      <c r="V463" s="7"/>
      <c r="W463" s="7"/>
      <c r="X463" s="51" t="str">
        <f t="shared" si="2"/>
        <v/>
      </c>
      <c r="Y463" s="51" t="str">
        <f t="shared" si="3"/>
        <v/>
      </c>
      <c r="Z463" s="37"/>
    </row>
    <row r="464" spans="1:26" ht="14.25" customHeight="1" x14ac:dyDescent="0.3">
      <c r="A464" s="18">
        <v>115.3</v>
      </c>
      <c r="B464" s="19"/>
      <c r="C464" s="18" t="s">
        <v>55</v>
      </c>
      <c r="D464" s="19"/>
      <c r="E464" s="25"/>
      <c r="F464" s="19"/>
      <c r="G464" s="21">
        <v>0</v>
      </c>
      <c r="H464" s="21"/>
      <c r="I464" s="21"/>
      <c r="J464" s="21"/>
      <c r="K464" s="19"/>
      <c r="L464" s="19"/>
      <c r="M464" s="22">
        <v>1</v>
      </c>
      <c r="N464" s="19"/>
      <c r="O464" s="25"/>
      <c r="P464" s="23"/>
      <c r="Q464" s="21" t="s">
        <v>46</v>
      </c>
      <c r="R464" s="19" t="s">
        <v>47</v>
      </c>
      <c r="S464" s="21"/>
      <c r="T464" s="19"/>
      <c r="U464" s="21"/>
      <c r="V464" s="7"/>
      <c r="W464" s="7"/>
      <c r="X464" s="51" t="str">
        <f t="shared" si="2"/>
        <v/>
      </c>
      <c r="Y464" s="51" t="str">
        <f t="shared" si="3"/>
        <v/>
      </c>
      <c r="Z464" s="37"/>
    </row>
    <row r="465" spans="1:26" ht="14.25" customHeight="1" x14ac:dyDescent="0.3">
      <c r="A465" s="18">
        <v>115.4</v>
      </c>
      <c r="B465" s="19"/>
      <c r="C465" s="18" t="s">
        <v>55</v>
      </c>
      <c r="D465" s="19"/>
      <c r="E465" s="25"/>
      <c r="F465" s="19"/>
      <c r="G465" s="21">
        <v>0</v>
      </c>
      <c r="H465" s="21"/>
      <c r="I465" s="21"/>
      <c r="J465" s="21"/>
      <c r="K465" s="19"/>
      <c r="L465" s="19"/>
      <c r="M465" s="22">
        <v>1</v>
      </c>
      <c r="N465" s="19"/>
      <c r="O465" s="25"/>
      <c r="P465" s="23"/>
      <c r="Q465" s="21" t="s">
        <v>46</v>
      </c>
      <c r="R465" s="19" t="s">
        <v>47</v>
      </c>
      <c r="S465" s="21"/>
      <c r="T465" s="19"/>
      <c r="U465" s="21"/>
      <c r="V465" s="7"/>
      <c r="W465" s="7"/>
      <c r="X465" s="51" t="str">
        <f t="shared" si="2"/>
        <v/>
      </c>
      <c r="Y465" s="51" t="str">
        <f t="shared" si="3"/>
        <v/>
      </c>
      <c r="Z465" s="37"/>
    </row>
    <row r="466" spans="1:26" ht="14.25" customHeight="1" x14ac:dyDescent="0.3">
      <c r="A466" s="18">
        <v>116.1</v>
      </c>
      <c r="B466" s="19"/>
      <c r="C466" s="18" t="s">
        <v>55</v>
      </c>
      <c r="D466" s="19"/>
      <c r="E466" s="25"/>
      <c r="F466" s="19"/>
      <c r="G466" s="21">
        <v>0</v>
      </c>
      <c r="H466" s="21"/>
      <c r="I466" s="21"/>
      <c r="J466" s="21"/>
      <c r="K466" s="19"/>
      <c r="L466" s="19"/>
      <c r="M466" s="22">
        <v>1</v>
      </c>
      <c r="N466" s="19"/>
      <c r="O466" s="25"/>
      <c r="P466" s="23"/>
      <c r="Q466" s="21" t="s">
        <v>46</v>
      </c>
      <c r="R466" s="19" t="s">
        <v>47</v>
      </c>
      <c r="S466" s="21"/>
      <c r="T466" s="19"/>
      <c r="U466" s="21"/>
      <c r="V466" s="7"/>
      <c r="W466" s="7"/>
      <c r="X466" s="51" t="str">
        <f t="shared" si="2"/>
        <v/>
      </c>
      <c r="Y466" s="51" t="str">
        <f t="shared" si="3"/>
        <v/>
      </c>
      <c r="Z466" s="37"/>
    </row>
    <row r="467" spans="1:26" ht="14.25" customHeight="1" x14ac:dyDescent="0.3">
      <c r="A467" s="18">
        <v>116.2</v>
      </c>
      <c r="B467" s="19"/>
      <c r="C467" s="18" t="s">
        <v>55</v>
      </c>
      <c r="D467" s="19"/>
      <c r="E467" s="25"/>
      <c r="F467" s="19"/>
      <c r="G467" s="21">
        <v>0</v>
      </c>
      <c r="H467" s="21"/>
      <c r="I467" s="21"/>
      <c r="J467" s="21"/>
      <c r="K467" s="19"/>
      <c r="L467" s="19"/>
      <c r="M467" s="22">
        <v>1</v>
      </c>
      <c r="N467" s="19"/>
      <c r="O467" s="25"/>
      <c r="P467" s="23"/>
      <c r="Q467" s="21" t="s">
        <v>46</v>
      </c>
      <c r="R467" s="19" t="s">
        <v>47</v>
      </c>
      <c r="S467" s="21"/>
      <c r="T467" s="19"/>
      <c r="U467" s="21"/>
      <c r="V467" s="7"/>
      <c r="W467" s="7"/>
      <c r="X467" s="51" t="str">
        <f t="shared" si="2"/>
        <v/>
      </c>
      <c r="Y467" s="51" t="str">
        <f t="shared" si="3"/>
        <v/>
      </c>
      <c r="Z467" s="37"/>
    </row>
    <row r="468" spans="1:26" ht="14.25" customHeight="1" x14ac:dyDescent="0.3">
      <c r="A468" s="18">
        <v>116.3</v>
      </c>
      <c r="B468" s="19"/>
      <c r="C468" s="18" t="s">
        <v>55</v>
      </c>
      <c r="D468" s="19"/>
      <c r="E468" s="25"/>
      <c r="F468" s="19"/>
      <c r="G468" s="21">
        <v>0</v>
      </c>
      <c r="H468" s="21"/>
      <c r="I468" s="21"/>
      <c r="J468" s="21"/>
      <c r="K468" s="19"/>
      <c r="L468" s="19"/>
      <c r="M468" s="22">
        <v>1</v>
      </c>
      <c r="N468" s="19"/>
      <c r="O468" s="25"/>
      <c r="P468" s="23"/>
      <c r="Q468" s="21" t="s">
        <v>46</v>
      </c>
      <c r="R468" s="19" t="s">
        <v>47</v>
      </c>
      <c r="S468" s="21"/>
      <c r="T468" s="19"/>
      <c r="U468" s="21"/>
      <c r="V468" s="7"/>
      <c r="W468" s="7"/>
      <c r="X468" s="51" t="str">
        <f t="shared" si="2"/>
        <v/>
      </c>
      <c r="Y468" s="51" t="str">
        <f t="shared" si="3"/>
        <v/>
      </c>
      <c r="Z468" s="37"/>
    </row>
    <row r="469" spans="1:26" ht="14.25" customHeight="1" x14ac:dyDescent="0.3">
      <c r="A469" s="18">
        <v>116.4</v>
      </c>
      <c r="B469" s="19"/>
      <c r="C469" s="18" t="s">
        <v>55</v>
      </c>
      <c r="D469" s="19"/>
      <c r="E469" s="25"/>
      <c r="F469" s="19"/>
      <c r="G469" s="21">
        <v>0</v>
      </c>
      <c r="H469" s="21"/>
      <c r="I469" s="21"/>
      <c r="J469" s="21"/>
      <c r="K469" s="19"/>
      <c r="L469" s="19"/>
      <c r="M469" s="22">
        <v>1</v>
      </c>
      <c r="N469" s="19"/>
      <c r="O469" s="25"/>
      <c r="P469" s="23"/>
      <c r="Q469" s="21" t="s">
        <v>46</v>
      </c>
      <c r="R469" s="19" t="s">
        <v>47</v>
      </c>
      <c r="S469" s="21"/>
      <c r="T469" s="19"/>
      <c r="U469" s="21"/>
      <c r="V469" s="7"/>
      <c r="W469" s="7"/>
      <c r="X469" s="51" t="str">
        <f t="shared" si="2"/>
        <v/>
      </c>
      <c r="Y469" s="51" t="str">
        <f t="shared" si="3"/>
        <v/>
      </c>
      <c r="Z469" s="37"/>
    </row>
    <row r="470" spans="1:26" ht="14.25" customHeight="1" x14ac:dyDescent="0.3">
      <c r="A470" s="18">
        <v>117.1</v>
      </c>
      <c r="B470" s="19"/>
      <c r="C470" s="18" t="s">
        <v>55</v>
      </c>
      <c r="D470" s="19"/>
      <c r="E470" s="25"/>
      <c r="F470" s="19"/>
      <c r="G470" s="21">
        <v>0</v>
      </c>
      <c r="H470" s="21"/>
      <c r="I470" s="21"/>
      <c r="J470" s="21"/>
      <c r="K470" s="19"/>
      <c r="L470" s="19"/>
      <c r="M470" s="22">
        <v>1</v>
      </c>
      <c r="N470" s="19"/>
      <c r="O470" s="25"/>
      <c r="P470" s="23"/>
      <c r="Q470" s="21" t="s">
        <v>46</v>
      </c>
      <c r="R470" s="19" t="s">
        <v>47</v>
      </c>
      <c r="S470" s="21"/>
      <c r="T470" s="19"/>
      <c r="U470" s="21"/>
      <c r="V470" s="7"/>
      <c r="W470" s="7"/>
      <c r="X470" s="51" t="str">
        <f t="shared" si="2"/>
        <v/>
      </c>
      <c r="Y470" s="51" t="str">
        <f t="shared" si="3"/>
        <v/>
      </c>
      <c r="Z470" s="37"/>
    </row>
    <row r="471" spans="1:26" ht="14.25" customHeight="1" x14ac:dyDescent="0.3">
      <c r="A471" s="18">
        <v>117.2</v>
      </c>
      <c r="B471" s="19"/>
      <c r="C471" s="18" t="s">
        <v>55</v>
      </c>
      <c r="D471" s="19"/>
      <c r="E471" s="25"/>
      <c r="F471" s="19"/>
      <c r="G471" s="21">
        <v>0</v>
      </c>
      <c r="H471" s="21"/>
      <c r="I471" s="21"/>
      <c r="J471" s="21"/>
      <c r="K471" s="19"/>
      <c r="L471" s="19"/>
      <c r="M471" s="22">
        <v>1</v>
      </c>
      <c r="N471" s="19"/>
      <c r="O471" s="25"/>
      <c r="P471" s="23"/>
      <c r="Q471" s="21" t="s">
        <v>46</v>
      </c>
      <c r="R471" s="19" t="s">
        <v>47</v>
      </c>
      <c r="S471" s="21"/>
      <c r="T471" s="19"/>
      <c r="U471" s="21"/>
      <c r="V471" s="7"/>
      <c r="W471" s="7"/>
      <c r="X471" s="51" t="str">
        <f t="shared" si="2"/>
        <v/>
      </c>
      <c r="Y471" s="51" t="str">
        <f t="shared" si="3"/>
        <v/>
      </c>
      <c r="Z471" s="37"/>
    </row>
    <row r="472" spans="1:26" ht="14.25" customHeight="1" x14ac:dyDescent="0.3">
      <c r="A472" s="18">
        <v>117.3</v>
      </c>
      <c r="B472" s="19"/>
      <c r="C472" s="18" t="s">
        <v>55</v>
      </c>
      <c r="D472" s="19"/>
      <c r="E472" s="25"/>
      <c r="F472" s="19"/>
      <c r="G472" s="21">
        <v>0</v>
      </c>
      <c r="H472" s="21"/>
      <c r="I472" s="21"/>
      <c r="J472" s="21"/>
      <c r="K472" s="19"/>
      <c r="L472" s="19"/>
      <c r="M472" s="22">
        <v>1</v>
      </c>
      <c r="N472" s="19"/>
      <c r="O472" s="25"/>
      <c r="P472" s="23"/>
      <c r="Q472" s="21" t="s">
        <v>46</v>
      </c>
      <c r="R472" s="19" t="s">
        <v>47</v>
      </c>
      <c r="S472" s="21"/>
      <c r="T472" s="19"/>
      <c r="U472" s="21"/>
      <c r="V472" s="7"/>
      <c r="W472" s="7"/>
      <c r="X472" s="51" t="str">
        <f t="shared" si="2"/>
        <v/>
      </c>
      <c r="Y472" s="51" t="str">
        <f t="shared" si="3"/>
        <v/>
      </c>
      <c r="Z472" s="37"/>
    </row>
    <row r="473" spans="1:26" ht="14.25" customHeight="1" x14ac:dyDescent="0.3">
      <c r="A473" s="18">
        <v>117.4</v>
      </c>
      <c r="B473" s="19"/>
      <c r="C473" s="18" t="s">
        <v>55</v>
      </c>
      <c r="D473" s="19"/>
      <c r="E473" s="25"/>
      <c r="F473" s="19"/>
      <c r="G473" s="21">
        <v>0</v>
      </c>
      <c r="H473" s="21"/>
      <c r="I473" s="21"/>
      <c r="J473" s="21"/>
      <c r="K473" s="19"/>
      <c r="L473" s="19"/>
      <c r="M473" s="22">
        <v>1</v>
      </c>
      <c r="N473" s="19"/>
      <c r="O473" s="25"/>
      <c r="P473" s="23"/>
      <c r="Q473" s="21" t="s">
        <v>46</v>
      </c>
      <c r="R473" s="19" t="s">
        <v>47</v>
      </c>
      <c r="S473" s="21"/>
      <c r="T473" s="19"/>
      <c r="U473" s="21"/>
      <c r="V473" s="7"/>
      <c r="W473" s="7"/>
      <c r="X473" s="51" t="str">
        <f t="shared" si="2"/>
        <v/>
      </c>
      <c r="Y473" s="51" t="str">
        <f t="shared" si="3"/>
        <v/>
      </c>
      <c r="Z473" s="37"/>
    </row>
    <row r="474" spans="1:26" ht="14.25" customHeight="1" x14ac:dyDescent="0.3">
      <c r="A474" s="18">
        <v>118.1</v>
      </c>
      <c r="B474" s="19"/>
      <c r="C474" s="18" t="s">
        <v>55</v>
      </c>
      <c r="D474" s="19"/>
      <c r="E474" s="25"/>
      <c r="F474" s="19"/>
      <c r="G474" s="21">
        <v>0</v>
      </c>
      <c r="H474" s="21"/>
      <c r="I474" s="21"/>
      <c r="J474" s="21"/>
      <c r="K474" s="19"/>
      <c r="L474" s="19"/>
      <c r="M474" s="22">
        <v>1</v>
      </c>
      <c r="N474" s="19"/>
      <c r="O474" s="25"/>
      <c r="P474" s="23"/>
      <c r="Q474" s="21" t="s">
        <v>46</v>
      </c>
      <c r="R474" s="19" t="s">
        <v>47</v>
      </c>
      <c r="S474" s="21"/>
      <c r="T474" s="19"/>
      <c r="U474" s="21"/>
      <c r="V474" s="7"/>
      <c r="W474" s="7"/>
      <c r="X474" s="51" t="str">
        <f t="shared" si="2"/>
        <v/>
      </c>
      <c r="Y474" s="51" t="str">
        <f t="shared" si="3"/>
        <v/>
      </c>
      <c r="Z474" s="37"/>
    </row>
    <row r="475" spans="1:26" ht="14.25" customHeight="1" x14ac:dyDescent="0.3">
      <c r="A475" s="18">
        <v>118.2</v>
      </c>
      <c r="B475" s="19"/>
      <c r="C475" s="18" t="s">
        <v>55</v>
      </c>
      <c r="D475" s="19"/>
      <c r="E475" s="25"/>
      <c r="F475" s="19"/>
      <c r="G475" s="21">
        <v>0</v>
      </c>
      <c r="H475" s="21"/>
      <c r="I475" s="21"/>
      <c r="J475" s="21"/>
      <c r="K475" s="19"/>
      <c r="L475" s="19"/>
      <c r="M475" s="22">
        <v>1</v>
      </c>
      <c r="N475" s="19"/>
      <c r="O475" s="25"/>
      <c r="P475" s="23"/>
      <c r="Q475" s="21" t="s">
        <v>46</v>
      </c>
      <c r="R475" s="19" t="s">
        <v>47</v>
      </c>
      <c r="S475" s="21"/>
      <c r="T475" s="19"/>
      <c r="U475" s="21"/>
      <c r="V475" s="7"/>
      <c r="W475" s="7"/>
      <c r="X475" s="51" t="str">
        <f t="shared" si="2"/>
        <v/>
      </c>
      <c r="Y475" s="51" t="str">
        <f t="shared" si="3"/>
        <v/>
      </c>
      <c r="Z475" s="37"/>
    </row>
    <row r="476" spans="1:26" ht="14.25" customHeight="1" x14ac:dyDescent="0.3">
      <c r="A476" s="18">
        <v>118.3</v>
      </c>
      <c r="B476" s="19"/>
      <c r="C476" s="18" t="s">
        <v>55</v>
      </c>
      <c r="D476" s="19"/>
      <c r="E476" s="25"/>
      <c r="F476" s="19"/>
      <c r="G476" s="21">
        <v>0</v>
      </c>
      <c r="H476" s="21"/>
      <c r="I476" s="21"/>
      <c r="J476" s="21"/>
      <c r="K476" s="19"/>
      <c r="L476" s="19"/>
      <c r="M476" s="22">
        <v>1</v>
      </c>
      <c r="N476" s="19"/>
      <c r="O476" s="25"/>
      <c r="P476" s="23"/>
      <c r="Q476" s="21" t="s">
        <v>46</v>
      </c>
      <c r="R476" s="19" t="s">
        <v>47</v>
      </c>
      <c r="S476" s="21"/>
      <c r="T476" s="19"/>
      <c r="U476" s="21"/>
      <c r="V476" s="7"/>
      <c r="W476" s="7"/>
      <c r="X476" s="51" t="str">
        <f t="shared" si="2"/>
        <v/>
      </c>
      <c r="Y476" s="51" t="str">
        <f t="shared" si="3"/>
        <v/>
      </c>
      <c r="Z476" s="37"/>
    </row>
    <row r="477" spans="1:26" ht="14.25" customHeight="1" x14ac:dyDescent="0.3">
      <c r="A477" s="18">
        <v>118.4</v>
      </c>
      <c r="B477" s="19"/>
      <c r="C477" s="18" t="s">
        <v>55</v>
      </c>
      <c r="D477" s="19"/>
      <c r="E477" s="25"/>
      <c r="F477" s="19"/>
      <c r="G477" s="21">
        <v>0</v>
      </c>
      <c r="H477" s="21"/>
      <c r="I477" s="21"/>
      <c r="J477" s="21"/>
      <c r="K477" s="19"/>
      <c r="L477" s="19"/>
      <c r="M477" s="22">
        <v>1</v>
      </c>
      <c r="N477" s="19"/>
      <c r="O477" s="25"/>
      <c r="P477" s="23"/>
      <c r="Q477" s="21" t="s">
        <v>46</v>
      </c>
      <c r="R477" s="19" t="s">
        <v>47</v>
      </c>
      <c r="S477" s="21"/>
      <c r="T477" s="19"/>
      <c r="U477" s="21"/>
      <c r="V477" s="7"/>
      <c r="W477" s="7"/>
      <c r="X477" s="51" t="str">
        <f t="shared" si="2"/>
        <v/>
      </c>
      <c r="Y477" s="51" t="str">
        <f t="shared" si="3"/>
        <v/>
      </c>
      <c r="Z477" s="37"/>
    </row>
    <row r="478" spans="1:26" ht="14.25" customHeight="1" x14ac:dyDescent="0.3">
      <c r="A478" s="18">
        <v>119.1</v>
      </c>
      <c r="B478" s="19"/>
      <c r="C478" s="18" t="s">
        <v>55</v>
      </c>
      <c r="D478" s="19"/>
      <c r="E478" s="25"/>
      <c r="F478" s="19"/>
      <c r="G478" s="21">
        <v>0</v>
      </c>
      <c r="H478" s="21"/>
      <c r="I478" s="21"/>
      <c r="J478" s="21"/>
      <c r="K478" s="19"/>
      <c r="L478" s="19"/>
      <c r="M478" s="22">
        <v>1</v>
      </c>
      <c r="N478" s="19"/>
      <c r="O478" s="25"/>
      <c r="P478" s="23"/>
      <c r="Q478" s="21" t="s">
        <v>46</v>
      </c>
      <c r="R478" s="19" t="s">
        <v>47</v>
      </c>
      <c r="S478" s="21"/>
      <c r="T478" s="19"/>
      <c r="U478" s="21"/>
      <c r="V478" s="7"/>
      <c r="W478" s="7"/>
      <c r="X478" s="51" t="str">
        <f t="shared" si="2"/>
        <v/>
      </c>
      <c r="Y478" s="51" t="str">
        <f t="shared" si="3"/>
        <v/>
      </c>
      <c r="Z478" s="37"/>
    </row>
    <row r="479" spans="1:26" ht="14.25" customHeight="1" x14ac:dyDescent="0.3">
      <c r="A479" s="18">
        <v>119.2</v>
      </c>
      <c r="B479" s="19"/>
      <c r="C479" s="18" t="s">
        <v>55</v>
      </c>
      <c r="D479" s="19"/>
      <c r="E479" s="25"/>
      <c r="F479" s="19"/>
      <c r="G479" s="21">
        <v>0</v>
      </c>
      <c r="H479" s="21"/>
      <c r="I479" s="21"/>
      <c r="J479" s="21"/>
      <c r="K479" s="19"/>
      <c r="L479" s="19"/>
      <c r="M479" s="22">
        <v>1</v>
      </c>
      <c r="N479" s="19"/>
      <c r="O479" s="25"/>
      <c r="P479" s="23"/>
      <c r="Q479" s="21" t="s">
        <v>46</v>
      </c>
      <c r="R479" s="19" t="s">
        <v>47</v>
      </c>
      <c r="S479" s="21"/>
      <c r="T479" s="19"/>
      <c r="U479" s="21"/>
      <c r="V479" s="7"/>
      <c r="W479" s="7"/>
      <c r="X479" s="51" t="str">
        <f t="shared" si="2"/>
        <v/>
      </c>
      <c r="Y479" s="51" t="str">
        <f t="shared" si="3"/>
        <v/>
      </c>
      <c r="Z479" s="37"/>
    </row>
    <row r="480" spans="1:26" ht="14.25" customHeight="1" x14ac:dyDescent="0.3">
      <c r="A480" s="18">
        <v>119.3</v>
      </c>
      <c r="B480" s="19"/>
      <c r="C480" s="18" t="s">
        <v>55</v>
      </c>
      <c r="D480" s="19"/>
      <c r="E480" s="25"/>
      <c r="F480" s="19"/>
      <c r="G480" s="21">
        <v>0</v>
      </c>
      <c r="H480" s="21"/>
      <c r="I480" s="21"/>
      <c r="J480" s="21"/>
      <c r="K480" s="19"/>
      <c r="L480" s="19"/>
      <c r="M480" s="22">
        <v>1</v>
      </c>
      <c r="N480" s="19"/>
      <c r="O480" s="25"/>
      <c r="P480" s="23"/>
      <c r="Q480" s="21" t="s">
        <v>46</v>
      </c>
      <c r="R480" s="19" t="s">
        <v>47</v>
      </c>
      <c r="S480" s="21"/>
      <c r="T480" s="19"/>
      <c r="U480" s="21"/>
      <c r="V480" s="7"/>
      <c r="W480" s="7"/>
      <c r="X480" s="51" t="str">
        <f t="shared" si="2"/>
        <v/>
      </c>
      <c r="Y480" s="51" t="str">
        <f t="shared" si="3"/>
        <v/>
      </c>
      <c r="Z480" s="37"/>
    </row>
    <row r="481" spans="1:26" ht="14.25" customHeight="1" x14ac:dyDescent="0.3">
      <c r="A481" s="18">
        <v>119.4</v>
      </c>
      <c r="B481" s="19"/>
      <c r="C481" s="18" t="s">
        <v>55</v>
      </c>
      <c r="D481" s="19"/>
      <c r="E481" s="25"/>
      <c r="F481" s="19"/>
      <c r="G481" s="21">
        <v>0</v>
      </c>
      <c r="H481" s="21"/>
      <c r="I481" s="21"/>
      <c r="J481" s="21"/>
      <c r="K481" s="19"/>
      <c r="L481" s="19"/>
      <c r="M481" s="22">
        <v>1</v>
      </c>
      <c r="N481" s="19"/>
      <c r="O481" s="25"/>
      <c r="P481" s="23"/>
      <c r="Q481" s="21" t="s">
        <v>46</v>
      </c>
      <c r="R481" s="19" t="s">
        <v>47</v>
      </c>
      <c r="S481" s="21"/>
      <c r="T481" s="19"/>
      <c r="U481" s="21"/>
      <c r="V481" s="7"/>
      <c r="W481" s="7"/>
      <c r="X481" s="51" t="str">
        <f t="shared" si="2"/>
        <v/>
      </c>
      <c r="Y481" s="51" t="str">
        <f t="shared" si="3"/>
        <v/>
      </c>
      <c r="Z481" s="37"/>
    </row>
    <row r="482" spans="1:26" ht="14.25" customHeight="1" x14ac:dyDescent="0.3">
      <c r="A482" s="18">
        <v>120.1</v>
      </c>
      <c r="B482" s="19"/>
      <c r="C482" s="18" t="s">
        <v>55</v>
      </c>
      <c r="D482" s="19"/>
      <c r="E482" s="25"/>
      <c r="F482" s="19"/>
      <c r="G482" s="21">
        <v>0</v>
      </c>
      <c r="H482" s="21"/>
      <c r="I482" s="21"/>
      <c r="J482" s="21"/>
      <c r="K482" s="19"/>
      <c r="L482" s="19"/>
      <c r="M482" s="22">
        <v>1</v>
      </c>
      <c r="N482" s="19"/>
      <c r="O482" s="25"/>
      <c r="P482" s="23"/>
      <c r="Q482" s="21" t="s">
        <v>46</v>
      </c>
      <c r="R482" s="19" t="s">
        <v>47</v>
      </c>
      <c r="S482" s="21"/>
      <c r="T482" s="19"/>
      <c r="U482" s="21"/>
      <c r="V482" s="7"/>
      <c r="W482" s="7"/>
      <c r="X482" s="51" t="str">
        <f t="shared" si="2"/>
        <v/>
      </c>
      <c r="Y482" s="51" t="str">
        <f t="shared" si="3"/>
        <v/>
      </c>
      <c r="Z482" s="37"/>
    </row>
    <row r="483" spans="1:26" ht="14.25" customHeight="1" x14ac:dyDescent="0.3">
      <c r="A483" s="18">
        <v>120.2</v>
      </c>
      <c r="B483" s="19"/>
      <c r="C483" s="18" t="s">
        <v>55</v>
      </c>
      <c r="D483" s="19"/>
      <c r="E483" s="25"/>
      <c r="F483" s="19"/>
      <c r="G483" s="21">
        <v>0</v>
      </c>
      <c r="H483" s="21"/>
      <c r="I483" s="21"/>
      <c r="J483" s="21"/>
      <c r="K483" s="19"/>
      <c r="L483" s="19"/>
      <c r="M483" s="22">
        <v>1</v>
      </c>
      <c r="N483" s="19"/>
      <c r="O483" s="25"/>
      <c r="P483" s="23"/>
      <c r="Q483" s="21" t="s">
        <v>46</v>
      </c>
      <c r="R483" s="19" t="s">
        <v>47</v>
      </c>
      <c r="S483" s="21"/>
      <c r="T483" s="19"/>
      <c r="U483" s="21"/>
      <c r="V483" s="7"/>
      <c r="W483" s="7"/>
      <c r="X483" s="51" t="str">
        <f t="shared" si="2"/>
        <v/>
      </c>
      <c r="Y483" s="51" t="str">
        <f t="shared" si="3"/>
        <v/>
      </c>
      <c r="Z483" s="37"/>
    </row>
    <row r="484" spans="1:26" ht="14.25" customHeight="1" x14ac:dyDescent="0.3">
      <c r="A484" s="18">
        <v>120.3</v>
      </c>
      <c r="B484" s="19"/>
      <c r="C484" s="18" t="s">
        <v>55</v>
      </c>
      <c r="D484" s="19"/>
      <c r="E484" s="25"/>
      <c r="F484" s="19"/>
      <c r="G484" s="21">
        <v>0</v>
      </c>
      <c r="H484" s="21"/>
      <c r="I484" s="21"/>
      <c r="J484" s="21"/>
      <c r="K484" s="19"/>
      <c r="L484" s="19"/>
      <c r="M484" s="22">
        <v>1</v>
      </c>
      <c r="N484" s="19"/>
      <c r="O484" s="25"/>
      <c r="P484" s="23"/>
      <c r="Q484" s="21" t="s">
        <v>46</v>
      </c>
      <c r="R484" s="19" t="s">
        <v>47</v>
      </c>
      <c r="S484" s="21"/>
      <c r="T484" s="19"/>
      <c r="U484" s="21"/>
      <c r="V484" s="7"/>
      <c r="W484" s="7"/>
      <c r="X484" s="51" t="str">
        <f t="shared" si="2"/>
        <v/>
      </c>
      <c r="Y484" s="51" t="str">
        <f t="shared" si="3"/>
        <v/>
      </c>
      <c r="Z484" s="37"/>
    </row>
    <row r="485" spans="1:26" ht="14.25" customHeight="1" x14ac:dyDescent="0.3">
      <c r="A485" s="18">
        <v>120.4</v>
      </c>
      <c r="B485" s="19"/>
      <c r="C485" s="18" t="s">
        <v>55</v>
      </c>
      <c r="D485" s="19"/>
      <c r="E485" s="25"/>
      <c r="F485" s="19"/>
      <c r="G485" s="21">
        <v>0</v>
      </c>
      <c r="H485" s="21"/>
      <c r="I485" s="21"/>
      <c r="J485" s="21"/>
      <c r="K485" s="19"/>
      <c r="L485" s="19"/>
      <c r="M485" s="22">
        <v>1</v>
      </c>
      <c r="N485" s="19"/>
      <c r="O485" s="25"/>
      <c r="P485" s="23"/>
      <c r="Q485" s="21" t="s">
        <v>46</v>
      </c>
      <c r="R485" s="19" t="s">
        <v>47</v>
      </c>
      <c r="S485" s="21"/>
      <c r="T485" s="19"/>
      <c r="U485" s="21"/>
      <c r="V485" s="7"/>
      <c r="W485" s="7"/>
      <c r="X485" s="51" t="str">
        <f t="shared" si="2"/>
        <v/>
      </c>
      <c r="Y485" s="51" t="str">
        <f t="shared" si="3"/>
        <v/>
      </c>
      <c r="Z485" s="37"/>
    </row>
    <row r="486" spans="1:26" ht="14.25" customHeight="1" x14ac:dyDescent="0.3">
      <c r="A486" s="18">
        <v>121.1</v>
      </c>
      <c r="B486" s="19"/>
      <c r="C486" s="18" t="s">
        <v>55</v>
      </c>
      <c r="D486" s="19"/>
      <c r="E486" s="25"/>
      <c r="F486" s="19"/>
      <c r="G486" s="21">
        <v>0</v>
      </c>
      <c r="H486" s="21"/>
      <c r="I486" s="21"/>
      <c r="J486" s="21"/>
      <c r="K486" s="19"/>
      <c r="L486" s="19"/>
      <c r="M486" s="22">
        <v>1</v>
      </c>
      <c r="N486" s="19"/>
      <c r="O486" s="25"/>
      <c r="P486" s="23"/>
      <c r="Q486" s="21" t="s">
        <v>46</v>
      </c>
      <c r="R486" s="19" t="s">
        <v>47</v>
      </c>
      <c r="S486" s="21"/>
      <c r="T486" s="19"/>
      <c r="U486" s="21"/>
      <c r="V486" s="7"/>
      <c r="W486" s="7"/>
      <c r="X486" s="51" t="str">
        <f t="shared" si="2"/>
        <v/>
      </c>
      <c r="Y486" s="51" t="str">
        <f t="shared" si="3"/>
        <v/>
      </c>
      <c r="Z486" s="37"/>
    </row>
    <row r="487" spans="1:26" ht="14.25" customHeight="1" x14ac:dyDescent="0.3">
      <c r="A487" s="18">
        <v>121.2</v>
      </c>
      <c r="B487" s="19"/>
      <c r="C487" s="18" t="s">
        <v>55</v>
      </c>
      <c r="D487" s="19"/>
      <c r="E487" s="25"/>
      <c r="F487" s="19"/>
      <c r="G487" s="21">
        <v>0</v>
      </c>
      <c r="H487" s="21"/>
      <c r="I487" s="21"/>
      <c r="J487" s="21"/>
      <c r="K487" s="19"/>
      <c r="L487" s="19"/>
      <c r="M487" s="22">
        <v>1</v>
      </c>
      <c r="N487" s="19"/>
      <c r="O487" s="25"/>
      <c r="P487" s="23"/>
      <c r="Q487" s="21" t="s">
        <v>46</v>
      </c>
      <c r="R487" s="19" t="s">
        <v>47</v>
      </c>
      <c r="S487" s="21"/>
      <c r="T487" s="19"/>
      <c r="U487" s="21"/>
      <c r="V487" s="7"/>
      <c r="W487" s="7"/>
      <c r="X487" s="51" t="str">
        <f t="shared" si="2"/>
        <v/>
      </c>
      <c r="Y487" s="51" t="str">
        <f t="shared" si="3"/>
        <v/>
      </c>
      <c r="Z487" s="37"/>
    </row>
    <row r="488" spans="1:26" ht="14.25" customHeight="1" x14ac:dyDescent="0.3">
      <c r="A488" s="18">
        <v>121.3</v>
      </c>
      <c r="B488" s="19"/>
      <c r="C488" s="18" t="s">
        <v>55</v>
      </c>
      <c r="D488" s="19"/>
      <c r="E488" s="25"/>
      <c r="F488" s="19"/>
      <c r="G488" s="21">
        <v>0</v>
      </c>
      <c r="H488" s="21"/>
      <c r="I488" s="21"/>
      <c r="J488" s="21"/>
      <c r="K488" s="19"/>
      <c r="L488" s="19"/>
      <c r="M488" s="22">
        <v>1</v>
      </c>
      <c r="N488" s="19"/>
      <c r="O488" s="25"/>
      <c r="P488" s="23"/>
      <c r="Q488" s="21" t="s">
        <v>46</v>
      </c>
      <c r="R488" s="19" t="s">
        <v>47</v>
      </c>
      <c r="S488" s="21"/>
      <c r="T488" s="19"/>
      <c r="U488" s="21"/>
      <c r="V488" s="7"/>
      <c r="W488" s="7"/>
      <c r="X488" s="51" t="str">
        <f t="shared" si="2"/>
        <v/>
      </c>
      <c r="Y488" s="51" t="str">
        <f t="shared" si="3"/>
        <v/>
      </c>
      <c r="Z488" s="37"/>
    </row>
    <row r="489" spans="1:26" ht="14.25" customHeight="1" x14ac:dyDescent="0.3">
      <c r="A489" s="18">
        <v>121.4</v>
      </c>
      <c r="B489" s="19"/>
      <c r="C489" s="18" t="s">
        <v>55</v>
      </c>
      <c r="D489" s="19"/>
      <c r="E489" s="25"/>
      <c r="F489" s="19"/>
      <c r="G489" s="21">
        <v>0</v>
      </c>
      <c r="H489" s="21"/>
      <c r="I489" s="21"/>
      <c r="J489" s="21"/>
      <c r="K489" s="19"/>
      <c r="L489" s="19"/>
      <c r="M489" s="22">
        <v>1</v>
      </c>
      <c r="N489" s="19"/>
      <c r="O489" s="25"/>
      <c r="P489" s="23"/>
      <c r="Q489" s="21" t="s">
        <v>46</v>
      </c>
      <c r="R489" s="19" t="s">
        <v>47</v>
      </c>
      <c r="S489" s="21"/>
      <c r="T489" s="19"/>
      <c r="U489" s="21"/>
      <c r="V489" s="7"/>
      <c r="W489" s="7"/>
      <c r="X489" s="51" t="str">
        <f t="shared" si="2"/>
        <v/>
      </c>
      <c r="Y489" s="51" t="str">
        <f t="shared" si="3"/>
        <v/>
      </c>
      <c r="Z489" s="37"/>
    </row>
    <row r="490" spans="1:26" ht="14.25" customHeight="1" x14ac:dyDescent="0.3">
      <c r="A490" s="18">
        <v>122.1</v>
      </c>
      <c r="B490" s="19"/>
      <c r="C490" s="18" t="s">
        <v>55</v>
      </c>
      <c r="D490" s="19"/>
      <c r="E490" s="25"/>
      <c r="F490" s="19"/>
      <c r="G490" s="21">
        <v>0</v>
      </c>
      <c r="H490" s="21"/>
      <c r="I490" s="21"/>
      <c r="J490" s="21"/>
      <c r="K490" s="19"/>
      <c r="L490" s="19"/>
      <c r="M490" s="22">
        <v>1</v>
      </c>
      <c r="N490" s="19"/>
      <c r="O490" s="25"/>
      <c r="P490" s="23"/>
      <c r="Q490" s="21" t="s">
        <v>46</v>
      </c>
      <c r="R490" s="19" t="s">
        <v>47</v>
      </c>
      <c r="S490" s="21"/>
      <c r="T490" s="19"/>
      <c r="U490" s="21"/>
      <c r="V490" s="7"/>
      <c r="W490" s="7"/>
      <c r="X490" s="51" t="str">
        <f t="shared" si="2"/>
        <v/>
      </c>
      <c r="Y490" s="51" t="str">
        <f t="shared" si="3"/>
        <v/>
      </c>
      <c r="Z490" s="37"/>
    </row>
    <row r="491" spans="1:26" ht="14.25" customHeight="1" x14ac:dyDescent="0.3">
      <c r="A491" s="18">
        <v>122.2</v>
      </c>
      <c r="B491" s="19"/>
      <c r="C491" s="18" t="s">
        <v>55</v>
      </c>
      <c r="D491" s="19"/>
      <c r="E491" s="25"/>
      <c r="F491" s="19"/>
      <c r="G491" s="21">
        <v>0</v>
      </c>
      <c r="H491" s="21"/>
      <c r="I491" s="21"/>
      <c r="J491" s="21"/>
      <c r="K491" s="19"/>
      <c r="L491" s="19"/>
      <c r="M491" s="22">
        <v>1</v>
      </c>
      <c r="N491" s="19"/>
      <c r="O491" s="25"/>
      <c r="P491" s="23"/>
      <c r="Q491" s="21" t="s">
        <v>46</v>
      </c>
      <c r="R491" s="19" t="s">
        <v>47</v>
      </c>
      <c r="S491" s="21"/>
      <c r="T491" s="19"/>
      <c r="U491" s="21"/>
      <c r="V491" s="7"/>
      <c r="W491" s="7"/>
      <c r="X491" s="51" t="str">
        <f t="shared" si="2"/>
        <v/>
      </c>
      <c r="Y491" s="51" t="str">
        <f t="shared" si="3"/>
        <v/>
      </c>
      <c r="Z491" s="37"/>
    </row>
    <row r="492" spans="1:26" ht="14.25" customHeight="1" x14ac:dyDescent="0.3">
      <c r="A492" s="18">
        <v>122.3</v>
      </c>
      <c r="B492" s="19"/>
      <c r="C492" s="18" t="s">
        <v>55</v>
      </c>
      <c r="D492" s="19"/>
      <c r="E492" s="25"/>
      <c r="F492" s="19"/>
      <c r="G492" s="21">
        <v>0</v>
      </c>
      <c r="H492" s="21"/>
      <c r="I492" s="21"/>
      <c r="J492" s="21"/>
      <c r="K492" s="19"/>
      <c r="L492" s="19"/>
      <c r="M492" s="22">
        <v>1</v>
      </c>
      <c r="N492" s="19"/>
      <c r="O492" s="25"/>
      <c r="P492" s="23"/>
      <c r="Q492" s="21" t="s">
        <v>46</v>
      </c>
      <c r="R492" s="19" t="s">
        <v>47</v>
      </c>
      <c r="S492" s="21"/>
      <c r="T492" s="19"/>
      <c r="U492" s="21"/>
      <c r="V492" s="7"/>
      <c r="W492" s="7"/>
      <c r="X492" s="51" t="str">
        <f t="shared" si="2"/>
        <v/>
      </c>
      <c r="Y492" s="51" t="str">
        <f t="shared" si="3"/>
        <v/>
      </c>
      <c r="Z492" s="37"/>
    </row>
    <row r="493" spans="1:26" ht="14.25" customHeight="1" x14ac:dyDescent="0.3">
      <c r="A493" s="18">
        <v>122.4</v>
      </c>
      <c r="B493" s="19"/>
      <c r="C493" s="18" t="s">
        <v>55</v>
      </c>
      <c r="D493" s="19"/>
      <c r="E493" s="25"/>
      <c r="F493" s="19"/>
      <c r="G493" s="21">
        <v>0</v>
      </c>
      <c r="H493" s="21"/>
      <c r="I493" s="21"/>
      <c r="J493" s="21"/>
      <c r="K493" s="19"/>
      <c r="L493" s="19"/>
      <c r="M493" s="22">
        <v>1</v>
      </c>
      <c r="N493" s="19"/>
      <c r="O493" s="25"/>
      <c r="P493" s="23"/>
      <c r="Q493" s="21" t="s">
        <v>46</v>
      </c>
      <c r="R493" s="19" t="s">
        <v>47</v>
      </c>
      <c r="S493" s="21"/>
      <c r="T493" s="19"/>
      <c r="U493" s="21"/>
      <c r="V493" s="7"/>
      <c r="W493" s="7"/>
      <c r="X493" s="51" t="str">
        <f t="shared" si="2"/>
        <v/>
      </c>
      <c r="Y493" s="51" t="str">
        <f t="shared" si="3"/>
        <v/>
      </c>
      <c r="Z493" s="37"/>
    </row>
    <row r="494" spans="1:26" ht="14.25" customHeight="1" x14ac:dyDescent="0.3">
      <c r="A494" s="18">
        <v>123.1</v>
      </c>
      <c r="B494" s="19"/>
      <c r="C494" s="18" t="s">
        <v>55</v>
      </c>
      <c r="D494" s="19"/>
      <c r="E494" s="25"/>
      <c r="F494" s="19"/>
      <c r="G494" s="21">
        <v>0</v>
      </c>
      <c r="H494" s="21"/>
      <c r="I494" s="21"/>
      <c r="J494" s="21"/>
      <c r="K494" s="19"/>
      <c r="L494" s="19"/>
      <c r="M494" s="22">
        <v>1</v>
      </c>
      <c r="N494" s="19"/>
      <c r="O494" s="25"/>
      <c r="P494" s="23"/>
      <c r="Q494" s="21" t="s">
        <v>46</v>
      </c>
      <c r="R494" s="19" t="s">
        <v>47</v>
      </c>
      <c r="S494" s="21"/>
      <c r="T494" s="19"/>
      <c r="U494" s="21"/>
      <c r="V494" s="7"/>
      <c r="W494" s="7"/>
      <c r="X494" s="51" t="str">
        <f t="shared" si="2"/>
        <v/>
      </c>
      <c r="Y494" s="51" t="str">
        <f t="shared" si="3"/>
        <v/>
      </c>
      <c r="Z494" s="37"/>
    </row>
    <row r="495" spans="1:26" ht="14.25" customHeight="1" x14ac:dyDescent="0.3">
      <c r="A495" s="18">
        <v>123.2</v>
      </c>
      <c r="B495" s="19"/>
      <c r="C495" s="18" t="s">
        <v>55</v>
      </c>
      <c r="D495" s="19"/>
      <c r="E495" s="25"/>
      <c r="F495" s="19"/>
      <c r="G495" s="21">
        <v>0</v>
      </c>
      <c r="H495" s="21"/>
      <c r="I495" s="21"/>
      <c r="J495" s="21"/>
      <c r="K495" s="19"/>
      <c r="L495" s="19"/>
      <c r="M495" s="22">
        <v>1</v>
      </c>
      <c r="N495" s="19"/>
      <c r="O495" s="25"/>
      <c r="P495" s="23"/>
      <c r="Q495" s="21" t="s">
        <v>46</v>
      </c>
      <c r="R495" s="19" t="s">
        <v>47</v>
      </c>
      <c r="S495" s="21"/>
      <c r="T495" s="19"/>
      <c r="U495" s="21"/>
      <c r="V495" s="7"/>
      <c r="W495" s="7"/>
      <c r="X495" s="51" t="str">
        <f t="shared" si="2"/>
        <v/>
      </c>
      <c r="Y495" s="51" t="str">
        <f t="shared" si="3"/>
        <v/>
      </c>
      <c r="Z495" s="37"/>
    </row>
    <row r="496" spans="1:26" ht="14.25" customHeight="1" x14ac:dyDescent="0.3">
      <c r="A496" s="18">
        <v>123.3</v>
      </c>
      <c r="B496" s="19"/>
      <c r="C496" s="18" t="s">
        <v>55</v>
      </c>
      <c r="D496" s="19"/>
      <c r="E496" s="25"/>
      <c r="F496" s="19"/>
      <c r="G496" s="21">
        <v>0</v>
      </c>
      <c r="H496" s="21"/>
      <c r="I496" s="21"/>
      <c r="J496" s="21"/>
      <c r="K496" s="19"/>
      <c r="L496" s="19"/>
      <c r="M496" s="22">
        <v>1</v>
      </c>
      <c r="N496" s="19"/>
      <c r="O496" s="25"/>
      <c r="P496" s="23"/>
      <c r="Q496" s="21" t="s">
        <v>46</v>
      </c>
      <c r="R496" s="19" t="s">
        <v>47</v>
      </c>
      <c r="S496" s="21"/>
      <c r="T496" s="19"/>
      <c r="U496" s="21"/>
      <c r="V496" s="7"/>
      <c r="W496" s="7"/>
      <c r="X496" s="51" t="str">
        <f t="shared" si="2"/>
        <v/>
      </c>
      <c r="Y496" s="51" t="str">
        <f t="shared" si="3"/>
        <v/>
      </c>
      <c r="Z496" s="37"/>
    </row>
    <row r="497" spans="1:26" ht="14.25" customHeight="1" x14ac:dyDescent="0.3">
      <c r="A497" s="18">
        <v>123.4</v>
      </c>
      <c r="B497" s="19"/>
      <c r="C497" s="18" t="s">
        <v>55</v>
      </c>
      <c r="D497" s="19"/>
      <c r="E497" s="25"/>
      <c r="F497" s="19"/>
      <c r="G497" s="21">
        <v>0</v>
      </c>
      <c r="H497" s="21"/>
      <c r="I497" s="21"/>
      <c r="J497" s="21"/>
      <c r="K497" s="19"/>
      <c r="L497" s="19"/>
      <c r="M497" s="22">
        <v>1</v>
      </c>
      <c r="N497" s="19"/>
      <c r="O497" s="25"/>
      <c r="P497" s="23"/>
      <c r="Q497" s="21" t="s">
        <v>46</v>
      </c>
      <c r="R497" s="19" t="s">
        <v>47</v>
      </c>
      <c r="S497" s="21"/>
      <c r="T497" s="19"/>
      <c r="U497" s="21"/>
      <c r="V497" s="7"/>
      <c r="W497" s="7"/>
      <c r="X497" s="51" t="str">
        <f t="shared" si="2"/>
        <v/>
      </c>
      <c r="Y497" s="51" t="str">
        <f t="shared" si="3"/>
        <v/>
      </c>
      <c r="Z497" s="37"/>
    </row>
    <row r="498" spans="1:26" ht="14.25" customHeight="1" x14ac:dyDescent="0.3">
      <c r="A498" s="18">
        <v>124.1</v>
      </c>
      <c r="B498" s="19"/>
      <c r="C498" s="18" t="s">
        <v>55</v>
      </c>
      <c r="D498" s="19"/>
      <c r="E498" s="25"/>
      <c r="F498" s="19"/>
      <c r="G498" s="21">
        <v>0</v>
      </c>
      <c r="H498" s="21"/>
      <c r="I498" s="21"/>
      <c r="J498" s="21"/>
      <c r="K498" s="19"/>
      <c r="L498" s="19"/>
      <c r="M498" s="22">
        <v>1</v>
      </c>
      <c r="N498" s="19"/>
      <c r="O498" s="25"/>
      <c r="P498" s="23"/>
      <c r="Q498" s="21" t="s">
        <v>46</v>
      </c>
      <c r="R498" s="19" t="s">
        <v>47</v>
      </c>
      <c r="S498" s="21"/>
      <c r="T498" s="19"/>
      <c r="U498" s="21"/>
      <c r="V498" s="7"/>
      <c r="W498" s="7"/>
      <c r="X498" s="51" t="str">
        <f t="shared" si="2"/>
        <v/>
      </c>
      <c r="Y498" s="51" t="str">
        <f t="shared" si="3"/>
        <v/>
      </c>
      <c r="Z498" s="37"/>
    </row>
    <row r="499" spans="1:26" ht="14.25" customHeight="1" x14ac:dyDescent="0.3">
      <c r="A499" s="18">
        <v>124.2</v>
      </c>
      <c r="B499" s="19"/>
      <c r="C499" s="18" t="s">
        <v>55</v>
      </c>
      <c r="D499" s="19"/>
      <c r="E499" s="25"/>
      <c r="F499" s="19"/>
      <c r="G499" s="21">
        <v>0</v>
      </c>
      <c r="H499" s="21"/>
      <c r="I499" s="21"/>
      <c r="J499" s="21"/>
      <c r="K499" s="19"/>
      <c r="L499" s="19"/>
      <c r="M499" s="22">
        <v>1</v>
      </c>
      <c r="N499" s="19"/>
      <c r="O499" s="25"/>
      <c r="P499" s="23"/>
      <c r="Q499" s="21" t="s">
        <v>46</v>
      </c>
      <c r="R499" s="19" t="s">
        <v>47</v>
      </c>
      <c r="S499" s="21"/>
      <c r="T499" s="19"/>
      <c r="U499" s="21"/>
      <c r="V499" s="7"/>
      <c r="W499" s="7"/>
      <c r="X499" s="51" t="str">
        <f t="shared" si="2"/>
        <v/>
      </c>
      <c r="Y499" s="51" t="str">
        <f t="shared" si="3"/>
        <v/>
      </c>
      <c r="Z499" s="37"/>
    </row>
    <row r="500" spans="1:26" ht="14.25" customHeight="1" x14ac:dyDescent="0.3">
      <c r="A500" s="18">
        <v>124.3</v>
      </c>
      <c r="B500" s="19"/>
      <c r="C500" s="18" t="s">
        <v>55</v>
      </c>
      <c r="D500" s="19"/>
      <c r="E500" s="25"/>
      <c r="F500" s="19"/>
      <c r="G500" s="21">
        <v>0</v>
      </c>
      <c r="H500" s="21"/>
      <c r="I500" s="21"/>
      <c r="J500" s="21"/>
      <c r="K500" s="19"/>
      <c r="L500" s="19"/>
      <c r="M500" s="22">
        <v>1</v>
      </c>
      <c r="N500" s="19"/>
      <c r="O500" s="25"/>
      <c r="P500" s="23"/>
      <c r="Q500" s="21" t="s">
        <v>46</v>
      </c>
      <c r="R500" s="19" t="s">
        <v>47</v>
      </c>
      <c r="S500" s="21"/>
      <c r="T500" s="19"/>
      <c r="U500" s="21"/>
      <c r="V500" s="7"/>
      <c r="W500" s="7"/>
      <c r="X500" s="51" t="str">
        <f t="shared" si="2"/>
        <v/>
      </c>
      <c r="Y500" s="51" t="str">
        <f t="shared" si="3"/>
        <v/>
      </c>
      <c r="Z500" s="37"/>
    </row>
    <row r="501" spans="1:26" ht="14.25" customHeight="1" x14ac:dyDescent="0.3">
      <c r="A501" s="18">
        <v>124.4</v>
      </c>
      <c r="B501" s="19"/>
      <c r="C501" s="18" t="s">
        <v>55</v>
      </c>
      <c r="D501" s="19"/>
      <c r="E501" s="25"/>
      <c r="F501" s="19"/>
      <c r="G501" s="21">
        <v>0</v>
      </c>
      <c r="H501" s="21"/>
      <c r="I501" s="21"/>
      <c r="J501" s="21"/>
      <c r="K501" s="19"/>
      <c r="L501" s="19"/>
      <c r="M501" s="22">
        <v>1</v>
      </c>
      <c r="N501" s="19"/>
      <c r="O501" s="25"/>
      <c r="P501" s="23"/>
      <c r="Q501" s="21" t="s">
        <v>46</v>
      </c>
      <c r="R501" s="19" t="s">
        <v>47</v>
      </c>
      <c r="S501" s="21"/>
      <c r="T501" s="19"/>
      <c r="U501" s="21"/>
      <c r="V501" s="7"/>
      <c r="W501" s="7"/>
      <c r="X501" s="51" t="str">
        <f t="shared" si="2"/>
        <v/>
      </c>
      <c r="Y501" s="51" t="str">
        <f t="shared" si="3"/>
        <v/>
      </c>
      <c r="Z501" s="37"/>
    </row>
    <row r="502" spans="1:26" ht="14.25" customHeight="1" x14ac:dyDescent="0.3">
      <c r="A502" s="18">
        <v>125.1</v>
      </c>
      <c r="B502" s="19"/>
      <c r="C502" s="18" t="s">
        <v>55</v>
      </c>
      <c r="D502" s="19"/>
      <c r="E502" s="25"/>
      <c r="F502" s="19"/>
      <c r="G502" s="21">
        <v>0</v>
      </c>
      <c r="H502" s="21"/>
      <c r="I502" s="21"/>
      <c r="J502" s="21"/>
      <c r="K502" s="19"/>
      <c r="L502" s="19"/>
      <c r="M502" s="22">
        <v>1</v>
      </c>
      <c r="N502" s="19"/>
      <c r="O502" s="25"/>
      <c r="P502" s="23"/>
      <c r="Q502" s="21" t="s">
        <v>46</v>
      </c>
      <c r="R502" s="19" t="s">
        <v>47</v>
      </c>
      <c r="S502" s="21"/>
      <c r="T502" s="19"/>
      <c r="U502" s="21"/>
      <c r="V502" s="7"/>
      <c r="W502" s="7"/>
      <c r="X502" s="51" t="str">
        <f t="shared" si="2"/>
        <v/>
      </c>
      <c r="Y502" s="51" t="str">
        <f t="shared" si="3"/>
        <v/>
      </c>
      <c r="Z502" s="37"/>
    </row>
    <row r="503" spans="1:26" ht="14.25" customHeight="1" x14ac:dyDescent="0.3">
      <c r="A503" s="18">
        <v>125.2</v>
      </c>
      <c r="B503" s="19"/>
      <c r="C503" s="18" t="s">
        <v>55</v>
      </c>
      <c r="D503" s="19"/>
      <c r="E503" s="25"/>
      <c r="F503" s="19"/>
      <c r="G503" s="21">
        <v>0</v>
      </c>
      <c r="H503" s="21"/>
      <c r="I503" s="21"/>
      <c r="J503" s="21"/>
      <c r="K503" s="19"/>
      <c r="L503" s="19"/>
      <c r="M503" s="22">
        <v>1</v>
      </c>
      <c r="N503" s="19"/>
      <c r="O503" s="25"/>
      <c r="P503" s="23"/>
      <c r="Q503" s="21" t="s">
        <v>46</v>
      </c>
      <c r="R503" s="19" t="s">
        <v>47</v>
      </c>
      <c r="S503" s="21"/>
      <c r="T503" s="19"/>
      <c r="U503" s="21"/>
      <c r="V503" s="7"/>
      <c r="W503" s="7"/>
      <c r="X503" s="51" t="str">
        <f t="shared" si="2"/>
        <v/>
      </c>
      <c r="Y503" s="51" t="str">
        <f t="shared" si="3"/>
        <v/>
      </c>
      <c r="Z503" s="37"/>
    </row>
    <row r="504" spans="1:26" ht="14.25" customHeight="1" x14ac:dyDescent="0.3">
      <c r="A504" s="18">
        <v>125.3</v>
      </c>
      <c r="B504" s="19"/>
      <c r="C504" s="18" t="s">
        <v>55</v>
      </c>
      <c r="D504" s="19"/>
      <c r="E504" s="25"/>
      <c r="F504" s="19"/>
      <c r="G504" s="21">
        <v>0</v>
      </c>
      <c r="H504" s="21"/>
      <c r="I504" s="21"/>
      <c r="J504" s="21"/>
      <c r="K504" s="19"/>
      <c r="L504" s="19"/>
      <c r="M504" s="22">
        <v>1</v>
      </c>
      <c r="N504" s="19"/>
      <c r="O504" s="25"/>
      <c r="P504" s="23"/>
      <c r="Q504" s="21" t="s">
        <v>46</v>
      </c>
      <c r="R504" s="19" t="s">
        <v>47</v>
      </c>
      <c r="S504" s="21"/>
      <c r="T504" s="19"/>
      <c r="U504" s="21"/>
      <c r="V504" s="7"/>
      <c r="W504" s="7"/>
      <c r="X504" s="51" t="str">
        <f t="shared" si="2"/>
        <v/>
      </c>
      <c r="Y504" s="51" t="str">
        <f t="shared" si="3"/>
        <v/>
      </c>
      <c r="Z504" s="37"/>
    </row>
    <row r="505" spans="1:26" ht="14.25" customHeight="1" x14ac:dyDescent="0.3">
      <c r="A505" s="18">
        <v>125.4</v>
      </c>
      <c r="B505" s="19"/>
      <c r="C505" s="18" t="s">
        <v>55</v>
      </c>
      <c r="D505" s="19"/>
      <c r="E505" s="25"/>
      <c r="F505" s="19"/>
      <c r="G505" s="21">
        <v>0</v>
      </c>
      <c r="H505" s="21"/>
      <c r="I505" s="21"/>
      <c r="J505" s="21"/>
      <c r="K505" s="19"/>
      <c r="L505" s="19"/>
      <c r="M505" s="22">
        <v>1</v>
      </c>
      <c r="N505" s="19"/>
      <c r="O505" s="25"/>
      <c r="P505" s="23"/>
      <c r="Q505" s="21" t="s">
        <v>46</v>
      </c>
      <c r="R505" s="19" t="s">
        <v>47</v>
      </c>
      <c r="S505" s="21"/>
      <c r="T505" s="19"/>
      <c r="U505" s="21"/>
      <c r="V505" s="7"/>
      <c r="W505" s="7"/>
      <c r="X505" s="51" t="str">
        <f t="shared" si="2"/>
        <v/>
      </c>
      <c r="Y505" s="51" t="str">
        <f t="shared" si="3"/>
        <v/>
      </c>
      <c r="Z505" s="37"/>
    </row>
    <row r="506" spans="1:26" ht="14.25" customHeight="1" x14ac:dyDescent="0.3">
      <c r="A506" s="18">
        <v>126.1</v>
      </c>
      <c r="B506" s="19"/>
      <c r="C506" s="18" t="s">
        <v>55</v>
      </c>
      <c r="D506" s="19"/>
      <c r="E506" s="25"/>
      <c r="F506" s="19"/>
      <c r="G506" s="21">
        <v>0</v>
      </c>
      <c r="H506" s="21"/>
      <c r="I506" s="21"/>
      <c r="J506" s="21"/>
      <c r="K506" s="19"/>
      <c r="L506" s="19"/>
      <c r="M506" s="22">
        <v>1</v>
      </c>
      <c r="N506" s="19"/>
      <c r="O506" s="25"/>
      <c r="P506" s="23"/>
      <c r="Q506" s="21" t="s">
        <v>46</v>
      </c>
      <c r="R506" s="19" t="s">
        <v>47</v>
      </c>
      <c r="S506" s="21"/>
      <c r="T506" s="19"/>
      <c r="U506" s="21"/>
      <c r="V506" s="7"/>
      <c r="W506" s="7"/>
      <c r="X506" s="51" t="str">
        <f t="shared" si="2"/>
        <v/>
      </c>
      <c r="Y506" s="51" t="str">
        <f t="shared" si="3"/>
        <v/>
      </c>
      <c r="Z506" s="37"/>
    </row>
    <row r="507" spans="1:26" ht="14.25" customHeight="1" x14ac:dyDescent="0.3">
      <c r="A507" s="18">
        <v>126.2</v>
      </c>
      <c r="B507" s="19"/>
      <c r="C507" s="18" t="s">
        <v>55</v>
      </c>
      <c r="D507" s="19"/>
      <c r="E507" s="25"/>
      <c r="F507" s="19"/>
      <c r="G507" s="21">
        <v>0</v>
      </c>
      <c r="H507" s="21"/>
      <c r="I507" s="21"/>
      <c r="J507" s="21"/>
      <c r="K507" s="19"/>
      <c r="L507" s="19"/>
      <c r="M507" s="22">
        <v>1</v>
      </c>
      <c r="N507" s="19"/>
      <c r="O507" s="25"/>
      <c r="P507" s="23"/>
      <c r="Q507" s="21" t="s">
        <v>46</v>
      </c>
      <c r="R507" s="19" t="s">
        <v>47</v>
      </c>
      <c r="S507" s="21"/>
      <c r="T507" s="19"/>
      <c r="U507" s="21"/>
      <c r="V507" s="7"/>
      <c r="W507" s="7"/>
      <c r="X507" s="51" t="str">
        <f t="shared" si="2"/>
        <v/>
      </c>
      <c r="Y507" s="51" t="str">
        <f t="shared" si="3"/>
        <v/>
      </c>
      <c r="Z507" s="37"/>
    </row>
    <row r="508" spans="1:26" ht="14.25" customHeight="1" x14ac:dyDescent="0.3">
      <c r="A508" s="18">
        <v>126.3</v>
      </c>
      <c r="B508" s="19"/>
      <c r="C508" s="18" t="s">
        <v>55</v>
      </c>
      <c r="D508" s="19"/>
      <c r="E508" s="25"/>
      <c r="F508" s="19"/>
      <c r="G508" s="21">
        <v>0</v>
      </c>
      <c r="H508" s="21"/>
      <c r="I508" s="21"/>
      <c r="J508" s="21"/>
      <c r="K508" s="19"/>
      <c r="L508" s="19"/>
      <c r="M508" s="22">
        <v>1</v>
      </c>
      <c r="N508" s="19"/>
      <c r="O508" s="25"/>
      <c r="P508" s="23"/>
      <c r="Q508" s="21" t="s">
        <v>46</v>
      </c>
      <c r="R508" s="19" t="s">
        <v>47</v>
      </c>
      <c r="S508" s="21"/>
      <c r="T508" s="19"/>
      <c r="U508" s="21"/>
      <c r="V508" s="7"/>
      <c r="W508" s="7"/>
      <c r="X508" s="51" t="str">
        <f t="shared" si="2"/>
        <v/>
      </c>
      <c r="Y508" s="51" t="str">
        <f t="shared" si="3"/>
        <v/>
      </c>
      <c r="Z508" s="37"/>
    </row>
    <row r="509" spans="1:26" ht="14.25" customHeight="1" x14ac:dyDescent="0.3">
      <c r="A509" s="18">
        <v>126.4</v>
      </c>
      <c r="B509" s="19"/>
      <c r="C509" s="18" t="s">
        <v>55</v>
      </c>
      <c r="D509" s="19"/>
      <c r="E509" s="25"/>
      <c r="F509" s="19"/>
      <c r="G509" s="21">
        <v>0</v>
      </c>
      <c r="H509" s="21"/>
      <c r="I509" s="21"/>
      <c r="J509" s="21"/>
      <c r="K509" s="19"/>
      <c r="L509" s="19"/>
      <c r="M509" s="22">
        <v>1</v>
      </c>
      <c r="N509" s="19"/>
      <c r="O509" s="25"/>
      <c r="P509" s="23"/>
      <c r="Q509" s="21" t="s">
        <v>46</v>
      </c>
      <c r="R509" s="19" t="s">
        <v>47</v>
      </c>
      <c r="S509" s="21"/>
      <c r="T509" s="19"/>
      <c r="U509" s="21"/>
      <c r="V509" s="7"/>
      <c r="W509" s="7"/>
      <c r="X509" s="51" t="str">
        <f t="shared" si="2"/>
        <v/>
      </c>
      <c r="Y509" s="51" t="str">
        <f t="shared" si="3"/>
        <v/>
      </c>
      <c r="Z509" s="37"/>
    </row>
    <row r="510" spans="1:26" ht="14.25" customHeight="1" x14ac:dyDescent="0.3">
      <c r="A510" s="18">
        <v>127.1</v>
      </c>
      <c r="B510" s="19"/>
      <c r="C510" s="18" t="s">
        <v>55</v>
      </c>
      <c r="D510" s="19"/>
      <c r="E510" s="25"/>
      <c r="F510" s="19"/>
      <c r="G510" s="21">
        <v>0</v>
      </c>
      <c r="H510" s="21"/>
      <c r="I510" s="21"/>
      <c r="J510" s="21"/>
      <c r="K510" s="19"/>
      <c r="L510" s="19"/>
      <c r="M510" s="22">
        <v>1</v>
      </c>
      <c r="N510" s="19"/>
      <c r="O510" s="25"/>
      <c r="P510" s="23"/>
      <c r="Q510" s="21" t="s">
        <v>46</v>
      </c>
      <c r="R510" s="19" t="s">
        <v>47</v>
      </c>
      <c r="S510" s="21"/>
      <c r="T510" s="19"/>
      <c r="U510" s="21"/>
      <c r="V510" s="7"/>
      <c r="W510" s="7"/>
      <c r="X510" s="51" t="str">
        <f t="shared" si="2"/>
        <v/>
      </c>
      <c r="Y510" s="51" t="str">
        <f t="shared" si="3"/>
        <v/>
      </c>
      <c r="Z510" s="37"/>
    </row>
    <row r="511" spans="1:26" ht="14.25" customHeight="1" x14ac:dyDescent="0.3">
      <c r="A511" s="18">
        <v>127.2</v>
      </c>
      <c r="B511" s="19"/>
      <c r="C511" s="18" t="s">
        <v>55</v>
      </c>
      <c r="D511" s="19"/>
      <c r="E511" s="25"/>
      <c r="F511" s="19"/>
      <c r="G511" s="21">
        <v>0</v>
      </c>
      <c r="H511" s="21"/>
      <c r="I511" s="21"/>
      <c r="J511" s="21"/>
      <c r="K511" s="19"/>
      <c r="L511" s="19"/>
      <c r="M511" s="22">
        <v>1</v>
      </c>
      <c r="N511" s="19"/>
      <c r="O511" s="25"/>
      <c r="P511" s="23"/>
      <c r="Q511" s="21" t="s">
        <v>46</v>
      </c>
      <c r="R511" s="19" t="s">
        <v>47</v>
      </c>
      <c r="S511" s="21"/>
      <c r="T511" s="19"/>
      <c r="U511" s="21"/>
      <c r="V511" s="7"/>
      <c r="W511" s="7"/>
      <c r="X511" s="51" t="str">
        <f t="shared" si="2"/>
        <v/>
      </c>
      <c r="Y511" s="51" t="str">
        <f t="shared" si="3"/>
        <v/>
      </c>
      <c r="Z511" s="37"/>
    </row>
    <row r="512" spans="1:26" ht="14.25" customHeight="1" x14ac:dyDescent="0.3">
      <c r="A512" s="18">
        <v>127.3</v>
      </c>
      <c r="B512" s="19"/>
      <c r="C512" s="18" t="s">
        <v>55</v>
      </c>
      <c r="D512" s="19"/>
      <c r="E512" s="25"/>
      <c r="F512" s="19"/>
      <c r="G512" s="21">
        <v>0</v>
      </c>
      <c r="H512" s="21"/>
      <c r="I512" s="21"/>
      <c r="J512" s="21"/>
      <c r="K512" s="19"/>
      <c r="L512" s="19"/>
      <c r="M512" s="22">
        <v>1</v>
      </c>
      <c r="N512" s="19"/>
      <c r="O512" s="25"/>
      <c r="P512" s="23"/>
      <c r="Q512" s="21" t="s">
        <v>46</v>
      </c>
      <c r="R512" s="19" t="s">
        <v>47</v>
      </c>
      <c r="S512" s="21"/>
      <c r="T512" s="19"/>
      <c r="U512" s="21"/>
      <c r="V512" s="7"/>
      <c r="W512" s="7"/>
      <c r="X512" s="51" t="str">
        <f t="shared" si="2"/>
        <v/>
      </c>
      <c r="Y512" s="51" t="str">
        <f t="shared" si="3"/>
        <v/>
      </c>
      <c r="Z512" s="37"/>
    </row>
    <row r="513" spans="1:26" ht="14.25" customHeight="1" x14ac:dyDescent="0.3">
      <c r="A513" s="18">
        <v>127.4</v>
      </c>
      <c r="B513" s="19"/>
      <c r="C513" s="18" t="s">
        <v>55</v>
      </c>
      <c r="D513" s="19"/>
      <c r="E513" s="25"/>
      <c r="F513" s="19"/>
      <c r="G513" s="21">
        <v>0</v>
      </c>
      <c r="H513" s="21"/>
      <c r="I513" s="21"/>
      <c r="J513" s="21"/>
      <c r="K513" s="19"/>
      <c r="L513" s="19"/>
      <c r="M513" s="22">
        <v>1</v>
      </c>
      <c r="N513" s="19"/>
      <c r="O513" s="25"/>
      <c r="P513" s="23"/>
      <c r="Q513" s="21" t="s">
        <v>46</v>
      </c>
      <c r="R513" s="19" t="s">
        <v>47</v>
      </c>
      <c r="S513" s="21"/>
      <c r="T513" s="19"/>
      <c r="U513" s="21"/>
      <c r="V513" s="7"/>
      <c r="W513" s="7"/>
      <c r="X513" s="51" t="str">
        <f t="shared" si="2"/>
        <v/>
      </c>
      <c r="Y513" s="51" t="str">
        <f t="shared" si="3"/>
        <v/>
      </c>
      <c r="Z513" s="37"/>
    </row>
    <row r="514" spans="1:26" ht="14.25" customHeight="1" x14ac:dyDescent="0.3">
      <c r="A514" s="18">
        <v>128.1</v>
      </c>
      <c r="B514" s="19"/>
      <c r="C514" s="18" t="s">
        <v>55</v>
      </c>
      <c r="D514" s="19"/>
      <c r="E514" s="25"/>
      <c r="F514" s="19"/>
      <c r="G514" s="21">
        <v>0</v>
      </c>
      <c r="H514" s="21"/>
      <c r="I514" s="21"/>
      <c r="J514" s="21"/>
      <c r="K514" s="19"/>
      <c r="L514" s="19"/>
      <c r="M514" s="22">
        <v>1</v>
      </c>
      <c r="N514" s="19"/>
      <c r="O514" s="25"/>
      <c r="P514" s="23"/>
      <c r="Q514" s="21" t="s">
        <v>46</v>
      </c>
      <c r="R514" s="19" t="s">
        <v>47</v>
      </c>
      <c r="S514" s="21"/>
      <c r="T514" s="19"/>
      <c r="U514" s="21"/>
      <c r="V514" s="7"/>
      <c r="W514" s="7"/>
      <c r="X514" s="51" t="str">
        <f t="shared" si="2"/>
        <v/>
      </c>
      <c r="Y514" s="51" t="str">
        <f t="shared" si="3"/>
        <v/>
      </c>
      <c r="Z514" s="37"/>
    </row>
    <row r="515" spans="1:26" ht="14.25" customHeight="1" x14ac:dyDescent="0.3">
      <c r="A515" s="18">
        <v>128.19999999999999</v>
      </c>
      <c r="B515" s="19"/>
      <c r="C515" s="18" t="s">
        <v>55</v>
      </c>
      <c r="D515" s="19"/>
      <c r="E515" s="25"/>
      <c r="F515" s="19"/>
      <c r="G515" s="21">
        <v>0</v>
      </c>
      <c r="H515" s="21"/>
      <c r="I515" s="21"/>
      <c r="J515" s="21"/>
      <c r="K515" s="19"/>
      <c r="L515" s="19"/>
      <c r="M515" s="22">
        <v>1</v>
      </c>
      <c r="N515" s="19"/>
      <c r="O515" s="25"/>
      <c r="P515" s="23"/>
      <c r="Q515" s="21" t="s">
        <v>46</v>
      </c>
      <c r="R515" s="19" t="s">
        <v>47</v>
      </c>
      <c r="S515" s="21"/>
      <c r="T515" s="19"/>
      <c r="U515" s="21"/>
      <c r="V515" s="7"/>
      <c r="W515" s="7"/>
      <c r="X515" s="51" t="str">
        <f t="shared" si="2"/>
        <v/>
      </c>
      <c r="Y515" s="51" t="str">
        <f t="shared" si="3"/>
        <v/>
      </c>
      <c r="Z515" s="37"/>
    </row>
    <row r="516" spans="1:26" ht="14.25" customHeight="1" x14ac:dyDescent="0.3">
      <c r="A516" s="18">
        <v>128.30000000000001</v>
      </c>
      <c r="B516" s="19"/>
      <c r="C516" s="18" t="s">
        <v>55</v>
      </c>
      <c r="D516" s="19"/>
      <c r="E516" s="25"/>
      <c r="F516" s="19"/>
      <c r="G516" s="21">
        <v>0</v>
      </c>
      <c r="H516" s="21"/>
      <c r="I516" s="21"/>
      <c r="J516" s="21"/>
      <c r="K516" s="19"/>
      <c r="L516" s="19"/>
      <c r="M516" s="22">
        <v>1</v>
      </c>
      <c r="N516" s="19"/>
      <c r="O516" s="25"/>
      <c r="P516" s="23"/>
      <c r="Q516" s="21" t="s">
        <v>46</v>
      </c>
      <c r="R516" s="19" t="s">
        <v>47</v>
      </c>
      <c r="S516" s="21"/>
      <c r="T516" s="19"/>
      <c r="U516" s="21"/>
      <c r="V516" s="7"/>
      <c r="W516" s="7"/>
      <c r="X516" s="51" t="str">
        <f t="shared" ref="X516:X770" si="4">IF($G$4="Default", IF(ISNUMBER(SEARCH("Straight Pipe", D516)), "A106", IF(D516="", "", "A234")), "")</f>
        <v/>
      </c>
      <c r="Y516" s="51" t="str">
        <f t="shared" ref="Y516:Y770" si="5">IF($G$4="Default", IF(ISNUMBER(SEARCH("Straight Pipe", D516)), "B", IF(D516="", "", "WPB")), "")</f>
        <v/>
      </c>
      <c r="Z516" s="37"/>
    </row>
    <row r="517" spans="1:26" ht="14.25" customHeight="1" x14ac:dyDescent="0.3">
      <c r="A517" s="18">
        <v>128.4</v>
      </c>
      <c r="B517" s="19"/>
      <c r="C517" s="18" t="s">
        <v>55</v>
      </c>
      <c r="D517" s="19"/>
      <c r="E517" s="25"/>
      <c r="F517" s="19"/>
      <c r="G517" s="21">
        <v>0</v>
      </c>
      <c r="H517" s="21"/>
      <c r="I517" s="21"/>
      <c r="J517" s="21"/>
      <c r="K517" s="19"/>
      <c r="L517" s="19"/>
      <c r="M517" s="22">
        <v>1</v>
      </c>
      <c r="N517" s="19"/>
      <c r="O517" s="25"/>
      <c r="P517" s="23"/>
      <c r="Q517" s="21" t="s">
        <v>46</v>
      </c>
      <c r="R517" s="19" t="s">
        <v>47</v>
      </c>
      <c r="S517" s="21"/>
      <c r="T517" s="19"/>
      <c r="U517" s="21"/>
      <c r="V517" s="7"/>
      <c r="W517" s="7"/>
      <c r="X517" s="51" t="str">
        <f t="shared" si="4"/>
        <v/>
      </c>
      <c r="Y517" s="51" t="str">
        <f t="shared" si="5"/>
        <v/>
      </c>
      <c r="Z517" s="37"/>
    </row>
    <row r="518" spans="1:26" ht="14.25" customHeight="1" x14ac:dyDescent="0.3">
      <c r="A518" s="18">
        <v>129.1</v>
      </c>
      <c r="B518" s="19"/>
      <c r="C518" s="18" t="s">
        <v>55</v>
      </c>
      <c r="D518" s="19"/>
      <c r="E518" s="25"/>
      <c r="F518" s="19"/>
      <c r="G518" s="21">
        <v>0</v>
      </c>
      <c r="H518" s="21"/>
      <c r="I518" s="21"/>
      <c r="J518" s="21"/>
      <c r="K518" s="19"/>
      <c r="L518" s="19"/>
      <c r="M518" s="22">
        <v>1</v>
      </c>
      <c r="N518" s="19"/>
      <c r="O518" s="25"/>
      <c r="P518" s="23"/>
      <c r="Q518" s="21" t="s">
        <v>46</v>
      </c>
      <c r="R518" s="19" t="s">
        <v>47</v>
      </c>
      <c r="S518" s="21"/>
      <c r="T518" s="19"/>
      <c r="U518" s="21"/>
      <c r="V518" s="7"/>
      <c r="W518" s="7"/>
      <c r="X518" s="51" t="str">
        <f t="shared" si="4"/>
        <v/>
      </c>
      <c r="Y518" s="51" t="str">
        <f t="shared" si="5"/>
        <v/>
      </c>
      <c r="Z518" s="37"/>
    </row>
    <row r="519" spans="1:26" ht="14.25" customHeight="1" x14ac:dyDescent="0.3">
      <c r="A519" s="18">
        <v>129.19999999999999</v>
      </c>
      <c r="B519" s="19"/>
      <c r="C519" s="18" t="s">
        <v>55</v>
      </c>
      <c r="D519" s="19"/>
      <c r="E519" s="25"/>
      <c r="F519" s="19"/>
      <c r="G519" s="21">
        <v>0</v>
      </c>
      <c r="H519" s="21"/>
      <c r="I519" s="21"/>
      <c r="J519" s="21"/>
      <c r="K519" s="19"/>
      <c r="L519" s="19"/>
      <c r="M519" s="22">
        <v>1</v>
      </c>
      <c r="N519" s="19"/>
      <c r="O519" s="25"/>
      <c r="P519" s="23"/>
      <c r="Q519" s="21" t="s">
        <v>46</v>
      </c>
      <c r="R519" s="19" t="s">
        <v>47</v>
      </c>
      <c r="S519" s="21"/>
      <c r="T519" s="19"/>
      <c r="U519" s="21"/>
      <c r="V519" s="7"/>
      <c r="W519" s="7"/>
      <c r="X519" s="51" t="str">
        <f t="shared" si="4"/>
        <v/>
      </c>
      <c r="Y519" s="51" t="str">
        <f t="shared" si="5"/>
        <v/>
      </c>
      <c r="Z519" s="37"/>
    </row>
    <row r="520" spans="1:26" ht="14.25" customHeight="1" x14ac:dyDescent="0.3">
      <c r="A520" s="18">
        <v>129.30000000000001</v>
      </c>
      <c r="B520" s="19"/>
      <c r="C520" s="18" t="s">
        <v>55</v>
      </c>
      <c r="D520" s="19"/>
      <c r="E520" s="25"/>
      <c r="F520" s="19"/>
      <c r="G520" s="21">
        <v>0</v>
      </c>
      <c r="H520" s="21"/>
      <c r="I520" s="21"/>
      <c r="J520" s="21"/>
      <c r="K520" s="19"/>
      <c r="L520" s="19"/>
      <c r="M520" s="22">
        <v>1</v>
      </c>
      <c r="N520" s="19"/>
      <c r="O520" s="25"/>
      <c r="P520" s="23"/>
      <c r="Q520" s="21" t="s">
        <v>46</v>
      </c>
      <c r="R520" s="19" t="s">
        <v>47</v>
      </c>
      <c r="S520" s="21"/>
      <c r="T520" s="19"/>
      <c r="U520" s="21"/>
      <c r="V520" s="7"/>
      <c r="W520" s="7"/>
      <c r="X520" s="51" t="str">
        <f t="shared" si="4"/>
        <v/>
      </c>
      <c r="Y520" s="51" t="str">
        <f t="shared" si="5"/>
        <v/>
      </c>
      <c r="Z520" s="37"/>
    </row>
    <row r="521" spans="1:26" ht="14.25" customHeight="1" x14ac:dyDescent="0.3">
      <c r="A521" s="18">
        <v>129.4</v>
      </c>
      <c r="B521" s="19"/>
      <c r="C521" s="18" t="s">
        <v>55</v>
      </c>
      <c r="D521" s="19"/>
      <c r="E521" s="25"/>
      <c r="F521" s="19"/>
      <c r="G521" s="21">
        <v>0</v>
      </c>
      <c r="H521" s="21"/>
      <c r="I521" s="21"/>
      <c r="J521" s="21"/>
      <c r="K521" s="19"/>
      <c r="L521" s="19"/>
      <c r="M521" s="22">
        <v>1</v>
      </c>
      <c r="N521" s="19"/>
      <c r="O521" s="25"/>
      <c r="P521" s="23"/>
      <c r="Q521" s="21" t="s">
        <v>46</v>
      </c>
      <c r="R521" s="19" t="s">
        <v>47</v>
      </c>
      <c r="S521" s="21"/>
      <c r="T521" s="19"/>
      <c r="U521" s="21"/>
      <c r="V521" s="7"/>
      <c r="W521" s="7"/>
      <c r="X521" s="51" t="str">
        <f t="shared" si="4"/>
        <v/>
      </c>
      <c r="Y521" s="51" t="str">
        <f t="shared" si="5"/>
        <v/>
      </c>
      <c r="Z521" s="37"/>
    </row>
    <row r="522" spans="1:26" ht="14.25" customHeight="1" x14ac:dyDescent="0.3">
      <c r="A522" s="18">
        <v>130.1</v>
      </c>
      <c r="B522" s="19"/>
      <c r="C522" s="18" t="s">
        <v>55</v>
      </c>
      <c r="D522" s="19"/>
      <c r="E522" s="25"/>
      <c r="F522" s="19"/>
      <c r="G522" s="21">
        <v>0</v>
      </c>
      <c r="H522" s="21"/>
      <c r="I522" s="21"/>
      <c r="J522" s="21"/>
      <c r="K522" s="19"/>
      <c r="L522" s="19"/>
      <c r="M522" s="22">
        <v>1</v>
      </c>
      <c r="N522" s="19"/>
      <c r="O522" s="25"/>
      <c r="P522" s="23"/>
      <c r="Q522" s="21" t="s">
        <v>46</v>
      </c>
      <c r="R522" s="19" t="s">
        <v>47</v>
      </c>
      <c r="S522" s="21"/>
      <c r="T522" s="19"/>
      <c r="U522" s="21"/>
      <c r="V522" s="7"/>
      <c r="W522" s="7"/>
      <c r="X522" s="51" t="str">
        <f t="shared" si="4"/>
        <v/>
      </c>
      <c r="Y522" s="51" t="str">
        <f t="shared" si="5"/>
        <v/>
      </c>
      <c r="Z522" s="37"/>
    </row>
    <row r="523" spans="1:26" ht="14.25" customHeight="1" x14ac:dyDescent="0.3">
      <c r="A523" s="18">
        <v>130.19999999999999</v>
      </c>
      <c r="B523" s="19"/>
      <c r="C523" s="18" t="s">
        <v>55</v>
      </c>
      <c r="D523" s="19"/>
      <c r="E523" s="25"/>
      <c r="F523" s="19"/>
      <c r="G523" s="21">
        <v>0</v>
      </c>
      <c r="H523" s="21"/>
      <c r="I523" s="21"/>
      <c r="J523" s="21"/>
      <c r="K523" s="19"/>
      <c r="L523" s="19"/>
      <c r="M523" s="22">
        <v>1</v>
      </c>
      <c r="N523" s="19"/>
      <c r="O523" s="25"/>
      <c r="P523" s="23"/>
      <c r="Q523" s="21" t="s">
        <v>46</v>
      </c>
      <c r="R523" s="19" t="s">
        <v>47</v>
      </c>
      <c r="S523" s="21"/>
      <c r="T523" s="19"/>
      <c r="U523" s="21"/>
      <c r="V523" s="7"/>
      <c r="W523" s="7"/>
      <c r="X523" s="51" t="str">
        <f t="shared" si="4"/>
        <v/>
      </c>
      <c r="Y523" s="51" t="str">
        <f t="shared" si="5"/>
        <v/>
      </c>
      <c r="Z523" s="37"/>
    </row>
    <row r="524" spans="1:26" ht="14.25" customHeight="1" x14ac:dyDescent="0.3">
      <c r="A524" s="18">
        <v>130.30000000000001</v>
      </c>
      <c r="B524" s="19"/>
      <c r="C524" s="18" t="s">
        <v>55</v>
      </c>
      <c r="D524" s="19"/>
      <c r="E524" s="25"/>
      <c r="F524" s="19"/>
      <c r="G524" s="21">
        <v>0</v>
      </c>
      <c r="H524" s="21"/>
      <c r="I524" s="21"/>
      <c r="J524" s="21"/>
      <c r="K524" s="19"/>
      <c r="L524" s="19"/>
      <c r="M524" s="22">
        <v>1</v>
      </c>
      <c r="N524" s="19"/>
      <c r="O524" s="25"/>
      <c r="P524" s="23"/>
      <c r="Q524" s="21" t="s">
        <v>46</v>
      </c>
      <c r="R524" s="19" t="s">
        <v>47</v>
      </c>
      <c r="S524" s="21"/>
      <c r="T524" s="19"/>
      <c r="U524" s="21"/>
      <c r="V524" s="7"/>
      <c r="W524" s="7"/>
      <c r="X524" s="51" t="str">
        <f t="shared" si="4"/>
        <v/>
      </c>
      <c r="Y524" s="51" t="str">
        <f t="shared" si="5"/>
        <v/>
      </c>
      <c r="Z524" s="37"/>
    </row>
    <row r="525" spans="1:26" ht="14.25" customHeight="1" x14ac:dyDescent="0.3">
      <c r="A525" s="18">
        <v>130.4</v>
      </c>
      <c r="B525" s="19"/>
      <c r="C525" s="18" t="s">
        <v>55</v>
      </c>
      <c r="D525" s="19"/>
      <c r="E525" s="25"/>
      <c r="F525" s="19"/>
      <c r="G525" s="21">
        <v>0</v>
      </c>
      <c r="H525" s="21"/>
      <c r="I525" s="21"/>
      <c r="J525" s="21"/>
      <c r="K525" s="19"/>
      <c r="L525" s="19"/>
      <c r="M525" s="22">
        <v>1</v>
      </c>
      <c r="N525" s="19"/>
      <c r="O525" s="25"/>
      <c r="P525" s="23"/>
      <c r="Q525" s="21" t="s">
        <v>46</v>
      </c>
      <c r="R525" s="19" t="s">
        <v>47</v>
      </c>
      <c r="S525" s="21"/>
      <c r="T525" s="19"/>
      <c r="U525" s="21"/>
      <c r="V525" s="7"/>
      <c r="W525" s="7"/>
      <c r="X525" s="51" t="str">
        <f t="shared" si="4"/>
        <v/>
      </c>
      <c r="Y525" s="51" t="str">
        <f t="shared" si="5"/>
        <v/>
      </c>
      <c r="Z525" s="37"/>
    </row>
    <row r="526" spans="1:26" ht="14.25" customHeight="1" x14ac:dyDescent="0.3">
      <c r="A526" s="18">
        <v>131.1</v>
      </c>
      <c r="B526" s="19"/>
      <c r="C526" s="18" t="s">
        <v>55</v>
      </c>
      <c r="D526" s="19"/>
      <c r="E526" s="25"/>
      <c r="F526" s="19"/>
      <c r="G526" s="21">
        <v>0</v>
      </c>
      <c r="H526" s="21"/>
      <c r="I526" s="21"/>
      <c r="J526" s="21"/>
      <c r="K526" s="19"/>
      <c r="L526" s="19"/>
      <c r="M526" s="22">
        <v>1</v>
      </c>
      <c r="N526" s="19"/>
      <c r="O526" s="25"/>
      <c r="P526" s="23"/>
      <c r="Q526" s="21" t="s">
        <v>46</v>
      </c>
      <c r="R526" s="19" t="s">
        <v>47</v>
      </c>
      <c r="S526" s="21"/>
      <c r="T526" s="19"/>
      <c r="U526" s="21"/>
      <c r="V526" s="7"/>
      <c r="W526" s="7"/>
      <c r="X526" s="51" t="str">
        <f t="shared" si="4"/>
        <v/>
      </c>
      <c r="Y526" s="51" t="str">
        <f t="shared" si="5"/>
        <v/>
      </c>
      <c r="Z526" s="37"/>
    </row>
    <row r="527" spans="1:26" ht="14.25" customHeight="1" x14ac:dyDescent="0.3">
      <c r="A527" s="18">
        <v>131.19999999999999</v>
      </c>
      <c r="B527" s="19"/>
      <c r="C527" s="18" t="s">
        <v>55</v>
      </c>
      <c r="D527" s="19"/>
      <c r="E527" s="25"/>
      <c r="F527" s="19"/>
      <c r="G527" s="21">
        <v>0</v>
      </c>
      <c r="H527" s="21"/>
      <c r="I527" s="21"/>
      <c r="J527" s="21"/>
      <c r="K527" s="19"/>
      <c r="L527" s="19"/>
      <c r="M527" s="22">
        <v>1</v>
      </c>
      <c r="N527" s="19"/>
      <c r="O527" s="25"/>
      <c r="P527" s="23"/>
      <c r="Q527" s="21" t="s">
        <v>46</v>
      </c>
      <c r="R527" s="19" t="s">
        <v>47</v>
      </c>
      <c r="S527" s="21"/>
      <c r="T527" s="19"/>
      <c r="U527" s="21"/>
      <c r="V527" s="7"/>
      <c r="W527" s="7"/>
      <c r="X527" s="51" t="str">
        <f t="shared" si="4"/>
        <v/>
      </c>
      <c r="Y527" s="51" t="str">
        <f t="shared" si="5"/>
        <v/>
      </c>
      <c r="Z527" s="37"/>
    </row>
    <row r="528" spans="1:26" ht="14.25" customHeight="1" x14ac:dyDescent="0.3">
      <c r="A528" s="18">
        <v>131.30000000000001</v>
      </c>
      <c r="B528" s="19"/>
      <c r="C528" s="18" t="s">
        <v>55</v>
      </c>
      <c r="D528" s="19"/>
      <c r="E528" s="25"/>
      <c r="F528" s="19"/>
      <c r="G528" s="21">
        <v>0</v>
      </c>
      <c r="H528" s="21"/>
      <c r="I528" s="21"/>
      <c r="J528" s="21"/>
      <c r="K528" s="19"/>
      <c r="L528" s="19"/>
      <c r="M528" s="22">
        <v>1</v>
      </c>
      <c r="N528" s="19"/>
      <c r="O528" s="25"/>
      <c r="P528" s="23"/>
      <c r="Q528" s="21" t="s">
        <v>46</v>
      </c>
      <c r="R528" s="19" t="s">
        <v>47</v>
      </c>
      <c r="S528" s="21"/>
      <c r="T528" s="19"/>
      <c r="U528" s="21"/>
      <c r="V528" s="7"/>
      <c r="W528" s="7"/>
      <c r="X528" s="51" t="str">
        <f t="shared" si="4"/>
        <v/>
      </c>
      <c r="Y528" s="51" t="str">
        <f t="shared" si="5"/>
        <v/>
      </c>
      <c r="Z528" s="37"/>
    </row>
    <row r="529" spans="1:26" ht="14.25" customHeight="1" x14ac:dyDescent="0.3">
      <c r="A529" s="18">
        <v>131.4</v>
      </c>
      <c r="B529" s="19"/>
      <c r="C529" s="18" t="s">
        <v>55</v>
      </c>
      <c r="D529" s="19"/>
      <c r="E529" s="25"/>
      <c r="F529" s="19"/>
      <c r="G529" s="21">
        <v>0</v>
      </c>
      <c r="H529" s="21"/>
      <c r="I529" s="21"/>
      <c r="J529" s="21"/>
      <c r="K529" s="19"/>
      <c r="L529" s="19"/>
      <c r="M529" s="22">
        <v>1</v>
      </c>
      <c r="N529" s="19"/>
      <c r="O529" s="25"/>
      <c r="P529" s="23"/>
      <c r="Q529" s="21" t="s">
        <v>46</v>
      </c>
      <c r="R529" s="19" t="s">
        <v>47</v>
      </c>
      <c r="S529" s="21"/>
      <c r="T529" s="19"/>
      <c r="U529" s="21"/>
      <c r="V529" s="7"/>
      <c r="W529" s="7"/>
      <c r="X529" s="51" t="str">
        <f t="shared" si="4"/>
        <v/>
      </c>
      <c r="Y529" s="51" t="str">
        <f t="shared" si="5"/>
        <v/>
      </c>
      <c r="Z529" s="37"/>
    </row>
    <row r="530" spans="1:26" ht="14.25" customHeight="1" x14ac:dyDescent="0.3">
      <c r="A530" s="18">
        <v>132.1</v>
      </c>
      <c r="B530" s="19"/>
      <c r="C530" s="18" t="s">
        <v>55</v>
      </c>
      <c r="D530" s="19"/>
      <c r="E530" s="25"/>
      <c r="F530" s="19"/>
      <c r="G530" s="21">
        <v>0</v>
      </c>
      <c r="H530" s="21"/>
      <c r="I530" s="21"/>
      <c r="J530" s="21"/>
      <c r="K530" s="19"/>
      <c r="L530" s="19"/>
      <c r="M530" s="22">
        <v>1</v>
      </c>
      <c r="N530" s="19"/>
      <c r="O530" s="25"/>
      <c r="P530" s="23"/>
      <c r="Q530" s="21" t="s">
        <v>46</v>
      </c>
      <c r="R530" s="19" t="s">
        <v>47</v>
      </c>
      <c r="S530" s="21"/>
      <c r="T530" s="19"/>
      <c r="U530" s="21"/>
      <c r="V530" s="7"/>
      <c r="W530" s="7"/>
      <c r="X530" s="51" t="str">
        <f t="shared" si="4"/>
        <v/>
      </c>
      <c r="Y530" s="51" t="str">
        <f t="shared" si="5"/>
        <v/>
      </c>
      <c r="Z530" s="37"/>
    </row>
    <row r="531" spans="1:26" ht="14.25" customHeight="1" x14ac:dyDescent="0.3">
      <c r="A531" s="18">
        <v>132.19999999999999</v>
      </c>
      <c r="B531" s="19"/>
      <c r="C531" s="18" t="s">
        <v>55</v>
      </c>
      <c r="D531" s="19"/>
      <c r="E531" s="25"/>
      <c r="F531" s="19"/>
      <c r="G531" s="21">
        <v>0</v>
      </c>
      <c r="H531" s="21"/>
      <c r="I531" s="21"/>
      <c r="J531" s="21"/>
      <c r="K531" s="19"/>
      <c r="L531" s="19"/>
      <c r="M531" s="22">
        <v>1</v>
      </c>
      <c r="N531" s="19"/>
      <c r="O531" s="25"/>
      <c r="P531" s="23"/>
      <c r="Q531" s="21" t="s">
        <v>46</v>
      </c>
      <c r="R531" s="19" t="s">
        <v>47</v>
      </c>
      <c r="S531" s="21"/>
      <c r="T531" s="19"/>
      <c r="U531" s="21"/>
      <c r="V531" s="7"/>
      <c r="W531" s="7"/>
      <c r="X531" s="51" t="str">
        <f t="shared" si="4"/>
        <v/>
      </c>
      <c r="Y531" s="51" t="str">
        <f t="shared" si="5"/>
        <v/>
      </c>
      <c r="Z531" s="37"/>
    </row>
    <row r="532" spans="1:26" ht="14.25" customHeight="1" x14ac:dyDescent="0.3">
      <c r="A532" s="18">
        <v>132.30000000000001</v>
      </c>
      <c r="B532" s="19"/>
      <c r="C532" s="18" t="s">
        <v>55</v>
      </c>
      <c r="D532" s="19"/>
      <c r="E532" s="25"/>
      <c r="F532" s="19"/>
      <c r="G532" s="21">
        <v>0</v>
      </c>
      <c r="H532" s="21"/>
      <c r="I532" s="21"/>
      <c r="J532" s="21"/>
      <c r="K532" s="19"/>
      <c r="L532" s="19"/>
      <c r="M532" s="22">
        <v>1</v>
      </c>
      <c r="N532" s="19"/>
      <c r="O532" s="25"/>
      <c r="P532" s="23"/>
      <c r="Q532" s="21" t="s">
        <v>46</v>
      </c>
      <c r="R532" s="19" t="s">
        <v>47</v>
      </c>
      <c r="S532" s="21"/>
      <c r="T532" s="19"/>
      <c r="U532" s="21"/>
      <c r="V532" s="7"/>
      <c r="W532" s="7"/>
      <c r="X532" s="51" t="str">
        <f t="shared" si="4"/>
        <v/>
      </c>
      <c r="Y532" s="51" t="str">
        <f t="shared" si="5"/>
        <v/>
      </c>
      <c r="Z532" s="37"/>
    </row>
    <row r="533" spans="1:26" ht="14.25" customHeight="1" x14ac:dyDescent="0.3">
      <c r="A533" s="18">
        <v>132.4</v>
      </c>
      <c r="B533" s="19"/>
      <c r="C533" s="18" t="s">
        <v>55</v>
      </c>
      <c r="D533" s="19"/>
      <c r="E533" s="25"/>
      <c r="F533" s="19"/>
      <c r="G533" s="21">
        <v>0</v>
      </c>
      <c r="H533" s="21"/>
      <c r="I533" s="21"/>
      <c r="J533" s="21"/>
      <c r="K533" s="19"/>
      <c r="L533" s="19"/>
      <c r="M533" s="22">
        <v>1</v>
      </c>
      <c r="N533" s="19"/>
      <c r="O533" s="25"/>
      <c r="P533" s="23"/>
      <c r="Q533" s="21" t="s">
        <v>46</v>
      </c>
      <c r="R533" s="19" t="s">
        <v>47</v>
      </c>
      <c r="S533" s="21"/>
      <c r="T533" s="19"/>
      <c r="U533" s="21"/>
      <c r="V533" s="7"/>
      <c r="W533" s="7"/>
      <c r="X533" s="51" t="str">
        <f t="shared" si="4"/>
        <v/>
      </c>
      <c r="Y533" s="51" t="str">
        <f t="shared" si="5"/>
        <v/>
      </c>
      <c r="Z533" s="37"/>
    </row>
    <row r="534" spans="1:26" ht="14.25" customHeight="1" x14ac:dyDescent="0.3">
      <c r="A534" s="18">
        <v>133.1</v>
      </c>
      <c r="B534" s="19"/>
      <c r="C534" s="18" t="s">
        <v>55</v>
      </c>
      <c r="D534" s="19"/>
      <c r="E534" s="25"/>
      <c r="F534" s="19"/>
      <c r="G534" s="21">
        <v>0</v>
      </c>
      <c r="H534" s="21"/>
      <c r="I534" s="21"/>
      <c r="J534" s="21"/>
      <c r="K534" s="19"/>
      <c r="L534" s="19"/>
      <c r="M534" s="22">
        <v>1</v>
      </c>
      <c r="N534" s="19"/>
      <c r="O534" s="25"/>
      <c r="P534" s="23"/>
      <c r="Q534" s="21" t="s">
        <v>46</v>
      </c>
      <c r="R534" s="19" t="s">
        <v>47</v>
      </c>
      <c r="S534" s="21"/>
      <c r="T534" s="19"/>
      <c r="U534" s="21"/>
      <c r="V534" s="7"/>
      <c r="W534" s="7"/>
      <c r="X534" s="51" t="str">
        <f t="shared" si="4"/>
        <v/>
      </c>
      <c r="Y534" s="51" t="str">
        <f t="shared" si="5"/>
        <v/>
      </c>
      <c r="Z534" s="37"/>
    </row>
    <row r="535" spans="1:26" ht="14.25" customHeight="1" x14ac:dyDescent="0.3">
      <c r="A535" s="18">
        <v>133.19999999999999</v>
      </c>
      <c r="B535" s="19"/>
      <c r="C535" s="18" t="s">
        <v>55</v>
      </c>
      <c r="D535" s="19"/>
      <c r="E535" s="25"/>
      <c r="F535" s="19"/>
      <c r="G535" s="21">
        <v>0</v>
      </c>
      <c r="H535" s="21"/>
      <c r="I535" s="21"/>
      <c r="J535" s="21"/>
      <c r="K535" s="19"/>
      <c r="L535" s="19"/>
      <c r="M535" s="22">
        <v>1</v>
      </c>
      <c r="N535" s="19"/>
      <c r="O535" s="25"/>
      <c r="P535" s="23"/>
      <c r="Q535" s="21" t="s">
        <v>46</v>
      </c>
      <c r="R535" s="19" t="s">
        <v>47</v>
      </c>
      <c r="S535" s="21"/>
      <c r="T535" s="19"/>
      <c r="U535" s="21"/>
      <c r="V535" s="7"/>
      <c r="W535" s="7"/>
      <c r="X535" s="51" t="str">
        <f t="shared" si="4"/>
        <v/>
      </c>
      <c r="Y535" s="51" t="str">
        <f t="shared" si="5"/>
        <v/>
      </c>
      <c r="Z535" s="37"/>
    </row>
    <row r="536" spans="1:26" ht="14.25" customHeight="1" x14ac:dyDescent="0.3">
      <c r="A536" s="18">
        <v>133.30000000000001</v>
      </c>
      <c r="B536" s="19"/>
      <c r="C536" s="18" t="s">
        <v>55</v>
      </c>
      <c r="D536" s="19"/>
      <c r="E536" s="25"/>
      <c r="F536" s="19"/>
      <c r="G536" s="21">
        <v>0</v>
      </c>
      <c r="H536" s="21"/>
      <c r="I536" s="21"/>
      <c r="J536" s="21"/>
      <c r="K536" s="19"/>
      <c r="L536" s="19"/>
      <c r="M536" s="22">
        <v>1</v>
      </c>
      <c r="N536" s="19"/>
      <c r="O536" s="25"/>
      <c r="P536" s="23"/>
      <c r="Q536" s="21" t="s">
        <v>46</v>
      </c>
      <c r="R536" s="19" t="s">
        <v>47</v>
      </c>
      <c r="S536" s="21"/>
      <c r="T536" s="19"/>
      <c r="U536" s="21"/>
      <c r="V536" s="7"/>
      <c r="W536" s="7"/>
      <c r="X536" s="51" t="str">
        <f t="shared" si="4"/>
        <v/>
      </c>
      <c r="Y536" s="51" t="str">
        <f t="shared" si="5"/>
        <v/>
      </c>
      <c r="Z536" s="37"/>
    </row>
    <row r="537" spans="1:26" ht="14.25" customHeight="1" x14ac:dyDescent="0.3">
      <c r="A537" s="18">
        <v>133.4</v>
      </c>
      <c r="B537" s="19"/>
      <c r="C537" s="18" t="s">
        <v>55</v>
      </c>
      <c r="D537" s="19"/>
      <c r="E537" s="25"/>
      <c r="F537" s="19"/>
      <c r="G537" s="21">
        <v>0</v>
      </c>
      <c r="H537" s="21"/>
      <c r="I537" s="21"/>
      <c r="J537" s="21"/>
      <c r="K537" s="19"/>
      <c r="L537" s="19"/>
      <c r="M537" s="22">
        <v>1</v>
      </c>
      <c r="N537" s="19"/>
      <c r="O537" s="25"/>
      <c r="P537" s="23"/>
      <c r="Q537" s="21" t="s">
        <v>46</v>
      </c>
      <c r="R537" s="19" t="s">
        <v>47</v>
      </c>
      <c r="S537" s="21"/>
      <c r="T537" s="19"/>
      <c r="U537" s="21"/>
      <c r="V537" s="7"/>
      <c r="W537" s="7"/>
      <c r="X537" s="51" t="str">
        <f t="shared" si="4"/>
        <v/>
      </c>
      <c r="Y537" s="51" t="str">
        <f t="shared" si="5"/>
        <v/>
      </c>
      <c r="Z537" s="37"/>
    </row>
    <row r="538" spans="1:26" ht="14.25" customHeight="1" x14ac:dyDescent="0.3">
      <c r="A538" s="18">
        <v>134.1</v>
      </c>
      <c r="B538" s="19"/>
      <c r="C538" s="18" t="s">
        <v>55</v>
      </c>
      <c r="D538" s="19"/>
      <c r="E538" s="25"/>
      <c r="F538" s="19"/>
      <c r="G538" s="21">
        <v>0</v>
      </c>
      <c r="H538" s="21"/>
      <c r="I538" s="21"/>
      <c r="J538" s="21"/>
      <c r="K538" s="19"/>
      <c r="L538" s="19"/>
      <c r="M538" s="22">
        <v>1</v>
      </c>
      <c r="N538" s="19"/>
      <c r="O538" s="25"/>
      <c r="P538" s="23"/>
      <c r="Q538" s="21" t="s">
        <v>46</v>
      </c>
      <c r="R538" s="19" t="s">
        <v>47</v>
      </c>
      <c r="S538" s="21"/>
      <c r="T538" s="19"/>
      <c r="U538" s="21"/>
      <c r="V538" s="7"/>
      <c r="W538" s="7"/>
      <c r="X538" s="51" t="str">
        <f t="shared" si="4"/>
        <v/>
      </c>
      <c r="Y538" s="51" t="str">
        <f t="shared" si="5"/>
        <v/>
      </c>
      <c r="Z538" s="37"/>
    </row>
    <row r="539" spans="1:26" ht="14.25" customHeight="1" x14ac:dyDescent="0.3">
      <c r="A539" s="18">
        <v>134.19999999999999</v>
      </c>
      <c r="B539" s="19"/>
      <c r="C539" s="18" t="s">
        <v>55</v>
      </c>
      <c r="D539" s="19"/>
      <c r="E539" s="25"/>
      <c r="F539" s="19"/>
      <c r="G539" s="21">
        <v>0</v>
      </c>
      <c r="H539" s="21"/>
      <c r="I539" s="21"/>
      <c r="J539" s="21"/>
      <c r="K539" s="19"/>
      <c r="L539" s="19"/>
      <c r="M539" s="22">
        <v>1</v>
      </c>
      <c r="N539" s="19"/>
      <c r="O539" s="25"/>
      <c r="P539" s="23"/>
      <c r="Q539" s="21" t="s">
        <v>46</v>
      </c>
      <c r="R539" s="19" t="s">
        <v>47</v>
      </c>
      <c r="S539" s="21"/>
      <c r="T539" s="19"/>
      <c r="U539" s="21"/>
      <c r="V539" s="7"/>
      <c r="W539" s="7"/>
      <c r="X539" s="51" t="str">
        <f t="shared" si="4"/>
        <v/>
      </c>
      <c r="Y539" s="51" t="str">
        <f t="shared" si="5"/>
        <v/>
      </c>
      <c r="Z539" s="37"/>
    </row>
    <row r="540" spans="1:26" ht="14.25" customHeight="1" x14ac:dyDescent="0.3">
      <c r="A540" s="18">
        <v>134.30000000000001</v>
      </c>
      <c r="B540" s="19"/>
      <c r="C540" s="18" t="s">
        <v>55</v>
      </c>
      <c r="D540" s="19"/>
      <c r="E540" s="25"/>
      <c r="F540" s="19"/>
      <c r="G540" s="21">
        <v>0</v>
      </c>
      <c r="H540" s="21"/>
      <c r="I540" s="21"/>
      <c r="J540" s="21"/>
      <c r="K540" s="19"/>
      <c r="L540" s="19"/>
      <c r="M540" s="22">
        <v>1</v>
      </c>
      <c r="N540" s="19"/>
      <c r="O540" s="25"/>
      <c r="P540" s="23"/>
      <c r="Q540" s="21" t="s">
        <v>46</v>
      </c>
      <c r="R540" s="19" t="s">
        <v>47</v>
      </c>
      <c r="S540" s="21"/>
      <c r="T540" s="19"/>
      <c r="U540" s="21"/>
      <c r="V540" s="7"/>
      <c r="W540" s="7"/>
      <c r="X540" s="51" t="str">
        <f t="shared" si="4"/>
        <v/>
      </c>
      <c r="Y540" s="51" t="str">
        <f t="shared" si="5"/>
        <v/>
      </c>
      <c r="Z540" s="37"/>
    </row>
    <row r="541" spans="1:26" ht="14.25" customHeight="1" x14ac:dyDescent="0.3">
      <c r="A541" s="18">
        <v>134.4</v>
      </c>
      <c r="B541" s="19"/>
      <c r="C541" s="18" t="s">
        <v>55</v>
      </c>
      <c r="D541" s="19"/>
      <c r="E541" s="25"/>
      <c r="F541" s="19"/>
      <c r="G541" s="21">
        <v>0</v>
      </c>
      <c r="H541" s="21"/>
      <c r="I541" s="21"/>
      <c r="J541" s="21"/>
      <c r="K541" s="19"/>
      <c r="L541" s="19"/>
      <c r="M541" s="22">
        <v>1</v>
      </c>
      <c r="N541" s="19"/>
      <c r="O541" s="25"/>
      <c r="P541" s="23"/>
      <c r="Q541" s="21" t="s">
        <v>46</v>
      </c>
      <c r="R541" s="19" t="s">
        <v>47</v>
      </c>
      <c r="S541" s="21"/>
      <c r="T541" s="19"/>
      <c r="U541" s="21"/>
      <c r="V541" s="7"/>
      <c r="W541" s="7"/>
      <c r="X541" s="51" t="str">
        <f t="shared" si="4"/>
        <v/>
      </c>
      <c r="Y541" s="51" t="str">
        <f t="shared" si="5"/>
        <v/>
      </c>
      <c r="Z541" s="37"/>
    </row>
    <row r="542" spans="1:26" ht="14.25" customHeight="1" x14ac:dyDescent="0.3">
      <c r="A542" s="18">
        <v>135.1</v>
      </c>
      <c r="B542" s="19"/>
      <c r="C542" s="18" t="s">
        <v>55</v>
      </c>
      <c r="D542" s="19"/>
      <c r="E542" s="25"/>
      <c r="F542" s="19"/>
      <c r="G542" s="21">
        <v>0</v>
      </c>
      <c r="H542" s="21"/>
      <c r="I542" s="21"/>
      <c r="J542" s="21"/>
      <c r="K542" s="19"/>
      <c r="L542" s="19"/>
      <c r="M542" s="22">
        <v>1</v>
      </c>
      <c r="N542" s="19"/>
      <c r="O542" s="25"/>
      <c r="P542" s="23"/>
      <c r="Q542" s="21" t="s">
        <v>46</v>
      </c>
      <c r="R542" s="19" t="s">
        <v>47</v>
      </c>
      <c r="S542" s="21"/>
      <c r="T542" s="19"/>
      <c r="U542" s="21"/>
      <c r="V542" s="7"/>
      <c r="W542" s="7"/>
      <c r="X542" s="51" t="str">
        <f t="shared" si="4"/>
        <v/>
      </c>
      <c r="Y542" s="51" t="str">
        <f t="shared" si="5"/>
        <v/>
      </c>
      <c r="Z542" s="37"/>
    </row>
    <row r="543" spans="1:26" ht="14.25" customHeight="1" x14ac:dyDescent="0.3">
      <c r="A543" s="18">
        <v>135.19999999999999</v>
      </c>
      <c r="B543" s="19"/>
      <c r="C543" s="18" t="s">
        <v>55</v>
      </c>
      <c r="D543" s="19"/>
      <c r="E543" s="25"/>
      <c r="F543" s="19"/>
      <c r="G543" s="21">
        <v>0</v>
      </c>
      <c r="H543" s="21"/>
      <c r="I543" s="21"/>
      <c r="J543" s="21"/>
      <c r="K543" s="19"/>
      <c r="L543" s="19"/>
      <c r="M543" s="22">
        <v>1</v>
      </c>
      <c r="N543" s="19"/>
      <c r="O543" s="25"/>
      <c r="P543" s="23"/>
      <c r="Q543" s="21" t="s">
        <v>46</v>
      </c>
      <c r="R543" s="19" t="s">
        <v>47</v>
      </c>
      <c r="S543" s="21"/>
      <c r="T543" s="19"/>
      <c r="U543" s="21"/>
      <c r="V543" s="7"/>
      <c r="W543" s="7"/>
      <c r="X543" s="51" t="str">
        <f t="shared" si="4"/>
        <v/>
      </c>
      <c r="Y543" s="51" t="str">
        <f t="shared" si="5"/>
        <v/>
      </c>
      <c r="Z543" s="37"/>
    </row>
    <row r="544" spans="1:26" ht="14.25" customHeight="1" x14ac:dyDescent="0.3">
      <c r="A544" s="18">
        <v>135.30000000000001</v>
      </c>
      <c r="B544" s="19"/>
      <c r="C544" s="18" t="s">
        <v>55</v>
      </c>
      <c r="D544" s="19"/>
      <c r="E544" s="25"/>
      <c r="F544" s="19"/>
      <c r="G544" s="21">
        <v>0</v>
      </c>
      <c r="H544" s="21"/>
      <c r="I544" s="21"/>
      <c r="J544" s="21"/>
      <c r="K544" s="19"/>
      <c r="L544" s="19"/>
      <c r="M544" s="22">
        <v>1</v>
      </c>
      <c r="N544" s="19"/>
      <c r="O544" s="25"/>
      <c r="P544" s="23"/>
      <c r="Q544" s="21" t="s">
        <v>46</v>
      </c>
      <c r="R544" s="19" t="s">
        <v>47</v>
      </c>
      <c r="S544" s="21"/>
      <c r="T544" s="19"/>
      <c r="U544" s="21"/>
      <c r="V544" s="7"/>
      <c r="W544" s="7"/>
      <c r="X544" s="51" t="str">
        <f t="shared" si="4"/>
        <v/>
      </c>
      <c r="Y544" s="51" t="str">
        <f t="shared" si="5"/>
        <v/>
      </c>
      <c r="Z544" s="37"/>
    </row>
    <row r="545" spans="1:26" ht="14.25" customHeight="1" x14ac:dyDescent="0.3">
      <c r="A545" s="18">
        <v>135.4</v>
      </c>
      <c r="B545" s="19"/>
      <c r="C545" s="18" t="s">
        <v>55</v>
      </c>
      <c r="D545" s="19"/>
      <c r="E545" s="25"/>
      <c r="F545" s="19"/>
      <c r="G545" s="21">
        <v>0</v>
      </c>
      <c r="H545" s="21"/>
      <c r="I545" s="21"/>
      <c r="J545" s="21"/>
      <c r="K545" s="19"/>
      <c r="L545" s="19"/>
      <c r="M545" s="22">
        <v>1</v>
      </c>
      <c r="N545" s="19"/>
      <c r="O545" s="25"/>
      <c r="P545" s="23"/>
      <c r="Q545" s="21" t="s">
        <v>46</v>
      </c>
      <c r="R545" s="19" t="s">
        <v>47</v>
      </c>
      <c r="S545" s="21"/>
      <c r="T545" s="19"/>
      <c r="U545" s="21"/>
      <c r="V545" s="7"/>
      <c r="W545" s="7"/>
      <c r="X545" s="51" t="str">
        <f t="shared" si="4"/>
        <v/>
      </c>
      <c r="Y545" s="51" t="str">
        <f t="shared" si="5"/>
        <v/>
      </c>
      <c r="Z545" s="37"/>
    </row>
    <row r="546" spans="1:26" ht="14.25" customHeight="1" x14ac:dyDescent="0.3">
      <c r="A546" s="18">
        <v>136.1</v>
      </c>
      <c r="B546" s="19"/>
      <c r="C546" s="18" t="s">
        <v>55</v>
      </c>
      <c r="D546" s="19"/>
      <c r="E546" s="25"/>
      <c r="F546" s="19"/>
      <c r="G546" s="21">
        <v>0</v>
      </c>
      <c r="H546" s="21"/>
      <c r="I546" s="21"/>
      <c r="J546" s="21"/>
      <c r="K546" s="19"/>
      <c r="L546" s="19"/>
      <c r="M546" s="22">
        <v>1</v>
      </c>
      <c r="N546" s="19"/>
      <c r="O546" s="25"/>
      <c r="P546" s="23"/>
      <c r="Q546" s="21" t="s">
        <v>46</v>
      </c>
      <c r="R546" s="19" t="s">
        <v>47</v>
      </c>
      <c r="S546" s="21"/>
      <c r="T546" s="19"/>
      <c r="U546" s="21"/>
      <c r="V546" s="7"/>
      <c r="W546" s="7"/>
      <c r="X546" s="51" t="str">
        <f t="shared" si="4"/>
        <v/>
      </c>
      <c r="Y546" s="51" t="str">
        <f t="shared" si="5"/>
        <v/>
      </c>
      <c r="Z546" s="37"/>
    </row>
    <row r="547" spans="1:26" ht="14.25" customHeight="1" x14ac:dyDescent="0.3">
      <c r="A547" s="18">
        <v>136.19999999999999</v>
      </c>
      <c r="B547" s="19"/>
      <c r="C547" s="18" t="s">
        <v>55</v>
      </c>
      <c r="D547" s="19"/>
      <c r="E547" s="25"/>
      <c r="F547" s="19"/>
      <c r="G547" s="21">
        <v>0</v>
      </c>
      <c r="H547" s="21"/>
      <c r="I547" s="21"/>
      <c r="J547" s="21"/>
      <c r="K547" s="19"/>
      <c r="L547" s="19"/>
      <c r="M547" s="22">
        <v>1</v>
      </c>
      <c r="N547" s="19"/>
      <c r="O547" s="25"/>
      <c r="P547" s="23"/>
      <c r="Q547" s="21" t="s">
        <v>46</v>
      </c>
      <c r="R547" s="19" t="s">
        <v>47</v>
      </c>
      <c r="S547" s="21"/>
      <c r="T547" s="19"/>
      <c r="U547" s="21"/>
      <c r="V547" s="7"/>
      <c r="W547" s="7"/>
      <c r="X547" s="51" t="str">
        <f t="shared" si="4"/>
        <v/>
      </c>
      <c r="Y547" s="51" t="str">
        <f t="shared" si="5"/>
        <v/>
      </c>
      <c r="Z547" s="37"/>
    </row>
    <row r="548" spans="1:26" ht="14.25" customHeight="1" x14ac:dyDescent="0.3">
      <c r="A548" s="18">
        <v>136.30000000000001</v>
      </c>
      <c r="B548" s="19"/>
      <c r="C548" s="18" t="s">
        <v>55</v>
      </c>
      <c r="D548" s="19"/>
      <c r="E548" s="25"/>
      <c r="F548" s="19"/>
      <c r="G548" s="21">
        <v>0</v>
      </c>
      <c r="H548" s="21"/>
      <c r="I548" s="21"/>
      <c r="J548" s="21"/>
      <c r="K548" s="19"/>
      <c r="L548" s="19"/>
      <c r="M548" s="22">
        <v>1</v>
      </c>
      <c r="N548" s="19"/>
      <c r="O548" s="25"/>
      <c r="P548" s="23"/>
      <c r="Q548" s="21" t="s">
        <v>46</v>
      </c>
      <c r="R548" s="19" t="s">
        <v>47</v>
      </c>
      <c r="S548" s="21"/>
      <c r="T548" s="19"/>
      <c r="U548" s="21"/>
      <c r="V548" s="7"/>
      <c r="W548" s="7"/>
      <c r="X548" s="51" t="str">
        <f t="shared" si="4"/>
        <v/>
      </c>
      <c r="Y548" s="51" t="str">
        <f t="shared" si="5"/>
        <v/>
      </c>
      <c r="Z548" s="37"/>
    </row>
    <row r="549" spans="1:26" ht="14.25" customHeight="1" x14ac:dyDescent="0.3">
      <c r="A549" s="18">
        <v>136.4</v>
      </c>
      <c r="B549" s="19"/>
      <c r="C549" s="18" t="s">
        <v>55</v>
      </c>
      <c r="D549" s="19"/>
      <c r="E549" s="25"/>
      <c r="F549" s="19"/>
      <c r="G549" s="21">
        <v>0</v>
      </c>
      <c r="H549" s="21"/>
      <c r="I549" s="21"/>
      <c r="J549" s="21"/>
      <c r="K549" s="19"/>
      <c r="L549" s="19"/>
      <c r="M549" s="22">
        <v>1</v>
      </c>
      <c r="N549" s="19"/>
      <c r="O549" s="25"/>
      <c r="P549" s="23"/>
      <c r="Q549" s="21" t="s">
        <v>46</v>
      </c>
      <c r="R549" s="19" t="s">
        <v>47</v>
      </c>
      <c r="S549" s="21"/>
      <c r="T549" s="19"/>
      <c r="U549" s="21"/>
      <c r="V549" s="7"/>
      <c r="W549" s="7"/>
      <c r="X549" s="51" t="str">
        <f t="shared" si="4"/>
        <v/>
      </c>
      <c r="Y549" s="51" t="str">
        <f t="shared" si="5"/>
        <v/>
      </c>
      <c r="Z549" s="37"/>
    </row>
    <row r="550" spans="1:26" ht="14.25" customHeight="1" x14ac:dyDescent="0.3">
      <c r="A550" s="18">
        <v>137.1</v>
      </c>
      <c r="B550" s="19"/>
      <c r="C550" s="18" t="s">
        <v>55</v>
      </c>
      <c r="D550" s="19"/>
      <c r="E550" s="25"/>
      <c r="F550" s="19"/>
      <c r="G550" s="21">
        <v>0</v>
      </c>
      <c r="H550" s="21"/>
      <c r="I550" s="21"/>
      <c r="J550" s="21"/>
      <c r="K550" s="19"/>
      <c r="L550" s="19"/>
      <c r="M550" s="22">
        <v>1</v>
      </c>
      <c r="N550" s="19"/>
      <c r="O550" s="25"/>
      <c r="P550" s="23"/>
      <c r="Q550" s="21" t="s">
        <v>46</v>
      </c>
      <c r="R550" s="19" t="s">
        <v>47</v>
      </c>
      <c r="S550" s="21"/>
      <c r="T550" s="19"/>
      <c r="U550" s="21"/>
      <c r="V550" s="7"/>
      <c r="W550" s="7"/>
      <c r="X550" s="51" t="str">
        <f t="shared" si="4"/>
        <v/>
      </c>
      <c r="Y550" s="51" t="str">
        <f t="shared" si="5"/>
        <v/>
      </c>
      <c r="Z550" s="37"/>
    </row>
    <row r="551" spans="1:26" ht="14.25" customHeight="1" x14ac:dyDescent="0.3">
      <c r="A551" s="18">
        <v>137.19999999999999</v>
      </c>
      <c r="B551" s="19"/>
      <c r="C551" s="18" t="s">
        <v>55</v>
      </c>
      <c r="D551" s="19"/>
      <c r="E551" s="25"/>
      <c r="F551" s="19"/>
      <c r="G551" s="21">
        <v>0</v>
      </c>
      <c r="H551" s="21"/>
      <c r="I551" s="21"/>
      <c r="J551" s="21"/>
      <c r="K551" s="19"/>
      <c r="L551" s="19"/>
      <c r="M551" s="22">
        <v>1</v>
      </c>
      <c r="N551" s="19"/>
      <c r="O551" s="25"/>
      <c r="P551" s="23"/>
      <c r="Q551" s="21" t="s">
        <v>46</v>
      </c>
      <c r="R551" s="19" t="s">
        <v>47</v>
      </c>
      <c r="S551" s="21"/>
      <c r="T551" s="19"/>
      <c r="U551" s="21"/>
      <c r="V551" s="7"/>
      <c r="W551" s="7"/>
      <c r="X551" s="51" t="str">
        <f t="shared" si="4"/>
        <v/>
      </c>
      <c r="Y551" s="51" t="str">
        <f t="shared" si="5"/>
        <v/>
      </c>
      <c r="Z551" s="37"/>
    </row>
    <row r="552" spans="1:26" ht="14.25" customHeight="1" x14ac:dyDescent="0.3">
      <c r="A552" s="18">
        <v>137.30000000000001</v>
      </c>
      <c r="B552" s="19"/>
      <c r="C552" s="18" t="s">
        <v>55</v>
      </c>
      <c r="D552" s="19"/>
      <c r="E552" s="25"/>
      <c r="F552" s="19"/>
      <c r="G552" s="21">
        <v>0</v>
      </c>
      <c r="H552" s="21"/>
      <c r="I552" s="21"/>
      <c r="J552" s="21"/>
      <c r="K552" s="19"/>
      <c r="L552" s="19"/>
      <c r="M552" s="22">
        <v>1</v>
      </c>
      <c r="N552" s="19"/>
      <c r="O552" s="25"/>
      <c r="P552" s="23"/>
      <c r="Q552" s="21" t="s">
        <v>46</v>
      </c>
      <c r="R552" s="19" t="s">
        <v>47</v>
      </c>
      <c r="S552" s="21"/>
      <c r="T552" s="19"/>
      <c r="U552" s="21"/>
      <c r="V552" s="7"/>
      <c r="W552" s="7"/>
      <c r="X552" s="51" t="str">
        <f t="shared" si="4"/>
        <v/>
      </c>
      <c r="Y552" s="51" t="str">
        <f t="shared" si="5"/>
        <v/>
      </c>
      <c r="Z552" s="37"/>
    </row>
    <row r="553" spans="1:26" ht="14.25" customHeight="1" x14ac:dyDescent="0.3">
      <c r="A553" s="18">
        <v>137.4</v>
      </c>
      <c r="B553" s="19"/>
      <c r="C553" s="18" t="s">
        <v>55</v>
      </c>
      <c r="D553" s="19"/>
      <c r="E553" s="25"/>
      <c r="F553" s="19"/>
      <c r="G553" s="21">
        <v>0</v>
      </c>
      <c r="H553" s="21"/>
      <c r="I553" s="21"/>
      <c r="J553" s="21"/>
      <c r="K553" s="19"/>
      <c r="L553" s="19"/>
      <c r="M553" s="22">
        <v>1</v>
      </c>
      <c r="N553" s="19"/>
      <c r="O553" s="25"/>
      <c r="P553" s="23"/>
      <c r="Q553" s="21" t="s">
        <v>46</v>
      </c>
      <c r="R553" s="19" t="s">
        <v>47</v>
      </c>
      <c r="S553" s="21"/>
      <c r="T553" s="19"/>
      <c r="U553" s="21"/>
      <c r="V553" s="7"/>
      <c r="W553" s="7"/>
      <c r="X553" s="51" t="str">
        <f t="shared" si="4"/>
        <v/>
      </c>
      <c r="Y553" s="51" t="str">
        <f t="shared" si="5"/>
        <v/>
      </c>
      <c r="Z553" s="37"/>
    </row>
    <row r="554" spans="1:26" ht="14.25" customHeight="1" x14ac:dyDescent="0.3">
      <c r="A554" s="18">
        <v>138.1</v>
      </c>
      <c r="B554" s="19"/>
      <c r="C554" s="18" t="s">
        <v>55</v>
      </c>
      <c r="D554" s="19"/>
      <c r="E554" s="25"/>
      <c r="F554" s="19"/>
      <c r="G554" s="21">
        <v>0</v>
      </c>
      <c r="H554" s="21"/>
      <c r="I554" s="21"/>
      <c r="J554" s="21"/>
      <c r="K554" s="19"/>
      <c r="L554" s="19"/>
      <c r="M554" s="22">
        <v>1</v>
      </c>
      <c r="N554" s="19"/>
      <c r="O554" s="25"/>
      <c r="P554" s="23"/>
      <c r="Q554" s="21" t="s">
        <v>46</v>
      </c>
      <c r="R554" s="19" t="s">
        <v>47</v>
      </c>
      <c r="S554" s="21"/>
      <c r="T554" s="19"/>
      <c r="U554" s="21"/>
      <c r="V554" s="7"/>
      <c r="W554" s="7"/>
      <c r="X554" s="51" t="str">
        <f t="shared" si="4"/>
        <v/>
      </c>
      <c r="Y554" s="51" t="str">
        <f t="shared" si="5"/>
        <v/>
      </c>
      <c r="Z554" s="37"/>
    </row>
    <row r="555" spans="1:26" ht="14.25" customHeight="1" x14ac:dyDescent="0.3">
      <c r="A555" s="18">
        <v>138.19999999999999</v>
      </c>
      <c r="B555" s="19"/>
      <c r="C555" s="18" t="s">
        <v>55</v>
      </c>
      <c r="D555" s="19"/>
      <c r="E555" s="25"/>
      <c r="F555" s="19"/>
      <c r="G555" s="21">
        <v>0</v>
      </c>
      <c r="H555" s="21"/>
      <c r="I555" s="21"/>
      <c r="J555" s="21"/>
      <c r="K555" s="19"/>
      <c r="L555" s="19"/>
      <c r="M555" s="22">
        <v>1</v>
      </c>
      <c r="N555" s="19"/>
      <c r="O555" s="25"/>
      <c r="P555" s="23"/>
      <c r="Q555" s="21" t="s">
        <v>46</v>
      </c>
      <c r="R555" s="19" t="s">
        <v>47</v>
      </c>
      <c r="S555" s="21"/>
      <c r="T555" s="19"/>
      <c r="U555" s="21"/>
      <c r="V555" s="7"/>
      <c r="W555" s="7"/>
      <c r="X555" s="51" t="str">
        <f t="shared" si="4"/>
        <v/>
      </c>
      <c r="Y555" s="51" t="str">
        <f t="shared" si="5"/>
        <v/>
      </c>
      <c r="Z555" s="37"/>
    </row>
    <row r="556" spans="1:26" ht="14.25" customHeight="1" x14ac:dyDescent="0.3">
      <c r="A556" s="18">
        <v>138.30000000000001</v>
      </c>
      <c r="B556" s="19"/>
      <c r="C556" s="18" t="s">
        <v>55</v>
      </c>
      <c r="D556" s="19"/>
      <c r="E556" s="25"/>
      <c r="F556" s="19"/>
      <c r="G556" s="21">
        <v>0</v>
      </c>
      <c r="H556" s="21"/>
      <c r="I556" s="21"/>
      <c r="J556" s="21"/>
      <c r="K556" s="19"/>
      <c r="L556" s="19"/>
      <c r="M556" s="22">
        <v>1</v>
      </c>
      <c r="N556" s="19"/>
      <c r="O556" s="25"/>
      <c r="P556" s="23"/>
      <c r="Q556" s="21" t="s">
        <v>46</v>
      </c>
      <c r="R556" s="19" t="s">
        <v>47</v>
      </c>
      <c r="S556" s="21"/>
      <c r="T556" s="19"/>
      <c r="U556" s="21"/>
      <c r="V556" s="7"/>
      <c r="W556" s="7"/>
      <c r="X556" s="51" t="str">
        <f t="shared" si="4"/>
        <v/>
      </c>
      <c r="Y556" s="51" t="str">
        <f t="shared" si="5"/>
        <v/>
      </c>
      <c r="Z556" s="37"/>
    </row>
    <row r="557" spans="1:26" ht="14.25" customHeight="1" x14ac:dyDescent="0.3">
      <c r="A557" s="18">
        <v>138.4</v>
      </c>
      <c r="B557" s="19"/>
      <c r="C557" s="18" t="s">
        <v>55</v>
      </c>
      <c r="D557" s="19"/>
      <c r="E557" s="25"/>
      <c r="F557" s="19"/>
      <c r="G557" s="21">
        <v>0</v>
      </c>
      <c r="H557" s="21"/>
      <c r="I557" s="21"/>
      <c r="J557" s="21"/>
      <c r="K557" s="19"/>
      <c r="L557" s="19"/>
      <c r="M557" s="22">
        <v>1</v>
      </c>
      <c r="N557" s="19"/>
      <c r="O557" s="25"/>
      <c r="P557" s="23"/>
      <c r="Q557" s="21" t="s">
        <v>46</v>
      </c>
      <c r="R557" s="19" t="s">
        <v>47</v>
      </c>
      <c r="S557" s="21"/>
      <c r="T557" s="19"/>
      <c r="U557" s="21"/>
      <c r="V557" s="7"/>
      <c r="W557" s="7"/>
      <c r="X557" s="51" t="str">
        <f t="shared" si="4"/>
        <v/>
      </c>
      <c r="Y557" s="51" t="str">
        <f t="shared" si="5"/>
        <v/>
      </c>
      <c r="Z557" s="37"/>
    </row>
    <row r="558" spans="1:26" ht="14.25" customHeight="1" x14ac:dyDescent="0.3">
      <c r="A558" s="18">
        <v>139.1</v>
      </c>
      <c r="B558" s="19"/>
      <c r="C558" s="18" t="s">
        <v>55</v>
      </c>
      <c r="D558" s="19"/>
      <c r="E558" s="25"/>
      <c r="F558" s="19"/>
      <c r="G558" s="21">
        <v>0</v>
      </c>
      <c r="H558" s="21"/>
      <c r="I558" s="21"/>
      <c r="J558" s="21"/>
      <c r="K558" s="19"/>
      <c r="L558" s="19"/>
      <c r="M558" s="22">
        <v>1</v>
      </c>
      <c r="N558" s="19"/>
      <c r="O558" s="25"/>
      <c r="P558" s="23"/>
      <c r="Q558" s="21" t="s">
        <v>46</v>
      </c>
      <c r="R558" s="19" t="s">
        <v>47</v>
      </c>
      <c r="S558" s="21"/>
      <c r="T558" s="19"/>
      <c r="U558" s="21"/>
      <c r="V558" s="7"/>
      <c r="W558" s="7"/>
      <c r="X558" s="51" t="str">
        <f t="shared" si="4"/>
        <v/>
      </c>
      <c r="Y558" s="51" t="str">
        <f t="shared" si="5"/>
        <v/>
      </c>
      <c r="Z558" s="37"/>
    </row>
    <row r="559" spans="1:26" ht="14.25" customHeight="1" x14ac:dyDescent="0.3">
      <c r="A559" s="18">
        <v>139.19999999999999</v>
      </c>
      <c r="B559" s="19"/>
      <c r="C559" s="18" t="s">
        <v>55</v>
      </c>
      <c r="D559" s="19"/>
      <c r="E559" s="25"/>
      <c r="F559" s="19"/>
      <c r="G559" s="21">
        <v>0</v>
      </c>
      <c r="H559" s="21"/>
      <c r="I559" s="21"/>
      <c r="J559" s="21"/>
      <c r="K559" s="19"/>
      <c r="L559" s="19"/>
      <c r="M559" s="22">
        <v>1</v>
      </c>
      <c r="N559" s="19"/>
      <c r="O559" s="25"/>
      <c r="P559" s="23"/>
      <c r="Q559" s="21" t="s">
        <v>46</v>
      </c>
      <c r="R559" s="19" t="s">
        <v>47</v>
      </c>
      <c r="S559" s="21"/>
      <c r="T559" s="19"/>
      <c r="U559" s="21"/>
      <c r="V559" s="7"/>
      <c r="W559" s="7"/>
      <c r="X559" s="51" t="str">
        <f t="shared" si="4"/>
        <v/>
      </c>
      <c r="Y559" s="51" t="str">
        <f t="shared" si="5"/>
        <v/>
      </c>
      <c r="Z559" s="37"/>
    </row>
    <row r="560" spans="1:26" ht="14.25" customHeight="1" x14ac:dyDescent="0.3">
      <c r="A560" s="18">
        <v>139.30000000000001</v>
      </c>
      <c r="B560" s="19"/>
      <c r="C560" s="18" t="s">
        <v>55</v>
      </c>
      <c r="D560" s="19"/>
      <c r="E560" s="25"/>
      <c r="F560" s="19"/>
      <c r="G560" s="21">
        <v>0</v>
      </c>
      <c r="H560" s="21"/>
      <c r="I560" s="21"/>
      <c r="J560" s="21"/>
      <c r="K560" s="19"/>
      <c r="L560" s="19"/>
      <c r="M560" s="22">
        <v>1</v>
      </c>
      <c r="N560" s="19"/>
      <c r="O560" s="25"/>
      <c r="P560" s="23"/>
      <c r="Q560" s="21" t="s">
        <v>46</v>
      </c>
      <c r="R560" s="19" t="s">
        <v>47</v>
      </c>
      <c r="S560" s="21"/>
      <c r="T560" s="19"/>
      <c r="U560" s="21"/>
      <c r="V560" s="7"/>
      <c r="W560" s="7"/>
      <c r="X560" s="51" t="str">
        <f t="shared" si="4"/>
        <v/>
      </c>
      <c r="Y560" s="51" t="str">
        <f t="shared" si="5"/>
        <v/>
      </c>
      <c r="Z560" s="37"/>
    </row>
    <row r="561" spans="1:26" ht="14.25" customHeight="1" x14ac:dyDescent="0.3">
      <c r="A561" s="18">
        <v>139.4</v>
      </c>
      <c r="B561" s="19"/>
      <c r="C561" s="18" t="s">
        <v>55</v>
      </c>
      <c r="D561" s="19"/>
      <c r="E561" s="25"/>
      <c r="F561" s="19"/>
      <c r="G561" s="21">
        <v>0</v>
      </c>
      <c r="H561" s="21"/>
      <c r="I561" s="21"/>
      <c r="J561" s="21"/>
      <c r="K561" s="19"/>
      <c r="L561" s="19"/>
      <c r="M561" s="22">
        <v>1</v>
      </c>
      <c r="N561" s="19"/>
      <c r="O561" s="25"/>
      <c r="P561" s="23"/>
      <c r="Q561" s="21" t="s">
        <v>46</v>
      </c>
      <c r="R561" s="19" t="s">
        <v>47</v>
      </c>
      <c r="S561" s="21"/>
      <c r="T561" s="19"/>
      <c r="U561" s="21"/>
      <c r="V561" s="7"/>
      <c r="W561" s="7"/>
      <c r="X561" s="51" t="str">
        <f t="shared" si="4"/>
        <v/>
      </c>
      <c r="Y561" s="51" t="str">
        <f t="shared" si="5"/>
        <v/>
      </c>
      <c r="Z561" s="37"/>
    </row>
    <row r="562" spans="1:26" ht="14.25" customHeight="1" x14ac:dyDescent="0.3">
      <c r="A562" s="18">
        <v>140.1</v>
      </c>
      <c r="B562" s="19"/>
      <c r="C562" s="18" t="s">
        <v>55</v>
      </c>
      <c r="D562" s="19"/>
      <c r="E562" s="25"/>
      <c r="F562" s="19"/>
      <c r="G562" s="21">
        <v>0</v>
      </c>
      <c r="H562" s="21"/>
      <c r="I562" s="21"/>
      <c r="J562" s="21"/>
      <c r="K562" s="19"/>
      <c r="L562" s="19"/>
      <c r="M562" s="22">
        <v>1</v>
      </c>
      <c r="N562" s="19"/>
      <c r="O562" s="25"/>
      <c r="P562" s="23"/>
      <c r="Q562" s="21" t="s">
        <v>46</v>
      </c>
      <c r="R562" s="19" t="s">
        <v>47</v>
      </c>
      <c r="S562" s="21"/>
      <c r="T562" s="19"/>
      <c r="U562" s="21"/>
      <c r="V562" s="7"/>
      <c r="W562" s="7"/>
      <c r="X562" s="51" t="str">
        <f t="shared" si="4"/>
        <v/>
      </c>
      <c r="Y562" s="51" t="str">
        <f t="shared" si="5"/>
        <v/>
      </c>
      <c r="Z562" s="37"/>
    </row>
    <row r="563" spans="1:26" ht="14.25" customHeight="1" x14ac:dyDescent="0.3">
      <c r="A563" s="18">
        <v>140.19999999999999</v>
      </c>
      <c r="B563" s="19"/>
      <c r="C563" s="18" t="s">
        <v>55</v>
      </c>
      <c r="D563" s="19"/>
      <c r="E563" s="25"/>
      <c r="F563" s="19"/>
      <c r="G563" s="21">
        <v>0</v>
      </c>
      <c r="H563" s="21"/>
      <c r="I563" s="21"/>
      <c r="J563" s="21"/>
      <c r="K563" s="19"/>
      <c r="L563" s="19"/>
      <c r="M563" s="22">
        <v>1</v>
      </c>
      <c r="N563" s="19"/>
      <c r="O563" s="25"/>
      <c r="P563" s="23"/>
      <c r="Q563" s="21" t="s">
        <v>46</v>
      </c>
      <c r="R563" s="19" t="s">
        <v>47</v>
      </c>
      <c r="S563" s="21"/>
      <c r="T563" s="19"/>
      <c r="U563" s="21"/>
      <c r="V563" s="7"/>
      <c r="W563" s="7"/>
      <c r="X563" s="51" t="str">
        <f t="shared" si="4"/>
        <v/>
      </c>
      <c r="Y563" s="51" t="str">
        <f t="shared" si="5"/>
        <v/>
      </c>
      <c r="Z563" s="37"/>
    </row>
    <row r="564" spans="1:26" ht="14.25" customHeight="1" x14ac:dyDescent="0.3">
      <c r="A564" s="18">
        <v>140.30000000000001</v>
      </c>
      <c r="B564" s="19"/>
      <c r="C564" s="18" t="s">
        <v>55</v>
      </c>
      <c r="D564" s="19"/>
      <c r="E564" s="25"/>
      <c r="F564" s="19"/>
      <c r="G564" s="21">
        <v>0</v>
      </c>
      <c r="H564" s="21"/>
      <c r="I564" s="21"/>
      <c r="J564" s="21"/>
      <c r="K564" s="19"/>
      <c r="L564" s="19"/>
      <c r="M564" s="22">
        <v>1</v>
      </c>
      <c r="N564" s="19"/>
      <c r="O564" s="25"/>
      <c r="P564" s="23"/>
      <c r="Q564" s="21" t="s">
        <v>46</v>
      </c>
      <c r="R564" s="19" t="s">
        <v>47</v>
      </c>
      <c r="S564" s="21"/>
      <c r="T564" s="19"/>
      <c r="U564" s="21"/>
      <c r="V564" s="7"/>
      <c r="W564" s="7"/>
      <c r="X564" s="51" t="str">
        <f t="shared" si="4"/>
        <v/>
      </c>
      <c r="Y564" s="51" t="str">
        <f t="shared" si="5"/>
        <v/>
      </c>
      <c r="Z564" s="37"/>
    </row>
    <row r="565" spans="1:26" ht="14.25" customHeight="1" x14ac:dyDescent="0.3">
      <c r="A565" s="18">
        <v>140.4</v>
      </c>
      <c r="B565" s="19"/>
      <c r="C565" s="18" t="s">
        <v>55</v>
      </c>
      <c r="D565" s="19"/>
      <c r="E565" s="25"/>
      <c r="F565" s="19"/>
      <c r="G565" s="21">
        <v>0</v>
      </c>
      <c r="H565" s="21"/>
      <c r="I565" s="21"/>
      <c r="J565" s="21"/>
      <c r="K565" s="19"/>
      <c r="L565" s="19"/>
      <c r="M565" s="22">
        <v>1</v>
      </c>
      <c r="N565" s="19"/>
      <c r="O565" s="25"/>
      <c r="P565" s="23"/>
      <c r="Q565" s="21" t="s">
        <v>46</v>
      </c>
      <c r="R565" s="19" t="s">
        <v>47</v>
      </c>
      <c r="S565" s="21"/>
      <c r="T565" s="19"/>
      <c r="U565" s="21"/>
      <c r="V565" s="7"/>
      <c r="W565" s="7"/>
      <c r="X565" s="51" t="str">
        <f t="shared" si="4"/>
        <v/>
      </c>
      <c r="Y565" s="51" t="str">
        <f t="shared" si="5"/>
        <v/>
      </c>
      <c r="Z565" s="37"/>
    </row>
    <row r="566" spans="1:26" ht="14.25" customHeight="1" x14ac:dyDescent="0.3">
      <c r="A566" s="18">
        <v>141.1</v>
      </c>
      <c r="B566" s="19"/>
      <c r="C566" s="18" t="s">
        <v>55</v>
      </c>
      <c r="D566" s="19"/>
      <c r="E566" s="25"/>
      <c r="F566" s="19"/>
      <c r="G566" s="21">
        <v>0</v>
      </c>
      <c r="H566" s="21"/>
      <c r="I566" s="21"/>
      <c r="J566" s="21"/>
      <c r="K566" s="19"/>
      <c r="L566" s="19"/>
      <c r="M566" s="22">
        <v>1</v>
      </c>
      <c r="N566" s="19"/>
      <c r="O566" s="25"/>
      <c r="P566" s="23"/>
      <c r="Q566" s="21" t="s">
        <v>46</v>
      </c>
      <c r="R566" s="19" t="s">
        <v>47</v>
      </c>
      <c r="S566" s="21"/>
      <c r="T566" s="19"/>
      <c r="U566" s="21"/>
      <c r="V566" s="7"/>
      <c r="W566" s="7"/>
      <c r="X566" s="51" t="str">
        <f t="shared" si="4"/>
        <v/>
      </c>
      <c r="Y566" s="51" t="str">
        <f t="shared" si="5"/>
        <v/>
      </c>
      <c r="Z566" s="37"/>
    </row>
    <row r="567" spans="1:26" ht="14.25" customHeight="1" x14ac:dyDescent="0.3">
      <c r="A567" s="18">
        <v>141.19999999999999</v>
      </c>
      <c r="B567" s="19"/>
      <c r="C567" s="18" t="s">
        <v>55</v>
      </c>
      <c r="D567" s="19"/>
      <c r="E567" s="25"/>
      <c r="F567" s="19"/>
      <c r="G567" s="21">
        <v>0</v>
      </c>
      <c r="H567" s="21"/>
      <c r="I567" s="21"/>
      <c r="J567" s="21"/>
      <c r="K567" s="19"/>
      <c r="L567" s="19"/>
      <c r="M567" s="22">
        <v>1</v>
      </c>
      <c r="N567" s="19"/>
      <c r="O567" s="25"/>
      <c r="P567" s="23"/>
      <c r="Q567" s="21" t="s">
        <v>46</v>
      </c>
      <c r="R567" s="19" t="s">
        <v>47</v>
      </c>
      <c r="S567" s="21"/>
      <c r="T567" s="19"/>
      <c r="U567" s="21"/>
      <c r="V567" s="7"/>
      <c r="W567" s="7"/>
      <c r="X567" s="51" t="str">
        <f t="shared" si="4"/>
        <v/>
      </c>
      <c r="Y567" s="51" t="str">
        <f t="shared" si="5"/>
        <v/>
      </c>
      <c r="Z567" s="37"/>
    </row>
    <row r="568" spans="1:26" ht="14.25" customHeight="1" x14ac:dyDescent="0.3">
      <c r="A568" s="18">
        <v>141.30000000000001</v>
      </c>
      <c r="B568" s="19"/>
      <c r="C568" s="18" t="s">
        <v>55</v>
      </c>
      <c r="D568" s="19"/>
      <c r="E568" s="25"/>
      <c r="F568" s="19"/>
      <c r="G568" s="21">
        <v>0</v>
      </c>
      <c r="H568" s="21"/>
      <c r="I568" s="21"/>
      <c r="J568" s="21"/>
      <c r="K568" s="19"/>
      <c r="L568" s="19"/>
      <c r="M568" s="22">
        <v>1</v>
      </c>
      <c r="N568" s="19"/>
      <c r="O568" s="25"/>
      <c r="P568" s="23"/>
      <c r="Q568" s="21" t="s">
        <v>46</v>
      </c>
      <c r="R568" s="19" t="s">
        <v>47</v>
      </c>
      <c r="S568" s="21"/>
      <c r="T568" s="19"/>
      <c r="U568" s="21"/>
      <c r="V568" s="7"/>
      <c r="W568" s="7"/>
      <c r="X568" s="51" t="str">
        <f t="shared" si="4"/>
        <v/>
      </c>
      <c r="Y568" s="51" t="str">
        <f t="shared" si="5"/>
        <v/>
      </c>
      <c r="Z568" s="37"/>
    </row>
    <row r="569" spans="1:26" ht="14.25" customHeight="1" x14ac:dyDescent="0.3">
      <c r="A569" s="18">
        <v>141.4</v>
      </c>
      <c r="B569" s="19"/>
      <c r="C569" s="18" t="s">
        <v>55</v>
      </c>
      <c r="D569" s="19"/>
      <c r="E569" s="25"/>
      <c r="F569" s="19"/>
      <c r="G569" s="21">
        <v>0</v>
      </c>
      <c r="H569" s="21"/>
      <c r="I569" s="21"/>
      <c r="J569" s="21"/>
      <c r="K569" s="19"/>
      <c r="L569" s="19"/>
      <c r="M569" s="22">
        <v>1</v>
      </c>
      <c r="N569" s="19"/>
      <c r="O569" s="25"/>
      <c r="P569" s="23"/>
      <c r="Q569" s="21" t="s">
        <v>46</v>
      </c>
      <c r="R569" s="19" t="s">
        <v>47</v>
      </c>
      <c r="S569" s="21"/>
      <c r="T569" s="19"/>
      <c r="U569" s="21"/>
      <c r="V569" s="7"/>
      <c r="W569" s="7"/>
      <c r="X569" s="51" t="str">
        <f t="shared" si="4"/>
        <v/>
      </c>
      <c r="Y569" s="51" t="str">
        <f t="shared" si="5"/>
        <v/>
      </c>
      <c r="Z569" s="37"/>
    </row>
    <row r="570" spans="1:26" ht="14.25" customHeight="1" x14ac:dyDescent="0.3">
      <c r="A570" s="18">
        <v>142.1</v>
      </c>
      <c r="B570" s="19"/>
      <c r="C570" s="18" t="s">
        <v>55</v>
      </c>
      <c r="D570" s="19"/>
      <c r="E570" s="25"/>
      <c r="F570" s="19"/>
      <c r="G570" s="21">
        <v>0</v>
      </c>
      <c r="H570" s="21"/>
      <c r="I570" s="21"/>
      <c r="J570" s="21"/>
      <c r="K570" s="19"/>
      <c r="L570" s="19"/>
      <c r="M570" s="22">
        <v>1</v>
      </c>
      <c r="N570" s="19"/>
      <c r="O570" s="25"/>
      <c r="P570" s="23"/>
      <c r="Q570" s="21" t="s">
        <v>46</v>
      </c>
      <c r="R570" s="19" t="s">
        <v>47</v>
      </c>
      <c r="S570" s="21"/>
      <c r="T570" s="19"/>
      <c r="U570" s="21"/>
      <c r="V570" s="7"/>
      <c r="W570" s="7"/>
      <c r="X570" s="51" t="str">
        <f t="shared" si="4"/>
        <v/>
      </c>
      <c r="Y570" s="51" t="str">
        <f t="shared" si="5"/>
        <v/>
      </c>
      <c r="Z570" s="37"/>
    </row>
    <row r="571" spans="1:26" ht="14.25" customHeight="1" x14ac:dyDescent="0.3">
      <c r="A571" s="18">
        <v>142.19999999999999</v>
      </c>
      <c r="B571" s="19"/>
      <c r="C571" s="18" t="s">
        <v>55</v>
      </c>
      <c r="D571" s="19"/>
      <c r="E571" s="25"/>
      <c r="F571" s="19"/>
      <c r="G571" s="21">
        <v>0</v>
      </c>
      <c r="H571" s="21"/>
      <c r="I571" s="21"/>
      <c r="J571" s="21"/>
      <c r="K571" s="19"/>
      <c r="L571" s="19"/>
      <c r="M571" s="22">
        <v>1</v>
      </c>
      <c r="N571" s="19"/>
      <c r="O571" s="25"/>
      <c r="P571" s="23"/>
      <c r="Q571" s="21" t="s">
        <v>46</v>
      </c>
      <c r="R571" s="19" t="s">
        <v>47</v>
      </c>
      <c r="S571" s="21"/>
      <c r="T571" s="19"/>
      <c r="U571" s="21"/>
      <c r="V571" s="7"/>
      <c r="W571" s="7"/>
      <c r="X571" s="51" t="str">
        <f t="shared" si="4"/>
        <v/>
      </c>
      <c r="Y571" s="51" t="str">
        <f t="shared" si="5"/>
        <v/>
      </c>
      <c r="Z571" s="37"/>
    </row>
    <row r="572" spans="1:26" ht="14.25" customHeight="1" x14ac:dyDescent="0.3">
      <c r="A572" s="18">
        <v>142.30000000000001</v>
      </c>
      <c r="B572" s="19"/>
      <c r="C572" s="18" t="s">
        <v>55</v>
      </c>
      <c r="D572" s="19"/>
      <c r="E572" s="25"/>
      <c r="F572" s="19"/>
      <c r="G572" s="21">
        <v>0</v>
      </c>
      <c r="H572" s="21"/>
      <c r="I572" s="21"/>
      <c r="J572" s="21"/>
      <c r="K572" s="19"/>
      <c r="L572" s="19"/>
      <c r="M572" s="22">
        <v>1</v>
      </c>
      <c r="N572" s="19"/>
      <c r="O572" s="25"/>
      <c r="P572" s="23"/>
      <c r="Q572" s="21" t="s">
        <v>46</v>
      </c>
      <c r="R572" s="19" t="s">
        <v>47</v>
      </c>
      <c r="S572" s="21"/>
      <c r="T572" s="19"/>
      <c r="U572" s="21"/>
      <c r="V572" s="7"/>
      <c r="W572" s="7"/>
      <c r="X572" s="51" t="str">
        <f t="shared" si="4"/>
        <v/>
      </c>
      <c r="Y572" s="51" t="str">
        <f t="shared" si="5"/>
        <v/>
      </c>
      <c r="Z572" s="37"/>
    </row>
    <row r="573" spans="1:26" ht="14.25" customHeight="1" x14ac:dyDescent="0.3">
      <c r="A573" s="18">
        <v>142.4</v>
      </c>
      <c r="B573" s="19"/>
      <c r="C573" s="18" t="s">
        <v>55</v>
      </c>
      <c r="D573" s="19"/>
      <c r="E573" s="25"/>
      <c r="F573" s="19"/>
      <c r="G573" s="21">
        <v>0</v>
      </c>
      <c r="H573" s="21"/>
      <c r="I573" s="21"/>
      <c r="J573" s="21"/>
      <c r="K573" s="19"/>
      <c r="L573" s="19"/>
      <c r="M573" s="22">
        <v>1</v>
      </c>
      <c r="N573" s="19"/>
      <c r="O573" s="25"/>
      <c r="P573" s="23"/>
      <c r="Q573" s="21" t="s">
        <v>46</v>
      </c>
      <c r="R573" s="19" t="s">
        <v>47</v>
      </c>
      <c r="S573" s="21"/>
      <c r="T573" s="19"/>
      <c r="U573" s="21"/>
      <c r="V573" s="7"/>
      <c r="W573" s="7"/>
      <c r="X573" s="51" t="str">
        <f t="shared" si="4"/>
        <v/>
      </c>
      <c r="Y573" s="51" t="str">
        <f t="shared" si="5"/>
        <v/>
      </c>
      <c r="Z573" s="37"/>
    </row>
    <row r="574" spans="1:26" ht="14.25" customHeight="1" x14ac:dyDescent="0.3">
      <c r="A574" s="18">
        <v>143.1</v>
      </c>
      <c r="B574" s="19"/>
      <c r="C574" s="18" t="s">
        <v>55</v>
      </c>
      <c r="D574" s="19"/>
      <c r="E574" s="25"/>
      <c r="F574" s="19"/>
      <c r="G574" s="21">
        <v>0</v>
      </c>
      <c r="H574" s="21"/>
      <c r="I574" s="21"/>
      <c r="J574" s="21"/>
      <c r="K574" s="19"/>
      <c r="L574" s="19"/>
      <c r="M574" s="22">
        <v>1</v>
      </c>
      <c r="N574" s="19"/>
      <c r="O574" s="25"/>
      <c r="P574" s="23"/>
      <c r="Q574" s="21" t="s">
        <v>46</v>
      </c>
      <c r="R574" s="19" t="s">
        <v>47</v>
      </c>
      <c r="S574" s="21"/>
      <c r="T574" s="19"/>
      <c r="U574" s="21"/>
      <c r="V574" s="7"/>
      <c r="W574" s="7"/>
      <c r="X574" s="51" t="str">
        <f t="shared" si="4"/>
        <v/>
      </c>
      <c r="Y574" s="51" t="str">
        <f t="shared" si="5"/>
        <v/>
      </c>
      <c r="Z574" s="37"/>
    </row>
    <row r="575" spans="1:26" ht="14.25" customHeight="1" x14ac:dyDescent="0.3">
      <c r="A575" s="18">
        <v>143.19999999999999</v>
      </c>
      <c r="B575" s="19"/>
      <c r="C575" s="18" t="s">
        <v>55</v>
      </c>
      <c r="D575" s="19"/>
      <c r="E575" s="25"/>
      <c r="F575" s="19"/>
      <c r="G575" s="21">
        <v>0</v>
      </c>
      <c r="H575" s="21"/>
      <c r="I575" s="21"/>
      <c r="J575" s="21"/>
      <c r="K575" s="19"/>
      <c r="L575" s="19"/>
      <c r="M575" s="22">
        <v>1</v>
      </c>
      <c r="N575" s="19"/>
      <c r="O575" s="25"/>
      <c r="P575" s="23"/>
      <c r="Q575" s="21" t="s">
        <v>46</v>
      </c>
      <c r="R575" s="19" t="s">
        <v>47</v>
      </c>
      <c r="S575" s="21"/>
      <c r="T575" s="19"/>
      <c r="U575" s="21"/>
      <c r="V575" s="7"/>
      <c r="W575" s="7"/>
      <c r="X575" s="51" t="str">
        <f t="shared" si="4"/>
        <v/>
      </c>
      <c r="Y575" s="51" t="str">
        <f t="shared" si="5"/>
        <v/>
      </c>
      <c r="Z575" s="37"/>
    </row>
    <row r="576" spans="1:26" ht="14.25" customHeight="1" x14ac:dyDescent="0.3">
      <c r="A576" s="18">
        <v>143.30000000000001</v>
      </c>
      <c r="B576" s="19"/>
      <c r="C576" s="18" t="s">
        <v>55</v>
      </c>
      <c r="D576" s="19"/>
      <c r="E576" s="25"/>
      <c r="F576" s="19"/>
      <c r="G576" s="21">
        <v>0</v>
      </c>
      <c r="H576" s="21"/>
      <c r="I576" s="21"/>
      <c r="J576" s="21"/>
      <c r="K576" s="19"/>
      <c r="L576" s="19"/>
      <c r="M576" s="22">
        <v>1</v>
      </c>
      <c r="N576" s="19"/>
      <c r="O576" s="25"/>
      <c r="P576" s="23"/>
      <c r="Q576" s="21" t="s">
        <v>46</v>
      </c>
      <c r="R576" s="19" t="s">
        <v>47</v>
      </c>
      <c r="S576" s="21"/>
      <c r="T576" s="19"/>
      <c r="U576" s="21"/>
      <c r="V576" s="7"/>
      <c r="W576" s="7"/>
      <c r="X576" s="51" t="str">
        <f t="shared" si="4"/>
        <v/>
      </c>
      <c r="Y576" s="51" t="str">
        <f t="shared" si="5"/>
        <v/>
      </c>
      <c r="Z576" s="37"/>
    </row>
    <row r="577" spans="1:26" ht="14.25" customHeight="1" x14ac:dyDescent="0.3">
      <c r="A577" s="18">
        <v>143.4</v>
      </c>
      <c r="B577" s="19"/>
      <c r="C577" s="18" t="s">
        <v>55</v>
      </c>
      <c r="D577" s="19"/>
      <c r="E577" s="25"/>
      <c r="F577" s="19"/>
      <c r="G577" s="21">
        <v>0</v>
      </c>
      <c r="H577" s="21"/>
      <c r="I577" s="21"/>
      <c r="J577" s="21"/>
      <c r="K577" s="19"/>
      <c r="L577" s="19"/>
      <c r="M577" s="22">
        <v>1</v>
      </c>
      <c r="N577" s="19"/>
      <c r="O577" s="25"/>
      <c r="P577" s="23"/>
      <c r="Q577" s="21" t="s">
        <v>46</v>
      </c>
      <c r="R577" s="19" t="s">
        <v>47</v>
      </c>
      <c r="S577" s="21"/>
      <c r="T577" s="19"/>
      <c r="U577" s="21"/>
      <c r="V577" s="7"/>
      <c r="W577" s="7"/>
      <c r="X577" s="51" t="str">
        <f t="shared" si="4"/>
        <v/>
      </c>
      <c r="Y577" s="51" t="str">
        <f t="shared" si="5"/>
        <v/>
      </c>
      <c r="Z577" s="37"/>
    </row>
    <row r="578" spans="1:26" ht="14.25" customHeight="1" x14ac:dyDescent="0.3">
      <c r="A578" s="18">
        <v>144.1</v>
      </c>
      <c r="B578" s="19"/>
      <c r="C578" s="18" t="s">
        <v>55</v>
      </c>
      <c r="D578" s="19"/>
      <c r="E578" s="25"/>
      <c r="F578" s="19"/>
      <c r="G578" s="21">
        <v>0</v>
      </c>
      <c r="H578" s="21"/>
      <c r="I578" s="21"/>
      <c r="J578" s="21"/>
      <c r="K578" s="19"/>
      <c r="L578" s="19"/>
      <c r="M578" s="22">
        <v>1</v>
      </c>
      <c r="N578" s="19"/>
      <c r="O578" s="25"/>
      <c r="P578" s="23"/>
      <c r="Q578" s="21" t="s">
        <v>46</v>
      </c>
      <c r="R578" s="19" t="s">
        <v>47</v>
      </c>
      <c r="S578" s="21"/>
      <c r="T578" s="19"/>
      <c r="U578" s="21"/>
      <c r="V578" s="7"/>
      <c r="W578" s="7"/>
      <c r="X578" s="51" t="str">
        <f t="shared" si="4"/>
        <v/>
      </c>
      <c r="Y578" s="51" t="str">
        <f t="shared" si="5"/>
        <v/>
      </c>
      <c r="Z578" s="37"/>
    </row>
    <row r="579" spans="1:26" ht="14.25" customHeight="1" x14ac:dyDescent="0.3">
      <c r="A579" s="18">
        <v>144.19999999999999</v>
      </c>
      <c r="B579" s="19"/>
      <c r="C579" s="18" t="s">
        <v>55</v>
      </c>
      <c r="D579" s="19"/>
      <c r="E579" s="25"/>
      <c r="F579" s="19"/>
      <c r="G579" s="21">
        <v>0</v>
      </c>
      <c r="H579" s="21"/>
      <c r="I579" s="21"/>
      <c r="J579" s="21"/>
      <c r="K579" s="19"/>
      <c r="L579" s="19"/>
      <c r="M579" s="22">
        <v>1</v>
      </c>
      <c r="N579" s="19"/>
      <c r="O579" s="25"/>
      <c r="P579" s="23"/>
      <c r="Q579" s="21" t="s">
        <v>46</v>
      </c>
      <c r="R579" s="19" t="s">
        <v>47</v>
      </c>
      <c r="S579" s="21"/>
      <c r="T579" s="19"/>
      <c r="U579" s="21"/>
      <c r="V579" s="7"/>
      <c r="W579" s="7"/>
      <c r="X579" s="51" t="str">
        <f t="shared" si="4"/>
        <v/>
      </c>
      <c r="Y579" s="51" t="str">
        <f t="shared" si="5"/>
        <v/>
      </c>
      <c r="Z579" s="37"/>
    </row>
    <row r="580" spans="1:26" ht="14.25" customHeight="1" x14ac:dyDescent="0.3">
      <c r="A580" s="18">
        <v>144.30000000000001</v>
      </c>
      <c r="B580" s="19"/>
      <c r="C580" s="18" t="s">
        <v>55</v>
      </c>
      <c r="D580" s="19"/>
      <c r="E580" s="25"/>
      <c r="F580" s="19"/>
      <c r="G580" s="21">
        <v>0</v>
      </c>
      <c r="H580" s="21"/>
      <c r="I580" s="21"/>
      <c r="J580" s="21"/>
      <c r="K580" s="19"/>
      <c r="L580" s="19"/>
      <c r="M580" s="22">
        <v>1</v>
      </c>
      <c r="N580" s="19"/>
      <c r="O580" s="25"/>
      <c r="P580" s="23"/>
      <c r="Q580" s="21" t="s">
        <v>46</v>
      </c>
      <c r="R580" s="19" t="s">
        <v>47</v>
      </c>
      <c r="S580" s="21"/>
      <c r="T580" s="19"/>
      <c r="U580" s="21"/>
      <c r="V580" s="7"/>
      <c r="W580" s="7"/>
      <c r="X580" s="51" t="str">
        <f t="shared" si="4"/>
        <v/>
      </c>
      <c r="Y580" s="51" t="str">
        <f t="shared" si="5"/>
        <v/>
      </c>
      <c r="Z580" s="37"/>
    </row>
    <row r="581" spans="1:26" ht="14.25" customHeight="1" x14ac:dyDescent="0.3">
      <c r="A581" s="18">
        <v>144.4</v>
      </c>
      <c r="B581" s="19"/>
      <c r="C581" s="18" t="s">
        <v>55</v>
      </c>
      <c r="D581" s="19"/>
      <c r="E581" s="25"/>
      <c r="F581" s="19"/>
      <c r="G581" s="21">
        <v>0</v>
      </c>
      <c r="H581" s="21"/>
      <c r="I581" s="21"/>
      <c r="J581" s="21"/>
      <c r="K581" s="19"/>
      <c r="L581" s="19"/>
      <c r="M581" s="22">
        <v>1</v>
      </c>
      <c r="N581" s="19"/>
      <c r="O581" s="25"/>
      <c r="P581" s="23"/>
      <c r="Q581" s="21" t="s">
        <v>46</v>
      </c>
      <c r="R581" s="19" t="s">
        <v>47</v>
      </c>
      <c r="S581" s="21"/>
      <c r="T581" s="19"/>
      <c r="U581" s="21"/>
      <c r="V581" s="7"/>
      <c r="W581" s="7"/>
      <c r="X581" s="51" t="str">
        <f t="shared" si="4"/>
        <v/>
      </c>
      <c r="Y581" s="51" t="str">
        <f t="shared" si="5"/>
        <v/>
      </c>
      <c r="Z581" s="37"/>
    </row>
    <row r="582" spans="1:26" ht="14.25" customHeight="1" x14ac:dyDescent="0.3">
      <c r="A582" s="18">
        <v>145.1</v>
      </c>
      <c r="B582" s="19"/>
      <c r="C582" s="18" t="s">
        <v>55</v>
      </c>
      <c r="D582" s="19"/>
      <c r="E582" s="25"/>
      <c r="F582" s="19"/>
      <c r="G582" s="21">
        <v>0</v>
      </c>
      <c r="H582" s="21"/>
      <c r="I582" s="21"/>
      <c r="J582" s="21"/>
      <c r="K582" s="19"/>
      <c r="L582" s="19"/>
      <c r="M582" s="22">
        <v>1</v>
      </c>
      <c r="N582" s="19"/>
      <c r="O582" s="25"/>
      <c r="P582" s="23"/>
      <c r="Q582" s="21" t="s">
        <v>46</v>
      </c>
      <c r="R582" s="19" t="s">
        <v>47</v>
      </c>
      <c r="S582" s="21"/>
      <c r="T582" s="19"/>
      <c r="U582" s="21"/>
      <c r="V582" s="7"/>
      <c r="W582" s="7"/>
      <c r="X582" s="51" t="str">
        <f t="shared" si="4"/>
        <v/>
      </c>
      <c r="Y582" s="51" t="str">
        <f t="shared" si="5"/>
        <v/>
      </c>
      <c r="Z582" s="37"/>
    </row>
    <row r="583" spans="1:26" ht="14.25" customHeight="1" x14ac:dyDescent="0.3">
      <c r="A583" s="18">
        <v>145.19999999999999</v>
      </c>
      <c r="B583" s="19"/>
      <c r="C583" s="18" t="s">
        <v>55</v>
      </c>
      <c r="D583" s="19"/>
      <c r="E583" s="25"/>
      <c r="F583" s="19"/>
      <c r="G583" s="21">
        <v>0</v>
      </c>
      <c r="H583" s="21"/>
      <c r="I583" s="21"/>
      <c r="J583" s="21"/>
      <c r="K583" s="19"/>
      <c r="L583" s="19"/>
      <c r="M583" s="22">
        <v>1</v>
      </c>
      <c r="N583" s="19"/>
      <c r="O583" s="25"/>
      <c r="P583" s="23"/>
      <c r="Q583" s="21" t="s">
        <v>46</v>
      </c>
      <c r="R583" s="19" t="s">
        <v>47</v>
      </c>
      <c r="S583" s="21"/>
      <c r="T583" s="19"/>
      <c r="U583" s="21"/>
      <c r="V583" s="7"/>
      <c r="W583" s="7"/>
      <c r="X583" s="51" t="str">
        <f t="shared" si="4"/>
        <v/>
      </c>
      <c r="Y583" s="51" t="str">
        <f t="shared" si="5"/>
        <v/>
      </c>
      <c r="Z583" s="37"/>
    </row>
    <row r="584" spans="1:26" ht="14.25" customHeight="1" x14ac:dyDescent="0.3">
      <c r="A584" s="18">
        <v>145.30000000000001</v>
      </c>
      <c r="B584" s="19"/>
      <c r="C584" s="18" t="s">
        <v>55</v>
      </c>
      <c r="D584" s="19"/>
      <c r="E584" s="25"/>
      <c r="F584" s="19"/>
      <c r="G584" s="21">
        <v>0</v>
      </c>
      <c r="H584" s="21"/>
      <c r="I584" s="21"/>
      <c r="J584" s="21"/>
      <c r="K584" s="19"/>
      <c r="L584" s="19"/>
      <c r="M584" s="22">
        <v>1</v>
      </c>
      <c r="N584" s="19"/>
      <c r="O584" s="25"/>
      <c r="P584" s="23"/>
      <c r="Q584" s="21" t="s">
        <v>46</v>
      </c>
      <c r="R584" s="19" t="s">
        <v>47</v>
      </c>
      <c r="S584" s="21"/>
      <c r="T584" s="19"/>
      <c r="U584" s="21"/>
      <c r="V584" s="7"/>
      <c r="W584" s="7"/>
      <c r="X584" s="51" t="str">
        <f t="shared" si="4"/>
        <v/>
      </c>
      <c r="Y584" s="51" t="str">
        <f t="shared" si="5"/>
        <v/>
      </c>
      <c r="Z584" s="37"/>
    </row>
    <row r="585" spans="1:26" ht="14.25" customHeight="1" x14ac:dyDescent="0.3">
      <c r="A585" s="18">
        <v>145.4</v>
      </c>
      <c r="B585" s="19"/>
      <c r="C585" s="18" t="s">
        <v>55</v>
      </c>
      <c r="D585" s="19"/>
      <c r="E585" s="25"/>
      <c r="F585" s="19"/>
      <c r="G585" s="21">
        <v>0</v>
      </c>
      <c r="H585" s="21"/>
      <c r="I585" s="21"/>
      <c r="J585" s="21"/>
      <c r="K585" s="19"/>
      <c r="L585" s="19"/>
      <c r="M585" s="22">
        <v>1</v>
      </c>
      <c r="N585" s="19"/>
      <c r="O585" s="25"/>
      <c r="P585" s="23"/>
      <c r="Q585" s="21" t="s">
        <v>46</v>
      </c>
      <c r="R585" s="19" t="s">
        <v>47</v>
      </c>
      <c r="S585" s="21"/>
      <c r="T585" s="19"/>
      <c r="U585" s="21"/>
      <c r="V585" s="7"/>
      <c r="W585" s="7"/>
      <c r="X585" s="51" t="str">
        <f t="shared" si="4"/>
        <v/>
      </c>
      <c r="Y585" s="51" t="str">
        <f t="shared" si="5"/>
        <v/>
      </c>
      <c r="Z585" s="37"/>
    </row>
    <row r="586" spans="1:26" ht="14.25" customHeight="1" x14ac:dyDescent="0.3">
      <c r="A586" s="18">
        <v>146.1</v>
      </c>
      <c r="B586" s="19"/>
      <c r="C586" s="18" t="s">
        <v>55</v>
      </c>
      <c r="D586" s="19"/>
      <c r="E586" s="25"/>
      <c r="F586" s="19"/>
      <c r="G586" s="21">
        <v>0</v>
      </c>
      <c r="H586" s="21"/>
      <c r="I586" s="21"/>
      <c r="J586" s="21"/>
      <c r="K586" s="19"/>
      <c r="L586" s="19"/>
      <c r="M586" s="22">
        <v>1</v>
      </c>
      <c r="N586" s="19"/>
      <c r="O586" s="25"/>
      <c r="P586" s="23"/>
      <c r="Q586" s="21" t="s">
        <v>46</v>
      </c>
      <c r="R586" s="19" t="s">
        <v>47</v>
      </c>
      <c r="S586" s="21"/>
      <c r="T586" s="19"/>
      <c r="U586" s="21"/>
      <c r="V586" s="7"/>
      <c r="W586" s="7"/>
      <c r="X586" s="51" t="str">
        <f t="shared" si="4"/>
        <v/>
      </c>
      <c r="Y586" s="51" t="str">
        <f t="shared" si="5"/>
        <v/>
      </c>
      <c r="Z586" s="37"/>
    </row>
    <row r="587" spans="1:26" ht="14.25" customHeight="1" x14ac:dyDescent="0.3">
      <c r="A587" s="18">
        <v>146.19999999999999</v>
      </c>
      <c r="B587" s="19"/>
      <c r="C587" s="18" t="s">
        <v>55</v>
      </c>
      <c r="D587" s="19"/>
      <c r="E587" s="25"/>
      <c r="F587" s="19"/>
      <c r="G587" s="21">
        <v>0</v>
      </c>
      <c r="H587" s="21"/>
      <c r="I587" s="21"/>
      <c r="J587" s="21"/>
      <c r="K587" s="19"/>
      <c r="L587" s="19"/>
      <c r="M587" s="22">
        <v>1</v>
      </c>
      <c r="N587" s="19"/>
      <c r="O587" s="25"/>
      <c r="P587" s="23"/>
      <c r="Q587" s="21" t="s">
        <v>46</v>
      </c>
      <c r="R587" s="19" t="s">
        <v>47</v>
      </c>
      <c r="S587" s="21"/>
      <c r="T587" s="19"/>
      <c r="U587" s="21"/>
      <c r="V587" s="7"/>
      <c r="W587" s="7"/>
      <c r="X587" s="51" t="str">
        <f t="shared" si="4"/>
        <v/>
      </c>
      <c r="Y587" s="51" t="str">
        <f t="shared" si="5"/>
        <v/>
      </c>
      <c r="Z587" s="37"/>
    </row>
    <row r="588" spans="1:26" ht="14.25" customHeight="1" x14ac:dyDescent="0.3">
      <c r="A588" s="18">
        <v>146.30000000000001</v>
      </c>
      <c r="B588" s="19"/>
      <c r="C588" s="18" t="s">
        <v>55</v>
      </c>
      <c r="D588" s="19"/>
      <c r="E588" s="25"/>
      <c r="F588" s="19"/>
      <c r="G588" s="21">
        <v>0</v>
      </c>
      <c r="H588" s="21"/>
      <c r="I588" s="21"/>
      <c r="J588" s="21"/>
      <c r="K588" s="19"/>
      <c r="L588" s="19"/>
      <c r="M588" s="22">
        <v>1</v>
      </c>
      <c r="N588" s="19"/>
      <c r="O588" s="25"/>
      <c r="P588" s="23"/>
      <c r="Q588" s="21" t="s">
        <v>46</v>
      </c>
      <c r="R588" s="19" t="s">
        <v>47</v>
      </c>
      <c r="S588" s="21"/>
      <c r="T588" s="19"/>
      <c r="U588" s="21"/>
      <c r="V588" s="7"/>
      <c r="W588" s="7"/>
      <c r="X588" s="51" t="str">
        <f t="shared" si="4"/>
        <v/>
      </c>
      <c r="Y588" s="51" t="str">
        <f t="shared" si="5"/>
        <v/>
      </c>
      <c r="Z588" s="37"/>
    </row>
    <row r="589" spans="1:26" ht="14.25" customHeight="1" x14ac:dyDescent="0.3">
      <c r="A589" s="18">
        <v>146.4</v>
      </c>
      <c r="B589" s="19"/>
      <c r="C589" s="18" t="s">
        <v>55</v>
      </c>
      <c r="D589" s="19"/>
      <c r="E589" s="25"/>
      <c r="F589" s="19"/>
      <c r="G589" s="21">
        <v>0</v>
      </c>
      <c r="H589" s="21"/>
      <c r="I589" s="21"/>
      <c r="J589" s="21"/>
      <c r="K589" s="19"/>
      <c r="L589" s="19"/>
      <c r="M589" s="22">
        <v>1</v>
      </c>
      <c r="N589" s="19"/>
      <c r="O589" s="25"/>
      <c r="P589" s="23"/>
      <c r="Q589" s="21" t="s">
        <v>46</v>
      </c>
      <c r="R589" s="19" t="s">
        <v>47</v>
      </c>
      <c r="S589" s="21"/>
      <c r="T589" s="19"/>
      <c r="U589" s="21"/>
      <c r="V589" s="7"/>
      <c r="W589" s="7"/>
      <c r="X589" s="51" t="str">
        <f t="shared" si="4"/>
        <v/>
      </c>
      <c r="Y589" s="51" t="str">
        <f t="shared" si="5"/>
        <v/>
      </c>
      <c r="Z589" s="37"/>
    </row>
    <row r="590" spans="1:26" ht="14.25" customHeight="1" x14ac:dyDescent="0.3">
      <c r="A590" s="18">
        <v>147.1</v>
      </c>
      <c r="B590" s="19"/>
      <c r="C590" s="18" t="s">
        <v>55</v>
      </c>
      <c r="D590" s="19"/>
      <c r="E590" s="25"/>
      <c r="F590" s="19"/>
      <c r="G590" s="21">
        <v>0</v>
      </c>
      <c r="H590" s="21"/>
      <c r="I590" s="21"/>
      <c r="J590" s="21"/>
      <c r="K590" s="19"/>
      <c r="L590" s="19"/>
      <c r="M590" s="22">
        <v>1</v>
      </c>
      <c r="N590" s="19"/>
      <c r="O590" s="25"/>
      <c r="P590" s="23"/>
      <c r="Q590" s="21" t="s">
        <v>46</v>
      </c>
      <c r="R590" s="19" t="s">
        <v>47</v>
      </c>
      <c r="S590" s="21"/>
      <c r="T590" s="19"/>
      <c r="U590" s="21"/>
      <c r="V590" s="7"/>
      <c r="W590" s="7"/>
      <c r="X590" s="51" t="str">
        <f t="shared" si="4"/>
        <v/>
      </c>
      <c r="Y590" s="51" t="str">
        <f t="shared" si="5"/>
        <v/>
      </c>
      <c r="Z590" s="37"/>
    </row>
    <row r="591" spans="1:26" ht="14.25" customHeight="1" x14ac:dyDescent="0.3">
      <c r="A591" s="18">
        <v>147.19999999999999</v>
      </c>
      <c r="B591" s="19"/>
      <c r="C591" s="18" t="s">
        <v>55</v>
      </c>
      <c r="D591" s="19"/>
      <c r="E591" s="25"/>
      <c r="F591" s="19"/>
      <c r="G591" s="21">
        <v>0</v>
      </c>
      <c r="H591" s="21"/>
      <c r="I591" s="21"/>
      <c r="J591" s="21"/>
      <c r="K591" s="19"/>
      <c r="L591" s="19"/>
      <c r="M591" s="22">
        <v>1</v>
      </c>
      <c r="N591" s="19"/>
      <c r="O591" s="25"/>
      <c r="P591" s="23"/>
      <c r="Q591" s="21" t="s">
        <v>46</v>
      </c>
      <c r="R591" s="19" t="s">
        <v>47</v>
      </c>
      <c r="S591" s="21"/>
      <c r="T591" s="19"/>
      <c r="U591" s="21"/>
      <c r="V591" s="7"/>
      <c r="W591" s="7"/>
      <c r="X591" s="51" t="str">
        <f t="shared" si="4"/>
        <v/>
      </c>
      <c r="Y591" s="51" t="str">
        <f t="shared" si="5"/>
        <v/>
      </c>
      <c r="Z591" s="37"/>
    </row>
    <row r="592" spans="1:26" ht="14.25" customHeight="1" x14ac:dyDescent="0.3">
      <c r="A592" s="18">
        <v>147.30000000000001</v>
      </c>
      <c r="B592" s="19"/>
      <c r="C592" s="18" t="s">
        <v>55</v>
      </c>
      <c r="D592" s="19"/>
      <c r="E592" s="25"/>
      <c r="F592" s="19"/>
      <c r="G592" s="21">
        <v>0</v>
      </c>
      <c r="H592" s="21"/>
      <c r="I592" s="21"/>
      <c r="J592" s="21"/>
      <c r="K592" s="19"/>
      <c r="L592" s="19"/>
      <c r="M592" s="22">
        <v>1</v>
      </c>
      <c r="N592" s="19"/>
      <c r="O592" s="25"/>
      <c r="P592" s="23"/>
      <c r="Q592" s="21" t="s">
        <v>46</v>
      </c>
      <c r="R592" s="19" t="s">
        <v>47</v>
      </c>
      <c r="S592" s="21"/>
      <c r="T592" s="19"/>
      <c r="U592" s="21"/>
      <c r="V592" s="7"/>
      <c r="W592" s="7"/>
      <c r="X592" s="51" t="str">
        <f t="shared" si="4"/>
        <v/>
      </c>
      <c r="Y592" s="51" t="str">
        <f t="shared" si="5"/>
        <v/>
      </c>
      <c r="Z592" s="37"/>
    </row>
    <row r="593" spans="1:26" ht="14.25" customHeight="1" x14ac:dyDescent="0.3">
      <c r="A593" s="18">
        <v>147.4</v>
      </c>
      <c r="B593" s="19"/>
      <c r="C593" s="18" t="s">
        <v>55</v>
      </c>
      <c r="D593" s="19"/>
      <c r="E593" s="25"/>
      <c r="F593" s="19"/>
      <c r="G593" s="21">
        <v>0</v>
      </c>
      <c r="H593" s="21"/>
      <c r="I593" s="21"/>
      <c r="J593" s="21"/>
      <c r="K593" s="19"/>
      <c r="L593" s="19"/>
      <c r="M593" s="22">
        <v>1</v>
      </c>
      <c r="N593" s="19"/>
      <c r="O593" s="25"/>
      <c r="P593" s="23"/>
      <c r="Q593" s="21" t="s">
        <v>46</v>
      </c>
      <c r="R593" s="19" t="s">
        <v>47</v>
      </c>
      <c r="S593" s="21"/>
      <c r="T593" s="19"/>
      <c r="U593" s="21"/>
      <c r="V593" s="7"/>
      <c r="W593" s="7"/>
      <c r="X593" s="51" t="str">
        <f t="shared" si="4"/>
        <v/>
      </c>
      <c r="Y593" s="51" t="str">
        <f t="shared" si="5"/>
        <v/>
      </c>
      <c r="Z593" s="37"/>
    </row>
    <row r="594" spans="1:26" ht="14.25" customHeight="1" x14ac:dyDescent="0.3">
      <c r="A594" s="18">
        <v>148.1</v>
      </c>
      <c r="B594" s="19"/>
      <c r="C594" s="18" t="s">
        <v>55</v>
      </c>
      <c r="D594" s="19"/>
      <c r="E594" s="25"/>
      <c r="F594" s="19"/>
      <c r="G594" s="21">
        <v>0</v>
      </c>
      <c r="H594" s="21"/>
      <c r="I594" s="21"/>
      <c r="J594" s="21"/>
      <c r="K594" s="19"/>
      <c r="L594" s="19"/>
      <c r="M594" s="22">
        <v>1</v>
      </c>
      <c r="N594" s="19"/>
      <c r="O594" s="25"/>
      <c r="P594" s="23"/>
      <c r="Q594" s="21" t="s">
        <v>46</v>
      </c>
      <c r="R594" s="19" t="s">
        <v>47</v>
      </c>
      <c r="S594" s="21"/>
      <c r="T594" s="19"/>
      <c r="U594" s="21"/>
      <c r="V594" s="7"/>
      <c r="W594" s="7"/>
      <c r="X594" s="51" t="str">
        <f t="shared" si="4"/>
        <v/>
      </c>
      <c r="Y594" s="51" t="str">
        <f t="shared" si="5"/>
        <v/>
      </c>
      <c r="Z594" s="37"/>
    </row>
    <row r="595" spans="1:26" ht="14.25" customHeight="1" x14ac:dyDescent="0.3">
      <c r="A595" s="18">
        <v>148.19999999999999</v>
      </c>
      <c r="B595" s="19"/>
      <c r="C595" s="18" t="s">
        <v>55</v>
      </c>
      <c r="D595" s="19"/>
      <c r="E595" s="25"/>
      <c r="F595" s="19"/>
      <c r="G595" s="21">
        <v>0</v>
      </c>
      <c r="H595" s="21"/>
      <c r="I595" s="21"/>
      <c r="J595" s="21"/>
      <c r="K595" s="19"/>
      <c r="L595" s="19"/>
      <c r="M595" s="22">
        <v>1</v>
      </c>
      <c r="N595" s="19"/>
      <c r="O595" s="25"/>
      <c r="P595" s="23"/>
      <c r="Q595" s="21" t="s">
        <v>46</v>
      </c>
      <c r="R595" s="19" t="s">
        <v>47</v>
      </c>
      <c r="S595" s="21"/>
      <c r="T595" s="19"/>
      <c r="U595" s="21"/>
      <c r="V595" s="7"/>
      <c r="W595" s="7"/>
      <c r="X595" s="51" t="str">
        <f t="shared" si="4"/>
        <v/>
      </c>
      <c r="Y595" s="51" t="str">
        <f t="shared" si="5"/>
        <v/>
      </c>
      <c r="Z595" s="37"/>
    </row>
    <row r="596" spans="1:26" ht="14.25" customHeight="1" x14ac:dyDescent="0.3">
      <c r="A596" s="18">
        <v>148.30000000000001</v>
      </c>
      <c r="B596" s="19"/>
      <c r="C596" s="18" t="s">
        <v>55</v>
      </c>
      <c r="D596" s="19"/>
      <c r="E596" s="25"/>
      <c r="F596" s="19"/>
      <c r="G596" s="21">
        <v>0</v>
      </c>
      <c r="H596" s="21"/>
      <c r="I596" s="21"/>
      <c r="J596" s="21"/>
      <c r="K596" s="19"/>
      <c r="L596" s="19"/>
      <c r="M596" s="22">
        <v>1</v>
      </c>
      <c r="N596" s="19"/>
      <c r="O596" s="25"/>
      <c r="P596" s="23"/>
      <c r="Q596" s="21" t="s">
        <v>46</v>
      </c>
      <c r="R596" s="19" t="s">
        <v>47</v>
      </c>
      <c r="S596" s="21"/>
      <c r="T596" s="19"/>
      <c r="U596" s="21"/>
      <c r="V596" s="7"/>
      <c r="W596" s="7"/>
      <c r="X596" s="51" t="str">
        <f t="shared" si="4"/>
        <v/>
      </c>
      <c r="Y596" s="51" t="str">
        <f t="shared" si="5"/>
        <v/>
      </c>
      <c r="Z596" s="37"/>
    </row>
    <row r="597" spans="1:26" ht="14.25" customHeight="1" x14ac:dyDescent="0.3">
      <c r="A597" s="18">
        <v>148.4</v>
      </c>
      <c r="B597" s="19"/>
      <c r="C597" s="18" t="s">
        <v>55</v>
      </c>
      <c r="D597" s="19"/>
      <c r="E597" s="25"/>
      <c r="F597" s="19"/>
      <c r="G597" s="21">
        <v>0</v>
      </c>
      <c r="H597" s="21"/>
      <c r="I597" s="21"/>
      <c r="J597" s="21"/>
      <c r="K597" s="19"/>
      <c r="L597" s="19"/>
      <c r="M597" s="22">
        <v>1</v>
      </c>
      <c r="N597" s="19"/>
      <c r="O597" s="25"/>
      <c r="P597" s="23"/>
      <c r="Q597" s="21" t="s">
        <v>46</v>
      </c>
      <c r="R597" s="19" t="s">
        <v>47</v>
      </c>
      <c r="S597" s="21"/>
      <c r="T597" s="19"/>
      <c r="U597" s="21"/>
      <c r="V597" s="7"/>
      <c r="W597" s="7"/>
      <c r="X597" s="51" t="str">
        <f t="shared" si="4"/>
        <v/>
      </c>
      <c r="Y597" s="51" t="str">
        <f t="shared" si="5"/>
        <v/>
      </c>
      <c r="Z597" s="37"/>
    </row>
    <row r="598" spans="1:26" ht="14.25" customHeight="1" x14ac:dyDescent="0.3">
      <c r="A598" s="18">
        <v>149.1</v>
      </c>
      <c r="B598" s="19"/>
      <c r="C598" s="18" t="s">
        <v>55</v>
      </c>
      <c r="D598" s="19"/>
      <c r="E598" s="25"/>
      <c r="F598" s="19"/>
      <c r="G598" s="21">
        <v>0</v>
      </c>
      <c r="H598" s="21"/>
      <c r="I598" s="21"/>
      <c r="J598" s="21"/>
      <c r="K598" s="19"/>
      <c r="L598" s="19"/>
      <c r="M598" s="22">
        <v>1</v>
      </c>
      <c r="N598" s="19"/>
      <c r="O598" s="25"/>
      <c r="P598" s="23"/>
      <c r="Q598" s="21" t="s">
        <v>46</v>
      </c>
      <c r="R598" s="19" t="s">
        <v>47</v>
      </c>
      <c r="S598" s="21"/>
      <c r="T598" s="19"/>
      <c r="U598" s="21"/>
      <c r="V598" s="7"/>
      <c r="W598" s="7"/>
      <c r="X598" s="51" t="str">
        <f t="shared" si="4"/>
        <v/>
      </c>
      <c r="Y598" s="51" t="str">
        <f t="shared" si="5"/>
        <v/>
      </c>
      <c r="Z598" s="37"/>
    </row>
    <row r="599" spans="1:26" ht="14.25" customHeight="1" x14ac:dyDescent="0.3">
      <c r="A599" s="18">
        <v>149.19999999999999</v>
      </c>
      <c r="B599" s="19"/>
      <c r="C599" s="18" t="s">
        <v>55</v>
      </c>
      <c r="D599" s="19"/>
      <c r="E599" s="25"/>
      <c r="F599" s="19"/>
      <c r="G599" s="21">
        <v>0</v>
      </c>
      <c r="H599" s="21"/>
      <c r="I599" s="21"/>
      <c r="J599" s="21"/>
      <c r="K599" s="19"/>
      <c r="L599" s="19"/>
      <c r="M599" s="22">
        <v>1</v>
      </c>
      <c r="N599" s="19"/>
      <c r="O599" s="25"/>
      <c r="P599" s="23"/>
      <c r="Q599" s="21" t="s">
        <v>46</v>
      </c>
      <c r="R599" s="19" t="s">
        <v>47</v>
      </c>
      <c r="S599" s="21"/>
      <c r="T599" s="19"/>
      <c r="U599" s="21"/>
      <c r="V599" s="7"/>
      <c r="W599" s="7"/>
      <c r="X599" s="51" t="str">
        <f t="shared" si="4"/>
        <v/>
      </c>
      <c r="Y599" s="51" t="str">
        <f t="shared" si="5"/>
        <v/>
      </c>
      <c r="Z599" s="37"/>
    </row>
    <row r="600" spans="1:26" ht="14.25" customHeight="1" x14ac:dyDescent="0.3">
      <c r="A600" s="18">
        <v>149.30000000000001</v>
      </c>
      <c r="B600" s="19"/>
      <c r="C600" s="18" t="s">
        <v>55</v>
      </c>
      <c r="D600" s="19"/>
      <c r="E600" s="25"/>
      <c r="F600" s="19"/>
      <c r="G600" s="21">
        <v>0</v>
      </c>
      <c r="H600" s="21"/>
      <c r="I600" s="21"/>
      <c r="J600" s="21"/>
      <c r="K600" s="19"/>
      <c r="L600" s="19"/>
      <c r="M600" s="22">
        <v>1</v>
      </c>
      <c r="N600" s="19"/>
      <c r="O600" s="25"/>
      <c r="P600" s="23"/>
      <c r="Q600" s="21" t="s">
        <v>46</v>
      </c>
      <c r="R600" s="19" t="s">
        <v>47</v>
      </c>
      <c r="S600" s="21"/>
      <c r="T600" s="19"/>
      <c r="U600" s="21"/>
      <c r="V600" s="7"/>
      <c r="W600" s="7"/>
      <c r="X600" s="51" t="str">
        <f t="shared" si="4"/>
        <v/>
      </c>
      <c r="Y600" s="51" t="str">
        <f t="shared" si="5"/>
        <v/>
      </c>
      <c r="Z600" s="37"/>
    </row>
    <row r="601" spans="1:26" ht="14.25" customHeight="1" x14ac:dyDescent="0.3">
      <c r="A601" s="18">
        <v>149.4</v>
      </c>
      <c r="B601" s="19"/>
      <c r="C601" s="18" t="s">
        <v>55</v>
      </c>
      <c r="D601" s="19"/>
      <c r="E601" s="25"/>
      <c r="F601" s="19"/>
      <c r="G601" s="21">
        <v>0</v>
      </c>
      <c r="H601" s="21"/>
      <c r="I601" s="21"/>
      <c r="J601" s="21"/>
      <c r="K601" s="19"/>
      <c r="L601" s="19"/>
      <c r="M601" s="22">
        <v>1</v>
      </c>
      <c r="N601" s="19"/>
      <c r="O601" s="25"/>
      <c r="P601" s="23"/>
      <c r="Q601" s="21" t="s">
        <v>46</v>
      </c>
      <c r="R601" s="19" t="s">
        <v>47</v>
      </c>
      <c r="S601" s="21"/>
      <c r="T601" s="19"/>
      <c r="U601" s="21"/>
      <c r="V601" s="7"/>
      <c r="W601" s="7"/>
      <c r="X601" s="51" t="str">
        <f t="shared" si="4"/>
        <v/>
      </c>
      <c r="Y601" s="51" t="str">
        <f t="shared" si="5"/>
        <v/>
      </c>
      <c r="Z601" s="37"/>
    </row>
    <row r="602" spans="1:26" ht="14.25" customHeight="1" x14ac:dyDescent="0.3">
      <c r="A602" s="18">
        <v>150.1</v>
      </c>
      <c r="B602" s="19"/>
      <c r="C602" s="18" t="s">
        <v>55</v>
      </c>
      <c r="D602" s="19"/>
      <c r="E602" s="25"/>
      <c r="F602" s="19"/>
      <c r="G602" s="21">
        <v>0</v>
      </c>
      <c r="H602" s="21"/>
      <c r="I602" s="21"/>
      <c r="J602" s="21"/>
      <c r="K602" s="19"/>
      <c r="L602" s="19"/>
      <c r="M602" s="22">
        <v>1</v>
      </c>
      <c r="N602" s="19"/>
      <c r="O602" s="25"/>
      <c r="P602" s="23"/>
      <c r="Q602" s="21" t="s">
        <v>46</v>
      </c>
      <c r="R602" s="19" t="s">
        <v>47</v>
      </c>
      <c r="S602" s="21"/>
      <c r="T602" s="19"/>
      <c r="U602" s="21"/>
      <c r="V602" s="7"/>
      <c r="W602" s="7"/>
      <c r="X602" s="51" t="str">
        <f t="shared" si="4"/>
        <v/>
      </c>
      <c r="Y602" s="51" t="str">
        <f t="shared" si="5"/>
        <v/>
      </c>
      <c r="Z602" s="37"/>
    </row>
    <row r="603" spans="1:26" ht="14.25" customHeight="1" x14ac:dyDescent="0.3">
      <c r="A603" s="18">
        <v>150.19999999999999</v>
      </c>
      <c r="B603" s="19"/>
      <c r="C603" s="18" t="s">
        <v>55</v>
      </c>
      <c r="D603" s="19"/>
      <c r="E603" s="25"/>
      <c r="F603" s="19"/>
      <c r="G603" s="21">
        <v>0</v>
      </c>
      <c r="H603" s="21"/>
      <c r="I603" s="21"/>
      <c r="J603" s="21"/>
      <c r="K603" s="19"/>
      <c r="L603" s="19"/>
      <c r="M603" s="22">
        <v>1</v>
      </c>
      <c r="N603" s="19"/>
      <c r="O603" s="25"/>
      <c r="P603" s="23"/>
      <c r="Q603" s="21" t="s">
        <v>46</v>
      </c>
      <c r="R603" s="19" t="s">
        <v>47</v>
      </c>
      <c r="S603" s="21"/>
      <c r="T603" s="19"/>
      <c r="U603" s="21"/>
      <c r="V603" s="7"/>
      <c r="W603" s="7"/>
      <c r="X603" s="51" t="str">
        <f t="shared" si="4"/>
        <v/>
      </c>
      <c r="Y603" s="51" t="str">
        <f t="shared" si="5"/>
        <v/>
      </c>
      <c r="Z603" s="37"/>
    </row>
    <row r="604" spans="1:26" ht="14.25" customHeight="1" x14ac:dyDescent="0.3">
      <c r="A604" s="18">
        <v>150.30000000000001</v>
      </c>
      <c r="B604" s="19"/>
      <c r="C604" s="18" t="s">
        <v>55</v>
      </c>
      <c r="D604" s="19"/>
      <c r="E604" s="25"/>
      <c r="F604" s="19"/>
      <c r="G604" s="21">
        <v>0</v>
      </c>
      <c r="H604" s="21"/>
      <c r="I604" s="21"/>
      <c r="J604" s="21"/>
      <c r="K604" s="19"/>
      <c r="L604" s="19"/>
      <c r="M604" s="22">
        <v>1</v>
      </c>
      <c r="N604" s="19"/>
      <c r="O604" s="25"/>
      <c r="P604" s="23"/>
      <c r="Q604" s="21" t="s">
        <v>46</v>
      </c>
      <c r="R604" s="19" t="s">
        <v>47</v>
      </c>
      <c r="S604" s="21"/>
      <c r="T604" s="19"/>
      <c r="U604" s="21"/>
      <c r="V604" s="7"/>
      <c r="W604" s="7"/>
      <c r="X604" s="51" t="str">
        <f t="shared" si="4"/>
        <v/>
      </c>
      <c r="Y604" s="51" t="str">
        <f t="shared" si="5"/>
        <v/>
      </c>
      <c r="Z604" s="37"/>
    </row>
    <row r="605" spans="1:26" ht="14.25" customHeight="1" x14ac:dyDescent="0.3">
      <c r="A605" s="18">
        <v>150.4</v>
      </c>
      <c r="B605" s="19"/>
      <c r="C605" s="18" t="s">
        <v>55</v>
      </c>
      <c r="D605" s="19"/>
      <c r="E605" s="25"/>
      <c r="F605" s="19"/>
      <c r="G605" s="21">
        <v>0</v>
      </c>
      <c r="H605" s="21"/>
      <c r="I605" s="21"/>
      <c r="J605" s="21"/>
      <c r="K605" s="19"/>
      <c r="L605" s="19"/>
      <c r="M605" s="22">
        <v>1</v>
      </c>
      <c r="N605" s="19"/>
      <c r="O605" s="25"/>
      <c r="P605" s="23"/>
      <c r="Q605" s="21" t="s">
        <v>46</v>
      </c>
      <c r="R605" s="19" t="s">
        <v>47</v>
      </c>
      <c r="S605" s="21"/>
      <c r="T605" s="19"/>
      <c r="U605" s="21"/>
      <c r="V605" s="7"/>
      <c r="W605" s="7"/>
      <c r="X605" s="51" t="str">
        <f t="shared" si="4"/>
        <v/>
      </c>
      <c r="Y605" s="51" t="str">
        <f t="shared" si="5"/>
        <v/>
      </c>
      <c r="Z605" s="37"/>
    </row>
    <row r="606" spans="1:26" ht="14.25" customHeight="1" x14ac:dyDescent="0.3">
      <c r="A606" s="18">
        <v>151.1</v>
      </c>
      <c r="B606" s="19"/>
      <c r="C606" s="18" t="s">
        <v>55</v>
      </c>
      <c r="D606" s="19"/>
      <c r="E606" s="25"/>
      <c r="F606" s="19"/>
      <c r="G606" s="21">
        <v>0</v>
      </c>
      <c r="H606" s="21"/>
      <c r="I606" s="21"/>
      <c r="J606" s="21"/>
      <c r="K606" s="19"/>
      <c r="L606" s="19"/>
      <c r="M606" s="22">
        <v>1</v>
      </c>
      <c r="N606" s="19"/>
      <c r="O606" s="25"/>
      <c r="P606" s="23"/>
      <c r="Q606" s="21" t="s">
        <v>46</v>
      </c>
      <c r="R606" s="19" t="s">
        <v>47</v>
      </c>
      <c r="S606" s="21"/>
      <c r="T606" s="19"/>
      <c r="U606" s="21"/>
      <c r="V606" s="7"/>
      <c r="W606" s="7"/>
      <c r="X606" s="51" t="str">
        <f t="shared" si="4"/>
        <v/>
      </c>
      <c r="Y606" s="51" t="str">
        <f t="shared" si="5"/>
        <v/>
      </c>
      <c r="Z606" s="37"/>
    </row>
    <row r="607" spans="1:26" ht="14.25" customHeight="1" x14ac:dyDescent="0.3">
      <c r="A607" s="18">
        <v>151.19999999999999</v>
      </c>
      <c r="B607" s="19"/>
      <c r="C607" s="18" t="s">
        <v>55</v>
      </c>
      <c r="D607" s="19"/>
      <c r="E607" s="25"/>
      <c r="F607" s="19"/>
      <c r="G607" s="21">
        <v>0</v>
      </c>
      <c r="H607" s="21"/>
      <c r="I607" s="21"/>
      <c r="J607" s="21"/>
      <c r="K607" s="19"/>
      <c r="L607" s="19"/>
      <c r="M607" s="22">
        <v>1</v>
      </c>
      <c r="N607" s="19"/>
      <c r="O607" s="25"/>
      <c r="P607" s="23"/>
      <c r="Q607" s="21" t="s">
        <v>46</v>
      </c>
      <c r="R607" s="19" t="s">
        <v>47</v>
      </c>
      <c r="S607" s="21"/>
      <c r="T607" s="19"/>
      <c r="U607" s="21"/>
      <c r="V607" s="7"/>
      <c r="W607" s="7"/>
      <c r="X607" s="51" t="str">
        <f t="shared" si="4"/>
        <v/>
      </c>
      <c r="Y607" s="51" t="str">
        <f t="shared" si="5"/>
        <v/>
      </c>
      <c r="Z607" s="37"/>
    </row>
    <row r="608" spans="1:26" ht="14.25" customHeight="1" x14ac:dyDescent="0.3">
      <c r="A608" s="18">
        <v>151.30000000000001</v>
      </c>
      <c r="B608" s="19"/>
      <c r="C608" s="18" t="s">
        <v>55</v>
      </c>
      <c r="D608" s="19"/>
      <c r="E608" s="25"/>
      <c r="F608" s="19"/>
      <c r="G608" s="21">
        <v>0</v>
      </c>
      <c r="H608" s="21"/>
      <c r="I608" s="21"/>
      <c r="J608" s="21"/>
      <c r="K608" s="19"/>
      <c r="L608" s="19"/>
      <c r="M608" s="22">
        <v>1</v>
      </c>
      <c r="N608" s="19"/>
      <c r="O608" s="25"/>
      <c r="P608" s="23"/>
      <c r="Q608" s="21" t="s">
        <v>46</v>
      </c>
      <c r="R608" s="19" t="s">
        <v>47</v>
      </c>
      <c r="S608" s="21"/>
      <c r="T608" s="19"/>
      <c r="U608" s="21"/>
      <c r="V608" s="7"/>
      <c r="W608" s="7"/>
      <c r="X608" s="51" t="str">
        <f t="shared" si="4"/>
        <v/>
      </c>
      <c r="Y608" s="51" t="str">
        <f t="shared" si="5"/>
        <v/>
      </c>
      <c r="Z608" s="37"/>
    </row>
    <row r="609" spans="1:26" ht="14.25" customHeight="1" x14ac:dyDescent="0.3">
      <c r="A609" s="18">
        <v>151.4</v>
      </c>
      <c r="B609" s="19"/>
      <c r="C609" s="18" t="s">
        <v>55</v>
      </c>
      <c r="D609" s="19"/>
      <c r="E609" s="25"/>
      <c r="F609" s="19"/>
      <c r="G609" s="21">
        <v>0</v>
      </c>
      <c r="H609" s="21"/>
      <c r="I609" s="21"/>
      <c r="J609" s="21"/>
      <c r="K609" s="19"/>
      <c r="L609" s="19"/>
      <c r="M609" s="22">
        <v>1</v>
      </c>
      <c r="N609" s="19"/>
      <c r="O609" s="25"/>
      <c r="P609" s="23"/>
      <c r="Q609" s="21" t="s">
        <v>46</v>
      </c>
      <c r="R609" s="19" t="s">
        <v>47</v>
      </c>
      <c r="S609" s="21"/>
      <c r="T609" s="19"/>
      <c r="U609" s="21"/>
      <c r="V609" s="7"/>
      <c r="W609" s="7"/>
      <c r="X609" s="51" t="str">
        <f t="shared" si="4"/>
        <v/>
      </c>
      <c r="Y609" s="51" t="str">
        <f t="shared" si="5"/>
        <v/>
      </c>
      <c r="Z609" s="37"/>
    </row>
    <row r="610" spans="1:26" ht="14.25" customHeight="1" x14ac:dyDescent="0.3">
      <c r="A610" s="18">
        <v>152.1</v>
      </c>
      <c r="B610" s="19"/>
      <c r="C610" s="18" t="s">
        <v>55</v>
      </c>
      <c r="D610" s="19"/>
      <c r="E610" s="25"/>
      <c r="F610" s="19"/>
      <c r="G610" s="21">
        <v>0</v>
      </c>
      <c r="H610" s="21"/>
      <c r="I610" s="21"/>
      <c r="J610" s="21"/>
      <c r="K610" s="19"/>
      <c r="L610" s="19"/>
      <c r="M610" s="22">
        <v>1</v>
      </c>
      <c r="N610" s="19"/>
      <c r="O610" s="25"/>
      <c r="P610" s="23"/>
      <c r="Q610" s="21" t="s">
        <v>46</v>
      </c>
      <c r="R610" s="19" t="s">
        <v>47</v>
      </c>
      <c r="S610" s="21"/>
      <c r="T610" s="19"/>
      <c r="U610" s="21"/>
      <c r="V610" s="7"/>
      <c r="W610" s="7"/>
      <c r="X610" s="51" t="str">
        <f t="shared" si="4"/>
        <v/>
      </c>
      <c r="Y610" s="51" t="str">
        <f t="shared" si="5"/>
        <v/>
      </c>
      <c r="Z610" s="37"/>
    </row>
    <row r="611" spans="1:26" ht="14.25" customHeight="1" x14ac:dyDescent="0.3">
      <c r="A611" s="18">
        <v>152.19999999999999</v>
      </c>
      <c r="B611" s="19"/>
      <c r="C611" s="18" t="s">
        <v>55</v>
      </c>
      <c r="D611" s="19"/>
      <c r="E611" s="25"/>
      <c r="F611" s="19"/>
      <c r="G611" s="21">
        <v>0</v>
      </c>
      <c r="H611" s="21"/>
      <c r="I611" s="21"/>
      <c r="J611" s="21"/>
      <c r="K611" s="19"/>
      <c r="L611" s="19"/>
      <c r="M611" s="22">
        <v>1</v>
      </c>
      <c r="N611" s="19"/>
      <c r="O611" s="25"/>
      <c r="P611" s="23"/>
      <c r="Q611" s="21" t="s">
        <v>46</v>
      </c>
      <c r="R611" s="19" t="s">
        <v>47</v>
      </c>
      <c r="S611" s="21"/>
      <c r="T611" s="19"/>
      <c r="U611" s="21"/>
      <c r="V611" s="7"/>
      <c r="W611" s="7"/>
      <c r="X611" s="51" t="str">
        <f t="shared" si="4"/>
        <v/>
      </c>
      <c r="Y611" s="51" t="str">
        <f t="shared" si="5"/>
        <v/>
      </c>
      <c r="Z611" s="37"/>
    </row>
    <row r="612" spans="1:26" ht="14.25" customHeight="1" x14ac:dyDescent="0.3">
      <c r="A612" s="18">
        <v>152.30000000000001</v>
      </c>
      <c r="B612" s="19"/>
      <c r="C612" s="18" t="s">
        <v>55</v>
      </c>
      <c r="D612" s="19"/>
      <c r="E612" s="25"/>
      <c r="F612" s="19"/>
      <c r="G612" s="21">
        <v>0</v>
      </c>
      <c r="H612" s="21"/>
      <c r="I612" s="21"/>
      <c r="J612" s="21"/>
      <c r="K612" s="19"/>
      <c r="L612" s="19"/>
      <c r="M612" s="22">
        <v>1</v>
      </c>
      <c r="N612" s="19"/>
      <c r="O612" s="25"/>
      <c r="P612" s="23"/>
      <c r="Q612" s="21" t="s">
        <v>46</v>
      </c>
      <c r="R612" s="19" t="s">
        <v>47</v>
      </c>
      <c r="S612" s="21"/>
      <c r="T612" s="19"/>
      <c r="U612" s="21"/>
      <c r="V612" s="7"/>
      <c r="W612" s="7"/>
      <c r="X612" s="51" t="str">
        <f t="shared" si="4"/>
        <v/>
      </c>
      <c r="Y612" s="51" t="str">
        <f t="shared" si="5"/>
        <v/>
      </c>
      <c r="Z612" s="37"/>
    </row>
    <row r="613" spans="1:26" ht="14.25" customHeight="1" x14ac:dyDescent="0.3">
      <c r="A613" s="18">
        <v>152.4</v>
      </c>
      <c r="B613" s="19"/>
      <c r="C613" s="18" t="s">
        <v>55</v>
      </c>
      <c r="D613" s="19"/>
      <c r="E613" s="25"/>
      <c r="F613" s="19"/>
      <c r="G613" s="21">
        <v>0</v>
      </c>
      <c r="H613" s="21"/>
      <c r="I613" s="21"/>
      <c r="J613" s="21"/>
      <c r="K613" s="19"/>
      <c r="L613" s="19"/>
      <c r="M613" s="22">
        <v>1</v>
      </c>
      <c r="N613" s="19"/>
      <c r="O613" s="25"/>
      <c r="P613" s="23"/>
      <c r="Q613" s="21" t="s">
        <v>46</v>
      </c>
      <c r="R613" s="19" t="s">
        <v>47</v>
      </c>
      <c r="S613" s="21"/>
      <c r="T613" s="19"/>
      <c r="U613" s="21"/>
      <c r="V613" s="7"/>
      <c r="W613" s="7"/>
      <c r="X613" s="51" t="str">
        <f t="shared" si="4"/>
        <v/>
      </c>
      <c r="Y613" s="51" t="str">
        <f t="shared" si="5"/>
        <v/>
      </c>
      <c r="Z613" s="37"/>
    </row>
    <row r="614" spans="1:26" ht="14.25" customHeight="1" x14ac:dyDescent="0.3">
      <c r="A614" s="18">
        <v>153.1</v>
      </c>
      <c r="B614" s="19"/>
      <c r="C614" s="18" t="s">
        <v>55</v>
      </c>
      <c r="D614" s="19"/>
      <c r="E614" s="25"/>
      <c r="F614" s="19"/>
      <c r="G614" s="21">
        <v>0</v>
      </c>
      <c r="H614" s="21"/>
      <c r="I614" s="21"/>
      <c r="J614" s="21"/>
      <c r="K614" s="19"/>
      <c r="L614" s="19"/>
      <c r="M614" s="22">
        <v>1</v>
      </c>
      <c r="N614" s="19"/>
      <c r="O614" s="25"/>
      <c r="P614" s="23"/>
      <c r="Q614" s="21" t="s">
        <v>46</v>
      </c>
      <c r="R614" s="19" t="s">
        <v>47</v>
      </c>
      <c r="S614" s="21"/>
      <c r="T614" s="19"/>
      <c r="U614" s="21"/>
      <c r="V614" s="7"/>
      <c r="W614" s="7"/>
      <c r="X614" s="51" t="str">
        <f t="shared" si="4"/>
        <v/>
      </c>
      <c r="Y614" s="51" t="str">
        <f t="shared" si="5"/>
        <v/>
      </c>
      <c r="Z614" s="37"/>
    </row>
    <row r="615" spans="1:26" ht="14.25" customHeight="1" x14ac:dyDescent="0.3">
      <c r="A615" s="18">
        <v>153.19999999999999</v>
      </c>
      <c r="B615" s="19"/>
      <c r="C615" s="18" t="s">
        <v>55</v>
      </c>
      <c r="D615" s="19"/>
      <c r="E615" s="25"/>
      <c r="F615" s="19"/>
      <c r="G615" s="21">
        <v>0</v>
      </c>
      <c r="H615" s="21"/>
      <c r="I615" s="21"/>
      <c r="J615" s="21"/>
      <c r="K615" s="19"/>
      <c r="L615" s="19"/>
      <c r="M615" s="22">
        <v>1</v>
      </c>
      <c r="N615" s="19"/>
      <c r="O615" s="25"/>
      <c r="P615" s="23"/>
      <c r="Q615" s="21" t="s">
        <v>46</v>
      </c>
      <c r="R615" s="19" t="s">
        <v>47</v>
      </c>
      <c r="S615" s="21"/>
      <c r="T615" s="19"/>
      <c r="U615" s="21"/>
      <c r="V615" s="7"/>
      <c r="W615" s="7"/>
      <c r="X615" s="51" t="str">
        <f t="shared" si="4"/>
        <v/>
      </c>
      <c r="Y615" s="51" t="str">
        <f t="shared" si="5"/>
        <v/>
      </c>
      <c r="Z615" s="37"/>
    </row>
    <row r="616" spans="1:26" ht="14.25" customHeight="1" x14ac:dyDescent="0.3">
      <c r="A616" s="18">
        <v>153.30000000000001</v>
      </c>
      <c r="B616" s="19"/>
      <c r="C616" s="18" t="s">
        <v>55</v>
      </c>
      <c r="D616" s="19"/>
      <c r="E616" s="25"/>
      <c r="F616" s="19"/>
      <c r="G616" s="21">
        <v>0</v>
      </c>
      <c r="H616" s="21"/>
      <c r="I616" s="21"/>
      <c r="J616" s="21"/>
      <c r="K616" s="19"/>
      <c r="L616" s="19"/>
      <c r="M616" s="22">
        <v>1</v>
      </c>
      <c r="N616" s="19"/>
      <c r="O616" s="25"/>
      <c r="P616" s="23"/>
      <c r="Q616" s="21" t="s">
        <v>46</v>
      </c>
      <c r="R616" s="19" t="s">
        <v>47</v>
      </c>
      <c r="S616" s="21"/>
      <c r="T616" s="19"/>
      <c r="U616" s="21"/>
      <c r="V616" s="7"/>
      <c r="W616" s="7"/>
      <c r="X616" s="51" t="str">
        <f t="shared" si="4"/>
        <v/>
      </c>
      <c r="Y616" s="51" t="str">
        <f t="shared" si="5"/>
        <v/>
      </c>
      <c r="Z616" s="37"/>
    </row>
    <row r="617" spans="1:26" ht="14.25" customHeight="1" x14ac:dyDescent="0.3">
      <c r="A617" s="18">
        <v>153.4</v>
      </c>
      <c r="B617" s="19"/>
      <c r="C617" s="18" t="s">
        <v>55</v>
      </c>
      <c r="D617" s="19"/>
      <c r="E617" s="25"/>
      <c r="F617" s="19"/>
      <c r="G617" s="21">
        <v>0</v>
      </c>
      <c r="H617" s="21"/>
      <c r="I617" s="21"/>
      <c r="J617" s="21"/>
      <c r="K617" s="19"/>
      <c r="L617" s="19"/>
      <c r="M617" s="22">
        <v>1</v>
      </c>
      <c r="N617" s="19"/>
      <c r="O617" s="25"/>
      <c r="P617" s="23"/>
      <c r="Q617" s="21" t="s">
        <v>46</v>
      </c>
      <c r="R617" s="19" t="s">
        <v>47</v>
      </c>
      <c r="S617" s="21"/>
      <c r="T617" s="19"/>
      <c r="U617" s="21"/>
      <c r="V617" s="7"/>
      <c r="W617" s="7"/>
      <c r="X617" s="51" t="str">
        <f t="shared" si="4"/>
        <v/>
      </c>
      <c r="Y617" s="51" t="str">
        <f t="shared" si="5"/>
        <v/>
      </c>
      <c r="Z617" s="37"/>
    </row>
    <row r="618" spans="1:26" ht="14.25" customHeight="1" x14ac:dyDescent="0.3">
      <c r="A618" s="18">
        <v>154.1</v>
      </c>
      <c r="B618" s="19"/>
      <c r="C618" s="18" t="s">
        <v>55</v>
      </c>
      <c r="D618" s="19"/>
      <c r="E618" s="25"/>
      <c r="F618" s="19"/>
      <c r="G618" s="21">
        <v>0</v>
      </c>
      <c r="H618" s="21"/>
      <c r="I618" s="21"/>
      <c r="J618" s="21"/>
      <c r="K618" s="19"/>
      <c r="L618" s="19"/>
      <c r="M618" s="22">
        <v>1</v>
      </c>
      <c r="N618" s="19"/>
      <c r="O618" s="25"/>
      <c r="P618" s="23"/>
      <c r="Q618" s="21" t="s">
        <v>46</v>
      </c>
      <c r="R618" s="19" t="s">
        <v>47</v>
      </c>
      <c r="S618" s="21"/>
      <c r="T618" s="19"/>
      <c r="U618" s="21"/>
      <c r="V618" s="7"/>
      <c r="W618" s="7"/>
      <c r="X618" s="51" t="str">
        <f t="shared" si="4"/>
        <v/>
      </c>
      <c r="Y618" s="51" t="str">
        <f t="shared" si="5"/>
        <v/>
      </c>
      <c r="Z618" s="37"/>
    </row>
    <row r="619" spans="1:26" ht="14.25" customHeight="1" x14ac:dyDescent="0.3">
      <c r="A619" s="18">
        <v>154.19999999999999</v>
      </c>
      <c r="B619" s="19"/>
      <c r="C619" s="18" t="s">
        <v>55</v>
      </c>
      <c r="D619" s="19"/>
      <c r="E619" s="25"/>
      <c r="F619" s="19"/>
      <c r="G619" s="21">
        <v>0</v>
      </c>
      <c r="H619" s="21"/>
      <c r="I619" s="21"/>
      <c r="J619" s="21"/>
      <c r="K619" s="19"/>
      <c r="L619" s="19"/>
      <c r="M619" s="22">
        <v>1</v>
      </c>
      <c r="N619" s="19"/>
      <c r="O619" s="25"/>
      <c r="P619" s="23"/>
      <c r="Q619" s="21" t="s">
        <v>46</v>
      </c>
      <c r="R619" s="19" t="s">
        <v>47</v>
      </c>
      <c r="S619" s="21"/>
      <c r="T619" s="19"/>
      <c r="U619" s="21"/>
      <c r="V619" s="7"/>
      <c r="W619" s="7"/>
      <c r="X619" s="51" t="str">
        <f t="shared" si="4"/>
        <v/>
      </c>
      <c r="Y619" s="51" t="str">
        <f t="shared" si="5"/>
        <v/>
      </c>
      <c r="Z619" s="37"/>
    </row>
    <row r="620" spans="1:26" ht="14.25" customHeight="1" x14ac:dyDescent="0.3">
      <c r="A620" s="18">
        <v>154.30000000000001</v>
      </c>
      <c r="B620" s="19"/>
      <c r="C620" s="18" t="s">
        <v>55</v>
      </c>
      <c r="D620" s="19"/>
      <c r="E620" s="25"/>
      <c r="F620" s="19"/>
      <c r="G620" s="21">
        <v>0</v>
      </c>
      <c r="H620" s="21"/>
      <c r="I620" s="21"/>
      <c r="J620" s="21"/>
      <c r="K620" s="19"/>
      <c r="L620" s="19"/>
      <c r="M620" s="22">
        <v>1</v>
      </c>
      <c r="N620" s="19"/>
      <c r="O620" s="25"/>
      <c r="P620" s="23"/>
      <c r="Q620" s="21" t="s">
        <v>46</v>
      </c>
      <c r="R620" s="19" t="s">
        <v>47</v>
      </c>
      <c r="S620" s="21"/>
      <c r="T620" s="19"/>
      <c r="U620" s="21"/>
      <c r="V620" s="7"/>
      <c r="W620" s="7"/>
      <c r="X620" s="51" t="str">
        <f t="shared" si="4"/>
        <v/>
      </c>
      <c r="Y620" s="51" t="str">
        <f t="shared" si="5"/>
        <v/>
      </c>
      <c r="Z620" s="37"/>
    </row>
    <row r="621" spans="1:26" ht="14.25" customHeight="1" x14ac:dyDescent="0.3">
      <c r="A621" s="18">
        <v>154.4</v>
      </c>
      <c r="B621" s="19"/>
      <c r="C621" s="18" t="s">
        <v>55</v>
      </c>
      <c r="D621" s="19"/>
      <c r="E621" s="25"/>
      <c r="F621" s="19"/>
      <c r="G621" s="21">
        <v>0</v>
      </c>
      <c r="H621" s="21"/>
      <c r="I621" s="21"/>
      <c r="J621" s="21"/>
      <c r="K621" s="19"/>
      <c r="L621" s="19"/>
      <c r="M621" s="22">
        <v>1</v>
      </c>
      <c r="N621" s="19"/>
      <c r="O621" s="25"/>
      <c r="P621" s="23"/>
      <c r="Q621" s="21" t="s">
        <v>46</v>
      </c>
      <c r="R621" s="19" t="s">
        <v>47</v>
      </c>
      <c r="S621" s="21"/>
      <c r="T621" s="19"/>
      <c r="U621" s="21"/>
      <c r="V621" s="7"/>
      <c r="W621" s="7"/>
      <c r="X621" s="51" t="str">
        <f t="shared" si="4"/>
        <v/>
      </c>
      <c r="Y621" s="51" t="str">
        <f t="shared" si="5"/>
        <v/>
      </c>
      <c r="Z621" s="37"/>
    </row>
    <row r="622" spans="1:26" ht="14.25" customHeight="1" x14ac:dyDescent="0.3">
      <c r="A622" s="18">
        <v>155.1</v>
      </c>
      <c r="B622" s="19"/>
      <c r="C622" s="18" t="s">
        <v>55</v>
      </c>
      <c r="D622" s="19"/>
      <c r="E622" s="25"/>
      <c r="F622" s="19"/>
      <c r="G622" s="21">
        <v>0</v>
      </c>
      <c r="H622" s="21"/>
      <c r="I622" s="21"/>
      <c r="J622" s="21"/>
      <c r="K622" s="19"/>
      <c r="L622" s="19"/>
      <c r="M622" s="22">
        <v>1</v>
      </c>
      <c r="N622" s="19"/>
      <c r="O622" s="25"/>
      <c r="P622" s="23"/>
      <c r="Q622" s="21" t="s">
        <v>46</v>
      </c>
      <c r="R622" s="19" t="s">
        <v>47</v>
      </c>
      <c r="S622" s="21"/>
      <c r="T622" s="19"/>
      <c r="U622" s="21"/>
      <c r="V622" s="7"/>
      <c r="W622" s="7"/>
      <c r="X622" s="51" t="str">
        <f t="shared" si="4"/>
        <v/>
      </c>
      <c r="Y622" s="51" t="str">
        <f t="shared" si="5"/>
        <v/>
      </c>
      <c r="Z622" s="37"/>
    </row>
    <row r="623" spans="1:26" ht="14.25" customHeight="1" x14ac:dyDescent="0.3">
      <c r="A623" s="18">
        <v>155.19999999999999</v>
      </c>
      <c r="B623" s="19"/>
      <c r="C623" s="18" t="s">
        <v>55</v>
      </c>
      <c r="D623" s="19"/>
      <c r="E623" s="25"/>
      <c r="F623" s="19"/>
      <c r="G623" s="21">
        <v>0</v>
      </c>
      <c r="H623" s="21"/>
      <c r="I623" s="21"/>
      <c r="J623" s="21"/>
      <c r="K623" s="19"/>
      <c r="L623" s="19"/>
      <c r="M623" s="22">
        <v>1</v>
      </c>
      <c r="N623" s="19"/>
      <c r="O623" s="25"/>
      <c r="P623" s="23"/>
      <c r="Q623" s="21" t="s">
        <v>46</v>
      </c>
      <c r="R623" s="19" t="s">
        <v>47</v>
      </c>
      <c r="S623" s="21"/>
      <c r="T623" s="19"/>
      <c r="U623" s="21"/>
      <c r="V623" s="7"/>
      <c r="W623" s="7"/>
      <c r="X623" s="51" t="str">
        <f t="shared" si="4"/>
        <v/>
      </c>
      <c r="Y623" s="51" t="str">
        <f t="shared" si="5"/>
        <v/>
      </c>
      <c r="Z623" s="37"/>
    </row>
    <row r="624" spans="1:26" ht="14.25" customHeight="1" x14ac:dyDescent="0.3">
      <c r="A624" s="18">
        <v>155.30000000000001</v>
      </c>
      <c r="B624" s="19"/>
      <c r="C624" s="18" t="s">
        <v>55</v>
      </c>
      <c r="D624" s="19"/>
      <c r="E624" s="25"/>
      <c r="F624" s="19"/>
      <c r="G624" s="21">
        <v>0</v>
      </c>
      <c r="H624" s="21"/>
      <c r="I624" s="21"/>
      <c r="J624" s="21"/>
      <c r="K624" s="19"/>
      <c r="L624" s="19"/>
      <c r="M624" s="22">
        <v>1</v>
      </c>
      <c r="N624" s="19"/>
      <c r="O624" s="25"/>
      <c r="P624" s="23"/>
      <c r="Q624" s="21" t="s">
        <v>46</v>
      </c>
      <c r="R624" s="19" t="s">
        <v>47</v>
      </c>
      <c r="S624" s="21"/>
      <c r="T624" s="19"/>
      <c r="U624" s="21"/>
      <c r="V624" s="7"/>
      <c r="W624" s="7"/>
      <c r="X624" s="51" t="str">
        <f t="shared" si="4"/>
        <v/>
      </c>
      <c r="Y624" s="51" t="str">
        <f t="shared" si="5"/>
        <v/>
      </c>
      <c r="Z624" s="37"/>
    </row>
    <row r="625" spans="1:26" ht="14.25" customHeight="1" x14ac:dyDescent="0.3">
      <c r="A625" s="18">
        <v>155.4</v>
      </c>
      <c r="B625" s="19"/>
      <c r="C625" s="18" t="s">
        <v>55</v>
      </c>
      <c r="D625" s="19"/>
      <c r="E625" s="25"/>
      <c r="F625" s="19"/>
      <c r="G625" s="21">
        <v>0</v>
      </c>
      <c r="H625" s="21"/>
      <c r="I625" s="21"/>
      <c r="J625" s="21"/>
      <c r="K625" s="19"/>
      <c r="L625" s="19"/>
      <c r="M625" s="22">
        <v>1</v>
      </c>
      <c r="N625" s="19"/>
      <c r="O625" s="25"/>
      <c r="P625" s="23"/>
      <c r="Q625" s="21" t="s">
        <v>46</v>
      </c>
      <c r="R625" s="19" t="s">
        <v>47</v>
      </c>
      <c r="S625" s="21"/>
      <c r="T625" s="19"/>
      <c r="U625" s="21"/>
      <c r="V625" s="7"/>
      <c r="W625" s="7"/>
      <c r="X625" s="51" t="str">
        <f t="shared" si="4"/>
        <v/>
      </c>
      <c r="Y625" s="51" t="str">
        <f t="shared" si="5"/>
        <v/>
      </c>
      <c r="Z625" s="37"/>
    </row>
    <row r="626" spans="1:26" ht="14.25" customHeight="1" x14ac:dyDescent="0.3">
      <c r="A626" s="18">
        <v>156.1</v>
      </c>
      <c r="B626" s="19"/>
      <c r="C626" s="18" t="s">
        <v>55</v>
      </c>
      <c r="D626" s="19"/>
      <c r="E626" s="25"/>
      <c r="F626" s="19"/>
      <c r="G626" s="21">
        <v>0</v>
      </c>
      <c r="H626" s="21"/>
      <c r="I626" s="21"/>
      <c r="J626" s="21"/>
      <c r="K626" s="19"/>
      <c r="L626" s="19"/>
      <c r="M626" s="22">
        <v>1</v>
      </c>
      <c r="N626" s="19"/>
      <c r="O626" s="25"/>
      <c r="P626" s="23"/>
      <c r="Q626" s="21" t="s">
        <v>46</v>
      </c>
      <c r="R626" s="19" t="s">
        <v>47</v>
      </c>
      <c r="S626" s="21"/>
      <c r="T626" s="19"/>
      <c r="U626" s="21"/>
      <c r="V626" s="7"/>
      <c r="W626" s="7"/>
      <c r="X626" s="51" t="str">
        <f t="shared" si="4"/>
        <v/>
      </c>
      <c r="Y626" s="51" t="str">
        <f t="shared" si="5"/>
        <v/>
      </c>
      <c r="Z626" s="37"/>
    </row>
    <row r="627" spans="1:26" ht="14.25" customHeight="1" x14ac:dyDescent="0.3">
      <c r="A627" s="18">
        <v>156.19999999999999</v>
      </c>
      <c r="B627" s="19"/>
      <c r="C627" s="18" t="s">
        <v>55</v>
      </c>
      <c r="D627" s="19"/>
      <c r="E627" s="25"/>
      <c r="F627" s="19"/>
      <c r="G627" s="21">
        <v>0</v>
      </c>
      <c r="H627" s="21"/>
      <c r="I627" s="21"/>
      <c r="J627" s="21"/>
      <c r="K627" s="19"/>
      <c r="L627" s="19"/>
      <c r="M627" s="22">
        <v>1</v>
      </c>
      <c r="N627" s="19"/>
      <c r="O627" s="25"/>
      <c r="P627" s="23"/>
      <c r="Q627" s="21" t="s">
        <v>46</v>
      </c>
      <c r="R627" s="19" t="s">
        <v>47</v>
      </c>
      <c r="S627" s="21"/>
      <c r="T627" s="19"/>
      <c r="U627" s="21"/>
      <c r="V627" s="7"/>
      <c r="W627" s="7"/>
      <c r="X627" s="51" t="str">
        <f t="shared" si="4"/>
        <v/>
      </c>
      <c r="Y627" s="51" t="str">
        <f t="shared" si="5"/>
        <v/>
      </c>
      <c r="Z627" s="37"/>
    </row>
    <row r="628" spans="1:26" ht="14.25" customHeight="1" x14ac:dyDescent="0.3">
      <c r="A628" s="18">
        <v>156.30000000000001</v>
      </c>
      <c r="B628" s="19"/>
      <c r="C628" s="18" t="s">
        <v>55</v>
      </c>
      <c r="D628" s="19"/>
      <c r="E628" s="25"/>
      <c r="F628" s="19"/>
      <c r="G628" s="21">
        <v>0</v>
      </c>
      <c r="H628" s="21"/>
      <c r="I628" s="21"/>
      <c r="J628" s="21"/>
      <c r="K628" s="19"/>
      <c r="L628" s="19"/>
      <c r="M628" s="22">
        <v>1</v>
      </c>
      <c r="N628" s="19"/>
      <c r="O628" s="25"/>
      <c r="P628" s="23"/>
      <c r="Q628" s="21" t="s">
        <v>46</v>
      </c>
      <c r="R628" s="19" t="s">
        <v>47</v>
      </c>
      <c r="S628" s="21"/>
      <c r="T628" s="19"/>
      <c r="U628" s="21"/>
      <c r="V628" s="7"/>
      <c r="W628" s="7"/>
      <c r="X628" s="51" t="str">
        <f t="shared" si="4"/>
        <v/>
      </c>
      <c r="Y628" s="51" t="str">
        <f t="shared" si="5"/>
        <v/>
      </c>
      <c r="Z628" s="37"/>
    </row>
    <row r="629" spans="1:26" ht="14.25" customHeight="1" x14ac:dyDescent="0.3">
      <c r="A629" s="18">
        <v>156.4</v>
      </c>
      <c r="B629" s="19"/>
      <c r="C629" s="18" t="s">
        <v>55</v>
      </c>
      <c r="D629" s="19"/>
      <c r="E629" s="25"/>
      <c r="F629" s="19"/>
      <c r="G629" s="21">
        <v>0</v>
      </c>
      <c r="H629" s="21"/>
      <c r="I629" s="21"/>
      <c r="J629" s="21"/>
      <c r="K629" s="19"/>
      <c r="L629" s="19"/>
      <c r="M629" s="22">
        <v>1</v>
      </c>
      <c r="N629" s="19"/>
      <c r="O629" s="25"/>
      <c r="P629" s="23"/>
      <c r="Q629" s="21" t="s">
        <v>46</v>
      </c>
      <c r="R629" s="19" t="s">
        <v>47</v>
      </c>
      <c r="S629" s="21"/>
      <c r="T629" s="19"/>
      <c r="U629" s="21"/>
      <c r="V629" s="7"/>
      <c r="W629" s="7"/>
      <c r="X629" s="51" t="str">
        <f t="shared" si="4"/>
        <v/>
      </c>
      <c r="Y629" s="51" t="str">
        <f t="shared" si="5"/>
        <v/>
      </c>
      <c r="Z629" s="37"/>
    </row>
    <row r="630" spans="1:26" ht="14.25" customHeight="1" x14ac:dyDescent="0.3">
      <c r="A630" s="18">
        <v>157.1</v>
      </c>
      <c r="B630" s="19"/>
      <c r="C630" s="18" t="s">
        <v>55</v>
      </c>
      <c r="D630" s="19"/>
      <c r="E630" s="25"/>
      <c r="F630" s="19"/>
      <c r="G630" s="21">
        <v>0</v>
      </c>
      <c r="H630" s="21"/>
      <c r="I630" s="21"/>
      <c r="J630" s="21"/>
      <c r="K630" s="19"/>
      <c r="L630" s="19"/>
      <c r="M630" s="22">
        <v>1</v>
      </c>
      <c r="N630" s="19"/>
      <c r="O630" s="25"/>
      <c r="P630" s="23"/>
      <c r="Q630" s="21" t="s">
        <v>46</v>
      </c>
      <c r="R630" s="19" t="s">
        <v>47</v>
      </c>
      <c r="S630" s="21"/>
      <c r="T630" s="19"/>
      <c r="U630" s="21"/>
      <c r="V630" s="7"/>
      <c r="W630" s="7"/>
      <c r="X630" s="51" t="str">
        <f t="shared" si="4"/>
        <v/>
      </c>
      <c r="Y630" s="51" t="str">
        <f t="shared" si="5"/>
        <v/>
      </c>
      <c r="Z630" s="37"/>
    </row>
    <row r="631" spans="1:26" ht="14.25" customHeight="1" x14ac:dyDescent="0.3">
      <c r="A631" s="18">
        <v>157.19999999999999</v>
      </c>
      <c r="B631" s="19"/>
      <c r="C631" s="18" t="s">
        <v>55</v>
      </c>
      <c r="D631" s="19"/>
      <c r="E631" s="25"/>
      <c r="F631" s="19"/>
      <c r="G631" s="21">
        <v>0</v>
      </c>
      <c r="H631" s="21"/>
      <c r="I631" s="21"/>
      <c r="J631" s="21"/>
      <c r="K631" s="19"/>
      <c r="L631" s="19"/>
      <c r="M631" s="22">
        <v>1</v>
      </c>
      <c r="N631" s="19"/>
      <c r="O631" s="25"/>
      <c r="P631" s="23"/>
      <c r="Q631" s="21" t="s">
        <v>46</v>
      </c>
      <c r="R631" s="19" t="s">
        <v>47</v>
      </c>
      <c r="S631" s="21"/>
      <c r="T631" s="19"/>
      <c r="U631" s="21"/>
      <c r="V631" s="7"/>
      <c r="W631" s="7"/>
      <c r="X631" s="51" t="str">
        <f t="shared" si="4"/>
        <v/>
      </c>
      <c r="Y631" s="51" t="str">
        <f t="shared" si="5"/>
        <v/>
      </c>
      <c r="Z631" s="37"/>
    </row>
    <row r="632" spans="1:26" ht="14.25" customHeight="1" x14ac:dyDescent="0.3">
      <c r="A632" s="18">
        <v>157.30000000000001</v>
      </c>
      <c r="B632" s="19"/>
      <c r="C632" s="18" t="s">
        <v>55</v>
      </c>
      <c r="D632" s="19"/>
      <c r="E632" s="25"/>
      <c r="F632" s="19"/>
      <c r="G632" s="21">
        <v>0</v>
      </c>
      <c r="H632" s="21"/>
      <c r="I632" s="21"/>
      <c r="J632" s="21"/>
      <c r="K632" s="19"/>
      <c r="L632" s="19"/>
      <c r="M632" s="22">
        <v>1</v>
      </c>
      <c r="N632" s="19"/>
      <c r="O632" s="25"/>
      <c r="P632" s="23"/>
      <c r="Q632" s="21" t="s">
        <v>46</v>
      </c>
      <c r="R632" s="19" t="s">
        <v>47</v>
      </c>
      <c r="S632" s="21"/>
      <c r="T632" s="19"/>
      <c r="U632" s="21"/>
      <c r="V632" s="7"/>
      <c r="W632" s="7"/>
      <c r="X632" s="51" t="str">
        <f t="shared" si="4"/>
        <v/>
      </c>
      <c r="Y632" s="51" t="str">
        <f t="shared" si="5"/>
        <v/>
      </c>
      <c r="Z632" s="37"/>
    </row>
    <row r="633" spans="1:26" ht="14.25" customHeight="1" x14ac:dyDescent="0.3">
      <c r="A633" s="18">
        <v>157.4</v>
      </c>
      <c r="B633" s="19"/>
      <c r="C633" s="18" t="s">
        <v>55</v>
      </c>
      <c r="D633" s="19"/>
      <c r="E633" s="25"/>
      <c r="F633" s="19"/>
      <c r="G633" s="21">
        <v>0</v>
      </c>
      <c r="H633" s="21"/>
      <c r="I633" s="21"/>
      <c r="J633" s="21"/>
      <c r="K633" s="19"/>
      <c r="L633" s="19"/>
      <c r="M633" s="22">
        <v>1</v>
      </c>
      <c r="N633" s="19"/>
      <c r="O633" s="25"/>
      <c r="P633" s="23"/>
      <c r="Q633" s="21" t="s">
        <v>46</v>
      </c>
      <c r="R633" s="19" t="s">
        <v>47</v>
      </c>
      <c r="S633" s="21"/>
      <c r="T633" s="19"/>
      <c r="U633" s="21"/>
      <c r="V633" s="7"/>
      <c r="W633" s="7"/>
      <c r="X633" s="51" t="str">
        <f t="shared" si="4"/>
        <v/>
      </c>
      <c r="Y633" s="51" t="str">
        <f t="shared" si="5"/>
        <v/>
      </c>
      <c r="Z633" s="37"/>
    </row>
    <row r="634" spans="1:26" ht="14.25" customHeight="1" x14ac:dyDescent="0.3">
      <c r="A634" s="18">
        <v>158.1</v>
      </c>
      <c r="B634" s="19"/>
      <c r="C634" s="18" t="s">
        <v>55</v>
      </c>
      <c r="D634" s="19"/>
      <c r="E634" s="25"/>
      <c r="F634" s="19"/>
      <c r="G634" s="21">
        <v>0</v>
      </c>
      <c r="H634" s="21"/>
      <c r="I634" s="21"/>
      <c r="J634" s="21"/>
      <c r="K634" s="19"/>
      <c r="L634" s="19"/>
      <c r="M634" s="22">
        <v>1</v>
      </c>
      <c r="N634" s="19"/>
      <c r="O634" s="25"/>
      <c r="P634" s="23"/>
      <c r="Q634" s="21" t="s">
        <v>46</v>
      </c>
      <c r="R634" s="19" t="s">
        <v>47</v>
      </c>
      <c r="S634" s="21"/>
      <c r="T634" s="19"/>
      <c r="U634" s="21"/>
      <c r="V634" s="7"/>
      <c r="W634" s="7"/>
      <c r="X634" s="51" t="str">
        <f t="shared" si="4"/>
        <v/>
      </c>
      <c r="Y634" s="51" t="str">
        <f t="shared" si="5"/>
        <v/>
      </c>
      <c r="Z634" s="37"/>
    </row>
    <row r="635" spans="1:26" ht="14.25" customHeight="1" x14ac:dyDescent="0.3">
      <c r="A635" s="18">
        <v>158.19999999999999</v>
      </c>
      <c r="B635" s="19"/>
      <c r="C635" s="18" t="s">
        <v>55</v>
      </c>
      <c r="D635" s="19"/>
      <c r="E635" s="25"/>
      <c r="F635" s="19"/>
      <c r="G635" s="21">
        <v>0</v>
      </c>
      <c r="H635" s="21"/>
      <c r="I635" s="21"/>
      <c r="J635" s="21"/>
      <c r="K635" s="19"/>
      <c r="L635" s="19"/>
      <c r="M635" s="22">
        <v>1</v>
      </c>
      <c r="N635" s="19"/>
      <c r="O635" s="25"/>
      <c r="P635" s="23"/>
      <c r="Q635" s="21" t="s">
        <v>46</v>
      </c>
      <c r="R635" s="19" t="s">
        <v>47</v>
      </c>
      <c r="S635" s="21"/>
      <c r="T635" s="19"/>
      <c r="U635" s="21"/>
      <c r="V635" s="7"/>
      <c r="W635" s="7"/>
      <c r="X635" s="51" t="str">
        <f t="shared" si="4"/>
        <v/>
      </c>
      <c r="Y635" s="51" t="str">
        <f t="shared" si="5"/>
        <v/>
      </c>
      <c r="Z635" s="37"/>
    </row>
    <row r="636" spans="1:26" ht="14.25" customHeight="1" x14ac:dyDescent="0.3">
      <c r="A636" s="18">
        <v>158.30000000000001</v>
      </c>
      <c r="B636" s="19"/>
      <c r="C636" s="18" t="s">
        <v>55</v>
      </c>
      <c r="D636" s="19"/>
      <c r="E636" s="25"/>
      <c r="F636" s="19"/>
      <c r="G636" s="21">
        <v>0</v>
      </c>
      <c r="H636" s="21"/>
      <c r="I636" s="21"/>
      <c r="J636" s="21"/>
      <c r="K636" s="19"/>
      <c r="L636" s="19"/>
      <c r="M636" s="22">
        <v>1</v>
      </c>
      <c r="N636" s="19"/>
      <c r="O636" s="25"/>
      <c r="P636" s="23"/>
      <c r="Q636" s="21" t="s">
        <v>46</v>
      </c>
      <c r="R636" s="19" t="s">
        <v>47</v>
      </c>
      <c r="S636" s="21"/>
      <c r="T636" s="19"/>
      <c r="U636" s="21"/>
      <c r="V636" s="7"/>
      <c r="W636" s="7"/>
      <c r="X636" s="51" t="str">
        <f t="shared" si="4"/>
        <v/>
      </c>
      <c r="Y636" s="51" t="str">
        <f t="shared" si="5"/>
        <v/>
      </c>
      <c r="Z636" s="37"/>
    </row>
    <row r="637" spans="1:26" ht="14.25" customHeight="1" x14ac:dyDescent="0.3">
      <c r="A637" s="18">
        <v>158.4</v>
      </c>
      <c r="B637" s="19"/>
      <c r="C637" s="18" t="s">
        <v>55</v>
      </c>
      <c r="D637" s="19"/>
      <c r="E637" s="25"/>
      <c r="F637" s="19"/>
      <c r="G637" s="21">
        <v>0</v>
      </c>
      <c r="H637" s="21"/>
      <c r="I637" s="21"/>
      <c r="J637" s="21"/>
      <c r="K637" s="19"/>
      <c r="L637" s="19"/>
      <c r="M637" s="22">
        <v>1</v>
      </c>
      <c r="N637" s="19"/>
      <c r="O637" s="25"/>
      <c r="P637" s="23"/>
      <c r="Q637" s="21" t="s">
        <v>46</v>
      </c>
      <c r="R637" s="19" t="s">
        <v>47</v>
      </c>
      <c r="S637" s="21"/>
      <c r="T637" s="19"/>
      <c r="U637" s="21"/>
      <c r="V637" s="7"/>
      <c r="W637" s="7"/>
      <c r="X637" s="51" t="str">
        <f t="shared" si="4"/>
        <v/>
      </c>
      <c r="Y637" s="51" t="str">
        <f t="shared" si="5"/>
        <v/>
      </c>
      <c r="Z637" s="37"/>
    </row>
    <row r="638" spans="1:26" ht="14.25" customHeight="1" x14ac:dyDescent="0.3">
      <c r="A638" s="18">
        <v>159.1</v>
      </c>
      <c r="B638" s="19"/>
      <c r="C638" s="18" t="s">
        <v>55</v>
      </c>
      <c r="D638" s="19"/>
      <c r="E638" s="25"/>
      <c r="F638" s="19"/>
      <c r="G638" s="21">
        <v>0</v>
      </c>
      <c r="H638" s="21"/>
      <c r="I638" s="21"/>
      <c r="J638" s="21"/>
      <c r="K638" s="19"/>
      <c r="L638" s="19"/>
      <c r="M638" s="22">
        <v>1</v>
      </c>
      <c r="N638" s="19"/>
      <c r="O638" s="25"/>
      <c r="P638" s="23"/>
      <c r="Q638" s="21" t="s">
        <v>46</v>
      </c>
      <c r="R638" s="19" t="s">
        <v>47</v>
      </c>
      <c r="S638" s="21"/>
      <c r="T638" s="19"/>
      <c r="U638" s="21"/>
      <c r="V638" s="7"/>
      <c r="W638" s="7"/>
      <c r="X638" s="51" t="str">
        <f t="shared" si="4"/>
        <v/>
      </c>
      <c r="Y638" s="51" t="str">
        <f t="shared" si="5"/>
        <v/>
      </c>
      <c r="Z638" s="37"/>
    </row>
    <row r="639" spans="1:26" ht="14.25" customHeight="1" x14ac:dyDescent="0.3">
      <c r="A639" s="18">
        <v>159.19999999999999</v>
      </c>
      <c r="B639" s="19"/>
      <c r="C639" s="18" t="s">
        <v>55</v>
      </c>
      <c r="D639" s="19"/>
      <c r="E639" s="25"/>
      <c r="F639" s="19"/>
      <c r="G639" s="21">
        <v>0</v>
      </c>
      <c r="H639" s="21"/>
      <c r="I639" s="21"/>
      <c r="J639" s="21"/>
      <c r="K639" s="19"/>
      <c r="L639" s="19"/>
      <c r="M639" s="22">
        <v>1</v>
      </c>
      <c r="N639" s="19"/>
      <c r="O639" s="25"/>
      <c r="P639" s="23"/>
      <c r="Q639" s="21" t="s">
        <v>46</v>
      </c>
      <c r="R639" s="19" t="s">
        <v>47</v>
      </c>
      <c r="S639" s="21"/>
      <c r="T639" s="19"/>
      <c r="U639" s="21"/>
      <c r="V639" s="7"/>
      <c r="W639" s="7"/>
      <c r="X639" s="51" t="str">
        <f t="shared" si="4"/>
        <v/>
      </c>
      <c r="Y639" s="51" t="str">
        <f t="shared" si="5"/>
        <v/>
      </c>
      <c r="Z639" s="37"/>
    </row>
    <row r="640" spans="1:26" ht="14.25" customHeight="1" x14ac:dyDescent="0.3">
      <c r="A640" s="18">
        <v>159.30000000000001</v>
      </c>
      <c r="B640" s="19"/>
      <c r="C640" s="18" t="s">
        <v>55</v>
      </c>
      <c r="D640" s="19"/>
      <c r="E640" s="25"/>
      <c r="F640" s="19"/>
      <c r="G640" s="21">
        <v>0</v>
      </c>
      <c r="H640" s="21"/>
      <c r="I640" s="21"/>
      <c r="J640" s="21"/>
      <c r="K640" s="19"/>
      <c r="L640" s="19"/>
      <c r="M640" s="22">
        <v>1</v>
      </c>
      <c r="N640" s="19"/>
      <c r="O640" s="25"/>
      <c r="P640" s="23"/>
      <c r="Q640" s="21" t="s">
        <v>46</v>
      </c>
      <c r="R640" s="19" t="s">
        <v>47</v>
      </c>
      <c r="S640" s="21"/>
      <c r="T640" s="19"/>
      <c r="U640" s="21"/>
      <c r="V640" s="7"/>
      <c r="W640" s="7"/>
      <c r="X640" s="51" t="str">
        <f t="shared" si="4"/>
        <v/>
      </c>
      <c r="Y640" s="51" t="str">
        <f t="shared" si="5"/>
        <v/>
      </c>
      <c r="Z640" s="37"/>
    </row>
    <row r="641" spans="1:26" ht="14.25" customHeight="1" x14ac:dyDescent="0.3">
      <c r="A641" s="18">
        <v>159.4</v>
      </c>
      <c r="B641" s="19"/>
      <c r="C641" s="18" t="s">
        <v>55</v>
      </c>
      <c r="D641" s="19"/>
      <c r="E641" s="25"/>
      <c r="F641" s="19"/>
      <c r="G641" s="21">
        <v>0</v>
      </c>
      <c r="H641" s="21"/>
      <c r="I641" s="21"/>
      <c r="J641" s="21"/>
      <c r="K641" s="19"/>
      <c r="L641" s="19"/>
      <c r="M641" s="22">
        <v>1</v>
      </c>
      <c r="N641" s="19"/>
      <c r="O641" s="25"/>
      <c r="P641" s="23"/>
      <c r="Q641" s="21" t="s">
        <v>46</v>
      </c>
      <c r="R641" s="19" t="s">
        <v>47</v>
      </c>
      <c r="S641" s="21"/>
      <c r="T641" s="19"/>
      <c r="U641" s="21"/>
      <c r="V641" s="7"/>
      <c r="W641" s="7"/>
      <c r="X641" s="51" t="str">
        <f t="shared" si="4"/>
        <v/>
      </c>
      <c r="Y641" s="51" t="str">
        <f t="shared" si="5"/>
        <v/>
      </c>
      <c r="Z641" s="37"/>
    </row>
    <row r="642" spans="1:26" ht="14.25" customHeight="1" x14ac:dyDescent="0.3">
      <c r="A642" s="18">
        <v>160.1</v>
      </c>
      <c r="B642" s="19"/>
      <c r="C642" s="18" t="s">
        <v>55</v>
      </c>
      <c r="D642" s="19"/>
      <c r="E642" s="25"/>
      <c r="F642" s="19"/>
      <c r="G642" s="21">
        <v>0</v>
      </c>
      <c r="H642" s="21"/>
      <c r="I642" s="21"/>
      <c r="J642" s="21"/>
      <c r="K642" s="19"/>
      <c r="L642" s="19"/>
      <c r="M642" s="22">
        <v>1</v>
      </c>
      <c r="N642" s="19"/>
      <c r="O642" s="25"/>
      <c r="P642" s="23"/>
      <c r="Q642" s="21" t="s">
        <v>46</v>
      </c>
      <c r="R642" s="19" t="s">
        <v>47</v>
      </c>
      <c r="S642" s="21"/>
      <c r="T642" s="19"/>
      <c r="U642" s="21"/>
      <c r="V642" s="7"/>
      <c r="W642" s="7"/>
      <c r="X642" s="51" t="str">
        <f t="shared" si="4"/>
        <v/>
      </c>
      <c r="Y642" s="51" t="str">
        <f t="shared" si="5"/>
        <v/>
      </c>
      <c r="Z642" s="37"/>
    </row>
    <row r="643" spans="1:26" ht="14.25" customHeight="1" x14ac:dyDescent="0.3">
      <c r="A643" s="18">
        <v>160.19999999999999</v>
      </c>
      <c r="B643" s="19"/>
      <c r="C643" s="18" t="s">
        <v>55</v>
      </c>
      <c r="D643" s="19"/>
      <c r="E643" s="25"/>
      <c r="F643" s="19"/>
      <c r="G643" s="21">
        <v>0</v>
      </c>
      <c r="H643" s="21"/>
      <c r="I643" s="21"/>
      <c r="J643" s="21"/>
      <c r="K643" s="19"/>
      <c r="L643" s="19"/>
      <c r="M643" s="22">
        <v>1</v>
      </c>
      <c r="N643" s="19"/>
      <c r="O643" s="25"/>
      <c r="P643" s="23"/>
      <c r="Q643" s="21" t="s">
        <v>46</v>
      </c>
      <c r="R643" s="19" t="s">
        <v>47</v>
      </c>
      <c r="S643" s="21"/>
      <c r="T643" s="19"/>
      <c r="U643" s="21"/>
      <c r="V643" s="7"/>
      <c r="W643" s="7"/>
      <c r="X643" s="51" t="str">
        <f t="shared" si="4"/>
        <v/>
      </c>
      <c r="Y643" s="51" t="str">
        <f t="shared" si="5"/>
        <v/>
      </c>
      <c r="Z643" s="37"/>
    </row>
    <row r="644" spans="1:26" ht="14.25" customHeight="1" x14ac:dyDescent="0.3">
      <c r="A644" s="18">
        <v>160.30000000000001</v>
      </c>
      <c r="B644" s="19"/>
      <c r="C644" s="18" t="s">
        <v>55</v>
      </c>
      <c r="D644" s="19"/>
      <c r="E644" s="25"/>
      <c r="F644" s="19"/>
      <c r="G644" s="21">
        <v>0</v>
      </c>
      <c r="H644" s="21"/>
      <c r="I644" s="21"/>
      <c r="J644" s="21"/>
      <c r="K644" s="19"/>
      <c r="L644" s="19"/>
      <c r="M644" s="22">
        <v>1</v>
      </c>
      <c r="N644" s="19"/>
      <c r="O644" s="25"/>
      <c r="P644" s="23"/>
      <c r="Q644" s="21" t="s">
        <v>46</v>
      </c>
      <c r="R644" s="19" t="s">
        <v>47</v>
      </c>
      <c r="S644" s="21"/>
      <c r="T644" s="19"/>
      <c r="U644" s="21"/>
      <c r="V644" s="7"/>
      <c r="W644" s="7"/>
      <c r="X644" s="51" t="str">
        <f t="shared" si="4"/>
        <v/>
      </c>
      <c r="Y644" s="51" t="str">
        <f t="shared" si="5"/>
        <v/>
      </c>
      <c r="Z644" s="37"/>
    </row>
    <row r="645" spans="1:26" ht="14.25" customHeight="1" x14ac:dyDescent="0.3">
      <c r="A645" s="18">
        <v>160.4</v>
      </c>
      <c r="B645" s="19"/>
      <c r="C645" s="18" t="s">
        <v>55</v>
      </c>
      <c r="D645" s="19"/>
      <c r="E645" s="25"/>
      <c r="F645" s="19"/>
      <c r="G645" s="21">
        <v>0</v>
      </c>
      <c r="H645" s="21"/>
      <c r="I645" s="21"/>
      <c r="J645" s="21"/>
      <c r="K645" s="19"/>
      <c r="L645" s="19"/>
      <c r="M645" s="22">
        <v>1</v>
      </c>
      <c r="N645" s="19"/>
      <c r="O645" s="25"/>
      <c r="P645" s="23"/>
      <c r="Q645" s="21" t="s">
        <v>46</v>
      </c>
      <c r="R645" s="19" t="s">
        <v>47</v>
      </c>
      <c r="S645" s="21"/>
      <c r="T645" s="19"/>
      <c r="U645" s="21"/>
      <c r="V645" s="7"/>
      <c r="W645" s="7"/>
      <c r="X645" s="51" t="str">
        <f t="shared" si="4"/>
        <v/>
      </c>
      <c r="Y645" s="51" t="str">
        <f t="shared" si="5"/>
        <v/>
      </c>
      <c r="Z645" s="37"/>
    </row>
    <row r="646" spans="1:26" ht="14.25" customHeight="1" x14ac:dyDescent="0.3">
      <c r="A646" s="18">
        <v>161.1</v>
      </c>
      <c r="B646" s="19"/>
      <c r="C646" s="18" t="s">
        <v>55</v>
      </c>
      <c r="D646" s="19"/>
      <c r="E646" s="25"/>
      <c r="F646" s="19"/>
      <c r="G646" s="21">
        <v>0</v>
      </c>
      <c r="H646" s="21"/>
      <c r="I646" s="21"/>
      <c r="J646" s="21"/>
      <c r="K646" s="19"/>
      <c r="L646" s="19"/>
      <c r="M646" s="22">
        <v>1</v>
      </c>
      <c r="N646" s="19"/>
      <c r="O646" s="25"/>
      <c r="P646" s="23"/>
      <c r="Q646" s="21" t="s">
        <v>46</v>
      </c>
      <c r="R646" s="19" t="s">
        <v>47</v>
      </c>
      <c r="S646" s="21"/>
      <c r="T646" s="19"/>
      <c r="U646" s="21"/>
      <c r="V646" s="7"/>
      <c r="W646" s="7"/>
      <c r="X646" s="51" t="str">
        <f t="shared" si="4"/>
        <v/>
      </c>
      <c r="Y646" s="51" t="str">
        <f t="shared" si="5"/>
        <v/>
      </c>
      <c r="Z646" s="37"/>
    </row>
    <row r="647" spans="1:26" ht="14.25" customHeight="1" x14ac:dyDescent="0.3">
      <c r="A647" s="18">
        <v>161.19999999999999</v>
      </c>
      <c r="B647" s="19"/>
      <c r="C647" s="18" t="s">
        <v>55</v>
      </c>
      <c r="D647" s="19"/>
      <c r="E647" s="25"/>
      <c r="F647" s="19"/>
      <c r="G647" s="21">
        <v>0</v>
      </c>
      <c r="H647" s="21"/>
      <c r="I647" s="21"/>
      <c r="J647" s="21"/>
      <c r="K647" s="19"/>
      <c r="L647" s="19"/>
      <c r="M647" s="22">
        <v>1</v>
      </c>
      <c r="N647" s="19"/>
      <c r="O647" s="25"/>
      <c r="P647" s="23"/>
      <c r="Q647" s="21" t="s">
        <v>46</v>
      </c>
      <c r="R647" s="19" t="s">
        <v>47</v>
      </c>
      <c r="S647" s="21"/>
      <c r="T647" s="19"/>
      <c r="U647" s="21"/>
      <c r="V647" s="7"/>
      <c r="W647" s="7"/>
      <c r="X647" s="51" t="str">
        <f t="shared" si="4"/>
        <v/>
      </c>
      <c r="Y647" s="51" t="str">
        <f t="shared" si="5"/>
        <v/>
      </c>
      <c r="Z647" s="37"/>
    </row>
    <row r="648" spans="1:26" ht="14.25" customHeight="1" x14ac:dyDescent="0.3">
      <c r="A648" s="18">
        <v>161.30000000000001</v>
      </c>
      <c r="B648" s="19"/>
      <c r="C648" s="18" t="s">
        <v>55</v>
      </c>
      <c r="D648" s="19"/>
      <c r="E648" s="25"/>
      <c r="F648" s="19"/>
      <c r="G648" s="21">
        <v>0</v>
      </c>
      <c r="H648" s="21"/>
      <c r="I648" s="21"/>
      <c r="J648" s="21"/>
      <c r="K648" s="19"/>
      <c r="L648" s="19"/>
      <c r="M648" s="22">
        <v>1</v>
      </c>
      <c r="N648" s="19"/>
      <c r="O648" s="25"/>
      <c r="P648" s="23"/>
      <c r="Q648" s="21" t="s">
        <v>46</v>
      </c>
      <c r="R648" s="19" t="s">
        <v>47</v>
      </c>
      <c r="S648" s="21"/>
      <c r="T648" s="19"/>
      <c r="U648" s="21"/>
      <c r="V648" s="7"/>
      <c r="W648" s="7"/>
      <c r="X648" s="51" t="str">
        <f t="shared" si="4"/>
        <v/>
      </c>
      <c r="Y648" s="51" t="str">
        <f t="shared" si="5"/>
        <v/>
      </c>
      <c r="Z648" s="37"/>
    </row>
    <row r="649" spans="1:26" ht="14.25" customHeight="1" x14ac:dyDescent="0.3">
      <c r="A649" s="18">
        <v>161.4</v>
      </c>
      <c r="B649" s="19"/>
      <c r="C649" s="18" t="s">
        <v>55</v>
      </c>
      <c r="D649" s="19"/>
      <c r="E649" s="25"/>
      <c r="F649" s="19"/>
      <c r="G649" s="21">
        <v>0</v>
      </c>
      <c r="H649" s="21"/>
      <c r="I649" s="21"/>
      <c r="J649" s="21"/>
      <c r="K649" s="19"/>
      <c r="L649" s="19"/>
      <c r="M649" s="22">
        <v>1</v>
      </c>
      <c r="N649" s="19"/>
      <c r="O649" s="25"/>
      <c r="P649" s="23"/>
      <c r="Q649" s="21" t="s">
        <v>46</v>
      </c>
      <c r="R649" s="19" t="s">
        <v>47</v>
      </c>
      <c r="S649" s="21"/>
      <c r="T649" s="19"/>
      <c r="U649" s="21"/>
      <c r="V649" s="7"/>
      <c r="W649" s="7"/>
      <c r="X649" s="51" t="str">
        <f t="shared" si="4"/>
        <v/>
      </c>
      <c r="Y649" s="51" t="str">
        <f t="shared" si="5"/>
        <v/>
      </c>
      <c r="Z649" s="37"/>
    </row>
    <row r="650" spans="1:26" ht="14.25" customHeight="1" x14ac:dyDescent="0.3">
      <c r="A650" s="18">
        <v>162.1</v>
      </c>
      <c r="B650" s="19"/>
      <c r="C650" s="18" t="s">
        <v>55</v>
      </c>
      <c r="D650" s="19"/>
      <c r="E650" s="25"/>
      <c r="F650" s="19"/>
      <c r="G650" s="21">
        <v>0</v>
      </c>
      <c r="H650" s="21"/>
      <c r="I650" s="21"/>
      <c r="J650" s="21"/>
      <c r="K650" s="19"/>
      <c r="L650" s="19"/>
      <c r="M650" s="22">
        <v>1</v>
      </c>
      <c r="N650" s="19"/>
      <c r="O650" s="25"/>
      <c r="P650" s="23"/>
      <c r="Q650" s="21" t="s">
        <v>46</v>
      </c>
      <c r="R650" s="19" t="s">
        <v>47</v>
      </c>
      <c r="S650" s="21"/>
      <c r="T650" s="19"/>
      <c r="U650" s="21"/>
      <c r="V650" s="7"/>
      <c r="W650" s="7"/>
      <c r="X650" s="51" t="str">
        <f t="shared" si="4"/>
        <v/>
      </c>
      <c r="Y650" s="51" t="str">
        <f t="shared" si="5"/>
        <v/>
      </c>
      <c r="Z650" s="37"/>
    </row>
    <row r="651" spans="1:26" ht="14.25" customHeight="1" x14ac:dyDescent="0.3">
      <c r="A651" s="18">
        <v>162.19999999999999</v>
      </c>
      <c r="B651" s="19"/>
      <c r="C651" s="18" t="s">
        <v>55</v>
      </c>
      <c r="D651" s="19"/>
      <c r="E651" s="25"/>
      <c r="F651" s="19"/>
      <c r="G651" s="21">
        <v>0</v>
      </c>
      <c r="H651" s="21"/>
      <c r="I651" s="21"/>
      <c r="J651" s="21"/>
      <c r="K651" s="19"/>
      <c r="L651" s="19"/>
      <c r="M651" s="22">
        <v>1</v>
      </c>
      <c r="N651" s="19"/>
      <c r="O651" s="25"/>
      <c r="P651" s="23"/>
      <c r="Q651" s="21" t="s">
        <v>46</v>
      </c>
      <c r="R651" s="19" t="s">
        <v>47</v>
      </c>
      <c r="S651" s="21"/>
      <c r="T651" s="19"/>
      <c r="U651" s="21"/>
      <c r="V651" s="7"/>
      <c r="W651" s="7"/>
      <c r="X651" s="51" t="str">
        <f t="shared" si="4"/>
        <v/>
      </c>
      <c r="Y651" s="51" t="str">
        <f t="shared" si="5"/>
        <v/>
      </c>
      <c r="Z651" s="37"/>
    </row>
    <row r="652" spans="1:26" ht="14.25" customHeight="1" x14ac:dyDescent="0.3">
      <c r="A652" s="18">
        <v>162.30000000000001</v>
      </c>
      <c r="B652" s="19"/>
      <c r="C652" s="18" t="s">
        <v>55</v>
      </c>
      <c r="D652" s="19"/>
      <c r="E652" s="25"/>
      <c r="F652" s="19"/>
      <c r="G652" s="21">
        <v>0</v>
      </c>
      <c r="H652" s="21"/>
      <c r="I652" s="21"/>
      <c r="J652" s="21"/>
      <c r="K652" s="19"/>
      <c r="L652" s="19"/>
      <c r="M652" s="22">
        <v>1</v>
      </c>
      <c r="N652" s="19"/>
      <c r="O652" s="25"/>
      <c r="P652" s="23"/>
      <c r="Q652" s="21" t="s">
        <v>46</v>
      </c>
      <c r="R652" s="19" t="s">
        <v>47</v>
      </c>
      <c r="S652" s="21"/>
      <c r="T652" s="19"/>
      <c r="U652" s="21"/>
      <c r="V652" s="7"/>
      <c r="W652" s="7"/>
      <c r="X652" s="51" t="str">
        <f t="shared" si="4"/>
        <v/>
      </c>
      <c r="Y652" s="51" t="str">
        <f t="shared" si="5"/>
        <v/>
      </c>
      <c r="Z652" s="37"/>
    </row>
    <row r="653" spans="1:26" ht="14.25" customHeight="1" x14ac:dyDescent="0.3">
      <c r="A653" s="18">
        <v>162.4</v>
      </c>
      <c r="B653" s="19"/>
      <c r="C653" s="18" t="s">
        <v>55</v>
      </c>
      <c r="D653" s="19"/>
      <c r="E653" s="25"/>
      <c r="F653" s="19"/>
      <c r="G653" s="21">
        <v>0</v>
      </c>
      <c r="H653" s="21"/>
      <c r="I653" s="21"/>
      <c r="J653" s="21"/>
      <c r="K653" s="19"/>
      <c r="L653" s="19"/>
      <c r="M653" s="22">
        <v>1</v>
      </c>
      <c r="N653" s="19"/>
      <c r="O653" s="25"/>
      <c r="P653" s="23"/>
      <c r="Q653" s="21" t="s">
        <v>46</v>
      </c>
      <c r="R653" s="19" t="s">
        <v>47</v>
      </c>
      <c r="S653" s="21"/>
      <c r="T653" s="19"/>
      <c r="U653" s="21"/>
      <c r="V653" s="7"/>
      <c r="W653" s="7"/>
      <c r="X653" s="51" t="str">
        <f t="shared" si="4"/>
        <v/>
      </c>
      <c r="Y653" s="51" t="str">
        <f t="shared" si="5"/>
        <v/>
      </c>
      <c r="Z653" s="37"/>
    </row>
    <row r="654" spans="1:26" ht="14.25" customHeight="1" x14ac:dyDescent="0.3">
      <c r="A654" s="18">
        <v>163.1</v>
      </c>
      <c r="B654" s="19"/>
      <c r="C654" s="18" t="s">
        <v>55</v>
      </c>
      <c r="D654" s="19"/>
      <c r="E654" s="25"/>
      <c r="F654" s="19"/>
      <c r="G654" s="21">
        <v>0</v>
      </c>
      <c r="H654" s="21"/>
      <c r="I654" s="21"/>
      <c r="J654" s="21"/>
      <c r="K654" s="19"/>
      <c r="L654" s="19"/>
      <c r="M654" s="22">
        <v>1</v>
      </c>
      <c r="N654" s="19"/>
      <c r="O654" s="25"/>
      <c r="P654" s="23"/>
      <c r="Q654" s="21" t="s">
        <v>46</v>
      </c>
      <c r="R654" s="19" t="s">
        <v>47</v>
      </c>
      <c r="S654" s="21"/>
      <c r="T654" s="19"/>
      <c r="U654" s="21"/>
      <c r="V654" s="7"/>
      <c r="W654" s="7"/>
      <c r="X654" s="51" t="str">
        <f t="shared" si="4"/>
        <v/>
      </c>
      <c r="Y654" s="51" t="str">
        <f t="shared" si="5"/>
        <v/>
      </c>
      <c r="Z654" s="37"/>
    </row>
    <row r="655" spans="1:26" ht="14.25" customHeight="1" x14ac:dyDescent="0.3">
      <c r="A655" s="18">
        <v>163.19999999999999</v>
      </c>
      <c r="B655" s="19"/>
      <c r="C655" s="18" t="s">
        <v>55</v>
      </c>
      <c r="D655" s="19"/>
      <c r="E655" s="25"/>
      <c r="F655" s="19"/>
      <c r="G655" s="21">
        <v>0</v>
      </c>
      <c r="H655" s="21"/>
      <c r="I655" s="21"/>
      <c r="J655" s="21"/>
      <c r="K655" s="19"/>
      <c r="L655" s="19"/>
      <c r="M655" s="22">
        <v>1</v>
      </c>
      <c r="N655" s="19"/>
      <c r="O655" s="25"/>
      <c r="P655" s="23"/>
      <c r="Q655" s="21" t="s">
        <v>46</v>
      </c>
      <c r="R655" s="19" t="s">
        <v>47</v>
      </c>
      <c r="S655" s="21"/>
      <c r="T655" s="19"/>
      <c r="U655" s="21"/>
      <c r="V655" s="7"/>
      <c r="W655" s="7"/>
      <c r="X655" s="51" t="str">
        <f t="shared" si="4"/>
        <v/>
      </c>
      <c r="Y655" s="51" t="str">
        <f t="shared" si="5"/>
        <v/>
      </c>
      <c r="Z655" s="37"/>
    </row>
    <row r="656" spans="1:26" ht="14.25" customHeight="1" x14ac:dyDescent="0.3">
      <c r="A656" s="18">
        <v>163.30000000000001</v>
      </c>
      <c r="B656" s="19"/>
      <c r="C656" s="18" t="s">
        <v>55</v>
      </c>
      <c r="D656" s="19"/>
      <c r="E656" s="25"/>
      <c r="F656" s="19"/>
      <c r="G656" s="21">
        <v>0</v>
      </c>
      <c r="H656" s="21"/>
      <c r="I656" s="21"/>
      <c r="J656" s="21"/>
      <c r="K656" s="19"/>
      <c r="L656" s="19"/>
      <c r="M656" s="22">
        <v>1</v>
      </c>
      <c r="N656" s="19"/>
      <c r="O656" s="25"/>
      <c r="P656" s="23"/>
      <c r="Q656" s="21" t="s">
        <v>46</v>
      </c>
      <c r="R656" s="19" t="s">
        <v>47</v>
      </c>
      <c r="S656" s="21"/>
      <c r="T656" s="19"/>
      <c r="U656" s="21"/>
      <c r="V656" s="7"/>
      <c r="W656" s="7"/>
      <c r="X656" s="51" t="str">
        <f t="shared" si="4"/>
        <v/>
      </c>
      <c r="Y656" s="51" t="str">
        <f t="shared" si="5"/>
        <v/>
      </c>
      <c r="Z656" s="37"/>
    </row>
    <row r="657" spans="1:26" ht="14.25" customHeight="1" x14ac:dyDescent="0.3">
      <c r="A657" s="18">
        <v>163.4</v>
      </c>
      <c r="B657" s="19"/>
      <c r="C657" s="18" t="s">
        <v>55</v>
      </c>
      <c r="D657" s="19"/>
      <c r="E657" s="25"/>
      <c r="F657" s="19"/>
      <c r="G657" s="21">
        <v>0</v>
      </c>
      <c r="H657" s="21"/>
      <c r="I657" s="21"/>
      <c r="J657" s="21"/>
      <c r="K657" s="19"/>
      <c r="L657" s="19"/>
      <c r="M657" s="22">
        <v>1</v>
      </c>
      <c r="N657" s="19"/>
      <c r="O657" s="25"/>
      <c r="P657" s="23"/>
      <c r="Q657" s="21" t="s">
        <v>46</v>
      </c>
      <c r="R657" s="19" t="s">
        <v>47</v>
      </c>
      <c r="S657" s="21"/>
      <c r="T657" s="19"/>
      <c r="U657" s="21"/>
      <c r="V657" s="7"/>
      <c r="W657" s="7"/>
      <c r="X657" s="51" t="str">
        <f t="shared" si="4"/>
        <v/>
      </c>
      <c r="Y657" s="51" t="str">
        <f t="shared" si="5"/>
        <v/>
      </c>
      <c r="Z657" s="37"/>
    </row>
    <row r="658" spans="1:26" ht="14.25" customHeight="1" x14ac:dyDescent="0.3">
      <c r="A658" s="18">
        <v>164.1</v>
      </c>
      <c r="B658" s="19"/>
      <c r="C658" s="18" t="s">
        <v>55</v>
      </c>
      <c r="D658" s="19"/>
      <c r="E658" s="25"/>
      <c r="F658" s="19"/>
      <c r="G658" s="21">
        <v>0</v>
      </c>
      <c r="H658" s="21"/>
      <c r="I658" s="21"/>
      <c r="J658" s="21"/>
      <c r="K658" s="19"/>
      <c r="L658" s="19"/>
      <c r="M658" s="22">
        <v>1</v>
      </c>
      <c r="N658" s="19"/>
      <c r="O658" s="25"/>
      <c r="P658" s="23"/>
      <c r="Q658" s="21" t="s">
        <v>46</v>
      </c>
      <c r="R658" s="19" t="s">
        <v>47</v>
      </c>
      <c r="S658" s="21"/>
      <c r="T658" s="19"/>
      <c r="U658" s="21"/>
      <c r="V658" s="7"/>
      <c r="W658" s="7"/>
      <c r="X658" s="51" t="str">
        <f t="shared" si="4"/>
        <v/>
      </c>
      <c r="Y658" s="51" t="str">
        <f t="shared" si="5"/>
        <v/>
      </c>
      <c r="Z658" s="37"/>
    </row>
    <row r="659" spans="1:26" ht="14.25" customHeight="1" x14ac:dyDescent="0.3">
      <c r="A659" s="18">
        <v>164.2</v>
      </c>
      <c r="B659" s="19"/>
      <c r="C659" s="18" t="s">
        <v>55</v>
      </c>
      <c r="D659" s="19"/>
      <c r="E659" s="25"/>
      <c r="F659" s="19"/>
      <c r="G659" s="21">
        <v>0</v>
      </c>
      <c r="H659" s="21"/>
      <c r="I659" s="21"/>
      <c r="J659" s="21"/>
      <c r="K659" s="19"/>
      <c r="L659" s="19"/>
      <c r="M659" s="22">
        <v>1</v>
      </c>
      <c r="N659" s="19"/>
      <c r="O659" s="25"/>
      <c r="P659" s="23"/>
      <c r="Q659" s="21" t="s">
        <v>46</v>
      </c>
      <c r="R659" s="19" t="s">
        <v>47</v>
      </c>
      <c r="S659" s="21"/>
      <c r="T659" s="19"/>
      <c r="U659" s="21"/>
      <c r="V659" s="7"/>
      <c r="W659" s="7"/>
      <c r="X659" s="51" t="str">
        <f t="shared" si="4"/>
        <v/>
      </c>
      <c r="Y659" s="51" t="str">
        <f t="shared" si="5"/>
        <v/>
      </c>
      <c r="Z659" s="37"/>
    </row>
    <row r="660" spans="1:26" ht="14.25" customHeight="1" x14ac:dyDescent="0.3">
      <c r="A660" s="18">
        <v>164.3</v>
      </c>
      <c r="B660" s="19"/>
      <c r="C660" s="18" t="s">
        <v>55</v>
      </c>
      <c r="D660" s="19"/>
      <c r="E660" s="25"/>
      <c r="F660" s="19"/>
      <c r="G660" s="21">
        <v>0</v>
      </c>
      <c r="H660" s="21"/>
      <c r="I660" s="21"/>
      <c r="J660" s="21"/>
      <c r="K660" s="19"/>
      <c r="L660" s="19"/>
      <c r="M660" s="22">
        <v>1</v>
      </c>
      <c r="N660" s="19"/>
      <c r="O660" s="25"/>
      <c r="P660" s="23"/>
      <c r="Q660" s="21" t="s">
        <v>46</v>
      </c>
      <c r="R660" s="19" t="s">
        <v>47</v>
      </c>
      <c r="S660" s="21"/>
      <c r="T660" s="19"/>
      <c r="U660" s="21"/>
      <c r="V660" s="7"/>
      <c r="W660" s="7"/>
      <c r="X660" s="51" t="str">
        <f t="shared" si="4"/>
        <v/>
      </c>
      <c r="Y660" s="51" t="str">
        <f t="shared" si="5"/>
        <v/>
      </c>
      <c r="Z660" s="37"/>
    </row>
    <row r="661" spans="1:26" ht="14.25" customHeight="1" x14ac:dyDescent="0.3">
      <c r="A661" s="18">
        <v>164.4</v>
      </c>
      <c r="B661" s="19"/>
      <c r="C661" s="18" t="s">
        <v>55</v>
      </c>
      <c r="D661" s="19"/>
      <c r="E661" s="25"/>
      <c r="F661" s="19"/>
      <c r="G661" s="21">
        <v>0</v>
      </c>
      <c r="H661" s="21"/>
      <c r="I661" s="21"/>
      <c r="J661" s="21"/>
      <c r="K661" s="19"/>
      <c r="L661" s="19"/>
      <c r="M661" s="22">
        <v>1</v>
      </c>
      <c r="N661" s="19"/>
      <c r="O661" s="25"/>
      <c r="P661" s="23"/>
      <c r="Q661" s="21" t="s">
        <v>46</v>
      </c>
      <c r="R661" s="19" t="s">
        <v>47</v>
      </c>
      <c r="S661" s="21"/>
      <c r="T661" s="19"/>
      <c r="U661" s="21"/>
      <c r="V661" s="7"/>
      <c r="W661" s="7"/>
      <c r="X661" s="51" t="str">
        <f t="shared" si="4"/>
        <v/>
      </c>
      <c r="Y661" s="51" t="str">
        <f t="shared" si="5"/>
        <v/>
      </c>
      <c r="Z661" s="37"/>
    </row>
    <row r="662" spans="1:26" ht="14.25" customHeight="1" x14ac:dyDescent="0.3">
      <c r="A662" s="18">
        <v>165.1</v>
      </c>
      <c r="B662" s="19"/>
      <c r="C662" s="18" t="s">
        <v>55</v>
      </c>
      <c r="D662" s="19"/>
      <c r="E662" s="25"/>
      <c r="F662" s="19"/>
      <c r="G662" s="21">
        <v>0</v>
      </c>
      <c r="H662" s="21"/>
      <c r="I662" s="21"/>
      <c r="J662" s="21"/>
      <c r="K662" s="19"/>
      <c r="L662" s="19"/>
      <c r="M662" s="22">
        <v>1</v>
      </c>
      <c r="N662" s="19"/>
      <c r="O662" s="25"/>
      <c r="P662" s="23"/>
      <c r="Q662" s="21" t="s">
        <v>46</v>
      </c>
      <c r="R662" s="19" t="s">
        <v>47</v>
      </c>
      <c r="S662" s="21"/>
      <c r="T662" s="19"/>
      <c r="U662" s="21"/>
      <c r="V662" s="7"/>
      <c r="W662" s="7"/>
      <c r="X662" s="51" t="str">
        <f t="shared" si="4"/>
        <v/>
      </c>
      <c r="Y662" s="51" t="str">
        <f t="shared" si="5"/>
        <v/>
      </c>
      <c r="Z662" s="37"/>
    </row>
    <row r="663" spans="1:26" ht="14.25" customHeight="1" x14ac:dyDescent="0.3">
      <c r="A663" s="18">
        <v>165.2</v>
      </c>
      <c r="B663" s="19"/>
      <c r="C663" s="18" t="s">
        <v>55</v>
      </c>
      <c r="D663" s="19"/>
      <c r="E663" s="25"/>
      <c r="F663" s="19"/>
      <c r="G663" s="21">
        <v>0</v>
      </c>
      <c r="H663" s="21"/>
      <c r="I663" s="21"/>
      <c r="J663" s="21"/>
      <c r="K663" s="19"/>
      <c r="L663" s="19"/>
      <c r="M663" s="22">
        <v>1</v>
      </c>
      <c r="N663" s="19"/>
      <c r="O663" s="25"/>
      <c r="P663" s="23"/>
      <c r="Q663" s="21" t="s">
        <v>46</v>
      </c>
      <c r="R663" s="19" t="s">
        <v>47</v>
      </c>
      <c r="S663" s="21"/>
      <c r="T663" s="19"/>
      <c r="U663" s="21"/>
      <c r="V663" s="7"/>
      <c r="W663" s="7"/>
      <c r="X663" s="51" t="str">
        <f t="shared" si="4"/>
        <v/>
      </c>
      <c r="Y663" s="51" t="str">
        <f t="shared" si="5"/>
        <v/>
      </c>
      <c r="Z663" s="37"/>
    </row>
    <row r="664" spans="1:26" ht="14.25" customHeight="1" x14ac:dyDescent="0.3">
      <c r="A664" s="18">
        <v>165.3</v>
      </c>
      <c r="B664" s="19"/>
      <c r="C664" s="18" t="s">
        <v>55</v>
      </c>
      <c r="D664" s="19"/>
      <c r="E664" s="25"/>
      <c r="F664" s="19"/>
      <c r="G664" s="21">
        <v>0</v>
      </c>
      <c r="H664" s="21"/>
      <c r="I664" s="21"/>
      <c r="J664" s="21"/>
      <c r="K664" s="19"/>
      <c r="L664" s="19"/>
      <c r="M664" s="22">
        <v>1</v>
      </c>
      <c r="N664" s="19"/>
      <c r="O664" s="25"/>
      <c r="P664" s="23"/>
      <c r="Q664" s="21" t="s">
        <v>46</v>
      </c>
      <c r="R664" s="19" t="s">
        <v>47</v>
      </c>
      <c r="S664" s="21"/>
      <c r="T664" s="19"/>
      <c r="U664" s="21"/>
      <c r="V664" s="7"/>
      <c r="W664" s="7"/>
      <c r="X664" s="51" t="str">
        <f t="shared" si="4"/>
        <v/>
      </c>
      <c r="Y664" s="51" t="str">
        <f t="shared" si="5"/>
        <v/>
      </c>
      <c r="Z664" s="37"/>
    </row>
    <row r="665" spans="1:26" ht="14.25" customHeight="1" x14ac:dyDescent="0.3">
      <c r="A665" s="18">
        <v>165.4</v>
      </c>
      <c r="B665" s="19"/>
      <c r="C665" s="18" t="s">
        <v>55</v>
      </c>
      <c r="D665" s="19"/>
      <c r="E665" s="25"/>
      <c r="F665" s="19"/>
      <c r="G665" s="21">
        <v>0</v>
      </c>
      <c r="H665" s="21"/>
      <c r="I665" s="21"/>
      <c r="J665" s="21"/>
      <c r="K665" s="19"/>
      <c r="L665" s="19"/>
      <c r="M665" s="22">
        <v>1</v>
      </c>
      <c r="N665" s="19"/>
      <c r="O665" s="25"/>
      <c r="P665" s="23"/>
      <c r="Q665" s="21" t="s">
        <v>46</v>
      </c>
      <c r="R665" s="19" t="s">
        <v>47</v>
      </c>
      <c r="S665" s="21"/>
      <c r="T665" s="19"/>
      <c r="U665" s="21"/>
      <c r="V665" s="7"/>
      <c r="W665" s="7"/>
      <c r="X665" s="51" t="str">
        <f t="shared" si="4"/>
        <v/>
      </c>
      <c r="Y665" s="51" t="str">
        <f t="shared" si="5"/>
        <v/>
      </c>
      <c r="Z665" s="37"/>
    </row>
    <row r="666" spans="1:26" ht="14.25" customHeight="1" x14ac:dyDescent="0.3">
      <c r="A666" s="18">
        <v>166.1</v>
      </c>
      <c r="B666" s="19"/>
      <c r="C666" s="18" t="s">
        <v>55</v>
      </c>
      <c r="D666" s="19"/>
      <c r="E666" s="25"/>
      <c r="F666" s="19"/>
      <c r="G666" s="21">
        <v>0</v>
      </c>
      <c r="H666" s="21"/>
      <c r="I666" s="21"/>
      <c r="J666" s="21"/>
      <c r="K666" s="19"/>
      <c r="L666" s="19"/>
      <c r="M666" s="22">
        <v>1</v>
      </c>
      <c r="N666" s="19"/>
      <c r="O666" s="25"/>
      <c r="P666" s="23"/>
      <c r="Q666" s="21" t="s">
        <v>46</v>
      </c>
      <c r="R666" s="19" t="s">
        <v>47</v>
      </c>
      <c r="S666" s="21"/>
      <c r="T666" s="19"/>
      <c r="U666" s="21"/>
      <c r="V666" s="7"/>
      <c r="W666" s="7"/>
      <c r="X666" s="51" t="str">
        <f t="shared" si="4"/>
        <v/>
      </c>
      <c r="Y666" s="51" t="str">
        <f t="shared" si="5"/>
        <v/>
      </c>
      <c r="Z666" s="37"/>
    </row>
    <row r="667" spans="1:26" ht="14.25" customHeight="1" x14ac:dyDescent="0.3">
      <c r="A667" s="18">
        <v>166.2</v>
      </c>
      <c r="B667" s="19"/>
      <c r="C667" s="18" t="s">
        <v>55</v>
      </c>
      <c r="D667" s="19"/>
      <c r="E667" s="25"/>
      <c r="F667" s="19"/>
      <c r="G667" s="21">
        <v>0</v>
      </c>
      <c r="H667" s="21"/>
      <c r="I667" s="21"/>
      <c r="J667" s="21"/>
      <c r="K667" s="19"/>
      <c r="L667" s="19"/>
      <c r="M667" s="22">
        <v>1</v>
      </c>
      <c r="N667" s="19"/>
      <c r="O667" s="25"/>
      <c r="P667" s="23"/>
      <c r="Q667" s="21" t="s">
        <v>46</v>
      </c>
      <c r="R667" s="19" t="s">
        <v>47</v>
      </c>
      <c r="S667" s="21"/>
      <c r="T667" s="19"/>
      <c r="U667" s="21"/>
      <c r="V667" s="7"/>
      <c r="W667" s="7"/>
      <c r="X667" s="51" t="str">
        <f t="shared" si="4"/>
        <v/>
      </c>
      <c r="Y667" s="51" t="str">
        <f t="shared" si="5"/>
        <v/>
      </c>
      <c r="Z667" s="37"/>
    </row>
    <row r="668" spans="1:26" ht="14.25" customHeight="1" x14ac:dyDescent="0.3">
      <c r="A668" s="18">
        <v>166.3</v>
      </c>
      <c r="B668" s="19"/>
      <c r="C668" s="18" t="s">
        <v>55</v>
      </c>
      <c r="D668" s="19"/>
      <c r="E668" s="25"/>
      <c r="F668" s="19"/>
      <c r="G668" s="21">
        <v>0</v>
      </c>
      <c r="H668" s="21"/>
      <c r="I668" s="21"/>
      <c r="J668" s="21"/>
      <c r="K668" s="19"/>
      <c r="L668" s="19"/>
      <c r="M668" s="22">
        <v>1</v>
      </c>
      <c r="N668" s="19"/>
      <c r="O668" s="25"/>
      <c r="P668" s="23"/>
      <c r="Q668" s="21" t="s">
        <v>46</v>
      </c>
      <c r="R668" s="19" t="s">
        <v>47</v>
      </c>
      <c r="S668" s="21"/>
      <c r="T668" s="19"/>
      <c r="U668" s="21"/>
      <c r="V668" s="7"/>
      <c r="W668" s="7"/>
      <c r="X668" s="51" t="str">
        <f t="shared" si="4"/>
        <v/>
      </c>
      <c r="Y668" s="51" t="str">
        <f t="shared" si="5"/>
        <v/>
      </c>
      <c r="Z668" s="37"/>
    </row>
    <row r="669" spans="1:26" ht="14.25" customHeight="1" x14ac:dyDescent="0.3">
      <c r="A669" s="18">
        <v>166.4</v>
      </c>
      <c r="B669" s="19"/>
      <c r="C669" s="18" t="s">
        <v>55</v>
      </c>
      <c r="D669" s="19"/>
      <c r="E669" s="25"/>
      <c r="F669" s="19"/>
      <c r="G669" s="21">
        <v>0</v>
      </c>
      <c r="H669" s="21"/>
      <c r="I669" s="21"/>
      <c r="J669" s="21"/>
      <c r="K669" s="19"/>
      <c r="L669" s="19"/>
      <c r="M669" s="22">
        <v>1</v>
      </c>
      <c r="N669" s="19"/>
      <c r="O669" s="25"/>
      <c r="P669" s="23"/>
      <c r="Q669" s="21" t="s">
        <v>46</v>
      </c>
      <c r="R669" s="19" t="s">
        <v>47</v>
      </c>
      <c r="S669" s="21"/>
      <c r="T669" s="19"/>
      <c r="U669" s="21"/>
      <c r="V669" s="7"/>
      <c r="W669" s="7"/>
      <c r="X669" s="51" t="str">
        <f t="shared" si="4"/>
        <v/>
      </c>
      <c r="Y669" s="51" t="str">
        <f t="shared" si="5"/>
        <v/>
      </c>
      <c r="Z669" s="37"/>
    </row>
    <row r="670" spans="1:26" ht="14.25" customHeight="1" x14ac:dyDescent="0.3">
      <c r="A670" s="18">
        <v>167.1</v>
      </c>
      <c r="B670" s="19"/>
      <c r="C670" s="18" t="s">
        <v>55</v>
      </c>
      <c r="D670" s="19"/>
      <c r="E670" s="25"/>
      <c r="F670" s="19"/>
      <c r="G670" s="21">
        <v>0</v>
      </c>
      <c r="H670" s="21"/>
      <c r="I670" s="21"/>
      <c r="J670" s="21"/>
      <c r="K670" s="19"/>
      <c r="L670" s="19"/>
      <c r="M670" s="22">
        <v>1</v>
      </c>
      <c r="N670" s="19"/>
      <c r="O670" s="25"/>
      <c r="P670" s="23"/>
      <c r="Q670" s="21" t="s">
        <v>46</v>
      </c>
      <c r="R670" s="19" t="s">
        <v>47</v>
      </c>
      <c r="S670" s="21"/>
      <c r="T670" s="19"/>
      <c r="U670" s="21"/>
      <c r="V670" s="7"/>
      <c r="W670" s="7"/>
      <c r="X670" s="51" t="str">
        <f t="shared" si="4"/>
        <v/>
      </c>
      <c r="Y670" s="51" t="str">
        <f t="shared" si="5"/>
        <v/>
      </c>
      <c r="Z670" s="37"/>
    </row>
    <row r="671" spans="1:26" ht="14.25" customHeight="1" x14ac:dyDescent="0.3">
      <c r="A671" s="18">
        <v>167.2</v>
      </c>
      <c r="B671" s="19"/>
      <c r="C671" s="18" t="s">
        <v>55</v>
      </c>
      <c r="D671" s="19"/>
      <c r="E671" s="25"/>
      <c r="F671" s="19"/>
      <c r="G671" s="21">
        <v>0</v>
      </c>
      <c r="H671" s="21"/>
      <c r="I671" s="21"/>
      <c r="J671" s="21"/>
      <c r="K671" s="19"/>
      <c r="L671" s="19"/>
      <c r="M671" s="22">
        <v>1</v>
      </c>
      <c r="N671" s="19"/>
      <c r="O671" s="25"/>
      <c r="P671" s="23"/>
      <c r="Q671" s="21" t="s">
        <v>46</v>
      </c>
      <c r="R671" s="19" t="s">
        <v>47</v>
      </c>
      <c r="S671" s="21"/>
      <c r="T671" s="19"/>
      <c r="U671" s="21"/>
      <c r="V671" s="7"/>
      <c r="W671" s="7"/>
      <c r="X671" s="51" t="str">
        <f t="shared" si="4"/>
        <v/>
      </c>
      <c r="Y671" s="51" t="str">
        <f t="shared" si="5"/>
        <v/>
      </c>
      <c r="Z671" s="37"/>
    </row>
    <row r="672" spans="1:26" ht="14.25" customHeight="1" x14ac:dyDescent="0.3">
      <c r="A672" s="18">
        <v>167.3</v>
      </c>
      <c r="B672" s="19"/>
      <c r="C672" s="18" t="s">
        <v>55</v>
      </c>
      <c r="D672" s="19"/>
      <c r="E672" s="25"/>
      <c r="F672" s="19"/>
      <c r="G672" s="21">
        <v>0</v>
      </c>
      <c r="H672" s="21"/>
      <c r="I672" s="21"/>
      <c r="J672" s="21"/>
      <c r="K672" s="19"/>
      <c r="L672" s="19"/>
      <c r="M672" s="22">
        <v>1</v>
      </c>
      <c r="N672" s="19"/>
      <c r="O672" s="25"/>
      <c r="P672" s="23"/>
      <c r="Q672" s="21" t="s">
        <v>46</v>
      </c>
      <c r="R672" s="19" t="s">
        <v>47</v>
      </c>
      <c r="S672" s="21"/>
      <c r="T672" s="19"/>
      <c r="U672" s="21"/>
      <c r="V672" s="7"/>
      <c r="W672" s="7"/>
      <c r="X672" s="51" t="str">
        <f t="shared" si="4"/>
        <v/>
      </c>
      <c r="Y672" s="51" t="str">
        <f t="shared" si="5"/>
        <v/>
      </c>
      <c r="Z672" s="37"/>
    </row>
    <row r="673" spans="1:26" ht="14.25" customHeight="1" x14ac:dyDescent="0.3">
      <c r="A673" s="18">
        <v>167.4</v>
      </c>
      <c r="B673" s="19"/>
      <c r="C673" s="18" t="s">
        <v>55</v>
      </c>
      <c r="D673" s="19"/>
      <c r="E673" s="25"/>
      <c r="F673" s="19"/>
      <c r="G673" s="21">
        <v>0</v>
      </c>
      <c r="H673" s="21"/>
      <c r="I673" s="21"/>
      <c r="J673" s="21"/>
      <c r="K673" s="19"/>
      <c r="L673" s="19"/>
      <c r="M673" s="22">
        <v>1</v>
      </c>
      <c r="N673" s="19"/>
      <c r="O673" s="25"/>
      <c r="P673" s="23"/>
      <c r="Q673" s="21" t="s">
        <v>46</v>
      </c>
      <c r="R673" s="19" t="s">
        <v>47</v>
      </c>
      <c r="S673" s="21"/>
      <c r="T673" s="19"/>
      <c r="U673" s="21"/>
      <c r="V673" s="7"/>
      <c r="W673" s="7"/>
      <c r="X673" s="51" t="str">
        <f t="shared" si="4"/>
        <v/>
      </c>
      <c r="Y673" s="51" t="str">
        <f t="shared" si="5"/>
        <v/>
      </c>
      <c r="Z673" s="37"/>
    </row>
    <row r="674" spans="1:26" ht="14.25" customHeight="1" x14ac:dyDescent="0.3">
      <c r="A674" s="18">
        <v>168.1</v>
      </c>
      <c r="B674" s="19"/>
      <c r="C674" s="18" t="s">
        <v>55</v>
      </c>
      <c r="D674" s="19"/>
      <c r="E674" s="25"/>
      <c r="F674" s="19"/>
      <c r="G674" s="21">
        <v>0</v>
      </c>
      <c r="H674" s="21"/>
      <c r="I674" s="21"/>
      <c r="J674" s="21"/>
      <c r="K674" s="19"/>
      <c r="L674" s="19"/>
      <c r="M674" s="22">
        <v>1</v>
      </c>
      <c r="N674" s="19"/>
      <c r="O674" s="25"/>
      <c r="P674" s="23"/>
      <c r="Q674" s="21" t="s">
        <v>46</v>
      </c>
      <c r="R674" s="19" t="s">
        <v>47</v>
      </c>
      <c r="S674" s="21"/>
      <c r="T674" s="19"/>
      <c r="U674" s="21"/>
      <c r="V674" s="7"/>
      <c r="W674" s="7"/>
      <c r="X674" s="51" t="str">
        <f t="shared" si="4"/>
        <v/>
      </c>
      <c r="Y674" s="51" t="str">
        <f t="shared" si="5"/>
        <v/>
      </c>
      <c r="Z674" s="37"/>
    </row>
    <row r="675" spans="1:26" ht="14.25" customHeight="1" x14ac:dyDescent="0.3">
      <c r="A675" s="18">
        <v>168.2</v>
      </c>
      <c r="B675" s="19"/>
      <c r="C675" s="18" t="s">
        <v>55</v>
      </c>
      <c r="D675" s="19"/>
      <c r="E675" s="25"/>
      <c r="F675" s="19"/>
      <c r="G675" s="21">
        <v>0</v>
      </c>
      <c r="H675" s="21"/>
      <c r="I675" s="21"/>
      <c r="J675" s="21"/>
      <c r="K675" s="19"/>
      <c r="L675" s="19"/>
      <c r="M675" s="22">
        <v>1</v>
      </c>
      <c r="N675" s="19"/>
      <c r="O675" s="25"/>
      <c r="P675" s="23"/>
      <c r="Q675" s="21" t="s">
        <v>46</v>
      </c>
      <c r="R675" s="19" t="s">
        <v>47</v>
      </c>
      <c r="S675" s="21"/>
      <c r="T675" s="19"/>
      <c r="U675" s="21"/>
      <c r="V675" s="7"/>
      <c r="W675" s="7"/>
      <c r="X675" s="51" t="str">
        <f t="shared" si="4"/>
        <v/>
      </c>
      <c r="Y675" s="51" t="str">
        <f t="shared" si="5"/>
        <v/>
      </c>
      <c r="Z675" s="37"/>
    </row>
    <row r="676" spans="1:26" ht="14.25" customHeight="1" x14ac:dyDescent="0.3">
      <c r="A676" s="18">
        <v>168.3</v>
      </c>
      <c r="B676" s="19"/>
      <c r="C676" s="18" t="s">
        <v>55</v>
      </c>
      <c r="D676" s="19"/>
      <c r="E676" s="25"/>
      <c r="F676" s="19"/>
      <c r="G676" s="21">
        <v>0</v>
      </c>
      <c r="H676" s="21"/>
      <c r="I676" s="21"/>
      <c r="J676" s="21"/>
      <c r="K676" s="19"/>
      <c r="L676" s="19"/>
      <c r="M676" s="22">
        <v>1</v>
      </c>
      <c r="N676" s="19"/>
      <c r="O676" s="25"/>
      <c r="P676" s="23"/>
      <c r="Q676" s="21" t="s">
        <v>46</v>
      </c>
      <c r="R676" s="19" t="s">
        <v>47</v>
      </c>
      <c r="S676" s="21"/>
      <c r="T676" s="19"/>
      <c r="U676" s="21"/>
      <c r="V676" s="7"/>
      <c r="W676" s="7"/>
      <c r="X676" s="51" t="str">
        <f t="shared" si="4"/>
        <v/>
      </c>
      <c r="Y676" s="51" t="str">
        <f t="shared" si="5"/>
        <v/>
      </c>
      <c r="Z676" s="37"/>
    </row>
    <row r="677" spans="1:26" ht="14.25" customHeight="1" x14ac:dyDescent="0.3">
      <c r="A677" s="18">
        <v>168.4</v>
      </c>
      <c r="B677" s="19"/>
      <c r="C677" s="18" t="s">
        <v>55</v>
      </c>
      <c r="D677" s="19"/>
      <c r="E677" s="25"/>
      <c r="F677" s="19"/>
      <c r="G677" s="21">
        <v>0</v>
      </c>
      <c r="H677" s="21"/>
      <c r="I677" s="21"/>
      <c r="J677" s="21"/>
      <c r="K677" s="19"/>
      <c r="L677" s="19"/>
      <c r="M677" s="22">
        <v>1</v>
      </c>
      <c r="N677" s="19"/>
      <c r="O677" s="25"/>
      <c r="P677" s="23"/>
      <c r="Q677" s="21" t="s">
        <v>46</v>
      </c>
      <c r="R677" s="19" t="s">
        <v>47</v>
      </c>
      <c r="S677" s="21"/>
      <c r="T677" s="19"/>
      <c r="U677" s="21"/>
      <c r="V677" s="7"/>
      <c r="W677" s="7"/>
      <c r="X677" s="51" t="str">
        <f t="shared" si="4"/>
        <v/>
      </c>
      <c r="Y677" s="51" t="str">
        <f t="shared" si="5"/>
        <v/>
      </c>
      <c r="Z677" s="37"/>
    </row>
    <row r="678" spans="1:26" ht="14.25" customHeight="1" x14ac:dyDescent="0.3">
      <c r="A678" s="18">
        <v>169.1</v>
      </c>
      <c r="B678" s="19"/>
      <c r="C678" s="18" t="s">
        <v>55</v>
      </c>
      <c r="D678" s="19"/>
      <c r="E678" s="25"/>
      <c r="F678" s="19"/>
      <c r="G678" s="21">
        <v>0</v>
      </c>
      <c r="H678" s="21"/>
      <c r="I678" s="21"/>
      <c r="J678" s="21"/>
      <c r="K678" s="19"/>
      <c r="L678" s="19"/>
      <c r="M678" s="22">
        <v>1</v>
      </c>
      <c r="N678" s="19"/>
      <c r="O678" s="25"/>
      <c r="P678" s="23"/>
      <c r="Q678" s="21" t="s">
        <v>46</v>
      </c>
      <c r="R678" s="19" t="s">
        <v>47</v>
      </c>
      <c r="S678" s="21"/>
      <c r="T678" s="19"/>
      <c r="U678" s="21"/>
      <c r="V678" s="7"/>
      <c r="W678" s="7"/>
      <c r="X678" s="51" t="str">
        <f t="shared" si="4"/>
        <v/>
      </c>
      <c r="Y678" s="51" t="str">
        <f t="shared" si="5"/>
        <v/>
      </c>
      <c r="Z678" s="37"/>
    </row>
    <row r="679" spans="1:26" ht="14.25" customHeight="1" x14ac:dyDescent="0.3">
      <c r="A679" s="18">
        <v>169.2</v>
      </c>
      <c r="B679" s="19"/>
      <c r="C679" s="18" t="s">
        <v>55</v>
      </c>
      <c r="D679" s="19"/>
      <c r="E679" s="25"/>
      <c r="F679" s="19"/>
      <c r="G679" s="21">
        <v>0</v>
      </c>
      <c r="H679" s="21"/>
      <c r="I679" s="21"/>
      <c r="J679" s="21"/>
      <c r="K679" s="19"/>
      <c r="L679" s="19"/>
      <c r="M679" s="22">
        <v>1</v>
      </c>
      <c r="N679" s="19"/>
      <c r="O679" s="25"/>
      <c r="P679" s="23"/>
      <c r="Q679" s="21" t="s">
        <v>46</v>
      </c>
      <c r="R679" s="19" t="s">
        <v>47</v>
      </c>
      <c r="S679" s="21"/>
      <c r="T679" s="19"/>
      <c r="U679" s="21"/>
      <c r="V679" s="7"/>
      <c r="W679" s="7"/>
      <c r="X679" s="51" t="str">
        <f t="shared" si="4"/>
        <v/>
      </c>
      <c r="Y679" s="51" t="str">
        <f t="shared" si="5"/>
        <v/>
      </c>
      <c r="Z679" s="37"/>
    </row>
    <row r="680" spans="1:26" ht="14.25" customHeight="1" x14ac:dyDescent="0.3">
      <c r="A680" s="18">
        <v>169.3</v>
      </c>
      <c r="B680" s="19"/>
      <c r="C680" s="18" t="s">
        <v>55</v>
      </c>
      <c r="D680" s="19"/>
      <c r="E680" s="25"/>
      <c r="F680" s="19"/>
      <c r="G680" s="21">
        <v>0</v>
      </c>
      <c r="H680" s="21"/>
      <c r="I680" s="21"/>
      <c r="J680" s="21"/>
      <c r="K680" s="19"/>
      <c r="L680" s="19"/>
      <c r="M680" s="22">
        <v>1</v>
      </c>
      <c r="N680" s="19"/>
      <c r="O680" s="25"/>
      <c r="P680" s="23"/>
      <c r="Q680" s="21" t="s">
        <v>46</v>
      </c>
      <c r="R680" s="19" t="s">
        <v>47</v>
      </c>
      <c r="S680" s="21"/>
      <c r="T680" s="19"/>
      <c r="U680" s="21"/>
      <c r="V680" s="7"/>
      <c r="W680" s="7"/>
      <c r="X680" s="51" t="str">
        <f t="shared" si="4"/>
        <v/>
      </c>
      <c r="Y680" s="51" t="str">
        <f t="shared" si="5"/>
        <v/>
      </c>
      <c r="Z680" s="37"/>
    </row>
    <row r="681" spans="1:26" ht="14.25" customHeight="1" x14ac:dyDescent="0.3">
      <c r="A681" s="18">
        <v>169.4</v>
      </c>
      <c r="B681" s="19"/>
      <c r="C681" s="18" t="s">
        <v>55</v>
      </c>
      <c r="D681" s="19"/>
      <c r="E681" s="25"/>
      <c r="F681" s="19"/>
      <c r="G681" s="21">
        <v>0</v>
      </c>
      <c r="H681" s="21"/>
      <c r="I681" s="21"/>
      <c r="J681" s="21"/>
      <c r="K681" s="19"/>
      <c r="L681" s="19"/>
      <c r="M681" s="22">
        <v>1</v>
      </c>
      <c r="N681" s="19"/>
      <c r="O681" s="25"/>
      <c r="P681" s="23"/>
      <c r="Q681" s="21" t="s">
        <v>46</v>
      </c>
      <c r="R681" s="19" t="s">
        <v>47</v>
      </c>
      <c r="S681" s="21"/>
      <c r="T681" s="19"/>
      <c r="U681" s="21"/>
      <c r="V681" s="7"/>
      <c r="W681" s="7"/>
      <c r="X681" s="51" t="str">
        <f t="shared" si="4"/>
        <v/>
      </c>
      <c r="Y681" s="51" t="str">
        <f t="shared" si="5"/>
        <v/>
      </c>
      <c r="Z681" s="37"/>
    </row>
    <row r="682" spans="1:26" ht="14.25" customHeight="1" x14ac:dyDescent="0.3">
      <c r="A682" s="18">
        <v>170.1</v>
      </c>
      <c r="B682" s="19"/>
      <c r="C682" s="18" t="s">
        <v>55</v>
      </c>
      <c r="D682" s="19"/>
      <c r="E682" s="25"/>
      <c r="F682" s="19"/>
      <c r="G682" s="21">
        <v>0</v>
      </c>
      <c r="H682" s="21"/>
      <c r="I682" s="21"/>
      <c r="J682" s="21"/>
      <c r="K682" s="19"/>
      <c r="L682" s="19"/>
      <c r="M682" s="22">
        <v>1</v>
      </c>
      <c r="N682" s="19"/>
      <c r="O682" s="25"/>
      <c r="P682" s="23"/>
      <c r="Q682" s="21" t="s">
        <v>46</v>
      </c>
      <c r="R682" s="19" t="s">
        <v>47</v>
      </c>
      <c r="S682" s="21"/>
      <c r="T682" s="19"/>
      <c r="U682" s="21"/>
      <c r="V682" s="7"/>
      <c r="W682" s="7"/>
      <c r="X682" s="51" t="str">
        <f t="shared" si="4"/>
        <v/>
      </c>
      <c r="Y682" s="51" t="str">
        <f t="shared" si="5"/>
        <v/>
      </c>
      <c r="Z682" s="37"/>
    </row>
    <row r="683" spans="1:26" ht="14.25" customHeight="1" x14ac:dyDescent="0.3">
      <c r="A683" s="18">
        <v>170.2</v>
      </c>
      <c r="B683" s="19"/>
      <c r="C683" s="18" t="s">
        <v>55</v>
      </c>
      <c r="D683" s="19"/>
      <c r="E683" s="25"/>
      <c r="F683" s="19"/>
      <c r="G683" s="21">
        <v>0</v>
      </c>
      <c r="H683" s="21"/>
      <c r="I683" s="21"/>
      <c r="J683" s="21"/>
      <c r="K683" s="19"/>
      <c r="L683" s="19"/>
      <c r="M683" s="22">
        <v>1</v>
      </c>
      <c r="N683" s="19"/>
      <c r="O683" s="25"/>
      <c r="P683" s="23"/>
      <c r="Q683" s="21" t="s">
        <v>46</v>
      </c>
      <c r="R683" s="19" t="s">
        <v>47</v>
      </c>
      <c r="S683" s="21"/>
      <c r="T683" s="19"/>
      <c r="U683" s="21"/>
      <c r="V683" s="7"/>
      <c r="W683" s="7"/>
      <c r="X683" s="51" t="str">
        <f t="shared" si="4"/>
        <v/>
      </c>
      <c r="Y683" s="51" t="str">
        <f t="shared" si="5"/>
        <v/>
      </c>
      <c r="Z683" s="37"/>
    </row>
    <row r="684" spans="1:26" ht="14.25" customHeight="1" x14ac:dyDescent="0.3">
      <c r="A684" s="18">
        <v>170.3</v>
      </c>
      <c r="B684" s="19"/>
      <c r="C684" s="18" t="s">
        <v>55</v>
      </c>
      <c r="D684" s="19"/>
      <c r="E684" s="25"/>
      <c r="F684" s="19"/>
      <c r="G684" s="21">
        <v>0</v>
      </c>
      <c r="H684" s="21"/>
      <c r="I684" s="21"/>
      <c r="J684" s="21"/>
      <c r="K684" s="19"/>
      <c r="L684" s="19"/>
      <c r="M684" s="22">
        <v>1</v>
      </c>
      <c r="N684" s="19"/>
      <c r="O684" s="25"/>
      <c r="P684" s="23"/>
      <c r="Q684" s="21" t="s">
        <v>46</v>
      </c>
      <c r="R684" s="19" t="s">
        <v>47</v>
      </c>
      <c r="S684" s="21"/>
      <c r="T684" s="19"/>
      <c r="U684" s="21"/>
      <c r="V684" s="7"/>
      <c r="W684" s="7"/>
      <c r="X684" s="51" t="str">
        <f t="shared" si="4"/>
        <v/>
      </c>
      <c r="Y684" s="51" t="str">
        <f t="shared" si="5"/>
        <v/>
      </c>
      <c r="Z684" s="37"/>
    </row>
    <row r="685" spans="1:26" ht="14.25" customHeight="1" x14ac:dyDescent="0.3">
      <c r="A685" s="18">
        <v>170.4</v>
      </c>
      <c r="B685" s="19"/>
      <c r="C685" s="18" t="s">
        <v>55</v>
      </c>
      <c r="D685" s="19"/>
      <c r="E685" s="25"/>
      <c r="F685" s="19"/>
      <c r="G685" s="21">
        <v>0</v>
      </c>
      <c r="H685" s="21"/>
      <c r="I685" s="21"/>
      <c r="J685" s="21"/>
      <c r="K685" s="19"/>
      <c r="L685" s="19"/>
      <c r="M685" s="22">
        <v>1</v>
      </c>
      <c r="N685" s="19"/>
      <c r="O685" s="25"/>
      <c r="P685" s="23"/>
      <c r="Q685" s="21" t="s">
        <v>46</v>
      </c>
      <c r="R685" s="19" t="s">
        <v>47</v>
      </c>
      <c r="S685" s="21"/>
      <c r="T685" s="19"/>
      <c r="U685" s="21"/>
      <c r="V685" s="7"/>
      <c r="W685" s="7"/>
      <c r="X685" s="51" t="str">
        <f t="shared" si="4"/>
        <v/>
      </c>
      <c r="Y685" s="51" t="str">
        <f t="shared" si="5"/>
        <v/>
      </c>
      <c r="Z685" s="37"/>
    </row>
    <row r="686" spans="1:26" ht="14.25" customHeight="1" x14ac:dyDescent="0.3">
      <c r="A686" s="18">
        <v>171.1</v>
      </c>
      <c r="B686" s="19"/>
      <c r="C686" s="18" t="s">
        <v>55</v>
      </c>
      <c r="D686" s="19"/>
      <c r="E686" s="25"/>
      <c r="F686" s="19"/>
      <c r="G686" s="21">
        <v>0</v>
      </c>
      <c r="H686" s="21"/>
      <c r="I686" s="21"/>
      <c r="J686" s="21"/>
      <c r="K686" s="19"/>
      <c r="L686" s="19"/>
      <c r="M686" s="22">
        <v>1</v>
      </c>
      <c r="N686" s="19"/>
      <c r="O686" s="25"/>
      <c r="P686" s="23"/>
      <c r="Q686" s="21" t="s">
        <v>46</v>
      </c>
      <c r="R686" s="19" t="s">
        <v>47</v>
      </c>
      <c r="S686" s="21"/>
      <c r="T686" s="19"/>
      <c r="U686" s="21"/>
      <c r="V686" s="7"/>
      <c r="W686" s="7"/>
      <c r="X686" s="51" t="str">
        <f t="shared" si="4"/>
        <v/>
      </c>
      <c r="Y686" s="51" t="str">
        <f t="shared" si="5"/>
        <v/>
      </c>
      <c r="Z686" s="37"/>
    </row>
    <row r="687" spans="1:26" ht="14.25" customHeight="1" x14ac:dyDescent="0.3">
      <c r="A687" s="18">
        <v>171.2</v>
      </c>
      <c r="B687" s="19"/>
      <c r="C687" s="18" t="s">
        <v>55</v>
      </c>
      <c r="D687" s="19"/>
      <c r="E687" s="25"/>
      <c r="F687" s="19"/>
      <c r="G687" s="21">
        <v>0</v>
      </c>
      <c r="H687" s="21"/>
      <c r="I687" s="21"/>
      <c r="J687" s="21"/>
      <c r="K687" s="19"/>
      <c r="L687" s="19"/>
      <c r="M687" s="22">
        <v>1</v>
      </c>
      <c r="N687" s="19"/>
      <c r="O687" s="25"/>
      <c r="P687" s="23"/>
      <c r="Q687" s="21" t="s">
        <v>46</v>
      </c>
      <c r="R687" s="19" t="s">
        <v>47</v>
      </c>
      <c r="S687" s="21"/>
      <c r="T687" s="19"/>
      <c r="U687" s="21"/>
      <c r="V687" s="7"/>
      <c r="W687" s="7"/>
      <c r="X687" s="51" t="str">
        <f t="shared" si="4"/>
        <v/>
      </c>
      <c r="Y687" s="51" t="str">
        <f t="shared" si="5"/>
        <v/>
      </c>
      <c r="Z687" s="37"/>
    </row>
    <row r="688" spans="1:26" ht="14.25" customHeight="1" x14ac:dyDescent="0.3">
      <c r="A688" s="18">
        <v>171.3</v>
      </c>
      <c r="B688" s="19"/>
      <c r="C688" s="18" t="s">
        <v>55</v>
      </c>
      <c r="D688" s="19"/>
      <c r="E688" s="25"/>
      <c r="F688" s="19"/>
      <c r="G688" s="21">
        <v>0</v>
      </c>
      <c r="H688" s="21"/>
      <c r="I688" s="21"/>
      <c r="J688" s="21"/>
      <c r="K688" s="19"/>
      <c r="L688" s="19"/>
      <c r="M688" s="22">
        <v>1</v>
      </c>
      <c r="N688" s="19"/>
      <c r="O688" s="25"/>
      <c r="P688" s="23"/>
      <c r="Q688" s="21" t="s">
        <v>46</v>
      </c>
      <c r="R688" s="19" t="s">
        <v>47</v>
      </c>
      <c r="S688" s="21"/>
      <c r="T688" s="19"/>
      <c r="U688" s="21"/>
      <c r="V688" s="7"/>
      <c r="W688" s="7"/>
      <c r="X688" s="51" t="str">
        <f t="shared" si="4"/>
        <v/>
      </c>
      <c r="Y688" s="51" t="str">
        <f t="shared" si="5"/>
        <v/>
      </c>
      <c r="Z688" s="37"/>
    </row>
    <row r="689" spans="1:26" ht="14.25" customHeight="1" x14ac:dyDescent="0.3">
      <c r="A689" s="18">
        <v>171.4</v>
      </c>
      <c r="B689" s="19"/>
      <c r="C689" s="18" t="s">
        <v>55</v>
      </c>
      <c r="D689" s="19"/>
      <c r="E689" s="25"/>
      <c r="F689" s="19"/>
      <c r="G689" s="21">
        <v>0</v>
      </c>
      <c r="H689" s="21"/>
      <c r="I689" s="21"/>
      <c r="J689" s="21"/>
      <c r="K689" s="19"/>
      <c r="L689" s="19"/>
      <c r="M689" s="22">
        <v>1</v>
      </c>
      <c r="N689" s="19"/>
      <c r="O689" s="25"/>
      <c r="P689" s="23"/>
      <c r="Q689" s="21" t="s">
        <v>46</v>
      </c>
      <c r="R689" s="19" t="s">
        <v>47</v>
      </c>
      <c r="S689" s="21"/>
      <c r="T689" s="19"/>
      <c r="U689" s="21"/>
      <c r="V689" s="7"/>
      <c r="W689" s="7"/>
      <c r="X689" s="51" t="str">
        <f t="shared" si="4"/>
        <v/>
      </c>
      <c r="Y689" s="51" t="str">
        <f t="shared" si="5"/>
        <v/>
      </c>
      <c r="Z689" s="37"/>
    </row>
    <row r="690" spans="1:26" ht="14.25" customHeight="1" x14ac:dyDescent="0.3">
      <c r="A690" s="18">
        <v>172.1</v>
      </c>
      <c r="B690" s="19"/>
      <c r="C690" s="18" t="s">
        <v>55</v>
      </c>
      <c r="D690" s="19"/>
      <c r="E690" s="25"/>
      <c r="F690" s="19"/>
      <c r="G690" s="21">
        <v>0</v>
      </c>
      <c r="H690" s="21"/>
      <c r="I690" s="21"/>
      <c r="J690" s="21"/>
      <c r="K690" s="19"/>
      <c r="L690" s="19"/>
      <c r="M690" s="22">
        <v>1</v>
      </c>
      <c r="N690" s="19"/>
      <c r="O690" s="25"/>
      <c r="P690" s="23"/>
      <c r="Q690" s="21" t="s">
        <v>46</v>
      </c>
      <c r="R690" s="19" t="s">
        <v>47</v>
      </c>
      <c r="S690" s="21"/>
      <c r="T690" s="19"/>
      <c r="U690" s="21"/>
      <c r="V690" s="7"/>
      <c r="W690" s="7"/>
      <c r="X690" s="51" t="str">
        <f t="shared" si="4"/>
        <v/>
      </c>
      <c r="Y690" s="51" t="str">
        <f t="shared" si="5"/>
        <v/>
      </c>
      <c r="Z690" s="37"/>
    </row>
    <row r="691" spans="1:26" ht="14.25" customHeight="1" x14ac:dyDescent="0.3">
      <c r="A691" s="18">
        <v>172.2</v>
      </c>
      <c r="B691" s="19"/>
      <c r="C691" s="18" t="s">
        <v>55</v>
      </c>
      <c r="D691" s="19"/>
      <c r="E691" s="25"/>
      <c r="F691" s="19"/>
      <c r="G691" s="21">
        <v>0</v>
      </c>
      <c r="H691" s="21"/>
      <c r="I691" s="21"/>
      <c r="J691" s="21"/>
      <c r="K691" s="19"/>
      <c r="L691" s="19"/>
      <c r="M691" s="22">
        <v>1</v>
      </c>
      <c r="N691" s="19"/>
      <c r="O691" s="25"/>
      <c r="P691" s="23"/>
      <c r="Q691" s="21" t="s">
        <v>46</v>
      </c>
      <c r="R691" s="19" t="s">
        <v>47</v>
      </c>
      <c r="S691" s="21"/>
      <c r="T691" s="19"/>
      <c r="U691" s="21"/>
      <c r="V691" s="7"/>
      <c r="W691" s="7"/>
      <c r="X691" s="51" t="str">
        <f t="shared" si="4"/>
        <v/>
      </c>
      <c r="Y691" s="51" t="str">
        <f t="shared" si="5"/>
        <v/>
      </c>
      <c r="Z691" s="37"/>
    </row>
    <row r="692" spans="1:26" ht="14.25" customHeight="1" x14ac:dyDescent="0.3">
      <c r="A692" s="18">
        <v>172.3</v>
      </c>
      <c r="B692" s="19"/>
      <c r="C692" s="18" t="s">
        <v>55</v>
      </c>
      <c r="D692" s="19"/>
      <c r="E692" s="25"/>
      <c r="F692" s="19"/>
      <c r="G692" s="21">
        <v>0</v>
      </c>
      <c r="H692" s="21"/>
      <c r="I692" s="21"/>
      <c r="J692" s="21"/>
      <c r="K692" s="19"/>
      <c r="L692" s="19"/>
      <c r="M692" s="22">
        <v>1</v>
      </c>
      <c r="N692" s="19"/>
      <c r="O692" s="25"/>
      <c r="P692" s="23"/>
      <c r="Q692" s="21" t="s">
        <v>46</v>
      </c>
      <c r="R692" s="19" t="s">
        <v>47</v>
      </c>
      <c r="S692" s="21"/>
      <c r="T692" s="19"/>
      <c r="U692" s="21"/>
      <c r="V692" s="7"/>
      <c r="W692" s="7"/>
      <c r="X692" s="51" t="str">
        <f t="shared" si="4"/>
        <v/>
      </c>
      <c r="Y692" s="51" t="str">
        <f t="shared" si="5"/>
        <v/>
      </c>
      <c r="Z692" s="37"/>
    </row>
    <row r="693" spans="1:26" ht="14.25" customHeight="1" x14ac:dyDescent="0.3">
      <c r="A693" s="18">
        <v>172.4</v>
      </c>
      <c r="B693" s="19"/>
      <c r="C693" s="18" t="s">
        <v>55</v>
      </c>
      <c r="D693" s="19"/>
      <c r="E693" s="25"/>
      <c r="F693" s="19"/>
      <c r="G693" s="21">
        <v>0</v>
      </c>
      <c r="H693" s="21"/>
      <c r="I693" s="21"/>
      <c r="J693" s="21"/>
      <c r="K693" s="19"/>
      <c r="L693" s="19"/>
      <c r="M693" s="22">
        <v>1</v>
      </c>
      <c r="N693" s="19"/>
      <c r="O693" s="25"/>
      <c r="P693" s="23"/>
      <c r="Q693" s="21" t="s">
        <v>46</v>
      </c>
      <c r="R693" s="19" t="s">
        <v>47</v>
      </c>
      <c r="S693" s="21"/>
      <c r="T693" s="19"/>
      <c r="U693" s="21"/>
      <c r="V693" s="7"/>
      <c r="W693" s="7"/>
      <c r="X693" s="51" t="str">
        <f t="shared" si="4"/>
        <v/>
      </c>
      <c r="Y693" s="51" t="str">
        <f t="shared" si="5"/>
        <v/>
      </c>
      <c r="Z693" s="37"/>
    </row>
    <row r="694" spans="1:26" ht="14.25" customHeight="1" x14ac:dyDescent="0.3">
      <c r="A694" s="18">
        <v>173.1</v>
      </c>
      <c r="B694" s="19"/>
      <c r="C694" s="18" t="s">
        <v>55</v>
      </c>
      <c r="D694" s="19"/>
      <c r="E694" s="25"/>
      <c r="F694" s="19"/>
      <c r="G694" s="21">
        <v>0</v>
      </c>
      <c r="H694" s="21"/>
      <c r="I694" s="21"/>
      <c r="J694" s="21"/>
      <c r="K694" s="19"/>
      <c r="L694" s="19"/>
      <c r="M694" s="22">
        <v>1</v>
      </c>
      <c r="N694" s="19"/>
      <c r="O694" s="25"/>
      <c r="P694" s="23"/>
      <c r="Q694" s="21" t="s">
        <v>46</v>
      </c>
      <c r="R694" s="19" t="s">
        <v>47</v>
      </c>
      <c r="S694" s="21"/>
      <c r="T694" s="19"/>
      <c r="U694" s="21"/>
      <c r="V694" s="7"/>
      <c r="W694" s="7"/>
      <c r="X694" s="51" t="str">
        <f t="shared" si="4"/>
        <v/>
      </c>
      <c r="Y694" s="51" t="str">
        <f t="shared" si="5"/>
        <v/>
      </c>
      <c r="Z694" s="37"/>
    </row>
    <row r="695" spans="1:26" ht="14.25" customHeight="1" x14ac:dyDescent="0.3">
      <c r="A695" s="18">
        <v>173.2</v>
      </c>
      <c r="B695" s="19"/>
      <c r="C695" s="18" t="s">
        <v>55</v>
      </c>
      <c r="D695" s="19"/>
      <c r="E695" s="25"/>
      <c r="F695" s="19"/>
      <c r="G695" s="21">
        <v>0</v>
      </c>
      <c r="H695" s="21"/>
      <c r="I695" s="21"/>
      <c r="J695" s="21"/>
      <c r="K695" s="19"/>
      <c r="L695" s="19"/>
      <c r="M695" s="22">
        <v>1</v>
      </c>
      <c r="N695" s="19"/>
      <c r="O695" s="25"/>
      <c r="P695" s="23"/>
      <c r="Q695" s="21" t="s">
        <v>46</v>
      </c>
      <c r="R695" s="19" t="s">
        <v>47</v>
      </c>
      <c r="S695" s="21"/>
      <c r="T695" s="19"/>
      <c r="U695" s="21"/>
      <c r="V695" s="7"/>
      <c r="W695" s="7"/>
      <c r="X695" s="51" t="str">
        <f t="shared" si="4"/>
        <v/>
      </c>
      <c r="Y695" s="51" t="str">
        <f t="shared" si="5"/>
        <v/>
      </c>
      <c r="Z695" s="37"/>
    </row>
    <row r="696" spans="1:26" ht="14.25" customHeight="1" x14ac:dyDescent="0.3">
      <c r="A696" s="18">
        <v>173.3</v>
      </c>
      <c r="B696" s="19"/>
      <c r="C696" s="18" t="s">
        <v>55</v>
      </c>
      <c r="D696" s="19"/>
      <c r="E696" s="25"/>
      <c r="F696" s="19"/>
      <c r="G696" s="21">
        <v>0</v>
      </c>
      <c r="H696" s="21"/>
      <c r="I696" s="21"/>
      <c r="J696" s="21"/>
      <c r="K696" s="19"/>
      <c r="L696" s="19"/>
      <c r="M696" s="22">
        <v>1</v>
      </c>
      <c r="N696" s="19"/>
      <c r="O696" s="25"/>
      <c r="P696" s="23"/>
      <c r="Q696" s="21" t="s">
        <v>46</v>
      </c>
      <c r="R696" s="19" t="s">
        <v>47</v>
      </c>
      <c r="S696" s="21"/>
      <c r="T696" s="19"/>
      <c r="U696" s="21"/>
      <c r="V696" s="7"/>
      <c r="W696" s="7"/>
      <c r="X696" s="51" t="str">
        <f t="shared" si="4"/>
        <v/>
      </c>
      <c r="Y696" s="51" t="str">
        <f t="shared" si="5"/>
        <v/>
      </c>
      <c r="Z696" s="37"/>
    </row>
    <row r="697" spans="1:26" ht="14.25" customHeight="1" x14ac:dyDescent="0.3">
      <c r="A697" s="18">
        <v>173.4</v>
      </c>
      <c r="B697" s="19"/>
      <c r="C697" s="18" t="s">
        <v>55</v>
      </c>
      <c r="D697" s="19"/>
      <c r="E697" s="25"/>
      <c r="F697" s="19"/>
      <c r="G697" s="21">
        <v>0</v>
      </c>
      <c r="H697" s="21"/>
      <c r="I697" s="21"/>
      <c r="J697" s="21"/>
      <c r="K697" s="19"/>
      <c r="L697" s="19"/>
      <c r="M697" s="22">
        <v>1</v>
      </c>
      <c r="N697" s="19"/>
      <c r="O697" s="25"/>
      <c r="P697" s="23"/>
      <c r="Q697" s="21" t="s">
        <v>46</v>
      </c>
      <c r="R697" s="19" t="s">
        <v>47</v>
      </c>
      <c r="S697" s="21"/>
      <c r="T697" s="19"/>
      <c r="U697" s="21"/>
      <c r="V697" s="7"/>
      <c r="W697" s="7"/>
      <c r="X697" s="51" t="str">
        <f t="shared" si="4"/>
        <v/>
      </c>
      <c r="Y697" s="51" t="str">
        <f t="shared" si="5"/>
        <v/>
      </c>
      <c r="Z697" s="37"/>
    </row>
    <row r="698" spans="1:26" ht="14.25" customHeight="1" x14ac:dyDescent="0.3">
      <c r="A698" s="18">
        <v>174.1</v>
      </c>
      <c r="B698" s="19"/>
      <c r="C698" s="18" t="s">
        <v>55</v>
      </c>
      <c r="D698" s="19"/>
      <c r="E698" s="25"/>
      <c r="F698" s="19"/>
      <c r="G698" s="21">
        <v>0</v>
      </c>
      <c r="H698" s="21"/>
      <c r="I698" s="21"/>
      <c r="J698" s="21"/>
      <c r="K698" s="19"/>
      <c r="L698" s="19"/>
      <c r="M698" s="22">
        <v>1</v>
      </c>
      <c r="N698" s="19"/>
      <c r="O698" s="25"/>
      <c r="P698" s="23"/>
      <c r="Q698" s="21" t="s">
        <v>46</v>
      </c>
      <c r="R698" s="19" t="s">
        <v>47</v>
      </c>
      <c r="S698" s="21"/>
      <c r="T698" s="19"/>
      <c r="U698" s="21"/>
      <c r="V698" s="7"/>
      <c r="W698" s="7"/>
      <c r="X698" s="51" t="str">
        <f t="shared" si="4"/>
        <v/>
      </c>
      <c r="Y698" s="51" t="str">
        <f t="shared" si="5"/>
        <v/>
      </c>
      <c r="Z698" s="37"/>
    </row>
    <row r="699" spans="1:26" ht="14.25" customHeight="1" x14ac:dyDescent="0.3">
      <c r="A699" s="18">
        <v>174.2</v>
      </c>
      <c r="B699" s="19"/>
      <c r="C699" s="18" t="s">
        <v>55</v>
      </c>
      <c r="D699" s="19"/>
      <c r="E699" s="25"/>
      <c r="F699" s="19"/>
      <c r="G699" s="21">
        <v>0</v>
      </c>
      <c r="H699" s="21"/>
      <c r="I699" s="21"/>
      <c r="J699" s="21"/>
      <c r="K699" s="19"/>
      <c r="L699" s="19"/>
      <c r="M699" s="22">
        <v>1</v>
      </c>
      <c r="N699" s="19"/>
      <c r="O699" s="25"/>
      <c r="P699" s="23"/>
      <c r="Q699" s="21" t="s">
        <v>46</v>
      </c>
      <c r="R699" s="19" t="s">
        <v>47</v>
      </c>
      <c r="S699" s="21"/>
      <c r="T699" s="19"/>
      <c r="U699" s="21"/>
      <c r="V699" s="7"/>
      <c r="W699" s="7"/>
      <c r="X699" s="51" t="str">
        <f t="shared" si="4"/>
        <v/>
      </c>
      <c r="Y699" s="51" t="str">
        <f t="shared" si="5"/>
        <v/>
      </c>
      <c r="Z699" s="37"/>
    </row>
    <row r="700" spans="1:26" ht="14.25" customHeight="1" x14ac:dyDescent="0.3">
      <c r="A700" s="18">
        <v>174.3</v>
      </c>
      <c r="B700" s="19"/>
      <c r="C700" s="18" t="s">
        <v>55</v>
      </c>
      <c r="D700" s="19"/>
      <c r="E700" s="25"/>
      <c r="F700" s="19"/>
      <c r="G700" s="21">
        <v>0</v>
      </c>
      <c r="H700" s="21"/>
      <c r="I700" s="21"/>
      <c r="J700" s="21"/>
      <c r="K700" s="19"/>
      <c r="L700" s="19"/>
      <c r="M700" s="22">
        <v>1</v>
      </c>
      <c r="N700" s="19"/>
      <c r="O700" s="25"/>
      <c r="P700" s="23"/>
      <c r="Q700" s="21" t="s">
        <v>46</v>
      </c>
      <c r="R700" s="19" t="s">
        <v>47</v>
      </c>
      <c r="S700" s="21"/>
      <c r="T700" s="19"/>
      <c r="U700" s="21"/>
      <c r="V700" s="7"/>
      <c r="W700" s="7"/>
      <c r="X700" s="51" t="str">
        <f t="shared" si="4"/>
        <v/>
      </c>
      <c r="Y700" s="51" t="str">
        <f t="shared" si="5"/>
        <v/>
      </c>
      <c r="Z700" s="37"/>
    </row>
    <row r="701" spans="1:26" ht="14.25" customHeight="1" x14ac:dyDescent="0.3">
      <c r="A701" s="18">
        <v>174.4</v>
      </c>
      <c r="B701" s="19"/>
      <c r="C701" s="18" t="s">
        <v>55</v>
      </c>
      <c r="D701" s="19"/>
      <c r="E701" s="25"/>
      <c r="F701" s="19"/>
      <c r="G701" s="21">
        <v>0</v>
      </c>
      <c r="H701" s="21"/>
      <c r="I701" s="21"/>
      <c r="J701" s="21"/>
      <c r="K701" s="19"/>
      <c r="L701" s="19"/>
      <c r="M701" s="22">
        <v>1</v>
      </c>
      <c r="N701" s="19"/>
      <c r="O701" s="25"/>
      <c r="P701" s="23"/>
      <c r="Q701" s="21" t="s">
        <v>46</v>
      </c>
      <c r="R701" s="19" t="s">
        <v>47</v>
      </c>
      <c r="S701" s="21"/>
      <c r="T701" s="19"/>
      <c r="U701" s="21"/>
      <c r="V701" s="7"/>
      <c r="W701" s="7"/>
      <c r="X701" s="51" t="str">
        <f t="shared" si="4"/>
        <v/>
      </c>
      <c r="Y701" s="51" t="str">
        <f t="shared" si="5"/>
        <v/>
      </c>
      <c r="Z701" s="37"/>
    </row>
    <row r="702" spans="1:26" ht="14.25" customHeight="1" x14ac:dyDescent="0.3">
      <c r="A702" s="18">
        <v>175.1</v>
      </c>
      <c r="B702" s="19"/>
      <c r="C702" s="18" t="s">
        <v>55</v>
      </c>
      <c r="D702" s="19"/>
      <c r="E702" s="25"/>
      <c r="F702" s="19"/>
      <c r="G702" s="21">
        <v>0</v>
      </c>
      <c r="H702" s="21"/>
      <c r="I702" s="21"/>
      <c r="J702" s="21"/>
      <c r="K702" s="19"/>
      <c r="L702" s="19"/>
      <c r="M702" s="22">
        <v>1</v>
      </c>
      <c r="N702" s="19"/>
      <c r="O702" s="25"/>
      <c r="P702" s="23"/>
      <c r="Q702" s="21" t="s">
        <v>46</v>
      </c>
      <c r="R702" s="19" t="s">
        <v>47</v>
      </c>
      <c r="S702" s="21"/>
      <c r="T702" s="19"/>
      <c r="U702" s="21"/>
      <c r="V702" s="7"/>
      <c r="W702" s="7"/>
      <c r="X702" s="51" t="str">
        <f t="shared" si="4"/>
        <v/>
      </c>
      <c r="Y702" s="51" t="str">
        <f t="shared" si="5"/>
        <v/>
      </c>
      <c r="Z702" s="37"/>
    </row>
    <row r="703" spans="1:26" ht="14.25" customHeight="1" x14ac:dyDescent="0.3">
      <c r="A703" s="18">
        <v>175.2</v>
      </c>
      <c r="B703" s="19"/>
      <c r="C703" s="18" t="s">
        <v>55</v>
      </c>
      <c r="D703" s="19"/>
      <c r="E703" s="25"/>
      <c r="F703" s="19"/>
      <c r="G703" s="21">
        <v>0</v>
      </c>
      <c r="H703" s="21"/>
      <c r="I703" s="21"/>
      <c r="J703" s="21"/>
      <c r="K703" s="19"/>
      <c r="L703" s="19"/>
      <c r="M703" s="22">
        <v>1</v>
      </c>
      <c r="N703" s="19"/>
      <c r="O703" s="25"/>
      <c r="P703" s="23"/>
      <c r="Q703" s="21" t="s">
        <v>46</v>
      </c>
      <c r="R703" s="19" t="s">
        <v>47</v>
      </c>
      <c r="S703" s="21"/>
      <c r="T703" s="19"/>
      <c r="U703" s="21"/>
      <c r="V703" s="7"/>
      <c r="W703" s="7"/>
      <c r="X703" s="51" t="str">
        <f t="shared" si="4"/>
        <v/>
      </c>
      <c r="Y703" s="51" t="str">
        <f t="shared" si="5"/>
        <v/>
      </c>
      <c r="Z703" s="37"/>
    </row>
    <row r="704" spans="1:26" ht="14.25" customHeight="1" x14ac:dyDescent="0.3">
      <c r="A704" s="18">
        <v>175.3</v>
      </c>
      <c r="B704" s="19"/>
      <c r="C704" s="18" t="s">
        <v>55</v>
      </c>
      <c r="D704" s="19"/>
      <c r="E704" s="25"/>
      <c r="F704" s="19"/>
      <c r="G704" s="21">
        <v>0</v>
      </c>
      <c r="H704" s="21"/>
      <c r="I704" s="21"/>
      <c r="J704" s="21"/>
      <c r="K704" s="19"/>
      <c r="L704" s="19"/>
      <c r="M704" s="22">
        <v>1</v>
      </c>
      <c r="N704" s="19"/>
      <c r="O704" s="25"/>
      <c r="P704" s="23"/>
      <c r="Q704" s="21" t="s">
        <v>46</v>
      </c>
      <c r="R704" s="19" t="s">
        <v>47</v>
      </c>
      <c r="S704" s="21"/>
      <c r="T704" s="19"/>
      <c r="U704" s="21"/>
      <c r="V704" s="7"/>
      <c r="W704" s="7"/>
      <c r="X704" s="51" t="str">
        <f t="shared" si="4"/>
        <v/>
      </c>
      <c r="Y704" s="51" t="str">
        <f t="shared" si="5"/>
        <v/>
      </c>
      <c r="Z704" s="37"/>
    </row>
    <row r="705" spans="1:26" ht="14.25" customHeight="1" x14ac:dyDescent="0.3">
      <c r="A705" s="18">
        <v>175.4</v>
      </c>
      <c r="B705" s="19"/>
      <c r="C705" s="18" t="s">
        <v>55</v>
      </c>
      <c r="D705" s="19"/>
      <c r="E705" s="25"/>
      <c r="F705" s="19"/>
      <c r="G705" s="21">
        <v>0</v>
      </c>
      <c r="H705" s="21"/>
      <c r="I705" s="21"/>
      <c r="J705" s="21"/>
      <c r="K705" s="19"/>
      <c r="L705" s="19"/>
      <c r="M705" s="22">
        <v>1</v>
      </c>
      <c r="N705" s="19"/>
      <c r="O705" s="25"/>
      <c r="P705" s="23"/>
      <c r="Q705" s="21" t="s">
        <v>46</v>
      </c>
      <c r="R705" s="19" t="s">
        <v>47</v>
      </c>
      <c r="S705" s="21"/>
      <c r="T705" s="19"/>
      <c r="U705" s="21"/>
      <c r="V705" s="7"/>
      <c r="W705" s="7"/>
      <c r="X705" s="51" t="str">
        <f t="shared" si="4"/>
        <v/>
      </c>
      <c r="Y705" s="51" t="str">
        <f t="shared" si="5"/>
        <v/>
      </c>
      <c r="Z705" s="37"/>
    </row>
    <row r="706" spans="1:26" ht="14.25" customHeight="1" x14ac:dyDescent="0.3">
      <c r="A706" s="18">
        <v>176.1</v>
      </c>
      <c r="B706" s="19"/>
      <c r="C706" s="18" t="s">
        <v>55</v>
      </c>
      <c r="D706" s="19"/>
      <c r="E706" s="25"/>
      <c r="F706" s="19"/>
      <c r="G706" s="21">
        <v>0</v>
      </c>
      <c r="H706" s="21"/>
      <c r="I706" s="21"/>
      <c r="J706" s="21"/>
      <c r="K706" s="19"/>
      <c r="L706" s="19"/>
      <c r="M706" s="22">
        <v>1</v>
      </c>
      <c r="N706" s="19"/>
      <c r="O706" s="25"/>
      <c r="P706" s="23"/>
      <c r="Q706" s="21" t="s">
        <v>46</v>
      </c>
      <c r="R706" s="19" t="s">
        <v>47</v>
      </c>
      <c r="S706" s="21"/>
      <c r="T706" s="19"/>
      <c r="U706" s="21"/>
      <c r="V706" s="7"/>
      <c r="W706" s="7"/>
      <c r="X706" s="51" t="str">
        <f t="shared" si="4"/>
        <v/>
      </c>
      <c r="Y706" s="51" t="str">
        <f t="shared" si="5"/>
        <v/>
      </c>
      <c r="Z706" s="37"/>
    </row>
    <row r="707" spans="1:26" ht="14.25" customHeight="1" x14ac:dyDescent="0.3">
      <c r="A707" s="18">
        <v>176.2</v>
      </c>
      <c r="B707" s="19"/>
      <c r="C707" s="18" t="s">
        <v>55</v>
      </c>
      <c r="D707" s="19"/>
      <c r="E707" s="25"/>
      <c r="F707" s="19"/>
      <c r="G707" s="21">
        <v>0</v>
      </c>
      <c r="H707" s="21"/>
      <c r="I707" s="21"/>
      <c r="J707" s="21"/>
      <c r="K707" s="19"/>
      <c r="L707" s="19"/>
      <c r="M707" s="22">
        <v>1</v>
      </c>
      <c r="N707" s="19"/>
      <c r="O707" s="25"/>
      <c r="P707" s="23"/>
      <c r="Q707" s="21" t="s">
        <v>46</v>
      </c>
      <c r="R707" s="19" t="s">
        <v>47</v>
      </c>
      <c r="S707" s="21"/>
      <c r="T707" s="19"/>
      <c r="U707" s="21"/>
      <c r="V707" s="7"/>
      <c r="W707" s="7"/>
      <c r="X707" s="51" t="str">
        <f t="shared" si="4"/>
        <v/>
      </c>
      <c r="Y707" s="51" t="str">
        <f t="shared" si="5"/>
        <v/>
      </c>
      <c r="Z707" s="37"/>
    </row>
    <row r="708" spans="1:26" ht="14.25" customHeight="1" x14ac:dyDescent="0.3">
      <c r="A708" s="18">
        <v>176.3</v>
      </c>
      <c r="B708" s="19"/>
      <c r="C708" s="18" t="s">
        <v>55</v>
      </c>
      <c r="D708" s="19"/>
      <c r="E708" s="25"/>
      <c r="F708" s="19"/>
      <c r="G708" s="21">
        <v>0</v>
      </c>
      <c r="H708" s="21"/>
      <c r="I708" s="21"/>
      <c r="J708" s="21"/>
      <c r="K708" s="19"/>
      <c r="L708" s="19"/>
      <c r="M708" s="22">
        <v>1</v>
      </c>
      <c r="N708" s="19"/>
      <c r="O708" s="25"/>
      <c r="P708" s="23"/>
      <c r="Q708" s="21" t="s">
        <v>46</v>
      </c>
      <c r="R708" s="19" t="s">
        <v>47</v>
      </c>
      <c r="S708" s="21"/>
      <c r="T708" s="19"/>
      <c r="U708" s="21"/>
      <c r="V708" s="7"/>
      <c r="W708" s="7"/>
      <c r="X708" s="51" t="str">
        <f t="shared" si="4"/>
        <v/>
      </c>
      <c r="Y708" s="51" t="str">
        <f t="shared" si="5"/>
        <v/>
      </c>
      <c r="Z708" s="37"/>
    </row>
    <row r="709" spans="1:26" ht="14.25" customHeight="1" x14ac:dyDescent="0.3">
      <c r="A709" s="18">
        <v>176.4</v>
      </c>
      <c r="B709" s="19"/>
      <c r="C709" s="18" t="s">
        <v>55</v>
      </c>
      <c r="D709" s="19"/>
      <c r="E709" s="25"/>
      <c r="F709" s="19"/>
      <c r="G709" s="21">
        <v>0</v>
      </c>
      <c r="H709" s="21"/>
      <c r="I709" s="21"/>
      <c r="J709" s="21"/>
      <c r="K709" s="19"/>
      <c r="L709" s="19"/>
      <c r="M709" s="22">
        <v>1</v>
      </c>
      <c r="N709" s="19"/>
      <c r="O709" s="25"/>
      <c r="P709" s="23"/>
      <c r="Q709" s="21" t="s">
        <v>46</v>
      </c>
      <c r="R709" s="19" t="s">
        <v>47</v>
      </c>
      <c r="S709" s="21"/>
      <c r="T709" s="19"/>
      <c r="U709" s="21"/>
      <c r="V709" s="7"/>
      <c r="W709" s="7"/>
      <c r="X709" s="51" t="str">
        <f t="shared" si="4"/>
        <v/>
      </c>
      <c r="Y709" s="51" t="str">
        <f t="shared" si="5"/>
        <v/>
      </c>
      <c r="Z709" s="37"/>
    </row>
    <row r="710" spans="1:26" ht="14.25" customHeight="1" x14ac:dyDescent="0.3">
      <c r="A710" s="18">
        <v>177.1</v>
      </c>
      <c r="B710" s="19"/>
      <c r="C710" s="18" t="s">
        <v>55</v>
      </c>
      <c r="D710" s="19"/>
      <c r="E710" s="25"/>
      <c r="F710" s="19"/>
      <c r="G710" s="21">
        <v>0</v>
      </c>
      <c r="H710" s="21"/>
      <c r="I710" s="21"/>
      <c r="J710" s="21"/>
      <c r="K710" s="19"/>
      <c r="L710" s="19"/>
      <c r="M710" s="22">
        <v>1</v>
      </c>
      <c r="N710" s="19"/>
      <c r="O710" s="25"/>
      <c r="P710" s="23"/>
      <c r="Q710" s="21" t="s">
        <v>46</v>
      </c>
      <c r="R710" s="19" t="s">
        <v>47</v>
      </c>
      <c r="S710" s="21"/>
      <c r="T710" s="19"/>
      <c r="U710" s="21"/>
      <c r="V710" s="7"/>
      <c r="W710" s="7"/>
      <c r="X710" s="51" t="str">
        <f t="shared" si="4"/>
        <v/>
      </c>
      <c r="Y710" s="51" t="str">
        <f t="shared" si="5"/>
        <v/>
      </c>
      <c r="Z710" s="37"/>
    </row>
    <row r="711" spans="1:26" ht="14.25" customHeight="1" x14ac:dyDescent="0.3">
      <c r="A711" s="18">
        <v>177.2</v>
      </c>
      <c r="B711" s="19"/>
      <c r="C711" s="18" t="s">
        <v>55</v>
      </c>
      <c r="D711" s="19"/>
      <c r="E711" s="25"/>
      <c r="F711" s="19"/>
      <c r="G711" s="21">
        <v>0</v>
      </c>
      <c r="H711" s="21"/>
      <c r="I711" s="21"/>
      <c r="J711" s="21"/>
      <c r="K711" s="19"/>
      <c r="L711" s="19"/>
      <c r="M711" s="22">
        <v>1</v>
      </c>
      <c r="N711" s="19"/>
      <c r="O711" s="25"/>
      <c r="P711" s="23"/>
      <c r="Q711" s="21" t="s">
        <v>46</v>
      </c>
      <c r="R711" s="19" t="s">
        <v>47</v>
      </c>
      <c r="S711" s="21"/>
      <c r="T711" s="19"/>
      <c r="U711" s="21"/>
      <c r="V711" s="7"/>
      <c r="W711" s="7"/>
      <c r="X711" s="51" t="str">
        <f t="shared" si="4"/>
        <v/>
      </c>
      <c r="Y711" s="51" t="str">
        <f t="shared" si="5"/>
        <v/>
      </c>
      <c r="Z711" s="37"/>
    </row>
    <row r="712" spans="1:26" ht="14.25" customHeight="1" x14ac:dyDescent="0.3">
      <c r="A712" s="18">
        <v>177.3</v>
      </c>
      <c r="B712" s="19"/>
      <c r="C712" s="18" t="s">
        <v>55</v>
      </c>
      <c r="D712" s="19"/>
      <c r="E712" s="25"/>
      <c r="F712" s="19"/>
      <c r="G712" s="21">
        <v>0</v>
      </c>
      <c r="H712" s="21"/>
      <c r="I712" s="21"/>
      <c r="J712" s="21"/>
      <c r="K712" s="19"/>
      <c r="L712" s="19"/>
      <c r="M712" s="22">
        <v>1</v>
      </c>
      <c r="N712" s="19"/>
      <c r="O712" s="25"/>
      <c r="P712" s="23"/>
      <c r="Q712" s="21" t="s">
        <v>46</v>
      </c>
      <c r="R712" s="19" t="s">
        <v>47</v>
      </c>
      <c r="S712" s="21"/>
      <c r="T712" s="19"/>
      <c r="U712" s="21"/>
      <c r="V712" s="7"/>
      <c r="W712" s="7"/>
      <c r="X712" s="51" t="str">
        <f t="shared" si="4"/>
        <v/>
      </c>
      <c r="Y712" s="51" t="str">
        <f t="shared" si="5"/>
        <v/>
      </c>
      <c r="Z712" s="37"/>
    </row>
    <row r="713" spans="1:26" ht="14.25" customHeight="1" x14ac:dyDescent="0.3">
      <c r="A713" s="18">
        <v>177.4</v>
      </c>
      <c r="B713" s="19"/>
      <c r="C713" s="18" t="s">
        <v>55</v>
      </c>
      <c r="D713" s="19"/>
      <c r="E713" s="25"/>
      <c r="F713" s="19"/>
      <c r="G713" s="21">
        <v>0</v>
      </c>
      <c r="H713" s="21"/>
      <c r="I713" s="21"/>
      <c r="J713" s="21"/>
      <c r="K713" s="19"/>
      <c r="L713" s="19"/>
      <c r="M713" s="22">
        <v>1</v>
      </c>
      <c r="N713" s="19"/>
      <c r="O713" s="25"/>
      <c r="P713" s="23"/>
      <c r="Q713" s="21" t="s">
        <v>46</v>
      </c>
      <c r="R713" s="19" t="s">
        <v>47</v>
      </c>
      <c r="S713" s="21"/>
      <c r="T713" s="19"/>
      <c r="U713" s="21"/>
      <c r="V713" s="7"/>
      <c r="W713" s="7"/>
      <c r="X713" s="51" t="str">
        <f t="shared" si="4"/>
        <v/>
      </c>
      <c r="Y713" s="51" t="str">
        <f t="shared" si="5"/>
        <v/>
      </c>
      <c r="Z713" s="37"/>
    </row>
    <row r="714" spans="1:26" ht="14.25" customHeight="1" x14ac:dyDescent="0.3">
      <c r="A714" s="18">
        <v>178.1</v>
      </c>
      <c r="B714" s="19"/>
      <c r="C714" s="18" t="s">
        <v>55</v>
      </c>
      <c r="D714" s="19"/>
      <c r="E714" s="25"/>
      <c r="F714" s="19"/>
      <c r="G714" s="21">
        <v>0</v>
      </c>
      <c r="H714" s="21"/>
      <c r="I714" s="21"/>
      <c r="J714" s="21"/>
      <c r="K714" s="19"/>
      <c r="L714" s="19"/>
      <c r="M714" s="22">
        <v>1</v>
      </c>
      <c r="N714" s="19"/>
      <c r="O714" s="25"/>
      <c r="P714" s="23"/>
      <c r="Q714" s="21" t="s">
        <v>46</v>
      </c>
      <c r="R714" s="19" t="s">
        <v>47</v>
      </c>
      <c r="S714" s="21"/>
      <c r="T714" s="19"/>
      <c r="U714" s="21"/>
      <c r="V714" s="7"/>
      <c r="W714" s="7"/>
      <c r="X714" s="51" t="str">
        <f t="shared" si="4"/>
        <v/>
      </c>
      <c r="Y714" s="51" t="str">
        <f t="shared" si="5"/>
        <v/>
      </c>
      <c r="Z714" s="37"/>
    </row>
    <row r="715" spans="1:26" ht="14.25" customHeight="1" x14ac:dyDescent="0.3">
      <c r="A715" s="18">
        <v>178.2</v>
      </c>
      <c r="B715" s="19"/>
      <c r="C715" s="18" t="s">
        <v>55</v>
      </c>
      <c r="D715" s="19"/>
      <c r="E715" s="25"/>
      <c r="F715" s="19"/>
      <c r="G715" s="21">
        <v>0</v>
      </c>
      <c r="H715" s="21"/>
      <c r="I715" s="21"/>
      <c r="J715" s="21"/>
      <c r="K715" s="19"/>
      <c r="L715" s="19"/>
      <c r="M715" s="22">
        <v>1</v>
      </c>
      <c r="N715" s="19"/>
      <c r="O715" s="25"/>
      <c r="P715" s="23"/>
      <c r="Q715" s="21" t="s">
        <v>46</v>
      </c>
      <c r="R715" s="19" t="s">
        <v>47</v>
      </c>
      <c r="S715" s="21"/>
      <c r="T715" s="19"/>
      <c r="U715" s="21"/>
      <c r="V715" s="7"/>
      <c r="W715" s="7"/>
      <c r="X715" s="51" t="str">
        <f t="shared" si="4"/>
        <v/>
      </c>
      <c r="Y715" s="51" t="str">
        <f t="shared" si="5"/>
        <v/>
      </c>
      <c r="Z715" s="37"/>
    </row>
    <row r="716" spans="1:26" ht="14.25" customHeight="1" x14ac:dyDescent="0.3">
      <c r="A716" s="18">
        <v>178.3</v>
      </c>
      <c r="B716" s="19"/>
      <c r="C716" s="18" t="s">
        <v>55</v>
      </c>
      <c r="D716" s="19"/>
      <c r="E716" s="25"/>
      <c r="F716" s="19"/>
      <c r="G716" s="21">
        <v>0</v>
      </c>
      <c r="H716" s="21"/>
      <c r="I716" s="21"/>
      <c r="J716" s="21"/>
      <c r="K716" s="19"/>
      <c r="L716" s="19"/>
      <c r="M716" s="22">
        <v>1</v>
      </c>
      <c r="N716" s="19"/>
      <c r="O716" s="25"/>
      <c r="P716" s="23"/>
      <c r="Q716" s="21" t="s">
        <v>46</v>
      </c>
      <c r="R716" s="19" t="s">
        <v>47</v>
      </c>
      <c r="S716" s="21"/>
      <c r="T716" s="19"/>
      <c r="U716" s="21"/>
      <c r="V716" s="7"/>
      <c r="W716" s="7"/>
      <c r="X716" s="51" t="str">
        <f t="shared" si="4"/>
        <v/>
      </c>
      <c r="Y716" s="51" t="str">
        <f t="shared" si="5"/>
        <v/>
      </c>
      <c r="Z716" s="37"/>
    </row>
    <row r="717" spans="1:26" ht="14.25" customHeight="1" x14ac:dyDescent="0.3">
      <c r="A717" s="18">
        <v>178.4</v>
      </c>
      <c r="B717" s="19"/>
      <c r="C717" s="18" t="s">
        <v>55</v>
      </c>
      <c r="D717" s="19"/>
      <c r="E717" s="25"/>
      <c r="F717" s="19"/>
      <c r="G717" s="21">
        <v>0</v>
      </c>
      <c r="H717" s="21"/>
      <c r="I717" s="21"/>
      <c r="J717" s="21"/>
      <c r="K717" s="19"/>
      <c r="L717" s="19"/>
      <c r="M717" s="22">
        <v>1</v>
      </c>
      <c r="N717" s="19"/>
      <c r="O717" s="25"/>
      <c r="P717" s="23"/>
      <c r="Q717" s="21" t="s">
        <v>46</v>
      </c>
      <c r="R717" s="19" t="s">
        <v>47</v>
      </c>
      <c r="S717" s="21"/>
      <c r="T717" s="19"/>
      <c r="U717" s="21"/>
      <c r="V717" s="7"/>
      <c r="W717" s="7"/>
      <c r="X717" s="51" t="str">
        <f t="shared" si="4"/>
        <v/>
      </c>
      <c r="Y717" s="51" t="str">
        <f t="shared" si="5"/>
        <v/>
      </c>
      <c r="Z717" s="37"/>
    </row>
    <row r="718" spans="1:26" ht="14.25" customHeight="1" x14ac:dyDescent="0.3">
      <c r="A718" s="18">
        <v>179.1</v>
      </c>
      <c r="B718" s="19"/>
      <c r="C718" s="18" t="s">
        <v>55</v>
      </c>
      <c r="D718" s="19"/>
      <c r="E718" s="25"/>
      <c r="F718" s="19"/>
      <c r="G718" s="21">
        <v>0</v>
      </c>
      <c r="H718" s="21"/>
      <c r="I718" s="21"/>
      <c r="J718" s="21"/>
      <c r="K718" s="19"/>
      <c r="L718" s="19"/>
      <c r="M718" s="22">
        <v>1</v>
      </c>
      <c r="N718" s="19"/>
      <c r="O718" s="25"/>
      <c r="P718" s="23"/>
      <c r="Q718" s="21" t="s">
        <v>46</v>
      </c>
      <c r="R718" s="19" t="s">
        <v>47</v>
      </c>
      <c r="S718" s="21"/>
      <c r="T718" s="19"/>
      <c r="U718" s="21"/>
      <c r="V718" s="7"/>
      <c r="W718" s="7"/>
      <c r="X718" s="51" t="str">
        <f t="shared" si="4"/>
        <v/>
      </c>
      <c r="Y718" s="51" t="str">
        <f t="shared" si="5"/>
        <v/>
      </c>
      <c r="Z718" s="37"/>
    </row>
    <row r="719" spans="1:26" ht="14.25" customHeight="1" x14ac:dyDescent="0.3">
      <c r="A719" s="18">
        <v>179.2</v>
      </c>
      <c r="B719" s="19"/>
      <c r="C719" s="18" t="s">
        <v>55</v>
      </c>
      <c r="D719" s="19"/>
      <c r="E719" s="25"/>
      <c r="F719" s="19"/>
      <c r="G719" s="21">
        <v>0</v>
      </c>
      <c r="H719" s="21"/>
      <c r="I719" s="21"/>
      <c r="J719" s="21"/>
      <c r="K719" s="19"/>
      <c r="L719" s="19"/>
      <c r="M719" s="22">
        <v>1</v>
      </c>
      <c r="N719" s="19"/>
      <c r="O719" s="25"/>
      <c r="P719" s="23"/>
      <c r="Q719" s="21" t="s">
        <v>46</v>
      </c>
      <c r="R719" s="19" t="s">
        <v>47</v>
      </c>
      <c r="S719" s="21"/>
      <c r="T719" s="19"/>
      <c r="U719" s="21"/>
      <c r="V719" s="7"/>
      <c r="W719" s="7"/>
      <c r="X719" s="51" t="str">
        <f t="shared" si="4"/>
        <v/>
      </c>
      <c r="Y719" s="51" t="str">
        <f t="shared" si="5"/>
        <v/>
      </c>
      <c r="Z719" s="37"/>
    </row>
    <row r="720" spans="1:26" ht="14.25" customHeight="1" x14ac:dyDescent="0.3">
      <c r="A720" s="18">
        <v>179.3</v>
      </c>
      <c r="B720" s="19"/>
      <c r="C720" s="18" t="s">
        <v>55</v>
      </c>
      <c r="D720" s="19"/>
      <c r="E720" s="25"/>
      <c r="F720" s="19"/>
      <c r="G720" s="21">
        <v>0</v>
      </c>
      <c r="H720" s="21"/>
      <c r="I720" s="21"/>
      <c r="J720" s="21"/>
      <c r="K720" s="19"/>
      <c r="L720" s="19"/>
      <c r="M720" s="22">
        <v>1</v>
      </c>
      <c r="N720" s="19"/>
      <c r="O720" s="25"/>
      <c r="P720" s="23"/>
      <c r="Q720" s="21" t="s">
        <v>46</v>
      </c>
      <c r="R720" s="19" t="s">
        <v>47</v>
      </c>
      <c r="S720" s="21"/>
      <c r="T720" s="19"/>
      <c r="U720" s="21"/>
      <c r="V720" s="7"/>
      <c r="W720" s="7"/>
      <c r="X720" s="51" t="str">
        <f t="shared" si="4"/>
        <v/>
      </c>
      <c r="Y720" s="51" t="str">
        <f t="shared" si="5"/>
        <v/>
      </c>
      <c r="Z720" s="37"/>
    </row>
    <row r="721" spans="1:26" ht="14.25" customHeight="1" x14ac:dyDescent="0.3">
      <c r="A721" s="18">
        <v>179.4</v>
      </c>
      <c r="B721" s="19"/>
      <c r="C721" s="18" t="s">
        <v>55</v>
      </c>
      <c r="D721" s="19"/>
      <c r="E721" s="25"/>
      <c r="F721" s="19"/>
      <c r="G721" s="21">
        <v>0</v>
      </c>
      <c r="H721" s="21"/>
      <c r="I721" s="21"/>
      <c r="J721" s="21"/>
      <c r="K721" s="19"/>
      <c r="L721" s="19"/>
      <c r="M721" s="22">
        <v>1</v>
      </c>
      <c r="N721" s="19"/>
      <c r="O721" s="25"/>
      <c r="P721" s="23"/>
      <c r="Q721" s="21" t="s">
        <v>46</v>
      </c>
      <c r="R721" s="19" t="s">
        <v>47</v>
      </c>
      <c r="S721" s="21"/>
      <c r="T721" s="19"/>
      <c r="U721" s="21"/>
      <c r="V721" s="7"/>
      <c r="W721" s="7"/>
      <c r="X721" s="51" t="str">
        <f t="shared" si="4"/>
        <v/>
      </c>
      <c r="Y721" s="51" t="str">
        <f t="shared" si="5"/>
        <v/>
      </c>
      <c r="Z721" s="37"/>
    </row>
    <row r="722" spans="1:26" ht="14.25" customHeight="1" x14ac:dyDescent="0.3">
      <c r="A722" s="18">
        <v>180.1</v>
      </c>
      <c r="B722" s="19"/>
      <c r="C722" s="18" t="s">
        <v>55</v>
      </c>
      <c r="D722" s="19"/>
      <c r="E722" s="25"/>
      <c r="F722" s="19"/>
      <c r="G722" s="21">
        <v>0</v>
      </c>
      <c r="H722" s="21"/>
      <c r="I722" s="21"/>
      <c r="J722" s="21"/>
      <c r="K722" s="19"/>
      <c r="L722" s="19"/>
      <c r="M722" s="22">
        <v>1</v>
      </c>
      <c r="N722" s="19"/>
      <c r="O722" s="25"/>
      <c r="P722" s="23"/>
      <c r="Q722" s="21" t="s">
        <v>46</v>
      </c>
      <c r="R722" s="19" t="s">
        <v>47</v>
      </c>
      <c r="S722" s="21"/>
      <c r="T722" s="19"/>
      <c r="U722" s="21"/>
      <c r="V722" s="7"/>
      <c r="W722" s="7"/>
      <c r="X722" s="51" t="str">
        <f t="shared" si="4"/>
        <v/>
      </c>
      <c r="Y722" s="51" t="str">
        <f t="shared" si="5"/>
        <v/>
      </c>
      <c r="Z722" s="37"/>
    </row>
    <row r="723" spans="1:26" ht="14.25" customHeight="1" x14ac:dyDescent="0.3">
      <c r="A723" s="18">
        <v>180.2</v>
      </c>
      <c r="B723" s="19"/>
      <c r="C723" s="18" t="s">
        <v>55</v>
      </c>
      <c r="D723" s="19"/>
      <c r="E723" s="25"/>
      <c r="F723" s="19"/>
      <c r="G723" s="21">
        <v>0</v>
      </c>
      <c r="H723" s="21"/>
      <c r="I723" s="21"/>
      <c r="J723" s="21"/>
      <c r="K723" s="19"/>
      <c r="L723" s="19"/>
      <c r="M723" s="22">
        <v>1</v>
      </c>
      <c r="N723" s="19"/>
      <c r="O723" s="25"/>
      <c r="P723" s="23"/>
      <c r="Q723" s="21" t="s">
        <v>46</v>
      </c>
      <c r="R723" s="19" t="s">
        <v>47</v>
      </c>
      <c r="S723" s="21"/>
      <c r="T723" s="19"/>
      <c r="U723" s="21"/>
      <c r="V723" s="7"/>
      <c r="W723" s="7"/>
      <c r="X723" s="51" t="str">
        <f t="shared" si="4"/>
        <v/>
      </c>
      <c r="Y723" s="51" t="str">
        <f t="shared" si="5"/>
        <v/>
      </c>
      <c r="Z723" s="37"/>
    </row>
    <row r="724" spans="1:26" ht="14.25" customHeight="1" x14ac:dyDescent="0.3">
      <c r="A724" s="18">
        <v>180.3</v>
      </c>
      <c r="B724" s="19"/>
      <c r="C724" s="18" t="s">
        <v>55</v>
      </c>
      <c r="D724" s="19"/>
      <c r="E724" s="25"/>
      <c r="F724" s="19"/>
      <c r="G724" s="21">
        <v>0</v>
      </c>
      <c r="H724" s="21"/>
      <c r="I724" s="21"/>
      <c r="J724" s="21"/>
      <c r="K724" s="19"/>
      <c r="L724" s="19"/>
      <c r="M724" s="22">
        <v>1</v>
      </c>
      <c r="N724" s="19"/>
      <c r="O724" s="25"/>
      <c r="P724" s="23"/>
      <c r="Q724" s="21" t="s">
        <v>46</v>
      </c>
      <c r="R724" s="19" t="s">
        <v>47</v>
      </c>
      <c r="S724" s="21"/>
      <c r="T724" s="19"/>
      <c r="U724" s="21"/>
      <c r="V724" s="7"/>
      <c r="W724" s="7"/>
      <c r="X724" s="51" t="str">
        <f t="shared" si="4"/>
        <v/>
      </c>
      <c r="Y724" s="51" t="str">
        <f t="shared" si="5"/>
        <v/>
      </c>
      <c r="Z724" s="37"/>
    </row>
    <row r="725" spans="1:26" ht="14.25" customHeight="1" x14ac:dyDescent="0.3">
      <c r="A725" s="18">
        <v>180.4</v>
      </c>
      <c r="B725" s="19"/>
      <c r="C725" s="18" t="s">
        <v>55</v>
      </c>
      <c r="D725" s="19"/>
      <c r="E725" s="25"/>
      <c r="F725" s="19"/>
      <c r="G725" s="21">
        <v>0</v>
      </c>
      <c r="H725" s="21"/>
      <c r="I725" s="21"/>
      <c r="J725" s="21"/>
      <c r="K725" s="19"/>
      <c r="L725" s="19"/>
      <c r="M725" s="22">
        <v>1</v>
      </c>
      <c r="N725" s="19"/>
      <c r="O725" s="25"/>
      <c r="P725" s="23"/>
      <c r="Q725" s="21" t="s">
        <v>46</v>
      </c>
      <c r="R725" s="19" t="s">
        <v>47</v>
      </c>
      <c r="S725" s="21"/>
      <c r="T725" s="19"/>
      <c r="U725" s="21"/>
      <c r="V725" s="7"/>
      <c r="W725" s="7"/>
      <c r="X725" s="51" t="str">
        <f t="shared" si="4"/>
        <v/>
      </c>
      <c r="Y725" s="51" t="str">
        <f t="shared" si="5"/>
        <v/>
      </c>
      <c r="Z725" s="37"/>
    </row>
    <row r="726" spans="1:26" ht="14.25" customHeight="1" x14ac:dyDescent="0.3">
      <c r="A726" s="18">
        <v>181.1</v>
      </c>
      <c r="B726" s="19"/>
      <c r="C726" s="18" t="s">
        <v>55</v>
      </c>
      <c r="D726" s="19"/>
      <c r="E726" s="25"/>
      <c r="F726" s="19"/>
      <c r="G726" s="21">
        <v>0</v>
      </c>
      <c r="H726" s="21"/>
      <c r="I726" s="21"/>
      <c r="J726" s="21"/>
      <c r="K726" s="19"/>
      <c r="L726" s="19"/>
      <c r="M726" s="22">
        <v>1</v>
      </c>
      <c r="N726" s="19"/>
      <c r="O726" s="25"/>
      <c r="P726" s="23"/>
      <c r="Q726" s="21" t="s">
        <v>46</v>
      </c>
      <c r="R726" s="19" t="s">
        <v>47</v>
      </c>
      <c r="S726" s="21"/>
      <c r="T726" s="19"/>
      <c r="U726" s="21"/>
      <c r="V726" s="7"/>
      <c r="W726" s="7"/>
      <c r="X726" s="51" t="str">
        <f t="shared" si="4"/>
        <v/>
      </c>
      <c r="Y726" s="51" t="str">
        <f t="shared" si="5"/>
        <v/>
      </c>
      <c r="Z726" s="37"/>
    </row>
    <row r="727" spans="1:26" ht="14.25" customHeight="1" x14ac:dyDescent="0.3">
      <c r="A727" s="18">
        <v>181.2</v>
      </c>
      <c r="B727" s="19"/>
      <c r="C727" s="18" t="s">
        <v>55</v>
      </c>
      <c r="D727" s="19"/>
      <c r="E727" s="25"/>
      <c r="F727" s="19"/>
      <c r="G727" s="21">
        <v>0</v>
      </c>
      <c r="H727" s="21"/>
      <c r="I727" s="21"/>
      <c r="J727" s="21"/>
      <c r="K727" s="19"/>
      <c r="L727" s="19"/>
      <c r="M727" s="22">
        <v>1</v>
      </c>
      <c r="N727" s="19"/>
      <c r="O727" s="25"/>
      <c r="P727" s="23"/>
      <c r="Q727" s="21" t="s">
        <v>46</v>
      </c>
      <c r="R727" s="19" t="s">
        <v>47</v>
      </c>
      <c r="S727" s="21"/>
      <c r="T727" s="19"/>
      <c r="U727" s="21"/>
      <c r="V727" s="7"/>
      <c r="W727" s="7"/>
      <c r="X727" s="51" t="str">
        <f t="shared" si="4"/>
        <v/>
      </c>
      <c r="Y727" s="51" t="str">
        <f t="shared" si="5"/>
        <v/>
      </c>
      <c r="Z727" s="37"/>
    </row>
    <row r="728" spans="1:26" ht="14.25" customHeight="1" x14ac:dyDescent="0.3">
      <c r="A728" s="18">
        <v>181.3</v>
      </c>
      <c r="B728" s="19"/>
      <c r="C728" s="18" t="s">
        <v>55</v>
      </c>
      <c r="D728" s="19"/>
      <c r="E728" s="25"/>
      <c r="F728" s="19"/>
      <c r="G728" s="21">
        <v>0</v>
      </c>
      <c r="H728" s="21"/>
      <c r="I728" s="21"/>
      <c r="J728" s="21"/>
      <c r="K728" s="19"/>
      <c r="L728" s="19"/>
      <c r="M728" s="22">
        <v>1</v>
      </c>
      <c r="N728" s="19"/>
      <c r="O728" s="25"/>
      <c r="P728" s="23"/>
      <c r="Q728" s="21" t="s">
        <v>46</v>
      </c>
      <c r="R728" s="19" t="s">
        <v>47</v>
      </c>
      <c r="S728" s="21"/>
      <c r="T728" s="19"/>
      <c r="U728" s="21"/>
      <c r="V728" s="7"/>
      <c r="W728" s="7"/>
      <c r="X728" s="51" t="str">
        <f t="shared" si="4"/>
        <v/>
      </c>
      <c r="Y728" s="51" t="str">
        <f t="shared" si="5"/>
        <v/>
      </c>
      <c r="Z728" s="37"/>
    </row>
    <row r="729" spans="1:26" ht="14.25" customHeight="1" x14ac:dyDescent="0.3">
      <c r="A729" s="18">
        <v>181.4</v>
      </c>
      <c r="B729" s="19"/>
      <c r="C729" s="18" t="s">
        <v>55</v>
      </c>
      <c r="D729" s="19"/>
      <c r="E729" s="25"/>
      <c r="F729" s="19"/>
      <c r="G729" s="21">
        <v>0</v>
      </c>
      <c r="H729" s="21"/>
      <c r="I729" s="21"/>
      <c r="J729" s="21"/>
      <c r="K729" s="19"/>
      <c r="L729" s="19"/>
      <c r="M729" s="22">
        <v>1</v>
      </c>
      <c r="N729" s="19"/>
      <c r="O729" s="25"/>
      <c r="P729" s="23"/>
      <c r="Q729" s="21" t="s">
        <v>46</v>
      </c>
      <c r="R729" s="19" t="s">
        <v>47</v>
      </c>
      <c r="S729" s="21"/>
      <c r="T729" s="19"/>
      <c r="U729" s="21"/>
      <c r="V729" s="7"/>
      <c r="W729" s="7"/>
      <c r="X729" s="51" t="str">
        <f t="shared" si="4"/>
        <v/>
      </c>
      <c r="Y729" s="51" t="str">
        <f t="shared" si="5"/>
        <v/>
      </c>
      <c r="Z729" s="37"/>
    </row>
    <row r="730" spans="1:26" ht="14.25" customHeight="1" x14ac:dyDescent="0.3">
      <c r="A730" s="18">
        <v>182.1</v>
      </c>
      <c r="B730" s="19"/>
      <c r="C730" s="18" t="s">
        <v>55</v>
      </c>
      <c r="D730" s="19"/>
      <c r="E730" s="25"/>
      <c r="F730" s="19"/>
      <c r="G730" s="21">
        <v>0</v>
      </c>
      <c r="H730" s="21"/>
      <c r="I730" s="21"/>
      <c r="J730" s="21"/>
      <c r="K730" s="19"/>
      <c r="L730" s="19"/>
      <c r="M730" s="22">
        <v>1</v>
      </c>
      <c r="N730" s="19"/>
      <c r="O730" s="25"/>
      <c r="P730" s="23"/>
      <c r="Q730" s="21" t="s">
        <v>46</v>
      </c>
      <c r="R730" s="19" t="s">
        <v>47</v>
      </c>
      <c r="S730" s="21"/>
      <c r="T730" s="19"/>
      <c r="U730" s="21"/>
      <c r="V730" s="7"/>
      <c r="W730" s="7"/>
      <c r="X730" s="51" t="str">
        <f t="shared" si="4"/>
        <v/>
      </c>
      <c r="Y730" s="51" t="str">
        <f t="shared" si="5"/>
        <v/>
      </c>
      <c r="Z730" s="37"/>
    </row>
    <row r="731" spans="1:26" ht="14.25" customHeight="1" x14ac:dyDescent="0.3">
      <c r="A731" s="18">
        <v>182.2</v>
      </c>
      <c r="B731" s="19"/>
      <c r="C731" s="18" t="s">
        <v>55</v>
      </c>
      <c r="D731" s="19"/>
      <c r="E731" s="25"/>
      <c r="F731" s="19"/>
      <c r="G731" s="21">
        <v>0</v>
      </c>
      <c r="H731" s="21"/>
      <c r="I731" s="21"/>
      <c r="J731" s="21"/>
      <c r="K731" s="19"/>
      <c r="L731" s="19"/>
      <c r="M731" s="22">
        <v>1</v>
      </c>
      <c r="N731" s="19"/>
      <c r="O731" s="25"/>
      <c r="P731" s="23"/>
      <c r="Q731" s="21" t="s">
        <v>46</v>
      </c>
      <c r="R731" s="19" t="s">
        <v>47</v>
      </c>
      <c r="S731" s="21"/>
      <c r="T731" s="19"/>
      <c r="U731" s="21"/>
      <c r="V731" s="7"/>
      <c r="W731" s="7"/>
      <c r="X731" s="51" t="str">
        <f t="shared" si="4"/>
        <v/>
      </c>
      <c r="Y731" s="51" t="str">
        <f t="shared" si="5"/>
        <v/>
      </c>
      <c r="Z731" s="37"/>
    </row>
    <row r="732" spans="1:26" ht="14.25" customHeight="1" x14ac:dyDescent="0.3">
      <c r="A732" s="18">
        <v>182.3</v>
      </c>
      <c r="B732" s="19"/>
      <c r="C732" s="18" t="s">
        <v>55</v>
      </c>
      <c r="D732" s="19"/>
      <c r="E732" s="25"/>
      <c r="F732" s="19"/>
      <c r="G732" s="21">
        <v>0</v>
      </c>
      <c r="H732" s="21"/>
      <c r="I732" s="21"/>
      <c r="J732" s="21"/>
      <c r="K732" s="19"/>
      <c r="L732" s="19"/>
      <c r="M732" s="22">
        <v>1</v>
      </c>
      <c r="N732" s="19"/>
      <c r="O732" s="25"/>
      <c r="P732" s="23"/>
      <c r="Q732" s="21" t="s">
        <v>46</v>
      </c>
      <c r="R732" s="19" t="s">
        <v>47</v>
      </c>
      <c r="S732" s="21"/>
      <c r="T732" s="19"/>
      <c r="U732" s="21"/>
      <c r="V732" s="7"/>
      <c r="W732" s="7"/>
      <c r="X732" s="51" t="str">
        <f t="shared" si="4"/>
        <v/>
      </c>
      <c r="Y732" s="51" t="str">
        <f t="shared" si="5"/>
        <v/>
      </c>
      <c r="Z732" s="37"/>
    </row>
    <row r="733" spans="1:26" ht="14.25" customHeight="1" x14ac:dyDescent="0.3">
      <c r="A733" s="18">
        <v>182.4</v>
      </c>
      <c r="B733" s="19"/>
      <c r="C733" s="18" t="s">
        <v>55</v>
      </c>
      <c r="D733" s="19"/>
      <c r="E733" s="25"/>
      <c r="F733" s="19"/>
      <c r="G733" s="21">
        <v>0</v>
      </c>
      <c r="H733" s="21"/>
      <c r="I733" s="21"/>
      <c r="J733" s="21"/>
      <c r="K733" s="19"/>
      <c r="L733" s="19"/>
      <c r="M733" s="22">
        <v>1</v>
      </c>
      <c r="N733" s="19"/>
      <c r="O733" s="25"/>
      <c r="P733" s="23"/>
      <c r="Q733" s="21" t="s">
        <v>46</v>
      </c>
      <c r="R733" s="19" t="s">
        <v>47</v>
      </c>
      <c r="S733" s="21"/>
      <c r="T733" s="19"/>
      <c r="U733" s="21"/>
      <c r="V733" s="7"/>
      <c r="W733" s="7"/>
      <c r="X733" s="51" t="str">
        <f t="shared" si="4"/>
        <v/>
      </c>
      <c r="Y733" s="51" t="str">
        <f t="shared" si="5"/>
        <v/>
      </c>
      <c r="Z733" s="37"/>
    </row>
    <row r="734" spans="1:26" ht="14.25" customHeight="1" x14ac:dyDescent="0.3">
      <c r="A734" s="18">
        <v>183.1</v>
      </c>
      <c r="B734" s="19"/>
      <c r="C734" s="18" t="s">
        <v>55</v>
      </c>
      <c r="D734" s="19"/>
      <c r="E734" s="25"/>
      <c r="F734" s="19"/>
      <c r="G734" s="21">
        <v>0</v>
      </c>
      <c r="H734" s="21"/>
      <c r="I734" s="21"/>
      <c r="J734" s="21"/>
      <c r="K734" s="19"/>
      <c r="L734" s="19"/>
      <c r="M734" s="22">
        <v>1</v>
      </c>
      <c r="N734" s="19"/>
      <c r="O734" s="25"/>
      <c r="P734" s="23"/>
      <c r="Q734" s="21" t="s">
        <v>46</v>
      </c>
      <c r="R734" s="19" t="s">
        <v>47</v>
      </c>
      <c r="S734" s="21"/>
      <c r="T734" s="19"/>
      <c r="U734" s="21"/>
      <c r="V734" s="7"/>
      <c r="W734" s="7"/>
      <c r="X734" s="51" t="str">
        <f t="shared" si="4"/>
        <v/>
      </c>
      <c r="Y734" s="51" t="str">
        <f t="shared" si="5"/>
        <v/>
      </c>
      <c r="Z734" s="37"/>
    </row>
    <row r="735" spans="1:26" ht="14.25" customHeight="1" x14ac:dyDescent="0.3">
      <c r="A735" s="18">
        <v>183.2</v>
      </c>
      <c r="B735" s="19"/>
      <c r="C735" s="18" t="s">
        <v>55</v>
      </c>
      <c r="D735" s="19"/>
      <c r="E735" s="25"/>
      <c r="F735" s="19"/>
      <c r="G735" s="21">
        <v>0</v>
      </c>
      <c r="H735" s="21"/>
      <c r="I735" s="21"/>
      <c r="J735" s="21"/>
      <c r="K735" s="19"/>
      <c r="L735" s="19"/>
      <c r="M735" s="22">
        <v>1</v>
      </c>
      <c r="N735" s="19"/>
      <c r="O735" s="25"/>
      <c r="P735" s="23"/>
      <c r="Q735" s="21" t="s">
        <v>46</v>
      </c>
      <c r="R735" s="19" t="s">
        <v>47</v>
      </c>
      <c r="S735" s="21"/>
      <c r="T735" s="19"/>
      <c r="U735" s="21"/>
      <c r="V735" s="7"/>
      <c r="W735" s="7"/>
      <c r="X735" s="51" t="str">
        <f t="shared" si="4"/>
        <v/>
      </c>
      <c r="Y735" s="51" t="str">
        <f t="shared" si="5"/>
        <v/>
      </c>
      <c r="Z735" s="37"/>
    </row>
    <row r="736" spans="1:26" ht="14.25" customHeight="1" x14ac:dyDescent="0.3">
      <c r="A736" s="18">
        <v>183.3</v>
      </c>
      <c r="B736" s="19"/>
      <c r="C736" s="18" t="s">
        <v>55</v>
      </c>
      <c r="D736" s="19"/>
      <c r="E736" s="25"/>
      <c r="F736" s="19"/>
      <c r="G736" s="21">
        <v>0</v>
      </c>
      <c r="H736" s="21"/>
      <c r="I736" s="21"/>
      <c r="J736" s="21"/>
      <c r="K736" s="19"/>
      <c r="L736" s="19"/>
      <c r="M736" s="22">
        <v>1</v>
      </c>
      <c r="N736" s="19"/>
      <c r="O736" s="25"/>
      <c r="P736" s="23"/>
      <c r="Q736" s="21" t="s">
        <v>46</v>
      </c>
      <c r="R736" s="19" t="s">
        <v>47</v>
      </c>
      <c r="S736" s="21"/>
      <c r="T736" s="19"/>
      <c r="U736" s="21"/>
      <c r="V736" s="7"/>
      <c r="W736" s="7"/>
      <c r="X736" s="51" t="str">
        <f t="shared" si="4"/>
        <v/>
      </c>
      <c r="Y736" s="51" t="str">
        <f t="shared" si="5"/>
        <v/>
      </c>
      <c r="Z736" s="37"/>
    </row>
    <row r="737" spans="1:26" ht="14.25" customHeight="1" x14ac:dyDescent="0.3">
      <c r="A737" s="18">
        <v>183.4</v>
      </c>
      <c r="B737" s="19"/>
      <c r="C737" s="18" t="s">
        <v>55</v>
      </c>
      <c r="D737" s="19"/>
      <c r="E737" s="25"/>
      <c r="F737" s="19"/>
      <c r="G737" s="21">
        <v>0</v>
      </c>
      <c r="H737" s="21"/>
      <c r="I737" s="21"/>
      <c r="J737" s="21"/>
      <c r="K737" s="19"/>
      <c r="L737" s="19"/>
      <c r="M737" s="22">
        <v>1</v>
      </c>
      <c r="N737" s="19"/>
      <c r="O737" s="25"/>
      <c r="P737" s="23"/>
      <c r="Q737" s="21" t="s">
        <v>46</v>
      </c>
      <c r="R737" s="19" t="s">
        <v>47</v>
      </c>
      <c r="S737" s="21"/>
      <c r="T737" s="19"/>
      <c r="U737" s="21"/>
      <c r="V737" s="7"/>
      <c r="W737" s="7"/>
      <c r="X737" s="51" t="str">
        <f t="shared" si="4"/>
        <v/>
      </c>
      <c r="Y737" s="51" t="str">
        <f t="shared" si="5"/>
        <v/>
      </c>
      <c r="Z737" s="37"/>
    </row>
    <row r="738" spans="1:26" ht="14.25" customHeight="1" x14ac:dyDescent="0.3">
      <c r="A738" s="18">
        <v>184.1</v>
      </c>
      <c r="B738" s="19"/>
      <c r="C738" s="18" t="s">
        <v>55</v>
      </c>
      <c r="D738" s="19"/>
      <c r="E738" s="25"/>
      <c r="F738" s="19"/>
      <c r="G738" s="21">
        <v>0</v>
      </c>
      <c r="H738" s="21"/>
      <c r="I738" s="21"/>
      <c r="J738" s="21"/>
      <c r="K738" s="19"/>
      <c r="L738" s="19"/>
      <c r="M738" s="22">
        <v>1</v>
      </c>
      <c r="N738" s="19"/>
      <c r="O738" s="25"/>
      <c r="P738" s="23"/>
      <c r="Q738" s="21" t="s">
        <v>46</v>
      </c>
      <c r="R738" s="19" t="s">
        <v>47</v>
      </c>
      <c r="S738" s="21"/>
      <c r="T738" s="19"/>
      <c r="U738" s="21"/>
      <c r="V738" s="7"/>
      <c r="W738" s="7"/>
      <c r="X738" s="51" t="str">
        <f t="shared" si="4"/>
        <v/>
      </c>
      <c r="Y738" s="51" t="str">
        <f t="shared" si="5"/>
        <v/>
      </c>
      <c r="Z738" s="37"/>
    </row>
    <row r="739" spans="1:26" ht="14.25" customHeight="1" x14ac:dyDescent="0.3">
      <c r="A739" s="18">
        <v>184.2</v>
      </c>
      <c r="B739" s="19"/>
      <c r="C739" s="18" t="s">
        <v>55</v>
      </c>
      <c r="D739" s="19"/>
      <c r="E739" s="25"/>
      <c r="F739" s="19"/>
      <c r="G739" s="21">
        <v>0</v>
      </c>
      <c r="H739" s="21"/>
      <c r="I739" s="21"/>
      <c r="J739" s="21"/>
      <c r="K739" s="19"/>
      <c r="L739" s="19"/>
      <c r="M739" s="22">
        <v>1</v>
      </c>
      <c r="N739" s="19"/>
      <c r="O739" s="25"/>
      <c r="P739" s="23"/>
      <c r="Q739" s="21" t="s">
        <v>46</v>
      </c>
      <c r="R739" s="19" t="s">
        <v>47</v>
      </c>
      <c r="S739" s="21"/>
      <c r="T739" s="19"/>
      <c r="U739" s="21"/>
      <c r="V739" s="7"/>
      <c r="W739" s="7"/>
      <c r="X739" s="51" t="str">
        <f t="shared" si="4"/>
        <v/>
      </c>
      <c r="Y739" s="51" t="str">
        <f t="shared" si="5"/>
        <v/>
      </c>
      <c r="Z739" s="37"/>
    </row>
    <row r="740" spans="1:26" ht="14.25" customHeight="1" x14ac:dyDescent="0.3">
      <c r="A740" s="18">
        <v>184.3</v>
      </c>
      <c r="B740" s="19"/>
      <c r="C740" s="18" t="s">
        <v>55</v>
      </c>
      <c r="D740" s="19"/>
      <c r="E740" s="25"/>
      <c r="F740" s="19"/>
      <c r="G740" s="21">
        <v>0</v>
      </c>
      <c r="H740" s="21"/>
      <c r="I740" s="21"/>
      <c r="J740" s="21"/>
      <c r="K740" s="19"/>
      <c r="L740" s="19"/>
      <c r="M740" s="22">
        <v>1</v>
      </c>
      <c r="N740" s="19"/>
      <c r="O740" s="25"/>
      <c r="P740" s="23"/>
      <c r="Q740" s="21" t="s">
        <v>46</v>
      </c>
      <c r="R740" s="19" t="s">
        <v>47</v>
      </c>
      <c r="S740" s="21"/>
      <c r="T740" s="19"/>
      <c r="U740" s="21"/>
      <c r="V740" s="7"/>
      <c r="W740" s="7"/>
      <c r="X740" s="51" t="str">
        <f t="shared" si="4"/>
        <v/>
      </c>
      <c r="Y740" s="51" t="str">
        <f t="shared" si="5"/>
        <v/>
      </c>
      <c r="Z740" s="37"/>
    </row>
    <row r="741" spans="1:26" ht="14.25" customHeight="1" x14ac:dyDescent="0.3">
      <c r="A741" s="18">
        <v>184.4</v>
      </c>
      <c r="B741" s="19"/>
      <c r="C741" s="18" t="s">
        <v>55</v>
      </c>
      <c r="D741" s="19"/>
      <c r="E741" s="25"/>
      <c r="F741" s="19"/>
      <c r="G741" s="21">
        <v>0</v>
      </c>
      <c r="H741" s="21"/>
      <c r="I741" s="21"/>
      <c r="J741" s="21"/>
      <c r="K741" s="19"/>
      <c r="L741" s="19"/>
      <c r="M741" s="22">
        <v>1</v>
      </c>
      <c r="N741" s="19"/>
      <c r="O741" s="25"/>
      <c r="P741" s="23"/>
      <c r="Q741" s="21" t="s">
        <v>46</v>
      </c>
      <c r="R741" s="19" t="s">
        <v>47</v>
      </c>
      <c r="S741" s="21"/>
      <c r="T741" s="19"/>
      <c r="U741" s="21"/>
      <c r="V741" s="7"/>
      <c r="W741" s="7"/>
      <c r="X741" s="51" t="str">
        <f t="shared" si="4"/>
        <v/>
      </c>
      <c r="Y741" s="51" t="str">
        <f t="shared" si="5"/>
        <v/>
      </c>
      <c r="Z741" s="37"/>
    </row>
    <row r="742" spans="1:26" ht="14.25" customHeight="1" x14ac:dyDescent="0.3">
      <c r="A742" s="18">
        <v>185.1</v>
      </c>
      <c r="B742" s="19"/>
      <c r="C742" s="18" t="s">
        <v>55</v>
      </c>
      <c r="D742" s="19"/>
      <c r="E742" s="25"/>
      <c r="F742" s="19"/>
      <c r="G742" s="21">
        <v>0</v>
      </c>
      <c r="H742" s="21"/>
      <c r="I742" s="21"/>
      <c r="J742" s="21"/>
      <c r="K742" s="19"/>
      <c r="L742" s="19"/>
      <c r="M742" s="22">
        <v>1</v>
      </c>
      <c r="N742" s="19"/>
      <c r="O742" s="25"/>
      <c r="P742" s="23"/>
      <c r="Q742" s="21" t="s">
        <v>46</v>
      </c>
      <c r="R742" s="19" t="s">
        <v>47</v>
      </c>
      <c r="S742" s="21"/>
      <c r="T742" s="19"/>
      <c r="U742" s="21"/>
      <c r="V742" s="7"/>
      <c r="W742" s="7"/>
      <c r="X742" s="51" t="str">
        <f t="shared" si="4"/>
        <v/>
      </c>
      <c r="Y742" s="51" t="str">
        <f t="shared" si="5"/>
        <v/>
      </c>
      <c r="Z742" s="37"/>
    </row>
    <row r="743" spans="1:26" ht="14.25" customHeight="1" x14ac:dyDescent="0.3">
      <c r="A743" s="18">
        <v>185.2</v>
      </c>
      <c r="B743" s="19"/>
      <c r="C743" s="18" t="s">
        <v>55</v>
      </c>
      <c r="D743" s="19"/>
      <c r="E743" s="25"/>
      <c r="F743" s="19"/>
      <c r="G743" s="21">
        <v>0</v>
      </c>
      <c r="H743" s="21"/>
      <c r="I743" s="21"/>
      <c r="J743" s="21"/>
      <c r="K743" s="19"/>
      <c r="L743" s="19"/>
      <c r="M743" s="22">
        <v>1</v>
      </c>
      <c r="N743" s="19"/>
      <c r="O743" s="25"/>
      <c r="P743" s="23"/>
      <c r="Q743" s="21" t="s">
        <v>46</v>
      </c>
      <c r="R743" s="19" t="s">
        <v>47</v>
      </c>
      <c r="S743" s="21"/>
      <c r="T743" s="19"/>
      <c r="U743" s="21"/>
      <c r="V743" s="7"/>
      <c r="W743" s="7"/>
      <c r="X743" s="51" t="str">
        <f t="shared" si="4"/>
        <v/>
      </c>
      <c r="Y743" s="51" t="str">
        <f t="shared" si="5"/>
        <v/>
      </c>
      <c r="Z743" s="37"/>
    </row>
    <row r="744" spans="1:26" ht="14.25" customHeight="1" x14ac:dyDescent="0.3">
      <c r="A744" s="18">
        <v>185.3</v>
      </c>
      <c r="B744" s="19"/>
      <c r="C744" s="18" t="s">
        <v>55</v>
      </c>
      <c r="D744" s="19"/>
      <c r="E744" s="25"/>
      <c r="F744" s="19"/>
      <c r="G744" s="21">
        <v>0</v>
      </c>
      <c r="H744" s="21"/>
      <c r="I744" s="21"/>
      <c r="J744" s="21"/>
      <c r="K744" s="19"/>
      <c r="L744" s="19"/>
      <c r="M744" s="22">
        <v>1</v>
      </c>
      <c r="N744" s="19"/>
      <c r="O744" s="25"/>
      <c r="P744" s="23"/>
      <c r="Q744" s="21" t="s">
        <v>46</v>
      </c>
      <c r="R744" s="19" t="s">
        <v>47</v>
      </c>
      <c r="S744" s="21"/>
      <c r="T744" s="19"/>
      <c r="U744" s="21"/>
      <c r="V744" s="7"/>
      <c r="W744" s="7"/>
      <c r="X744" s="51" t="str">
        <f t="shared" si="4"/>
        <v/>
      </c>
      <c r="Y744" s="51" t="str">
        <f t="shared" si="5"/>
        <v/>
      </c>
      <c r="Z744" s="37"/>
    </row>
    <row r="745" spans="1:26" ht="14.25" customHeight="1" x14ac:dyDescent="0.3">
      <c r="A745" s="18">
        <v>185.4</v>
      </c>
      <c r="B745" s="19"/>
      <c r="C745" s="18" t="s">
        <v>55</v>
      </c>
      <c r="D745" s="19"/>
      <c r="E745" s="25"/>
      <c r="F745" s="19"/>
      <c r="G745" s="21">
        <v>0</v>
      </c>
      <c r="H745" s="21"/>
      <c r="I745" s="21"/>
      <c r="J745" s="21"/>
      <c r="K745" s="19"/>
      <c r="L745" s="19"/>
      <c r="M745" s="22">
        <v>1</v>
      </c>
      <c r="N745" s="19"/>
      <c r="O745" s="25"/>
      <c r="P745" s="23"/>
      <c r="Q745" s="21" t="s">
        <v>46</v>
      </c>
      <c r="R745" s="19" t="s">
        <v>47</v>
      </c>
      <c r="S745" s="21"/>
      <c r="T745" s="19"/>
      <c r="U745" s="21"/>
      <c r="V745" s="7"/>
      <c r="W745" s="7"/>
      <c r="X745" s="51" t="str">
        <f t="shared" si="4"/>
        <v/>
      </c>
      <c r="Y745" s="51" t="str">
        <f t="shared" si="5"/>
        <v/>
      </c>
      <c r="Z745" s="37"/>
    </row>
    <row r="746" spans="1:26" ht="14.25" customHeight="1" x14ac:dyDescent="0.3">
      <c r="A746" s="18">
        <v>186.1</v>
      </c>
      <c r="B746" s="19"/>
      <c r="C746" s="18" t="s">
        <v>55</v>
      </c>
      <c r="D746" s="19"/>
      <c r="E746" s="25"/>
      <c r="F746" s="19"/>
      <c r="G746" s="21">
        <v>0</v>
      </c>
      <c r="H746" s="21"/>
      <c r="I746" s="21"/>
      <c r="J746" s="21"/>
      <c r="K746" s="19"/>
      <c r="L746" s="19"/>
      <c r="M746" s="22">
        <v>1</v>
      </c>
      <c r="N746" s="19"/>
      <c r="O746" s="25"/>
      <c r="P746" s="23"/>
      <c r="Q746" s="21" t="s">
        <v>46</v>
      </c>
      <c r="R746" s="19" t="s">
        <v>47</v>
      </c>
      <c r="S746" s="21"/>
      <c r="T746" s="19"/>
      <c r="U746" s="21"/>
      <c r="V746" s="7"/>
      <c r="W746" s="7"/>
      <c r="X746" s="51" t="str">
        <f t="shared" si="4"/>
        <v/>
      </c>
      <c r="Y746" s="51" t="str">
        <f t="shared" si="5"/>
        <v/>
      </c>
      <c r="Z746" s="37"/>
    </row>
    <row r="747" spans="1:26" ht="14.25" customHeight="1" x14ac:dyDescent="0.3">
      <c r="A747" s="18">
        <v>186.2</v>
      </c>
      <c r="B747" s="19"/>
      <c r="C747" s="18" t="s">
        <v>55</v>
      </c>
      <c r="D747" s="19"/>
      <c r="E747" s="25"/>
      <c r="F747" s="19"/>
      <c r="G747" s="21">
        <v>0</v>
      </c>
      <c r="H747" s="21"/>
      <c r="I747" s="21"/>
      <c r="J747" s="21"/>
      <c r="K747" s="19"/>
      <c r="L747" s="19"/>
      <c r="M747" s="22">
        <v>1</v>
      </c>
      <c r="N747" s="19"/>
      <c r="O747" s="25"/>
      <c r="P747" s="23"/>
      <c r="Q747" s="21" t="s">
        <v>46</v>
      </c>
      <c r="R747" s="19" t="s">
        <v>47</v>
      </c>
      <c r="S747" s="21"/>
      <c r="T747" s="19"/>
      <c r="U747" s="21"/>
      <c r="V747" s="7"/>
      <c r="W747" s="7"/>
      <c r="X747" s="51" t="str">
        <f t="shared" si="4"/>
        <v/>
      </c>
      <c r="Y747" s="51" t="str">
        <f t="shared" si="5"/>
        <v/>
      </c>
      <c r="Z747" s="37"/>
    </row>
    <row r="748" spans="1:26" ht="14.25" customHeight="1" x14ac:dyDescent="0.3">
      <c r="A748" s="18">
        <v>186.3</v>
      </c>
      <c r="B748" s="19"/>
      <c r="C748" s="18" t="s">
        <v>55</v>
      </c>
      <c r="D748" s="19"/>
      <c r="E748" s="25"/>
      <c r="F748" s="19"/>
      <c r="G748" s="21">
        <v>0</v>
      </c>
      <c r="H748" s="21"/>
      <c r="I748" s="21"/>
      <c r="J748" s="21"/>
      <c r="K748" s="19"/>
      <c r="L748" s="19"/>
      <c r="M748" s="22">
        <v>1</v>
      </c>
      <c r="N748" s="19"/>
      <c r="O748" s="25"/>
      <c r="P748" s="23"/>
      <c r="Q748" s="21" t="s">
        <v>46</v>
      </c>
      <c r="R748" s="19" t="s">
        <v>47</v>
      </c>
      <c r="S748" s="21"/>
      <c r="T748" s="19"/>
      <c r="U748" s="21"/>
      <c r="V748" s="7"/>
      <c r="W748" s="7"/>
      <c r="X748" s="51" t="str">
        <f t="shared" si="4"/>
        <v/>
      </c>
      <c r="Y748" s="51" t="str">
        <f t="shared" si="5"/>
        <v/>
      </c>
      <c r="Z748" s="37"/>
    </row>
    <row r="749" spans="1:26" ht="14.25" customHeight="1" x14ac:dyDescent="0.3">
      <c r="A749" s="18">
        <v>186.4</v>
      </c>
      <c r="B749" s="19"/>
      <c r="C749" s="18" t="s">
        <v>55</v>
      </c>
      <c r="D749" s="19"/>
      <c r="E749" s="25"/>
      <c r="F749" s="19"/>
      <c r="G749" s="21">
        <v>0</v>
      </c>
      <c r="H749" s="21"/>
      <c r="I749" s="21"/>
      <c r="J749" s="21"/>
      <c r="K749" s="19"/>
      <c r="L749" s="19"/>
      <c r="M749" s="22">
        <v>1</v>
      </c>
      <c r="N749" s="19"/>
      <c r="O749" s="25"/>
      <c r="P749" s="23"/>
      <c r="Q749" s="21" t="s">
        <v>46</v>
      </c>
      <c r="R749" s="19" t="s">
        <v>47</v>
      </c>
      <c r="S749" s="21"/>
      <c r="T749" s="19"/>
      <c r="U749" s="21"/>
      <c r="V749" s="7"/>
      <c r="W749" s="7"/>
      <c r="X749" s="51" t="str">
        <f t="shared" si="4"/>
        <v/>
      </c>
      <c r="Y749" s="51" t="str">
        <f t="shared" si="5"/>
        <v/>
      </c>
      <c r="Z749" s="37"/>
    </row>
    <row r="750" spans="1:26" ht="14.25" customHeight="1" x14ac:dyDescent="0.3">
      <c r="A750" s="18">
        <v>187.1</v>
      </c>
      <c r="B750" s="19"/>
      <c r="C750" s="18" t="s">
        <v>55</v>
      </c>
      <c r="D750" s="19"/>
      <c r="E750" s="25"/>
      <c r="F750" s="19"/>
      <c r="G750" s="21">
        <v>0</v>
      </c>
      <c r="H750" s="21"/>
      <c r="I750" s="21"/>
      <c r="J750" s="21"/>
      <c r="K750" s="19"/>
      <c r="L750" s="19"/>
      <c r="M750" s="22">
        <v>1</v>
      </c>
      <c r="N750" s="19"/>
      <c r="O750" s="25"/>
      <c r="P750" s="23"/>
      <c r="Q750" s="21" t="s">
        <v>46</v>
      </c>
      <c r="R750" s="19" t="s">
        <v>47</v>
      </c>
      <c r="S750" s="21"/>
      <c r="T750" s="19"/>
      <c r="U750" s="21"/>
      <c r="V750" s="7"/>
      <c r="W750" s="7"/>
      <c r="X750" s="51" t="str">
        <f t="shared" si="4"/>
        <v/>
      </c>
      <c r="Y750" s="51" t="str">
        <f t="shared" si="5"/>
        <v/>
      </c>
      <c r="Z750" s="37"/>
    </row>
    <row r="751" spans="1:26" ht="14.25" customHeight="1" x14ac:dyDescent="0.3">
      <c r="A751" s="18">
        <v>187.2</v>
      </c>
      <c r="B751" s="19"/>
      <c r="C751" s="18" t="s">
        <v>55</v>
      </c>
      <c r="D751" s="19"/>
      <c r="E751" s="25"/>
      <c r="F751" s="19"/>
      <c r="G751" s="21">
        <v>0</v>
      </c>
      <c r="H751" s="21"/>
      <c r="I751" s="21"/>
      <c r="J751" s="21"/>
      <c r="K751" s="19"/>
      <c r="L751" s="19"/>
      <c r="M751" s="22">
        <v>1</v>
      </c>
      <c r="N751" s="19"/>
      <c r="O751" s="25"/>
      <c r="P751" s="23"/>
      <c r="Q751" s="21" t="s">
        <v>46</v>
      </c>
      <c r="R751" s="19" t="s">
        <v>47</v>
      </c>
      <c r="S751" s="21"/>
      <c r="T751" s="19"/>
      <c r="U751" s="21"/>
      <c r="V751" s="7"/>
      <c r="W751" s="7"/>
      <c r="X751" s="51" t="str">
        <f t="shared" si="4"/>
        <v/>
      </c>
      <c r="Y751" s="51" t="str">
        <f t="shared" si="5"/>
        <v/>
      </c>
      <c r="Z751" s="37"/>
    </row>
    <row r="752" spans="1:26" ht="14.25" customHeight="1" x14ac:dyDescent="0.3">
      <c r="A752" s="18">
        <v>187.3</v>
      </c>
      <c r="B752" s="19"/>
      <c r="C752" s="18" t="s">
        <v>55</v>
      </c>
      <c r="D752" s="19"/>
      <c r="E752" s="25"/>
      <c r="F752" s="19"/>
      <c r="G752" s="21">
        <v>0</v>
      </c>
      <c r="H752" s="21"/>
      <c r="I752" s="21"/>
      <c r="J752" s="21"/>
      <c r="K752" s="19"/>
      <c r="L752" s="19"/>
      <c r="M752" s="22">
        <v>1</v>
      </c>
      <c r="N752" s="19"/>
      <c r="O752" s="25"/>
      <c r="P752" s="23"/>
      <c r="Q752" s="21" t="s">
        <v>46</v>
      </c>
      <c r="R752" s="19" t="s">
        <v>47</v>
      </c>
      <c r="S752" s="21"/>
      <c r="T752" s="19"/>
      <c r="U752" s="21"/>
      <c r="V752" s="7"/>
      <c r="W752" s="7"/>
      <c r="X752" s="51" t="str">
        <f t="shared" si="4"/>
        <v/>
      </c>
      <c r="Y752" s="51" t="str">
        <f t="shared" si="5"/>
        <v/>
      </c>
      <c r="Z752" s="37"/>
    </row>
    <row r="753" spans="1:26" ht="14.25" customHeight="1" x14ac:dyDescent="0.3">
      <c r="A753" s="18">
        <v>187.4</v>
      </c>
      <c r="B753" s="19"/>
      <c r="C753" s="18" t="s">
        <v>55</v>
      </c>
      <c r="D753" s="19"/>
      <c r="E753" s="25"/>
      <c r="F753" s="19"/>
      <c r="G753" s="21">
        <v>0</v>
      </c>
      <c r="H753" s="21"/>
      <c r="I753" s="21"/>
      <c r="J753" s="21"/>
      <c r="K753" s="19"/>
      <c r="L753" s="19"/>
      <c r="M753" s="22">
        <v>1</v>
      </c>
      <c r="N753" s="19"/>
      <c r="O753" s="25"/>
      <c r="P753" s="23"/>
      <c r="Q753" s="21" t="s">
        <v>46</v>
      </c>
      <c r="R753" s="19" t="s">
        <v>47</v>
      </c>
      <c r="S753" s="21"/>
      <c r="T753" s="19"/>
      <c r="U753" s="21"/>
      <c r="V753" s="7"/>
      <c r="W753" s="7"/>
      <c r="X753" s="51" t="str">
        <f t="shared" si="4"/>
        <v/>
      </c>
      <c r="Y753" s="51" t="str">
        <f t="shared" si="5"/>
        <v/>
      </c>
      <c r="Z753" s="37"/>
    </row>
    <row r="754" spans="1:26" ht="14.25" customHeight="1" x14ac:dyDescent="0.3">
      <c r="A754" s="18">
        <v>188.1</v>
      </c>
      <c r="B754" s="19"/>
      <c r="C754" s="18" t="s">
        <v>55</v>
      </c>
      <c r="D754" s="19"/>
      <c r="E754" s="25"/>
      <c r="F754" s="19"/>
      <c r="G754" s="21">
        <v>0</v>
      </c>
      <c r="H754" s="21"/>
      <c r="I754" s="21"/>
      <c r="J754" s="21"/>
      <c r="K754" s="19"/>
      <c r="L754" s="19"/>
      <c r="M754" s="22">
        <v>1</v>
      </c>
      <c r="N754" s="19"/>
      <c r="O754" s="25"/>
      <c r="P754" s="23"/>
      <c r="Q754" s="21" t="s">
        <v>46</v>
      </c>
      <c r="R754" s="19" t="s">
        <v>47</v>
      </c>
      <c r="S754" s="21"/>
      <c r="T754" s="19"/>
      <c r="U754" s="21"/>
      <c r="V754" s="7"/>
      <c r="W754" s="7"/>
      <c r="X754" s="51" t="str">
        <f t="shared" si="4"/>
        <v/>
      </c>
      <c r="Y754" s="51" t="str">
        <f t="shared" si="5"/>
        <v/>
      </c>
      <c r="Z754" s="37"/>
    </row>
    <row r="755" spans="1:26" ht="14.25" customHeight="1" x14ac:dyDescent="0.3">
      <c r="A755" s="18">
        <v>188.2</v>
      </c>
      <c r="B755" s="19"/>
      <c r="C755" s="18" t="s">
        <v>55</v>
      </c>
      <c r="D755" s="19"/>
      <c r="E755" s="25"/>
      <c r="F755" s="19"/>
      <c r="G755" s="21">
        <v>0</v>
      </c>
      <c r="H755" s="21"/>
      <c r="I755" s="21"/>
      <c r="J755" s="21"/>
      <c r="K755" s="19"/>
      <c r="L755" s="19"/>
      <c r="M755" s="22">
        <v>1</v>
      </c>
      <c r="N755" s="19"/>
      <c r="O755" s="25"/>
      <c r="P755" s="23"/>
      <c r="Q755" s="21" t="s">
        <v>46</v>
      </c>
      <c r="R755" s="19" t="s">
        <v>47</v>
      </c>
      <c r="S755" s="21"/>
      <c r="T755" s="19"/>
      <c r="U755" s="21"/>
      <c r="V755" s="7"/>
      <c r="W755" s="7"/>
      <c r="X755" s="51" t="str">
        <f t="shared" si="4"/>
        <v/>
      </c>
      <c r="Y755" s="51" t="str">
        <f t="shared" si="5"/>
        <v/>
      </c>
      <c r="Z755" s="37"/>
    </row>
    <row r="756" spans="1:26" ht="14.25" customHeight="1" x14ac:dyDescent="0.3">
      <c r="A756" s="18">
        <v>188.3</v>
      </c>
      <c r="B756" s="19"/>
      <c r="C756" s="18" t="s">
        <v>55</v>
      </c>
      <c r="D756" s="19"/>
      <c r="E756" s="25"/>
      <c r="F756" s="19"/>
      <c r="G756" s="21">
        <v>0</v>
      </c>
      <c r="H756" s="21"/>
      <c r="I756" s="21"/>
      <c r="J756" s="21"/>
      <c r="K756" s="19"/>
      <c r="L756" s="19"/>
      <c r="M756" s="22">
        <v>1</v>
      </c>
      <c r="N756" s="19"/>
      <c r="O756" s="25"/>
      <c r="P756" s="23"/>
      <c r="Q756" s="21" t="s">
        <v>46</v>
      </c>
      <c r="R756" s="19" t="s">
        <v>47</v>
      </c>
      <c r="S756" s="21"/>
      <c r="T756" s="19"/>
      <c r="U756" s="21"/>
      <c r="V756" s="7"/>
      <c r="W756" s="7"/>
      <c r="X756" s="51" t="str">
        <f t="shared" si="4"/>
        <v/>
      </c>
      <c r="Y756" s="51" t="str">
        <f t="shared" si="5"/>
        <v/>
      </c>
      <c r="Z756" s="37"/>
    </row>
    <row r="757" spans="1:26" ht="14.25" customHeight="1" x14ac:dyDescent="0.3">
      <c r="A757" s="18">
        <v>188.4</v>
      </c>
      <c r="B757" s="19"/>
      <c r="C757" s="18" t="s">
        <v>55</v>
      </c>
      <c r="D757" s="19"/>
      <c r="E757" s="25"/>
      <c r="F757" s="19"/>
      <c r="G757" s="21">
        <v>0</v>
      </c>
      <c r="H757" s="21"/>
      <c r="I757" s="21"/>
      <c r="J757" s="21"/>
      <c r="K757" s="19"/>
      <c r="L757" s="19"/>
      <c r="M757" s="22">
        <v>1</v>
      </c>
      <c r="N757" s="19"/>
      <c r="O757" s="25"/>
      <c r="P757" s="23"/>
      <c r="Q757" s="21" t="s">
        <v>46</v>
      </c>
      <c r="R757" s="19" t="s">
        <v>47</v>
      </c>
      <c r="S757" s="21"/>
      <c r="T757" s="19"/>
      <c r="U757" s="21"/>
      <c r="V757" s="7"/>
      <c r="W757" s="7"/>
      <c r="X757" s="51" t="str">
        <f t="shared" si="4"/>
        <v/>
      </c>
      <c r="Y757" s="51" t="str">
        <f t="shared" si="5"/>
        <v/>
      </c>
      <c r="Z757" s="37"/>
    </row>
    <row r="758" spans="1:26" ht="14.25" customHeight="1" x14ac:dyDescent="0.3">
      <c r="A758" s="18">
        <v>189.1</v>
      </c>
      <c r="B758" s="19"/>
      <c r="C758" s="18" t="s">
        <v>55</v>
      </c>
      <c r="D758" s="19"/>
      <c r="E758" s="25"/>
      <c r="F758" s="19"/>
      <c r="G758" s="21">
        <v>0</v>
      </c>
      <c r="H758" s="21"/>
      <c r="I758" s="21"/>
      <c r="J758" s="21"/>
      <c r="K758" s="19"/>
      <c r="L758" s="19"/>
      <c r="M758" s="22">
        <v>1</v>
      </c>
      <c r="N758" s="19"/>
      <c r="O758" s="25"/>
      <c r="P758" s="23"/>
      <c r="Q758" s="21" t="s">
        <v>46</v>
      </c>
      <c r="R758" s="19" t="s">
        <v>47</v>
      </c>
      <c r="S758" s="21"/>
      <c r="T758" s="19"/>
      <c r="U758" s="21"/>
      <c r="V758" s="7"/>
      <c r="W758" s="7"/>
      <c r="X758" s="51" t="str">
        <f t="shared" si="4"/>
        <v/>
      </c>
      <c r="Y758" s="51" t="str">
        <f t="shared" si="5"/>
        <v/>
      </c>
      <c r="Z758" s="37"/>
    </row>
    <row r="759" spans="1:26" ht="14.25" customHeight="1" x14ac:dyDescent="0.3">
      <c r="A759" s="18">
        <v>189.2</v>
      </c>
      <c r="B759" s="19"/>
      <c r="C759" s="18" t="s">
        <v>55</v>
      </c>
      <c r="D759" s="19"/>
      <c r="E759" s="25"/>
      <c r="F759" s="19"/>
      <c r="G759" s="21">
        <v>0</v>
      </c>
      <c r="H759" s="21"/>
      <c r="I759" s="21"/>
      <c r="J759" s="21"/>
      <c r="K759" s="19"/>
      <c r="L759" s="19"/>
      <c r="M759" s="22">
        <v>1</v>
      </c>
      <c r="N759" s="19"/>
      <c r="O759" s="25"/>
      <c r="P759" s="23"/>
      <c r="Q759" s="21" t="s">
        <v>46</v>
      </c>
      <c r="R759" s="19" t="s">
        <v>47</v>
      </c>
      <c r="S759" s="21"/>
      <c r="T759" s="19"/>
      <c r="U759" s="21"/>
      <c r="V759" s="7"/>
      <c r="W759" s="7"/>
      <c r="X759" s="51" t="str">
        <f t="shared" si="4"/>
        <v/>
      </c>
      <c r="Y759" s="51" t="str">
        <f t="shared" si="5"/>
        <v/>
      </c>
      <c r="Z759" s="37"/>
    </row>
    <row r="760" spans="1:26" ht="14.25" customHeight="1" x14ac:dyDescent="0.3">
      <c r="A760" s="18">
        <v>189.3</v>
      </c>
      <c r="B760" s="19"/>
      <c r="C760" s="18" t="s">
        <v>55</v>
      </c>
      <c r="D760" s="19"/>
      <c r="E760" s="25"/>
      <c r="F760" s="19"/>
      <c r="G760" s="21">
        <v>0</v>
      </c>
      <c r="H760" s="21"/>
      <c r="I760" s="21"/>
      <c r="J760" s="21"/>
      <c r="K760" s="19"/>
      <c r="L760" s="19"/>
      <c r="M760" s="22">
        <v>1</v>
      </c>
      <c r="N760" s="19"/>
      <c r="O760" s="25"/>
      <c r="P760" s="23"/>
      <c r="Q760" s="21" t="s">
        <v>46</v>
      </c>
      <c r="R760" s="19" t="s">
        <v>47</v>
      </c>
      <c r="S760" s="21"/>
      <c r="T760" s="19"/>
      <c r="U760" s="21"/>
      <c r="V760" s="7"/>
      <c r="W760" s="7"/>
      <c r="X760" s="51" t="str">
        <f t="shared" si="4"/>
        <v/>
      </c>
      <c r="Y760" s="51" t="str">
        <f t="shared" si="5"/>
        <v/>
      </c>
      <c r="Z760" s="37"/>
    </row>
    <row r="761" spans="1:26" ht="14.25" customHeight="1" x14ac:dyDescent="0.3">
      <c r="A761" s="18">
        <v>189.4</v>
      </c>
      <c r="B761" s="19"/>
      <c r="C761" s="18" t="s">
        <v>55</v>
      </c>
      <c r="D761" s="19"/>
      <c r="E761" s="25"/>
      <c r="F761" s="19"/>
      <c r="G761" s="21">
        <v>0</v>
      </c>
      <c r="H761" s="21"/>
      <c r="I761" s="21"/>
      <c r="J761" s="21"/>
      <c r="K761" s="19"/>
      <c r="L761" s="19"/>
      <c r="M761" s="22">
        <v>1</v>
      </c>
      <c r="N761" s="19"/>
      <c r="O761" s="25"/>
      <c r="P761" s="23"/>
      <c r="Q761" s="21" t="s">
        <v>46</v>
      </c>
      <c r="R761" s="19" t="s">
        <v>47</v>
      </c>
      <c r="S761" s="21"/>
      <c r="T761" s="19"/>
      <c r="U761" s="21"/>
      <c r="V761" s="7"/>
      <c r="W761" s="7"/>
      <c r="X761" s="51" t="str">
        <f t="shared" si="4"/>
        <v/>
      </c>
      <c r="Y761" s="51" t="str">
        <f t="shared" si="5"/>
        <v/>
      </c>
      <c r="Z761" s="37"/>
    </row>
    <row r="762" spans="1:26" ht="14.25" customHeight="1" x14ac:dyDescent="0.3">
      <c r="A762" s="18">
        <v>190.1</v>
      </c>
      <c r="B762" s="19"/>
      <c r="C762" s="18" t="s">
        <v>55</v>
      </c>
      <c r="D762" s="19"/>
      <c r="E762" s="25"/>
      <c r="F762" s="19"/>
      <c r="G762" s="21">
        <v>0</v>
      </c>
      <c r="H762" s="21"/>
      <c r="I762" s="21"/>
      <c r="J762" s="21"/>
      <c r="K762" s="19"/>
      <c r="L762" s="19"/>
      <c r="M762" s="22">
        <v>1</v>
      </c>
      <c r="N762" s="19"/>
      <c r="O762" s="25"/>
      <c r="P762" s="23"/>
      <c r="Q762" s="21" t="s">
        <v>46</v>
      </c>
      <c r="R762" s="19" t="s">
        <v>47</v>
      </c>
      <c r="S762" s="21"/>
      <c r="T762" s="19"/>
      <c r="U762" s="21"/>
      <c r="V762" s="7"/>
      <c r="W762" s="7"/>
      <c r="X762" s="51" t="str">
        <f t="shared" si="4"/>
        <v/>
      </c>
      <c r="Y762" s="51" t="str">
        <f t="shared" si="5"/>
        <v/>
      </c>
      <c r="Z762" s="37"/>
    </row>
    <row r="763" spans="1:26" ht="14.25" customHeight="1" x14ac:dyDescent="0.3">
      <c r="A763" s="18">
        <v>190.2</v>
      </c>
      <c r="B763" s="19"/>
      <c r="C763" s="18" t="s">
        <v>55</v>
      </c>
      <c r="D763" s="19"/>
      <c r="E763" s="25"/>
      <c r="F763" s="19"/>
      <c r="G763" s="21">
        <v>0</v>
      </c>
      <c r="H763" s="21"/>
      <c r="I763" s="21"/>
      <c r="J763" s="21"/>
      <c r="K763" s="19"/>
      <c r="L763" s="19"/>
      <c r="M763" s="22">
        <v>1</v>
      </c>
      <c r="N763" s="19"/>
      <c r="O763" s="25"/>
      <c r="P763" s="23"/>
      <c r="Q763" s="21" t="s">
        <v>46</v>
      </c>
      <c r="R763" s="19" t="s">
        <v>47</v>
      </c>
      <c r="S763" s="21"/>
      <c r="T763" s="19"/>
      <c r="U763" s="21"/>
      <c r="V763" s="7"/>
      <c r="W763" s="7"/>
      <c r="X763" s="51" t="str">
        <f t="shared" si="4"/>
        <v/>
      </c>
      <c r="Y763" s="51" t="str">
        <f t="shared" si="5"/>
        <v/>
      </c>
      <c r="Z763" s="37"/>
    </row>
    <row r="764" spans="1:26" ht="14.25" customHeight="1" x14ac:dyDescent="0.3">
      <c r="A764" s="18">
        <v>190.3</v>
      </c>
      <c r="B764" s="19"/>
      <c r="C764" s="18" t="s">
        <v>55</v>
      </c>
      <c r="D764" s="19"/>
      <c r="E764" s="25"/>
      <c r="F764" s="19"/>
      <c r="G764" s="21">
        <v>0</v>
      </c>
      <c r="H764" s="21"/>
      <c r="I764" s="21"/>
      <c r="J764" s="21"/>
      <c r="K764" s="19"/>
      <c r="L764" s="19"/>
      <c r="M764" s="22">
        <v>1</v>
      </c>
      <c r="N764" s="19"/>
      <c r="O764" s="25"/>
      <c r="P764" s="23"/>
      <c r="Q764" s="21" t="s">
        <v>46</v>
      </c>
      <c r="R764" s="19" t="s">
        <v>47</v>
      </c>
      <c r="S764" s="21"/>
      <c r="T764" s="19"/>
      <c r="U764" s="21"/>
      <c r="V764" s="7"/>
      <c r="W764" s="7"/>
      <c r="X764" s="51" t="str">
        <f t="shared" si="4"/>
        <v/>
      </c>
      <c r="Y764" s="51" t="str">
        <f t="shared" si="5"/>
        <v/>
      </c>
      <c r="Z764" s="37"/>
    </row>
    <row r="765" spans="1:26" ht="14.25" customHeight="1" x14ac:dyDescent="0.3">
      <c r="A765" s="18">
        <v>190.4</v>
      </c>
      <c r="B765" s="19"/>
      <c r="C765" s="18" t="s">
        <v>55</v>
      </c>
      <c r="D765" s="19"/>
      <c r="E765" s="25"/>
      <c r="F765" s="19"/>
      <c r="G765" s="21">
        <v>0</v>
      </c>
      <c r="H765" s="21"/>
      <c r="I765" s="21"/>
      <c r="J765" s="21"/>
      <c r="K765" s="19"/>
      <c r="L765" s="19"/>
      <c r="M765" s="22">
        <v>1</v>
      </c>
      <c r="N765" s="19"/>
      <c r="O765" s="25"/>
      <c r="P765" s="23"/>
      <c r="Q765" s="21" t="s">
        <v>46</v>
      </c>
      <c r="R765" s="19" t="s">
        <v>47</v>
      </c>
      <c r="S765" s="21"/>
      <c r="T765" s="19"/>
      <c r="U765" s="21"/>
      <c r="V765" s="7"/>
      <c r="W765" s="7"/>
      <c r="X765" s="51" t="str">
        <f t="shared" si="4"/>
        <v/>
      </c>
      <c r="Y765" s="51" t="str">
        <f t="shared" si="5"/>
        <v/>
      </c>
      <c r="Z765" s="37"/>
    </row>
    <row r="766" spans="1:26" ht="14.25" customHeight="1" x14ac:dyDescent="0.3">
      <c r="A766" s="18">
        <v>191.1</v>
      </c>
      <c r="B766" s="19"/>
      <c r="C766" s="18" t="s">
        <v>55</v>
      </c>
      <c r="D766" s="19"/>
      <c r="E766" s="25"/>
      <c r="F766" s="19"/>
      <c r="G766" s="21">
        <v>0</v>
      </c>
      <c r="H766" s="21"/>
      <c r="I766" s="21"/>
      <c r="J766" s="21"/>
      <c r="K766" s="19"/>
      <c r="L766" s="19"/>
      <c r="M766" s="22">
        <v>1</v>
      </c>
      <c r="N766" s="19"/>
      <c r="O766" s="25"/>
      <c r="P766" s="23"/>
      <c r="Q766" s="21" t="s">
        <v>46</v>
      </c>
      <c r="R766" s="19" t="s">
        <v>47</v>
      </c>
      <c r="S766" s="21"/>
      <c r="T766" s="19"/>
      <c r="U766" s="21"/>
      <c r="V766" s="7"/>
      <c r="W766" s="7"/>
      <c r="X766" s="51" t="str">
        <f t="shared" si="4"/>
        <v/>
      </c>
      <c r="Y766" s="51" t="str">
        <f t="shared" si="5"/>
        <v/>
      </c>
      <c r="Z766" s="37"/>
    </row>
    <row r="767" spans="1:26" ht="14.25" customHeight="1" x14ac:dyDescent="0.3">
      <c r="A767" s="18">
        <v>191.2</v>
      </c>
      <c r="B767" s="19"/>
      <c r="C767" s="18" t="s">
        <v>55</v>
      </c>
      <c r="D767" s="19"/>
      <c r="E767" s="25"/>
      <c r="F767" s="19"/>
      <c r="G767" s="21">
        <v>0</v>
      </c>
      <c r="H767" s="21"/>
      <c r="I767" s="21"/>
      <c r="J767" s="21"/>
      <c r="K767" s="19"/>
      <c r="L767" s="19"/>
      <c r="M767" s="22">
        <v>1</v>
      </c>
      <c r="N767" s="19"/>
      <c r="O767" s="25"/>
      <c r="P767" s="23"/>
      <c r="Q767" s="21" t="s">
        <v>46</v>
      </c>
      <c r="R767" s="19" t="s">
        <v>47</v>
      </c>
      <c r="S767" s="21"/>
      <c r="T767" s="19"/>
      <c r="U767" s="21"/>
      <c r="V767" s="7"/>
      <c r="W767" s="7"/>
      <c r="X767" s="51" t="str">
        <f t="shared" si="4"/>
        <v/>
      </c>
      <c r="Y767" s="51" t="str">
        <f t="shared" si="5"/>
        <v/>
      </c>
      <c r="Z767" s="37"/>
    </row>
    <row r="768" spans="1:26" ht="14.25" customHeight="1" x14ac:dyDescent="0.3">
      <c r="A768" s="18">
        <v>191.3</v>
      </c>
      <c r="B768" s="19"/>
      <c r="C768" s="18" t="s">
        <v>55</v>
      </c>
      <c r="D768" s="19"/>
      <c r="E768" s="25"/>
      <c r="F768" s="19"/>
      <c r="G768" s="21">
        <v>0</v>
      </c>
      <c r="H768" s="21"/>
      <c r="I768" s="21"/>
      <c r="J768" s="21"/>
      <c r="K768" s="19"/>
      <c r="L768" s="19"/>
      <c r="M768" s="22">
        <v>1</v>
      </c>
      <c r="N768" s="19"/>
      <c r="O768" s="25"/>
      <c r="P768" s="23"/>
      <c r="Q768" s="21" t="s">
        <v>46</v>
      </c>
      <c r="R768" s="19" t="s">
        <v>47</v>
      </c>
      <c r="S768" s="21"/>
      <c r="T768" s="19"/>
      <c r="U768" s="21"/>
      <c r="V768" s="7"/>
      <c r="W768" s="7"/>
      <c r="X768" s="51" t="str">
        <f t="shared" si="4"/>
        <v/>
      </c>
      <c r="Y768" s="51" t="str">
        <f t="shared" si="5"/>
        <v/>
      </c>
      <c r="Z768" s="37"/>
    </row>
    <row r="769" spans="1:26" ht="14.25" customHeight="1" x14ac:dyDescent="0.3">
      <c r="A769" s="18">
        <v>191.4</v>
      </c>
      <c r="B769" s="19"/>
      <c r="C769" s="18" t="s">
        <v>55</v>
      </c>
      <c r="D769" s="19"/>
      <c r="E769" s="25"/>
      <c r="F769" s="19"/>
      <c r="G769" s="21">
        <v>0</v>
      </c>
      <c r="H769" s="21"/>
      <c r="I769" s="21"/>
      <c r="J769" s="21"/>
      <c r="K769" s="19"/>
      <c r="L769" s="19"/>
      <c r="M769" s="22">
        <v>1</v>
      </c>
      <c r="N769" s="19"/>
      <c r="O769" s="25"/>
      <c r="P769" s="23"/>
      <c r="Q769" s="21" t="s">
        <v>46</v>
      </c>
      <c r="R769" s="19" t="s">
        <v>47</v>
      </c>
      <c r="S769" s="21"/>
      <c r="T769" s="19"/>
      <c r="U769" s="21"/>
      <c r="V769" s="7"/>
      <c r="W769" s="7"/>
      <c r="X769" s="51" t="str">
        <f t="shared" si="4"/>
        <v/>
      </c>
      <c r="Y769" s="51" t="str">
        <f t="shared" si="5"/>
        <v/>
      </c>
      <c r="Z769" s="37"/>
    </row>
    <row r="770" spans="1:26" ht="14.25" customHeight="1" x14ac:dyDescent="0.3">
      <c r="A770" s="18">
        <v>192.1</v>
      </c>
      <c r="B770" s="19"/>
      <c r="C770" s="18" t="s">
        <v>55</v>
      </c>
      <c r="D770" s="19"/>
      <c r="E770" s="25"/>
      <c r="F770" s="19"/>
      <c r="G770" s="21">
        <v>0</v>
      </c>
      <c r="H770" s="21"/>
      <c r="I770" s="21"/>
      <c r="J770" s="21"/>
      <c r="K770" s="19"/>
      <c r="L770" s="19"/>
      <c r="M770" s="22">
        <v>1</v>
      </c>
      <c r="N770" s="19"/>
      <c r="O770" s="25"/>
      <c r="P770" s="23"/>
      <c r="Q770" s="21" t="s">
        <v>46</v>
      </c>
      <c r="R770" s="19" t="s">
        <v>47</v>
      </c>
      <c r="S770" s="21"/>
      <c r="T770" s="19"/>
      <c r="U770" s="21"/>
      <c r="V770" s="7"/>
      <c r="W770" s="7"/>
      <c r="X770" s="51" t="str">
        <f t="shared" si="4"/>
        <v/>
      </c>
      <c r="Y770" s="51" t="str">
        <f t="shared" si="5"/>
        <v/>
      </c>
      <c r="Z770" s="37"/>
    </row>
    <row r="771" spans="1:26" ht="14.25" customHeight="1" x14ac:dyDescent="0.3">
      <c r="A771" s="18">
        <v>192.2</v>
      </c>
      <c r="B771" s="19"/>
      <c r="C771" s="18" t="s">
        <v>55</v>
      </c>
      <c r="D771" s="19"/>
      <c r="E771" s="25"/>
      <c r="F771" s="19"/>
      <c r="G771" s="21">
        <v>0</v>
      </c>
      <c r="H771" s="21"/>
      <c r="I771" s="21"/>
      <c r="J771" s="21"/>
      <c r="K771" s="19"/>
      <c r="L771" s="19"/>
      <c r="M771" s="22">
        <v>1</v>
      </c>
      <c r="N771" s="19"/>
      <c r="O771" s="25"/>
      <c r="P771" s="23"/>
      <c r="Q771" s="21" t="s">
        <v>46</v>
      </c>
      <c r="R771" s="19" t="s">
        <v>47</v>
      </c>
      <c r="S771" s="21"/>
      <c r="T771" s="19"/>
      <c r="U771" s="21"/>
      <c r="V771" s="7"/>
      <c r="W771" s="7"/>
      <c r="X771" s="51" t="str">
        <f t="shared" ref="X771:X1005" si="6">IF($G$4="Default", IF(ISNUMBER(SEARCH("Straight Pipe", D771)), "A106", IF(D771="", "", "A234")), "")</f>
        <v/>
      </c>
      <c r="Y771" s="51" t="str">
        <f t="shared" ref="Y771:Y1005" si="7">IF($G$4="Default", IF(ISNUMBER(SEARCH("Straight Pipe", D771)), "B", IF(D771="", "", "WPB")), "")</f>
        <v/>
      </c>
      <c r="Z771" s="37"/>
    </row>
    <row r="772" spans="1:26" ht="14.25" customHeight="1" x14ac:dyDescent="0.3">
      <c r="A772" s="18">
        <v>192.3</v>
      </c>
      <c r="B772" s="19"/>
      <c r="C772" s="18" t="s">
        <v>55</v>
      </c>
      <c r="D772" s="19"/>
      <c r="E772" s="25"/>
      <c r="F772" s="19"/>
      <c r="G772" s="21">
        <v>0</v>
      </c>
      <c r="H772" s="21"/>
      <c r="I772" s="21"/>
      <c r="J772" s="21"/>
      <c r="K772" s="19"/>
      <c r="L772" s="19"/>
      <c r="M772" s="22">
        <v>1</v>
      </c>
      <c r="N772" s="19"/>
      <c r="O772" s="25"/>
      <c r="P772" s="23"/>
      <c r="Q772" s="21" t="s">
        <v>46</v>
      </c>
      <c r="R772" s="19" t="s">
        <v>47</v>
      </c>
      <c r="S772" s="21"/>
      <c r="T772" s="19"/>
      <c r="U772" s="21"/>
      <c r="V772" s="7"/>
      <c r="W772" s="7"/>
      <c r="X772" s="51" t="str">
        <f t="shared" si="6"/>
        <v/>
      </c>
      <c r="Y772" s="51" t="str">
        <f t="shared" si="7"/>
        <v/>
      </c>
      <c r="Z772" s="37"/>
    </row>
    <row r="773" spans="1:26" ht="14.25" customHeight="1" x14ac:dyDescent="0.3">
      <c r="A773" s="18">
        <v>192.4</v>
      </c>
      <c r="B773" s="19"/>
      <c r="C773" s="18" t="s">
        <v>55</v>
      </c>
      <c r="D773" s="19"/>
      <c r="E773" s="25"/>
      <c r="F773" s="19"/>
      <c r="G773" s="21">
        <v>0</v>
      </c>
      <c r="H773" s="21"/>
      <c r="I773" s="21"/>
      <c r="J773" s="21"/>
      <c r="K773" s="19"/>
      <c r="L773" s="19"/>
      <c r="M773" s="22">
        <v>1</v>
      </c>
      <c r="N773" s="19"/>
      <c r="O773" s="25"/>
      <c r="P773" s="23"/>
      <c r="Q773" s="21" t="s">
        <v>46</v>
      </c>
      <c r="R773" s="19" t="s">
        <v>47</v>
      </c>
      <c r="S773" s="21"/>
      <c r="T773" s="19"/>
      <c r="U773" s="21"/>
      <c r="V773" s="7"/>
      <c r="W773" s="7"/>
      <c r="X773" s="51" t="str">
        <f t="shared" si="6"/>
        <v/>
      </c>
      <c r="Y773" s="51" t="str">
        <f t="shared" si="7"/>
        <v/>
      </c>
      <c r="Z773" s="37"/>
    </row>
    <row r="774" spans="1:26" ht="14.25" customHeight="1" x14ac:dyDescent="0.3">
      <c r="A774" s="18">
        <v>193.1</v>
      </c>
      <c r="B774" s="19"/>
      <c r="C774" s="18" t="s">
        <v>55</v>
      </c>
      <c r="D774" s="19"/>
      <c r="E774" s="25"/>
      <c r="F774" s="19"/>
      <c r="G774" s="21">
        <v>0</v>
      </c>
      <c r="H774" s="21"/>
      <c r="I774" s="21"/>
      <c r="J774" s="21"/>
      <c r="K774" s="19"/>
      <c r="L774" s="19"/>
      <c r="M774" s="22">
        <v>1</v>
      </c>
      <c r="N774" s="19"/>
      <c r="O774" s="25"/>
      <c r="P774" s="23"/>
      <c r="Q774" s="21" t="s">
        <v>46</v>
      </c>
      <c r="R774" s="19" t="s">
        <v>47</v>
      </c>
      <c r="S774" s="21"/>
      <c r="T774" s="19"/>
      <c r="U774" s="21"/>
      <c r="V774" s="7"/>
      <c r="W774" s="7"/>
      <c r="X774" s="51" t="str">
        <f t="shared" si="6"/>
        <v/>
      </c>
      <c r="Y774" s="51" t="str">
        <f t="shared" si="7"/>
        <v/>
      </c>
      <c r="Z774" s="37"/>
    </row>
    <row r="775" spans="1:26" ht="14.25" customHeight="1" x14ac:dyDescent="0.3">
      <c r="A775" s="18">
        <v>193.2</v>
      </c>
      <c r="B775" s="19"/>
      <c r="C775" s="18" t="s">
        <v>55</v>
      </c>
      <c r="D775" s="19"/>
      <c r="E775" s="25"/>
      <c r="F775" s="19"/>
      <c r="G775" s="21">
        <v>0</v>
      </c>
      <c r="H775" s="21"/>
      <c r="I775" s="21"/>
      <c r="J775" s="21"/>
      <c r="K775" s="19"/>
      <c r="L775" s="19"/>
      <c r="M775" s="22">
        <v>1</v>
      </c>
      <c r="N775" s="19"/>
      <c r="O775" s="25"/>
      <c r="P775" s="23"/>
      <c r="Q775" s="21" t="s">
        <v>46</v>
      </c>
      <c r="R775" s="19" t="s">
        <v>47</v>
      </c>
      <c r="S775" s="21"/>
      <c r="T775" s="19"/>
      <c r="U775" s="21"/>
      <c r="V775" s="7"/>
      <c r="W775" s="7"/>
      <c r="X775" s="51" t="str">
        <f t="shared" si="6"/>
        <v/>
      </c>
      <c r="Y775" s="51" t="str">
        <f t="shared" si="7"/>
        <v/>
      </c>
      <c r="Z775" s="37"/>
    </row>
    <row r="776" spans="1:26" ht="14.25" customHeight="1" x14ac:dyDescent="0.3">
      <c r="A776" s="18">
        <v>193.3</v>
      </c>
      <c r="B776" s="19"/>
      <c r="C776" s="18" t="s">
        <v>55</v>
      </c>
      <c r="D776" s="19"/>
      <c r="E776" s="25"/>
      <c r="F776" s="19"/>
      <c r="G776" s="21">
        <v>0</v>
      </c>
      <c r="H776" s="21"/>
      <c r="I776" s="21"/>
      <c r="J776" s="21"/>
      <c r="K776" s="19"/>
      <c r="L776" s="19"/>
      <c r="M776" s="22">
        <v>1</v>
      </c>
      <c r="N776" s="19"/>
      <c r="O776" s="25"/>
      <c r="P776" s="23"/>
      <c r="Q776" s="21" t="s">
        <v>46</v>
      </c>
      <c r="R776" s="19" t="s">
        <v>47</v>
      </c>
      <c r="S776" s="21"/>
      <c r="T776" s="19"/>
      <c r="U776" s="21"/>
      <c r="V776" s="7"/>
      <c r="W776" s="7"/>
      <c r="X776" s="51" t="str">
        <f t="shared" si="6"/>
        <v/>
      </c>
      <c r="Y776" s="51" t="str">
        <f t="shared" si="7"/>
        <v/>
      </c>
      <c r="Z776" s="37"/>
    </row>
    <row r="777" spans="1:26" ht="14.25" customHeight="1" x14ac:dyDescent="0.3">
      <c r="A777" s="18">
        <v>193.4</v>
      </c>
      <c r="B777" s="19"/>
      <c r="C777" s="18" t="s">
        <v>55</v>
      </c>
      <c r="D777" s="19"/>
      <c r="E777" s="25"/>
      <c r="F777" s="19"/>
      <c r="G777" s="21">
        <v>0</v>
      </c>
      <c r="H777" s="21"/>
      <c r="I777" s="21"/>
      <c r="J777" s="21"/>
      <c r="K777" s="19"/>
      <c r="L777" s="19"/>
      <c r="M777" s="22">
        <v>1</v>
      </c>
      <c r="N777" s="19"/>
      <c r="O777" s="25"/>
      <c r="P777" s="23"/>
      <c r="Q777" s="21" t="s">
        <v>46</v>
      </c>
      <c r="R777" s="19" t="s">
        <v>47</v>
      </c>
      <c r="S777" s="21"/>
      <c r="T777" s="19"/>
      <c r="U777" s="21"/>
      <c r="V777" s="7"/>
      <c r="W777" s="7"/>
      <c r="X777" s="51" t="str">
        <f t="shared" si="6"/>
        <v/>
      </c>
      <c r="Y777" s="51" t="str">
        <f t="shared" si="7"/>
        <v/>
      </c>
      <c r="Z777" s="37"/>
    </row>
    <row r="778" spans="1:26" ht="14.25" customHeight="1" x14ac:dyDescent="0.3">
      <c r="A778" s="18">
        <v>194.1</v>
      </c>
      <c r="B778" s="19"/>
      <c r="C778" s="18" t="s">
        <v>55</v>
      </c>
      <c r="D778" s="19"/>
      <c r="E778" s="25"/>
      <c r="F778" s="19"/>
      <c r="G778" s="21">
        <v>0</v>
      </c>
      <c r="H778" s="21"/>
      <c r="I778" s="21"/>
      <c r="J778" s="21"/>
      <c r="K778" s="19"/>
      <c r="L778" s="19"/>
      <c r="M778" s="22">
        <v>1</v>
      </c>
      <c r="N778" s="19"/>
      <c r="O778" s="25"/>
      <c r="P778" s="23"/>
      <c r="Q778" s="21" t="s">
        <v>46</v>
      </c>
      <c r="R778" s="19" t="s">
        <v>47</v>
      </c>
      <c r="S778" s="21"/>
      <c r="T778" s="19"/>
      <c r="U778" s="21"/>
      <c r="V778" s="7"/>
      <c r="W778" s="7"/>
      <c r="X778" s="51" t="str">
        <f t="shared" si="6"/>
        <v/>
      </c>
      <c r="Y778" s="51" t="str">
        <f t="shared" si="7"/>
        <v/>
      </c>
      <c r="Z778" s="37"/>
    </row>
    <row r="779" spans="1:26" ht="14.25" customHeight="1" x14ac:dyDescent="0.3">
      <c r="A779" s="18">
        <v>194.2</v>
      </c>
      <c r="B779" s="19"/>
      <c r="C779" s="18" t="s">
        <v>55</v>
      </c>
      <c r="D779" s="19"/>
      <c r="E779" s="25"/>
      <c r="F779" s="19"/>
      <c r="G779" s="21">
        <v>0</v>
      </c>
      <c r="H779" s="21"/>
      <c r="I779" s="21"/>
      <c r="J779" s="21"/>
      <c r="K779" s="19"/>
      <c r="L779" s="19"/>
      <c r="M779" s="22">
        <v>1</v>
      </c>
      <c r="N779" s="19"/>
      <c r="O779" s="25"/>
      <c r="P779" s="23"/>
      <c r="Q779" s="21" t="s">
        <v>46</v>
      </c>
      <c r="R779" s="19" t="s">
        <v>47</v>
      </c>
      <c r="S779" s="21"/>
      <c r="T779" s="19"/>
      <c r="U779" s="21"/>
      <c r="V779" s="7"/>
      <c r="W779" s="7"/>
      <c r="X779" s="51" t="str">
        <f t="shared" si="6"/>
        <v/>
      </c>
      <c r="Y779" s="51" t="str">
        <f t="shared" si="7"/>
        <v/>
      </c>
      <c r="Z779" s="37"/>
    </row>
    <row r="780" spans="1:26" ht="14.25" customHeight="1" x14ac:dyDescent="0.3">
      <c r="A780" s="18">
        <v>194.3</v>
      </c>
      <c r="B780" s="19"/>
      <c r="C780" s="18" t="s">
        <v>55</v>
      </c>
      <c r="D780" s="19"/>
      <c r="E780" s="25"/>
      <c r="F780" s="19"/>
      <c r="G780" s="21">
        <v>0</v>
      </c>
      <c r="H780" s="21"/>
      <c r="I780" s="21"/>
      <c r="J780" s="21"/>
      <c r="K780" s="19"/>
      <c r="L780" s="19"/>
      <c r="M780" s="22">
        <v>1</v>
      </c>
      <c r="N780" s="19"/>
      <c r="O780" s="25"/>
      <c r="P780" s="23"/>
      <c r="Q780" s="21" t="s">
        <v>46</v>
      </c>
      <c r="R780" s="19" t="s">
        <v>47</v>
      </c>
      <c r="S780" s="21"/>
      <c r="T780" s="19"/>
      <c r="U780" s="21"/>
      <c r="V780" s="7"/>
      <c r="W780" s="7"/>
      <c r="X780" s="51" t="str">
        <f t="shared" si="6"/>
        <v/>
      </c>
      <c r="Y780" s="51" t="str">
        <f t="shared" si="7"/>
        <v/>
      </c>
      <c r="Z780" s="37"/>
    </row>
    <row r="781" spans="1:26" ht="14.25" customHeight="1" x14ac:dyDescent="0.3">
      <c r="A781" s="18">
        <v>194.4</v>
      </c>
      <c r="B781" s="19"/>
      <c r="C781" s="18" t="s">
        <v>55</v>
      </c>
      <c r="D781" s="19"/>
      <c r="E781" s="25"/>
      <c r="F781" s="19"/>
      <c r="G781" s="21">
        <v>0</v>
      </c>
      <c r="H781" s="21"/>
      <c r="I781" s="21"/>
      <c r="J781" s="21"/>
      <c r="K781" s="19"/>
      <c r="L781" s="19"/>
      <c r="M781" s="22">
        <v>1</v>
      </c>
      <c r="N781" s="19"/>
      <c r="O781" s="25"/>
      <c r="P781" s="23"/>
      <c r="Q781" s="21" t="s">
        <v>46</v>
      </c>
      <c r="R781" s="19" t="s">
        <v>47</v>
      </c>
      <c r="S781" s="21"/>
      <c r="T781" s="19"/>
      <c r="U781" s="21"/>
      <c r="V781" s="7"/>
      <c r="W781" s="7"/>
      <c r="X781" s="51" t="str">
        <f t="shared" si="6"/>
        <v/>
      </c>
      <c r="Y781" s="51" t="str">
        <f t="shared" si="7"/>
        <v/>
      </c>
      <c r="Z781" s="37"/>
    </row>
    <row r="782" spans="1:26" ht="14.25" customHeight="1" x14ac:dyDescent="0.3">
      <c r="A782" s="18">
        <v>195.1</v>
      </c>
      <c r="B782" s="19"/>
      <c r="C782" s="18" t="s">
        <v>55</v>
      </c>
      <c r="D782" s="19"/>
      <c r="E782" s="25"/>
      <c r="F782" s="19"/>
      <c r="G782" s="21">
        <v>0</v>
      </c>
      <c r="H782" s="21"/>
      <c r="I782" s="21"/>
      <c r="J782" s="21"/>
      <c r="K782" s="19"/>
      <c r="L782" s="19"/>
      <c r="M782" s="22">
        <v>1</v>
      </c>
      <c r="N782" s="19"/>
      <c r="O782" s="25"/>
      <c r="P782" s="23"/>
      <c r="Q782" s="21" t="s">
        <v>46</v>
      </c>
      <c r="R782" s="19" t="s">
        <v>47</v>
      </c>
      <c r="S782" s="21"/>
      <c r="T782" s="19"/>
      <c r="U782" s="21"/>
      <c r="V782" s="7"/>
      <c r="W782" s="7"/>
      <c r="X782" s="51" t="str">
        <f t="shared" si="6"/>
        <v/>
      </c>
      <c r="Y782" s="51" t="str">
        <f t="shared" si="7"/>
        <v/>
      </c>
      <c r="Z782" s="37"/>
    </row>
    <row r="783" spans="1:26" ht="14.25" customHeight="1" x14ac:dyDescent="0.3">
      <c r="A783" s="18">
        <v>195.2</v>
      </c>
      <c r="B783" s="19"/>
      <c r="C783" s="18" t="s">
        <v>55</v>
      </c>
      <c r="D783" s="19"/>
      <c r="E783" s="25"/>
      <c r="F783" s="19"/>
      <c r="G783" s="21">
        <v>0</v>
      </c>
      <c r="H783" s="21"/>
      <c r="I783" s="21"/>
      <c r="J783" s="21"/>
      <c r="K783" s="19"/>
      <c r="L783" s="19"/>
      <c r="M783" s="22">
        <v>1</v>
      </c>
      <c r="N783" s="19"/>
      <c r="O783" s="25"/>
      <c r="P783" s="23"/>
      <c r="Q783" s="21" t="s">
        <v>46</v>
      </c>
      <c r="R783" s="19" t="s">
        <v>47</v>
      </c>
      <c r="S783" s="21"/>
      <c r="T783" s="19"/>
      <c r="U783" s="21"/>
      <c r="V783" s="7"/>
      <c r="W783" s="7"/>
      <c r="X783" s="51" t="str">
        <f t="shared" si="6"/>
        <v/>
      </c>
      <c r="Y783" s="51" t="str">
        <f t="shared" si="7"/>
        <v/>
      </c>
      <c r="Z783" s="37"/>
    </row>
    <row r="784" spans="1:26" ht="14.25" customHeight="1" x14ac:dyDescent="0.3">
      <c r="A784" s="18">
        <v>195.3</v>
      </c>
      <c r="B784" s="19"/>
      <c r="C784" s="18" t="s">
        <v>55</v>
      </c>
      <c r="D784" s="19"/>
      <c r="E784" s="25"/>
      <c r="F784" s="19"/>
      <c r="G784" s="21">
        <v>0</v>
      </c>
      <c r="H784" s="21"/>
      <c r="I784" s="21"/>
      <c r="J784" s="21"/>
      <c r="K784" s="19"/>
      <c r="L784" s="19"/>
      <c r="M784" s="22">
        <v>1</v>
      </c>
      <c r="N784" s="19"/>
      <c r="O784" s="25"/>
      <c r="P784" s="23"/>
      <c r="Q784" s="21" t="s">
        <v>46</v>
      </c>
      <c r="R784" s="19" t="s">
        <v>47</v>
      </c>
      <c r="S784" s="21"/>
      <c r="T784" s="19"/>
      <c r="U784" s="21"/>
      <c r="V784" s="7"/>
      <c r="W784" s="7"/>
      <c r="X784" s="51" t="str">
        <f t="shared" si="6"/>
        <v/>
      </c>
      <c r="Y784" s="51" t="str">
        <f t="shared" si="7"/>
        <v/>
      </c>
      <c r="Z784" s="37"/>
    </row>
    <row r="785" spans="1:26" ht="14.25" customHeight="1" x14ac:dyDescent="0.3">
      <c r="A785" s="18">
        <v>195.4</v>
      </c>
      <c r="B785" s="19"/>
      <c r="C785" s="18" t="s">
        <v>55</v>
      </c>
      <c r="D785" s="19"/>
      <c r="E785" s="25"/>
      <c r="F785" s="19"/>
      <c r="G785" s="21">
        <v>0</v>
      </c>
      <c r="H785" s="21"/>
      <c r="I785" s="21"/>
      <c r="J785" s="21"/>
      <c r="K785" s="19"/>
      <c r="L785" s="19"/>
      <c r="M785" s="22">
        <v>1</v>
      </c>
      <c r="N785" s="19"/>
      <c r="O785" s="25"/>
      <c r="P785" s="23"/>
      <c r="Q785" s="21" t="s">
        <v>46</v>
      </c>
      <c r="R785" s="19" t="s">
        <v>47</v>
      </c>
      <c r="S785" s="21"/>
      <c r="T785" s="19"/>
      <c r="U785" s="21"/>
      <c r="V785" s="7"/>
      <c r="W785" s="7"/>
      <c r="X785" s="51" t="str">
        <f t="shared" si="6"/>
        <v/>
      </c>
      <c r="Y785" s="51" t="str">
        <f t="shared" si="7"/>
        <v/>
      </c>
      <c r="Z785" s="37"/>
    </row>
    <row r="786" spans="1:26" ht="14.25" customHeight="1" x14ac:dyDescent="0.3">
      <c r="A786" s="18">
        <v>196.1</v>
      </c>
      <c r="B786" s="19"/>
      <c r="C786" s="18" t="s">
        <v>55</v>
      </c>
      <c r="D786" s="19"/>
      <c r="E786" s="25"/>
      <c r="F786" s="19"/>
      <c r="G786" s="21">
        <v>0</v>
      </c>
      <c r="H786" s="21"/>
      <c r="I786" s="21"/>
      <c r="J786" s="21"/>
      <c r="K786" s="19"/>
      <c r="L786" s="19"/>
      <c r="M786" s="22">
        <v>1</v>
      </c>
      <c r="N786" s="19"/>
      <c r="O786" s="25"/>
      <c r="P786" s="23"/>
      <c r="Q786" s="21" t="s">
        <v>46</v>
      </c>
      <c r="R786" s="19" t="s">
        <v>47</v>
      </c>
      <c r="S786" s="21"/>
      <c r="T786" s="19"/>
      <c r="U786" s="21"/>
      <c r="V786" s="7"/>
      <c r="W786" s="7"/>
      <c r="X786" s="51" t="str">
        <f t="shared" si="6"/>
        <v/>
      </c>
      <c r="Y786" s="51" t="str">
        <f t="shared" si="7"/>
        <v/>
      </c>
      <c r="Z786" s="37"/>
    </row>
    <row r="787" spans="1:26" ht="14.25" customHeight="1" x14ac:dyDescent="0.3">
      <c r="A787" s="18">
        <v>196.2</v>
      </c>
      <c r="B787" s="19"/>
      <c r="C787" s="18" t="s">
        <v>55</v>
      </c>
      <c r="D787" s="19"/>
      <c r="E787" s="25"/>
      <c r="F787" s="19"/>
      <c r="G787" s="21">
        <v>0</v>
      </c>
      <c r="H787" s="21"/>
      <c r="I787" s="21"/>
      <c r="J787" s="21"/>
      <c r="K787" s="19"/>
      <c r="L787" s="19"/>
      <c r="M787" s="22">
        <v>1</v>
      </c>
      <c r="N787" s="19"/>
      <c r="O787" s="25"/>
      <c r="P787" s="23"/>
      <c r="Q787" s="21" t="s">
        <v>46</v>
      </c>
      <c r="R787" s="19" t="s">
        <v>47</v>
      </c>
      <c r="S787" s="21"/>
      <c r="T787" s="19"/>
      <c r="U787" s="21"/>
      <c r="V787" s="7"/>
      <c r="W787" s="7"/>
      <c r="X787" s="51" t="str">
        <f t="shared" si="6"/>
        <v/>
      </c>
      <c r="Y787" s="51" t="str">
        <f t="shared" si="7"/>
        <v/>
      </c>
      <c r="Z787" s="37"/>
    </row>
    <row r="788" spans="1:26" ht="14.25" customHeight="1" x14ac:dyDescent="0.3">
      <c r="A788" s="18">
        <v>196.3</v>
      </c>
      <c r="B788" s="19"/>
      <c r="C788" s="18" t="s">
        <v>55</v>
      </c>
      <c r="D788" s="19"/>
      <c r="E788" s="25"/>
      <c r="F788" s="19"/>
      <c r="G788" s="21">
        <v>0</v>
      </c>
      <c r="H788" s="21"/>
      <c r="I788" s="21"/>
      <c r="J788" s="21"/>
      <c r="K788" s="19"/>
      <c r="L788" s="19"/>
      <c r="M788" s="22">
        <v>1</v>
      </c>
      <c r="N788" s="19"/>
      <c r="O788" s="25"/>
      <c r="P788" s="23"/>
      <c r="Q788" s="21" t="s">
        <v>46</v>
      </c>
      <c r="R788" s="19" t="s">
        <v>47</v>
      </c>
      <c r="S788" s="21"/>
      <c r="T788" s="19"/>
      <c r="U788" s="21"/>
      <c r="V788" s="7"/>
      <c r="W788" s="7"/>
      <c r="X788" s="51" t="str">
        <f t="shared" si="6"/>
        <v/>
      </c>
      <c r="Y788" s="51" t="str">
        <f t="shared" si="7"/>
        <v/>
      </c>
      <c r="Z788" s="37"/>
    </row>
    <row r="789" spans="1:26" ht="14.25" customHeight="1" x14ac:dyDescent="0.3">
      <c r="A789" s="18">
        <v>196.4</v>
      </c>
      <c r="B789" s="19"/>
      <c r="C789" s="18" t="s">
        <v>55</v>
      </c>
      <c r="D789" s="19"/>
      <c r="E789" s="25"/>
      <c r="F789" s="19"/>
      <c r="G789" s="21">
        <v>0</v>
      </c>
      <c r="H789" s="21"/>
      <c r="I789" s="21"/>
      <c r="J789" s="21"/>
      <c r="K789" s="19"/>
      <c r="L789" s="19"/>
      <c r="M789" s="22">
        <v>1</v>
      </c>
      <c r="N789" s="19"/>
      <c r="O789" s="25"/>
      <c r="P789" s="23"/>
      <c r="Q789" s="21" t="s">
        <v>46</v>
      </c>
      <c r="R789" s="19" t="s">
        <v>47</v>
      </c>
      <c r="S789" s="21"/>
      <c r="T789" s="19"/>
      <c r="U789" s="21"/>
      <c r="V789" s="7"/>
      <c r="W789" s="7"/>
      <c r="X789" s="51" t="str">
        <f t="shared" si="6"/>
        <v/>
      </c>
      <c r="Y789" s="51" t="str">
        <f t="shared" si="7"/>
        <v/>
      </c>
      <c r="Z789" s="37"/>
    </row>
    <row r="790" spans="1:26" ht="14.25" customHeight="1" x14ac:dyDescent="0.3">
      <c r="A790" s="18">
        <v>197.1</v>
      </c>
      <c r="B790" s="19"/>
      <c r="C790" s="18" t="s">
        <v>55</v>
      </c>
      <c r="D790" s="19"/>
      <c r="E790" s="25"/>
      <c r="F790" s="19"/>
      <c r="G790" s="21">
        <v>0</v>
      </c>
      <c r="H790" s="21"/>
      <c r="I790" s="21"/>
      <c r="J790" s="21"/>
      <c r="K790" s="19"/>
      <c r="L790" s="19"/>
      <c r="M790" s="22">
        <v>1</v>
      </c>
      <c r="N790" s="19"/>
      <c r="O790" s="25"/>
      <c r="P790" s="23"/>
      <c r="Q790" s="21" t="s">
        <v>46</v>
      </c>
      <c r="R790" s="19" t="s">
        <v>47</v>
      </c>
      <c r="S790" s="21"/>
      <c r="T790" s="19"/>
      <c r="U790" s="21"/>
      <c r="V790" s="7"/>
      <c r="W790" s="7"/>
      <c r="X790" s="51" t="str">
        <f t="shared" si="6"/>
        <v/>
      </c>
      <c r="Y790" s="51" t="str">
        <f t="shared" si="7"/>
        <v/>
      </c>
      <c r="Z790" s="37"/>
    </row>
    <row r="791" spans="1:26" ht="14.25" customHeight="1" x14ac:dyDescent="0.3">
      <c r="A791" s="18">
        <v>197.2</v>
      </c>
      <c r="B791" s="19"/>
      <c r="C791" s="18" t="s">
        <v>55</v>
      </c>
      <c r="D791" s="19"/>
      <c r="E791" s="25"/>
      <c r="F791" s="19"/>
      <c r="G791" s="21">
        <v>0</v>
      </c>
      <c r="H791" s="21"/>
      <c r="I791" s="21"/>
      <c r="J791" s="21"/>
      <c r="K791" s="19"/>
      <c r="L791" s="19"/>
      <c r="M791" s="22">
        <v>1</v>
      </c>
      <c r="N791" s="19"/>
      <c r="O791" s="25"/>
      <c r="P791" s="23"/>
      <c r="Q791" s="21" t="s">
        <v>46</v>
      </c>
      <c r="R791" s="19" t="s">
        <v>47</v>
      </c>
      <c r="S791" s="21"/>
      <c r="T791" s="19"/>
      <c r="U791" s="21"/>
      <c r="V791" s="7"/>
      <c r="W791" s="7"/>
      <c r="X791" s="51" t="str">
        <f t="shared" si="6"/>
        <v/>
      </c>
      <c r="Y791" s="51" t="str">
        <f t="shared" si="7"/>
        <v/>
      </c>
      <c r="Z791" s="37"/>
    </row>
    <row r="792" spans="1:26" ht="14.25" customHeight="1" x14ac:dyDescent="0.3">
      <c r="A792" s="18">
        <v>197.3</v>
      </c>
      <c r="B792" s="19"/>
      <c r="C792" s="18" t="s">
        <v>55</v>
      </c>
      <c r="D792" s="19"/>
      <c r="E792" s="25"/>
      <c r="F792" s="19"/>
      <c r="G792" s="21">
        <v>0</v>
      </c>
      <c r="H792" s="21"/>
      <c r="I792" s="21"/>
      <c r="J792" s="21"/>
      <c r="K792" s="19"/>
      <c r="L792" s="19"/>
      <c r="M792" s="22">
        <v>1</v>
      </c>
      <c r="N792" s="19"/>
      <c r="O792" s="25"/>
      <c r="P792" s="23"/>
      <c r="Q792" s="21" t="s">
        <v>46</v>
      </c>
      <c r="R792" s="19" t="s">
        <v>47</v>
      </c>
      <c r="S792" s="21"/>
      <c r="T792" s="19"/>
      <c r="U792" s="21"/>
      <c r="V792" s="7"/>
      <c r="W792" s="7"/>
      <c r="X792" s="51" t="str">
        <f t="shared" si="6"/>
        <v/>
      </c>
      <c r="Y792" s="51" t="str">
        <f t="shared" si="7"/>
        <v/>
      </c>
      <c r="Z792" s="37"/>
    </row>
    <row r="793" spans="1:26" ht="14.25" customHeight="1" x14ac:dyDescent="0.3">
      <c r="A793" s="18">
        <v>197.4</v>
      </c>
      <c r="B793" s="19"/>
      <c r="C793" s="18" t="s">
        <v>55</v>
      </c>
      <c r="D793" s="19"/>
      <c r="E793" s="25"/>
      <c r="F793" s="19"/>
      <c r="G793" s="21">
        <v>0</v>
      </c>
      <c r="H793" s="21"/>
      <c r="I793" s="21"/>
      <c r="J793" s="21"/>
      <c r="K793" s="19"/>
      <c r="L793" s="19"/>
      <c r="M793" s="22">
        <v>1</v>
      </c>
      <c r="N793" s="19"/>
      <c r="O793" s="25"/>
      <c r="P793" s="23"/>
      <c r="Q793" s="21" t="s">
        <v>46</v>
      </c>
      <c r="R793" s="19" t="s">
        <v>47</v>
      </c>
      <c r="S793" s="21"/>
      <c r="T793" s="19"/>
      <c r="U793" s="21"/>
      <c r="V793" s="7"/>
      <c r="W793" s="7"/>
      <c r="X793" s="51" t="str">
        <f t="shared" si="6"/>
        <v/>
      </c>
      <c r="Y793" s="51" t="str">
        <f t="shared" si="7"/>
        <v/>
      </c>
      <c r="Z793" s="37"/>
    </row>
    <row r="794" spans="1:26" ht="14.25" customHeight="1" x14ac:dyDescent="0.3">
      <c r="A794" s="18">
        <v>198.1</v>
      </c>
      <c r="B794" s="19"/>
      <c r="C794" s="18" t="s">
        <v>55</v>
      </c>
      <c r="D794" s="19"/>
      <c r="E794" s="25"/>
      <c r="F794" s="19"/>
      <c r="G794" s="21">
        <v>0</v>
      </c>
      <c r="H794" s="21"/>
      <c r="I794" s="21"/>
      <c r="J794" s="21"/>
      <c r="K794" s="19"/>
      <c r="L794" s="19"/>
      <c r="M794" s="22">
        <v>1</v>
      </c>
      <c r="N794" s="19"/>
      <c r="O794" s="25"/>
      <c r="P794" s="23"/>
      <c r="Q794" s="21" t="s">
        <v>46</v>
      </c>
      <c r="R794" s="19" t="s">
        <v>47</v>
      </c>
      <c r="S794" s="21"/>
      <c r="T794" s="19"/>
      <c r="U794" s="21"/>
      <c r="V794" s="7"/>
      <c r="W794" s="7"/>
      <c r="X794" s="51" t="str">
        <f t="shared" si="6"/>
        <v/>
      </c>
      <c r="Y794" s="51" t="str">
        <f t="shared" si="7"/>
        <v/>
      </c>
      <c r="Z794" s="37"/>
    </row>
    <row r="795" spans="1:26" ht="14.25" customHeight="1" x14ac:dyDescent="0.3">
      <c r="A795" s="18">
        <v>198.2</v>
      </c>
      <c r="B795" s="19"/>
      <c r="C795" s="18" t="s">
        <v>55</v>
      </c>
      <c r="D795" s="19"/>
      <c r="E795" s="25"/>
      <c r="F795" s="19"/>
      <c r="G795" s="21">
        <v>0</v>
      </c>
      <c r="H795" s="21"/>
      <c r="I795" s="21"/>
      <c r="J795" s="21"/>
      <c r="K795" s="19"/>
      <c r="L795" s="19"/>
      <c r="M795" s="22">
        <v>1</v>
      </c>
      <c r="N795" s="19"/>
      <c r="O795" s="25"/>
      <c r="P795" s="23"/>
      <c r="Q795" s="21" t="s">
        <v>46</v>
      </c>
      <c r="R795" s="19" t="s">
        <v>47</v>
      </c>
      <c r="S795" s="21"/>
      <c r="T795" s="19"/>
      <c r="U795" s="21"/>
      <c r="V795" s="7"/>
      <c r="W795" s="7"/>
      <c r="X795" s="51" t="str">
        <f t="shared" si="6"/>
        <v/>
      </c>
      <c r="Y795" s="51" t="str">
        <f t="shared" si="7"/>
        <v/>
      </c>
      <c r="Z795" s="37"/>
    </row>
    <row r="796" spans="1:26" ht="14.25" customHeight="1" x14ac:dyDescent="0.3">
      <c r="A796" s="18">
        <v>198.3</v>
      </c>
      <c r="B796" s="19"/>
      <c r="C796" s="18" t="s">
        <v>55</v>
      </c>
      <c r="D796" s="19"/>
      <c r="E796" s="25"/>
      <c r="F796" s="19"/>
      <c r="G796" s="21">
        <v>0</v>
      </c>
      <c r="H796" s="21"/>
      <c r="I796" s="21"/>
      <c r="J796" s="21"/>
      <c r="K796" s="19"/>
      <c r="L796" s="19"/>
      <c r="M796" s="22">
        <v>1</v>
      </c>
      <c r="N796" s="19"/>
      <c r="O796" s="25"/>
      <c r="P796" s="23"/>
      <c r="Q796" s="21" t="s">
        <v>46</v>
      </c>
      <c r="R796" s="19" t="s">
        <v>47</v>
      </c>
      <c r="S796" s="21"/>
      <c r="T796" s="19"/>
      <c r="U796" s="21"/>
      <c r="V796" s="7"/>
      <c r="W796" s="7"/>
      <c r="X796" s="51" t="str">
        <f t="shared" si="6"/>
        <v/>
      </c>
      <c r="Y796" s="51" t="str">
        <f t="shared" si="7"/>
        <v/>
      </c>
      <c r="Z796" s="37"/>
    </row>
    <row r="797" spans="1:26" ht="14.25" customHeight="1" x14ac:dyDescent="0.3">
      <c r="A797" s="18">
        <v>198.4</v>
      </c>
      <c r="B797" s="19"/>
      <c r="C797" s="18" t="s">
        <v>55</v>
      </c>
      <c r="D797" s="19"/>
      <c r="E797" s="25"/>
      <c r="F797" s="19"/>
      <c r="G797" s="21">
        <v>0</v>
      </c>
      <c r="H797" s="21"/>
      <c r="I797" s="21"/>
      <c r="J797" s="21"/>
      <c r="K797" s="19"/>
      <c r="L797" s="19"/>
      <c r="M797" s="22">
        <v>1</v>
      </c>
      <c r="N797" s="19"/>
      <c r="O797" s="25"/>
      <c r="P797" s="23"/>
      <c r="Q797" s="21" t="s">
        <v>46</v>
      </c>
      <c r="R797" s="19" t="s">
        <v>47</v>
      </c>
      <c r="S797" s="21"/>
      <c r="T797" s="19"/>
      <c r="U797" s="21"/>
      <c r="V797" s="7"/>
      <c r="W797" s="7"/>
      <c r="X797" s="51" t="str">
        <f t="shared" si="6"/>
        <v/>
      </c>
      <c r="Y797" s="51" t="str">
        <f t="shared" si="7"/>
        <v/>
      </c>
      <c r="Z797" s="37"/>
    </row>
    <row r="798" spans="1:26" ht="14.25" customHeight="1" x14ac:dyDescent="0.3">
      <c r="A798" s="18">
        <v>199.1</v>
      </c>
      <c r="B798" s="19"/>
      <c r="C798" s="18" t="s">
        <v>55</v>
      </c>
      <c r="D798" s="19"/>
      <c r="E798" s="25"/>
      <c r="F798" s="19"/>
      <c r="G798" s="21">
        <v>0</v>
      </c>
      <c r="H798" s="21"/>
      <c r="I798" s="21"/>
      <c r="J798" s="21"/>
      <c r="K798" s="19"/>
      <c r="L798" s="19"/>
      <c r="M798" s="22">
        <v>1</v>
      </c>
      <c r="N798" s="19"/>
      <c r="O798" s="25"/>
      <c r="P798" s="23"/>
      <c r="Q798" s="21" t="s">
        <v>46</v>
      </c>
      <c r="R798" s="19" t="s">
        <v>47</v>
      </c>
      <c r="S798" s="21"/>
      <c r="T798" s="19"/>
      <c r="U798" s="21"/>
      <c r="V798" s="7"/>
      <c r="W798" s="7"/>
      <c r="X798" s="51" t="str">
        <f t="shared" si="6"/>
        <v/>
      </c>
      <c r="Y798" s="51" t="str">
        <f t="shared" si="7"/>
        <v/>
      </c>
      <c r="Z798" s="37"/>
    </row>
    <row r="799" spans="1:26" ht="14.25" customHeight="1" x14ac:dyDescent="0.3">
      <c r="A799" s="18">
        <v>199.2</v>
      </c>
      <c r="B799" s="19"/>
      <c r="C799" s="18" t="s">
        <v>55</v>
      </c>
      <c r="D799" s="19"/>
      <c r="E799" s="25"/>
      <c r="F799" s="19"/>
      <c r="G799" s="21">
        <v>0</v>
      </c>
      <c r="H799" s="21"/>
      <c r="I799" s="21"/>
      <c r="J799" s="21"/>
      <c r="K799" s="19"/>
      <c r="L799" s="19"/>
      <c r="M799" s="22">
        <v>1</v>
      </c>
      <c r="N799" s="19"/>
      <c r="O799" s="25"/>
      <c r="P799" s="23"/>
      <c r="Q799" s="21" t="s">
        <v>46</v>
      </c>
      <c r="R799" s="19" t="s">
        <v>47</v>
      </c>
      <c r="S799" s="21"/>
      <c r="T799" s="19"/>
      <c r="U799" s="21"/>
      <c r="V799" s="7"/>
      <c r="W799" s="7"/>
      <c r="X799" s="51" t="str">
        <f t="shared" si="6"/>
        <v/>
      </c>
      <c r="Y799" s="51" t="str">
        <f t="shared" si="7"/>
        <v/>
      </c>
      <c r="Z799" s="37"/>
    </row>
    <row r="800" spans="1:26" ht="14.25" customHeight="1" x14ac:dyDescent="0.3">
      <c r="A800" s="18">
        <v>199.3</v>
      </c>
      <c r="B800" s="19"/>
      <c r="C800" s="18" t="s">
        <v>55</v>
      </c>
      <c r="D800" s="19"/>
      <c r="E800" s="25"/>
      <c r="F800" s="19"/>
      <c r="G800" s="21">
        <v>0</v>
      </c>
      <c r="H800" s="21"/>
      <c r="I800" s="21"/>
      <c r="J800" s="21"/>
      <c r="K800" s="19"/>
      <c r="L800" s="19"/>
      <c r="M800" s="22">
        <v>1</v>
      </c>
      <c r="N800" s="19"/>
      <c r="O800" s="25"/>
      <c r="P800" s="23"/>
      <c r="Q800" s="21" t="s">
        <v>46</v>
      </c>
      <c r="R800" s="19" t="s">
        <v>47</v>
      </c>
      <c r="S800" s="21"/>
      <c r="T800" s="19"/>
      <c r="U800" s="21"/>
      <c r="V800" s="7"/>
      <c r="W800" s="7"/>
      <c r="X800" s="51" t="str">
        <f t="shared" si="6"/>
        <v/>
      </c>
      <c r="Y800" s="51" t="str">
        <f t="shared" si="7"/>
        <v/>
      </c>
      <c r="Z800" s="37"/>
    </row>
    <row r="801" spans="1:26" ht="14.25" customHeight="1" x14ac:dyDescent="0.3">
      <c r="A801" s="18">
        <v>199.4</v>
      </c>
      <c r="B801" s="19"/>
      <c r="C801" s="18" t="s">
        <v>55</v>
      </c>
      <c r="D801" s="19"/>
      <c r="E801" s="25"/>
      <c r="F801" s="19"/>
      <c r="G801" s="21">
        <v>0</v>
      </c>
      <c r="H801" s="21"/>
      <c r="I801" s="21"/>
      <c r="J801" s="21"/>
      <c r="K801" s="19"/>
      <c r="L801" s="19"/>
      <c r="M801" s="22">
        <v>1</v>
      </c>
      <c r="N801" s="19"/>
      <c r="O801" s="25"/>
      <c r="P801" s="23"/>
      <c r="Q801" s="21" t="s">
        <v>46</v>
      </c>
      <c r="R801" s="19" t="s">
        <v>47</v>
      </c>
      <c r="S801" s="21"/>
      <c r="T801" s="19"/>
      <c r="U801" s="21"/>
      <c r="V801" s="7"/>
      <c r="W801" s="7"/>
      <c r="X801" s="51" t="str">
        <f t="shared" si="6"/>
        <v/>
      </c>
      <c r="Y801" s="51" t="str">
        <f t="shared" si="7"/>
        <v/>
      </c>
      <c r="Z801" s="37"/>
    </row>
    <row r="802" spans="1:26" ht="14.25" customHeight="1" x14ac:dyDescent="0.3">
      <c r="A802" s="18">
        <v>200.1</v>
      </c>
      <c r="B802" s="19"/>
      <c r="C802" s="18" t="s">
        <v>55</v>
      </c>
      <c r="D802" s="19"/>
      <c r="E802" s="25"/>
      <c r="F802" s="19"/>
      <c r="G802" s="21">
        <v>0</v>
      </c>
      <c r="H802" s="21"/>
      <c r="I802" s="21"/>
      <c r="J802" s="21"/>
      <c r="K802" s="19"/>
      <c r="L802" s="19"/>
      <c r="M802" s="22">
        <v>1</v>
      </c>
      <c r="N802" s="19"/>
      <c r="O802" s="25"/>
      <c r="P802" s="23"/>
      <c r="Q802" s="21" t="s">
        <v>46</v>
      </c>
      <c r="R802" s="19" t="s">
        <v>47</v>
      </c>
      <c r="S802" s="21"/>
      <c r="T802" s="19"/>
      <c r="U802" s="21"/>
      <c r="V802" s="7"/>
      <c r="W802" s="7"/>
      <c r="X802" s="51" t="str">
        <f t="shared" si="6"/>
        <v/>
      </c>
      <c r="Y802" s="51" t="str">
        <f t="shared" si="7"/>
        <v/>
      </c>
      <c r="Z802" s="37"/>
    </row>
    <row r="803" spans="1:26" ht="14.25" customHeight="1" x14ac:dyDescent="0.3">
      <c r="A803" s="18">
        <v>200.2</v>
      </c>
      <c r="B803" s="19"/>
      <c r="C803" s="18" t="s">
        <v>55</v>
      </c>
      <c r="D803" s="19"/>
      <c r="E803" s="25"/>
      <c r="F803" s="19"/>
      <c r="G803" s="21">
        <v>0</v>
      </c>
      <c r="H803" s="21"/>
      <c r="I803" s="21"/>
      <c r="J803" s="21"/>
      <c r="K803" s="19"/>
      <c r="L803" s="19"/>
      <c r="M803" s="22">
        <v>1</v>
      </c>
      <c r="N803" s="19"/>
      <c r="O803" s="25"/>
      <c r="P803" s="23"/>
      <c r="Q803" s="21" t="s">
        <v>46</v>
      </c>
      <c r="R803" s="19" t="s">
        <v>47</v>
      </c>
      <c r="S803" s="21"/>
      <c r="T803" s="19"/>
      <c r="U803" s="21"/>
      <c r="V803" s="7"/>
      <c r="W803" s="7"/>
      <c r="X803" s="51" t="str">
        <f t="shared" si="6"/>
        <v/>
      </c>
      <c r="Y803" s="51" t="str">
        <f t="shared" si="7"/>
        <v/>
      </c>
      <c r="Z803" s="37"/>
    </row>
    <row r="804" spans="1:26" ht="14.25" customHeight="1" x14ac:dyDescent="0.3">
      <c r="A804" s="18">
        <v>200.3</v>
      </c>
      <c r="B804" s="19"/>
      <c r="C804" s="18" t="s">
        <v>55</v>
      </c>
      <c r="D804" s="19"/>
      <c r="E804" s="25"/>
      <c r="F804" s="19"/>
      <c r="G804" s="21">
        <v>0</v>
      </c>
      <c r="H804" s="21"/>
      <c r="I804" s="21"/>
      <c r="J804" s="21"/>
      <c r="K804" s="19"/>
      <c r="L804" s="19"/>
      <c r="M804" s="22">
        <v>1</v>
      </c>
      <c r="N804" s="19"/>
      <c r="O804" s="25"/>
      <c r="P804" s="23"/>
      <c r="Q804" s="21" t="s">
        <v>46</v>
      </c>
      <c r="R804" s="19" t="s">
        <v>47</v>
      </c>
      <c r="S804" s="21"/>
      <c r="T804" s="19"/>
      <c r="U804" s="21"/>
      <c r="V804" s="7"/>
      <c r="W804" s="7"/>
      <c r="X804" s="51" t="str">
        <f t="shared" si="6"/>
        <v/>
      </c>
      <c r="Y804" s="51" t="str">
        <f t="shared" si="7"/>
        <v/>
      </c>
      <c r="Z804" s="37"/>
    </row>
    <row r="805" spans="1:26" ht="14.25" customHeight="1" x14ac:dyDescent="0.3">
      <c r="A805" s="18">
        <v>200.4</v>
      </c>
      <c r="B805" s="19"/>
      <c r="C805" s="18" t="s">
        <v>55</v>
      </c>
      <c r="D805" s="19"/>
      <c r="E805" s="25"/>
      <c r="F805" s="19"/>
      <c r="G805" s="21">
        <v>0</v>
      </c>
      <c r="H805" s="21"/>
      <c r="I805" s="21"/>
      <c r="J805" s="21"/>
      <c r="K805" s="19"/>
      <c r="L805" s="19"/>
      <c r="M805" s="22">
        <v>1</v>
      </c>
      <c r="N805" s="19"/>
      <c r="O805" s="25"/>
      <c r="P805" s="23"/>
      <c r="Q805" s="21" t="s">
        <v>46</v>
      </c>
      <c r="R805" s="19" t="s">
        <v>47</v>
      </c>
      <c r="S805" s="21"/>
      <c r="T805" s="19"/>
      <c r="U805" s="21"/>
      <c r="V805" s="7"/>
      <c r="W805" s="7"/>
      <c r="X805" s="51" t="str">
        <f t="shared" si="6"/>
        <v/>
      </c>
      <c r="Y805" s="51" t="str">
        <f t="shared" si="7"/>
        <v/>
      </c>
      <c r="Z805" s="37"/>
    </row>
    <row r="806" spans="1:26" ht="14.25" customHeight="1" x14ac:dyDescent="0.3">
      <c r="A806" s="18">
        <v>201.1</v>
      </c>
      <c r="B806" s="19"/>
      <c r="C806" s="18" t="s">
        <v>55</v>
      </c>
      <c r="D806" s="19"/>
      <c r="E806" s="25"/>
      <c r="F806" s="19"/>
      <c r="G806" s="21">
        <v>0</v>
      </c>
      <c r="H806" s="21"/>
      <c r="I806" s="21"/>
      <c r="J806" s="21"/>
      <c r="K806" s="19"/>
      <c r="L806" s="19"/>
      <c r="M806" s="22">
        <v>1</v>
      </c>
      <c r="N806" s="19"/>
      <c r="O806" s="25"/>
      <c r="P806" s="23"/>
      <c r="Q806" s="21" t="s">
        <v>46</v>
      </c>
      <c r="R806" s="19" t="s">
        <v>47</v>
      </c>
      <c r="S806" s="21"/>
      <c r="T806" s="19"/>
      <c r="U806" s="21"/>
      <c r="V806" s="7"/>
      <c r="W806" s="7"/>
      <c r="X806" s="51" t="str">
        <f t="shared" si="6"/>
        <v/>
      </c>
      <c r="Y806" s="51" t="str">
        <f t="shared" si="7"/>
        <v/>
      </c>
      <c r="Z806" s="37"/>
    </row>
    <row r="807" spans="1:26" ht="14.25" customHeight="1" x14ac:dyDescent="0.3">
      <c r="A807" s="18">
        <v>201.2</v>
      </c>
      <c r="B807" s="19"/>
      <c r="C807" s="18" t="s">
        <v>55</v>
      </c>
      <c r="D807" s="19"/>
      <c r="E807" s="25"/>
      <c r="F807" s="19"/>
      <c r="G807" s="21">
        <v>0</v>
      </c>
      <c r="H807" s="21"/>
      <c r="I807" s="21"/>
      <c r="J807" s="21"/>
      <c r="K807" s="19"/>
      <c r="L807" s="19"/>
      <c r="M807" s="22">
        <v>1</v>
      </c>
      <c r="N807" s="19"/>
      <c r="O807" s="25"/>
      <c r="P807" s="23"/>
      <c r="Q807" s="21" t="s">
        <v>46</v>
      </c>
      <c r="R807" s="19" t="s">
        <v>47</v>
      </c>
      <c r="S807" s="21"/>
      <c r="T807" s="19"/>
      <c r="U807" s="21"/>
      <c r="V807" s="7"/>
      <c r="W807" s="7"/>
      <c r="X807" s="51" t="str">
        <f t="shared" si="6"/>
        <v/>
      </c>
      <c r="Y807" s="51" t="str">
        <f t="shared" si="7"/>
        <v/>
      </c>
      <c r="Z807" s="37"/>
    </row>
    <row r="808" spans="1:26" ht="14.25" customHeight="1" x14ac:dyDescent="0.3">
      <c r="A808" s="18">
        <v>201.3</v>
      </c>
      <c r="B808" s="19"/>
      <c r="C808" s="18" t="s">
        <v>55</v>
      </c>
      <c r="D808" s="19"/>
      <c r="E808" s="25"/>
      <c r="F808" s="19"/>
      <c r="G808" s="21">
        <v>0</v>
      </c>
      <c r="H808" s="21"/>
      <c r="I808" s="21"/>
      <c r="J808" s="21"/>
      <c r="K808" s="19"/>
      <c r="L808" s="19"/>
      <c r="M808" s="22">
        <v>1</v>
      </c>
      <c r="N808" s="19"/>
      <c r="O808" s="25"/>
      <c r="P808" s="23"/>
      <c r="Q808" s="21" t="s">
        <v>46</v>
      </c>
      <c r="R808" s="19" t="s">
        <v>47</v>
      </c>
      <c r="S808" s="21"/>
      <c r="T808" s="19"/>
      <c r="U808" s="21"/>
      <c r="V808" s="7"/>
      <c r="W808" s="7"/>
      <c r="X808" s="51" t="str">
        <f t="shared" si="6"/>
        <v/>
      </c>
      <c r="Y808" s="51" t="str">
        <f t="shared" si="7"/>
        <v/>
      </c>
      <c r="Z808" s="37"/>
    </row>
    <row r="809" spans="1:26" ht="14.25" customHeight="1" x14ac:dyDescent="0.3">
      <c r="A809" s="18">
        <v>201.4</v>
      </c>
      <c r="B809" s="19"/>
      <c r="C809" s="18" t="s">
        <v>55</v>
      </c>
      <c r="D809" s="19"/>
      <c r="E809" s="25"/>
      <c r="F809" s="19"/>
      <c r="G809" s="21">
        <v>0</v>
      </c>
      <c r="H809" s="21"/>
      <c r="I809" s="21"/>
      <c r="J809" s="21"/>
      <c r="K809" s="19"/>
      <c r="L809" s="19"/>
      <c r="M809" s="22">
        <v>1</v>
      </c>
      <c r="N809" s="19"/>
      <c r="O809" s="25"/>
      <c r="P809" s="23"/>
      <c r="Q809" s="21" t="s">
        <v>46</v>
      </c>
      <c r="R809" s="19" t="s">
        <v>47</v>
      </c>
      <c r="S809" s="21"/>
      <c r="T809" s="19"/>
      <c r="U809" s="21"/>
      <c r="V809" s="7"/>
      <c r="W809" s="7"/>
      <c r="X809" s="51" t="str">
        <f t="shared" si="6"/>
        <v/>
      </c>
      <c r="Y809" s="51" t="str">
        <f t="shared" si="7"/>
        <v/>
      </c>
      <c r="Z809" s="37"/>
    </row>
    <row r="810" spans="1:26" ht="14.25" customHeight="1" x14ac:dyDescent="0.3">
      <c r="A810" s="18">
        <v>202.1</v>
      </c>
      <c r="B810" s="19"/>
      <c r="C810" s="18" t="s">
        <v>55</v>
      </c>
      <c r="D810" s="19"/>
      <c r="E810" s="25"/>
      <c r="F810" s="19"/>
      <c r="G810" s="21">
        <v>0</v>
      </c>
      <c r="H810" s="21"/>
      <c r="I810" s="21"/>
      <c r="J810" s="21"/>
      <c r="K810" s="19"/>
      <c r="L810" s="19"/>
      <c r="M810" s="22">
        <v>1</v>
      </c>
      <c r="N810" s="19"/>
      <c r="O810" s="25"/>
      <c r="P810" s="23"/>
      <c r="Q810" s="21" t="s">
        <v>46</v>
      </c>
      <c r="R810" s="19" t="s">
        <v>47</v>
      </c>
      <c r="S810" s="21"/>
      <c r="T810" s="19"/>
      <c r="U810" s="21"/>
      <c r="V810" s="7"/>
      <c r="W810" s="7"/>
      <c r="X810" s="51" t="str">
        <f t="shared" si="6"/>
        <v/>
      </c>
      <c r="Y810" s="51" t="str">
        <f t="shared" si="7"/>
        <v/>
      </c>
      <c r="Z810" s="37"/>
    </row>
    <row r="811" spans="1:26" ht="14.25" customHeight="1" x14ac:dyDescent="0.3">
      <c r="A811" s="18">
        <v>202.2</v>
      </c>
      <c r="B811" s="19"/>
      <c r="C811" s="18" t="s">
        <v>55</v>
      </c>
      <c r="D811" s="19"/>
      <c r="E811" s="25"/>
      <c r="F811" s="19"/>
      <c r="G811" s="21">
        <v>0</v>
      </c>
      <c r="H811" s="21"/>
      <c r="I811" s="21"/>
      <c r="J811" s="21"/>
      <c r="K811" s="19"/>
      <c r="L811" s="19"/>
      <c r="M811" s="22">
        <v>1</v>
      </c>
      <c r="N811" s="19"/>
      <c r="O811" s="25"/>
      <c r="P811" s="23"/>
      <c r="Q811" s="21" t="s">
        <v>46</v>
      </c>
      <c r="R811" s="19" t="s">
        <v>47</v>
      </c>
      <c r="S811" s="21"/>
      <c r="T811" s="19"/>
      <c r="U811" s="21"/>
      <c r="V811" s="7"/>
      <c r="W811" s="7"/>
      <c r="X811" s="51" t="str">
        <f t="shared" si="6"/>
        <v/>
      </c>
      <c r="Y811" s="51" t="str">
        <f t="shared" si="7"/>
        <v/>
      </c>
      <c r="Z811" s="37"/>
    </row>
    <row r="812" spans="1:26" ht="14.25" customHeight="1" x14ac:dyDescent="0.3">
      <c r="A812" s="18">
        <v>202.3</v>
      </c>
      <c r="B812" s="19"/>
      <c r="C812" s="18" t="s">
        <v>55</v>
      </c>
      <c r="D812" s="19"/>
      <c r="E812" s="25"/>
      <c r="F812" s="19"/>
      <c r="G812" s="21">
        <v>0</v>
      </c>
      <c r="H812" s="21"/>
      <c r="I812" s="21"/>
      <c r="J812" s="21"/>
      <c r="K812" s="19"/>
      <c r="L812" s="19"/>
      <c r="M812" s="22">
        <v>1</v>
      </c>
      <c r="N812" s="19"/>
      <c r="O812" s="25"/>
      <c r="P812" s="23"/>
      <c r="Q812" s="21" t="s">
        <v>46</v>
      </c>
      <c r="R812" s="19" t="s">
        <v>47</v>
      </c>
      <c r="S812" s="21"/>
      <c r="T812" s="19"/>
      <c r="U812" s="21"/>
      <c r="V812" s="7"/>
      <c r="W812" s="7"/>
      <c r="X812" s="51" t="str">
        <f t="shared" si="6"/>
        <v/>
      </c>
      <c r="Y812" s="51" t="str">
        <f t="shared" si="7"/>
        <v/>
      </c>
      <c r="Z812" s="37"/>
    </row>
    <row r="813" spans="1:26" ht="14.25" customHeight="1" x14ac:dyDescent="0.3">
      <c r="A813" s="18">
        <v>202.4</v>
      </c>
      <c r="B813" s="19"/>
      <c r="C813" s="18" t="s">
        <v>55</v>
      </c>
      <c r="D813" s="19"/>
      <c r="E813" s="25"/>
      <c r="F813" s="19"/>
      <c r="G813" s="21">
        <v>0</v>
      </c>
      <c r="H813" s="21"/>
      <c r="I813" s="21"/>
      <c r="J813" s="21"/>
      <c r="K813" s="19"/>
      <c r="L813" s="19"/>
      <c r="M813" s="22">
        <v>1</v>
      </c>
      <c r="N813" s="19"/>
      <c r="O813" s="25"/>
      <c r="P813" s="23"/>
      <c r="Q813" s="21" t="s">
        <v>46</v>
      </c>
      <c r="R813" s="19" t="s">
        <v>47</v>
      </c>
      <c r="S813" s="21"/>
      <c r="T813" s="19"/>
      <c r="U813" s="21"/>
      <c r="V813" s="7"/>
      <c r="W813" s="7"/>
      <c r="X813" s="51" t="str">
        <f t="shared" si="6"/>
        <v/>
      </c>
      <c r="Y813" s="51" t="str">
        <f t="shared" si="7"/>
        <v/>
      </c>
      <c r="Z813" s="37"/>
    </row>
    <row r="814" spans="1:26" ht="14.25" customHeight="1" x14ac:dyDescent="0.3">
      <c r="A814" s="18">
        <v>203.1</v>
      </c>
      <c r="B814" s="19"/>
      <c r="C814" s="18" t="s">
        <v>55</v>
      </c>
      <c r="D814" s="19"/>
      <c r="E814" s="25"/>
      <c r="F814" s="19"/>
      <c r="G814" s="21">
        <v>0</v>
      </c>
      <c r="H814" s="21"/>
      <c r="I814" s="21"/>
      <c r="J814" s="21"/>
      <c r="K814" s="19"/>
      <c r="L814" s="19"/>
      <c r="M814" s="22">
        <v>1</v>
      </c>
      <c r="N814" s="19"/>
      <c r="O814" s="25"/>
      <c r="P814" s="23"/>
      <c r="Q814" s="21" t="s">
        <v>46</v>
      </c>
      <c r="R814" s="19" t="s">
        <v>47</v>
      </c>
      <c r="S814" s="21"/>
      <c r="T814" s="19"/>
      <c r="U814" s="21"/>
      <c r="V814" s="7"/>
      <c r="W814" s="7"/>
      <c r="X814" s="51" t="str">
        <f t="shared" si="6"/>
        <v/>
      </c>
      <c r="Y814" s="51" t="str">
        <f t="shared" si="7"/>
        <v/>
      </c>
      <c r="Z814" s="37"/>
    </row>
    <row r="815" spans="1:26" ht="14.25" customHeight="1" x14ac:dyDescent="0.3">
      <c r="A815" s="18">
        <v>203.2</v>
      </c>
      <c r="B815" s="19"/>
      <c r="C815" s="18" t="s">
        <v>55</v>
      </c>
      <c r="D815" s="19"/>
      <c r="E815" s="25"/>
      <c r="F815" s="19"/>
      <c r="G815" s="21">
        <v>0</v>
      </c>
      <c r="H815" s="21"/>
      <c r="I815" s="21"/>
      <c r="J815" s="21"/>
      <c r="K815" s="19"/>
      <c r="L815" s="19"/>
      <c r="M815" s="22">
        <v>1</v>
      </c>
      <c r="N815" s="19"/>
      <c r="O815" s="25"/>
      <c r="P815" s="23"/>
      <c r="Q815" s="21" t="s">
        <v>46</v>
      </c>
      <c r="R815" s="19" t="s">
        <v>47</v>
      </c>
      <c r="S815" s="21"/>
      <c r="T815" s="19"/>
      <c r="U815" s="21"/>
      <c r="V815" s="7"/>
      <c r="W815" s="7"/>
      <c r="X815" s="51" t="str">
        <f t="shared" si="6"/>
        <v/>
      </c>
      <c r="Y815" s="51" t="str">
        <f t="shared" si="7"/>
        <v/>
      </c>
      <c r="Z815" s="37"/>
    </row>
    <row r="816" spans="1:26" ht="14.25" customHeight="1" x14ac:dyDescent="0.3">
      <c r="A816" s="18">
        <v>203.3</v>
      </c>
      <c r="B816" s="19"/>
      <c r="C816" s="18" t="s">
        <v>55</v>
      </c>
      <c r="D816" s="19"/>
      <c r="E816" s="25"/>
      <c r="F816" s="19"/>
      <c r="G816" s="21">
        <v>0</v>
      </c>
      <c r="H816" s="21"/>
      <c r="I816" s="21"/>
      <c r="J816" s="21"/>
      <c r="K816" s="19"/>
      <c r="L816" s="19"/>
      <c r="M816" s="22">
        <v>1</v>
      </c>
      <c r="N816" s="19"/>
      <c r="O816" s="25"/>
      <c r="P816" s="23"/>
      <c r="Q816" s="21" t="s">
        <v>46</v>
      </c>
      <c r="R816" s="19" t="s">
        <v>47</v>
      </c>
      <c r="S816" s="21"/>
      <c r="T816" s="19"/>
      <c r="U816" s="21"/>
      <c r="V816" s="7"/>
      <c r="W816" s="7"/>
      <c r="X816" s="51" t="str">
        <f t="shared" si="6"/>
        <v/>
      </c>
      <c r="Y816" s="51" t="str">
        <f t="shared" si="7"/>
        <v/>
      </c>
      <c r="Z816" s="37"/>
    </row>
    <row r="817" spans="1:26" ht="14.25" customHeight="1" x14ac:dyDescent="0.3">
      <c r="A817" s="18">
        <v>203.4</v>
      </c>
      <c r="B817" s="19"/>
      <c r="C817" s="18" t="s">
        <v>55</v>
      </c>
      <c r="D817" s="19"/>
      <c r="E817" s="25"/>
      <c r="F817" s="19"/>
      <c r="G817" s="21">
        <v>0</v>
      </c>
      <c r="H817" s="21"/>
      <c r="I817" s="21"/>
      <c r="J817" s="21"/>
      <c r="K817" s="19"/>
      <c r="L817" s="19"/>
      <c r="M817" s="22">
        <v>1</v>
      </c>
      <c r="N817" s="19"/>
      <c r="O817" s="25"/>
      <c r="P817" s="23"/>
      <c r="Q817" s="21" t="s">
        <v>46</v>
      </c>
      <c r="R817" s="19" t="s">
        <v>47</v>
      </c>
      <c r="S817" s="21"/>
      <c r="T817" s="19"/>
      <c r="U817" s="21"/>
      <c r="V817" s="7"/>
      <c r="W817" s="7"/>
      <c r="X817" s="51" t="str">
        <f t="shared" si="6"/>
        <v/>
      </c>
      <c r="Y817" s="51" t="str">
        <f t="shared" si="7"/>
        <v/>
      </c>
      <c r="Z817" s="37"/>
    </row>
    <row r="818" spans="1:26" ht="14.25" customHeight="1" x14ac:dyDescent="0.3">
      <c r="A818" s="18">
        <v>204.1</v>
      </c>
      <c r="B818" s="19"/>
      <c r="C818" s="18" t="s">
        <v>55</v>
      </c>
      <c r="D818" s="19"/>
      <c r="E818" s="25"/>
      <c r="F818" s="19"/>
      <c r="G818" s="21">
        <v>0</v>
      </c>
      <c r="H818" s="21"/>
      <c r="I818" s="21"/>
      <c r="J818" s="21"/>
      <c r="K818" s="19"/>
      <c r="L818" s="19"/>
      <c r="M818" s="22">
        <v>1</v>
      </c>
      <c r="N818" s="19"/>
      <c r="O818" s="25"/>
      <c r="P818" s="23"/>
      <c r="Q818" s="21" t="s">
        <v>46</v>
      </c>
      <c r="R818" s="19" t="s">
        <v>47</v>
      </c>
      <c r="S818" s="21"/>
      <c r="T818" s="19"/>
      <c r="U818" s="21"/>
      <c r="V818" s="7"/>
      <c r="W818" s="7"/>
      <c r="X818" s="51" t="str">
        <f t="shared" si="6"/>
        <v/>
      </c>
      <c r="Y818" s="51" t="str">
        <f t="shared" si="7"/>
        <v/>
      </c>
      <c r="Z818" s="37"/>
    </row>
    <row r="819" spans="1:26" ht="14.25" customHeight="1" x14ac:dyDescent="0.3">
      <c r="A819" s="18">
        <v>204.2</v>
      </c>
      <c r="B819" s="19"/>
      <c r="C819" s="18" t="s">
        <v>55</v>
      </c>
      <c r="D819" s="19"/>
      <c r="E819" s="25"/>
      <c r="F819" s="19"/>
      <c r="G819" s="21">
        <v>0</v>
      </c>
      <c r="H819" s="21"/>
      <c r="I819" s="21"/>
      <c r="J819" s="21"/>
      <c r="K819" s="19"/>
      <c r="L819" s="19"/>
      <c r="M819" s="22">
        <v>1</v>
      </c>
      <c r="N819" s="19"/>
      <c r="O819" s="25"/>
      <c r="P819" s="23"/>
      <c r="Q819" s="21" t="s">
        <v>46</v>
      </c>
      <c r="R819" s="19" t="s">
        <v>47</v>
      </c>
      <c r="S819" s="21"/>
      <c r="T819" s="19"/>
      <c r="U819" s="21"/>
      <c r="V819" s="7"/>
      <c r="W819" s="7"/>
      <c r="X819" s="51" t="str">
        <f t="shared" si="6"/>
        <v/>
      </c>
      <c r="Y819" s="51" t="str">
        <f t="shared" si="7"/>
        <v/>
      </c>
      <c r="Z819" s="37"/>
    </row>
    <row r="820" spans="1:26" ht="14.25" customHeight="1" x14ac:dyDescent="0.3">
      <c r="A820" s="18">
        <v>204.3</v>
      </c>
      <c r="B820" s="19"/>
      <c r="C820" s="18" t="s">
        <v>55</v>
      </c>
      <c r="D820" s="19"/>
      <c r="E820" s="25"/>
      <c r="F820" s="19"/>
      <c r="G820" s="21">
        <v>0</v>
      </c>
      <c r="H820" s="21"/>
      <c r="I820" s="21"/>
      <c r="J820" s="21"/>
      <c r="K820" s="19"/>
      <c r="L820" s="19"/>
      <c r="M820" s="22">
        <v>1</v>
      </c>
      <c r="N820" s="19"/>
      <c r="O820" s="25"/>
      <c r="P820" s="23"/>
      <c r="Q820" s="21" t="s">
        <v>46</v>
      </c>
      <c r="R820" s="19" t="s">
        <v>47</v>
      </c>
      <c r="S820" s="21"/>
      <c r="T820" s="19"/>
      <c r="U820" s="21"/>
      <c r="V820" s="7"/>
      <c r="W820" s="7"/>
      <c r="X820" s="51" t="str">
        <f t="shared" si="6"/>
        <v/>
      </c>
      <c r="Y820" s="51" t="str">
        <f t="shared" si="7"/>
        <v/>
      </c>
      <c r="Z820" s="37"/>
    </row>
    <row r="821" spans="1:26" ht="14.25" customHeight="1" x14ac:dyDescent="0.3">
      <c r="A821" s="18">
        <v>204.4</v>
      </c>
      <c r="B821" s="19"/>
      <c r="C821" s="18" t="s">
        <v>55</v>
      </c>
      <c r="D821" s="19"/>
      <c r="E821" s="25"/>
      <c r="F821" s="19"/>
      <c r="G821" s="21">
        <v>0</v>
      </c>
      <c r="H821" s="21"/>
      <c r="I821" s="21"/>
      <c r="J821" s="21"/>
      <c r="K821" s="19"/>
      <c r="L821" s="19"/>
      <c r="M821" s="22">
        <v>1</v>
      </c>
      <c r="N821" s="19"/>
      <c r="O821" s="25"/>
      <c r="P821" s="23"/>
      <c r="Q821" s="21" t="s">
        <v>46</v>
      </c>
      <c r="R821" s="19" t="s">
        <v>47</v>
      </c>
      <c r="S821" s="21"/>
      <c r="T821" s="19"/>
      <c r="U821" s="21"/>
      <c r="V821" s="7"/>
      <c r="W821" s="7"/>
      <c r="X821" s="51" t="str">
        <f t="shared" si="6"/>
        <v/>
      </c>
      <c r="Y821" s="51" t="str">
        <f t="shared" si="7"/>
        <v/>
      </c>
      <c r="Z821" s="37"/>
    </row>
    <row r="822" spans="1:26" ht="14.25" customHeight="1" x14ac:dyDescent="0.3">
      <c r="A822" s="18">
        <v>205.1</v>
      </c>
      <c r="B822" s="19"/>
      <c r="C822" s="18" t="s">
        <v>55</v>
      </c>
      <c r="D822" s="19"/>
      <c r="E822" s="25"/>
      <c r="F822" s="19"/>
      <c r="G822" s="21">
        <v>0</v>
      </c>
      <c r="H822" s="21"/>
      <c r="I822" s="21"/>
      <c r="J822" s="21"/>
      <c r="K822" s="19"/>
      <c r="L822" s="19"/>
      <c r="M822" s="22">
        <v>1</v>
      </c>
      <c r="N822" s="19"/>
      <c r="O822" s="25"/>
      <c r="P822" s="23"/>
      <c r="Q822" s="21" t="s">
        <v>46</v>
      </c>
      <c r="R822" s="19" t="s">
        <v>47</v>
      </c>
      <c r="S822" s="21"/>
      <c r="T822" s="19"/>
      <c r="U822" s="21"/>
      <c r="V822" s="7"/>
      <c r="W822" s="7"/>
      <c r="X822" s="51" t="str">
        <f t="shared" si="6"/>
        <v/>
      </c>
      <c r="Y822" s="51" t="str">
        <f t="shared" si="7"/>
        <v/>
      </c>
      <c r="Z822" s="37"/>
    </row>
    <row r="823" spans="1:26" ht="14.25" customHeight="1" x14ac:dyDescent="0.3">
      <c r="A823" s="18">
        <v>205.2</v>
      </c>
      <c r="B823" s="19"/>
      <c r="C823" s="18" t="s">
        <v>55</v>
      </c>
      <c r="D823" s="19"/>
      <c r="E823" s="25"/>
      <c r="F823" s="19"/>
      <c r="G823" s="21">
        <v>0</v>
      </c>
      <c r="H823" s="21"/>
      <c r="I823" s="21"/>
      <c r="J823" s="21"/>
      <c r="K823" s="19"/>
      <c r="L823" s="19"/>
      <c r="M823" s="22">
        <v>1</v>
      </c>
      <c r="N823" s="19"/>
      <c r="O823" s="25"/>
      <c r="P823" s="23"/>
      <c r="Q823" s="21" t="s">
        <v>46</v>
      </c>
      <c r="R823" s="19" t="s">
        <v>47</v>
      </c>
      <c r="S823" s="21"/>
      <c r="T823" s="19"/>
      <c r="U823" s="21"/>
      <c r="V823" s="7"/>
      <c r="W823" s="7"/>
      <c r="X823" s="51" t="str">
        <f t="shared" si="6"/>
        <v/>
      </c>
      <c r="Y823" s="51" t="str">
        <f t="shared" si="7"/>
        <v/>
      </c>
      <c r="Z823" s="37"/>
    </row>
    <row r="824" spans="1:26" ht="14.25" customHeight="1" x14ac:dyDescent="0.3">
      <c r="A824" s="18">
        <v>205.3</v>
      </c>
      <c r="B824" s="19"/>
      <c r="C824" s="18" t="s">
        <v>55</v>
      </c>
      <c r="D824" s="19"/>
      <c r="E824" s="25"/>
      <c r="F824" s="19"/>
      <c r="G824" s="21">
        <v>0</v>
      </c>
      <c r="H824" s="21"/>
      <c r="I824" s="21"/>
      <c r="J824" s="21"/>
      <c r="K824" s="19"/>
      <c r="L824" s="19"/>
      <c r="M824" s="22">
        <v>1</v>
      </c>
      <c r="N824" s="19"/>
      <c r="O824" s="25"/>
      <c r="P824" s="23"/>
      <c r="Q824" s="21" t="s">
        <v>46</v>
      </c>
      <c r="R824" s="19" t="s">
        <v>47</v>
      </c>
      <c r="S824" s="21"/>
      <c r="T824" s="19"/>
      <c r="U824" s="21"/>
      <c r="V824" s="7"/>
      <c r="W824" s="7"/>
      <c r="X824" s="51" t="str">
        <f t="shared" si="6"/>
        <v/>
      </c>
      <c r="Y824" s="51" t="str">
        <f t="shared" si="7"/>
        <v/>
      </c>
      <c r="Z824" s="37"/>
    </row>
    <row r="825" spans="1:26" ht="14.25" customHeight="1" x14ac:dyDescent="0.3">
      <c r="A825" s="18">
        <v>205.4</v>
      </c>
      <c r="B825" s="19"/>
      <c r="C825" s="18" t="s">
        <v>55</v>
      </c>
      <c r="D825" s="19"/>
      <c r="E825" s="25"/>
      <c r="F825" s="19"/>
      <c r="G825" s="21">
        <v>0</v>
      </c>
      <c r="H825" s="21"/>
      <c r="I825" s="21"/>
      <c r="J825" s="21"/>
      <c r="K825" s="19"/>
      <c r="L825" s="19"/>
      <c r="M825" s="22">
        <v>1</v>
      </c>
      <c r="N825" s="19"/>
      <c r="O825" s="25"/>
      <c r="P825" s="23"/>
      <c r="Q825" s="21" t="s">
        <v>46</v>
      </c>
      <c r="R825" s="19" t="s">
        <v>47</v>
      </c>
      <c r="S825" s="21"/>
      <c r="T825" s="19"/>
      <c r="U825" s="21"/>
      <c r="V825" s="7"/>
      <c r="W825" s="7"/>
      <c r="X825" s="51" t="str">
        <f t="shared" si="6"/>
        <v/>
      </c>
      <c r="Y825" s="51" t="str">
        <f t="shared" si="7"/>
        <v/>
      </c>
      <c r="Z825" s="37"/>
    </row>
    <row r="826" spans="1:26" ht="14.25" customHeight="1" x14ac:dyDescent="0.3">
      <c r="A826" s="18">
        <v>206.1</v>
      </c>
      <c r="B826" s="19"/>
      <c r="C826" s="18" t="s">
        <v>55</v>
      </c>
      <c r="D826" s="19"/>
      <c r="E826" s="25"/>
      <c r="F826" s="19"/>
      <c r="G826" s="21">
        <v>0</v>
      </c>
      <c r="H826" s="21"/>
      <c r="I826" s="21"/>
      <c r="J826" s="21"/>
      <c r="K826" s="19"/>
      <c r="L826" s="19"/>
      <c r="M826" s="22">
        <v>1</v>
      </c>
      <c r="N826" s="19"/>
      <c r="O826" s="25"/>
      <c r="P826" s="23"/>
      <c r="Q826" s="21" t="s">
        <v>46</v>
      </c>
      <c r="R826" s="19" t="s">
        <v>47</v>
      </c>
      <c r="S826" s="21"/>
      <c r="T826" s="19"/>
      <c r="U826" s="21"/>
      <c r="V826" s="7"/>
      <c r="W826" s="7"/>
      <c r="X826" s="51" t="str">
        <f t="shared" si="6"/>
        <v/>
      </c>
      <c r="Y826" s="51" t="str">
        <f t="shared" si="7"/>
        <v/>
      </c>
      <c r="Z826" s="37"/>
    </row>
    <row r="827" spans="1:26" ht="14.25" customHeight="1" x14ac:dyDescent="0.3">
      <c r="A827" s="18">
        <v>206.2</v>
      </c>
      <c r="B827" s="19"/>
      <c r="C827" s="18" t="s">
        <v>55</v>
      </c>
      <c r="D827" s="19"/>
      <c r="E827" s="25"/>
      <c r="F827" s="19"/>
      <c r="G827" s="21">
        <v>0</v>
      </c>
      <c r="H827" s="21"/>
      <c r="I827" s="21"/>
      <c r="J827" s="21"/>
      <c r="K827" s="19"/>
      <c r="L827" s="19"/>
      <c r="M827" s="22">
        <v>1</v>
      </c>
      <c r="N827" s="19"/>
      <c r="O827" s="25"/>
      <c r="P827" s="23"/>
      <c r="Q827" s="21" t="s">
        <v>46</v>
      </c>
      <c r="R827" s="19" t="s">
        <v>47</v>
      </c>
      <c r="S827" s="21"/>
      <c r="T827" s="19"/>
      <c r="U827" s="21"/>
      <c r="V827" s="7"/>
      <c r="W827" s="7"/>
      <c r="X827" s="51" t="str">
        <f t="shared" si="6"/>
        <v/>
      </c>
      <c r="Y827" s="51" t="str">
        <f t="shared" si="7"/>
        <v/>
      </c>
      <c r="Z827" s="37"/>
    </row>
    <row r="828" spans="1:26" ht="14.25" customHeight="1" x14ac:dyDescent="0.3">
      <c r="A828" s="18">
        <v>206.3</v>
      </c>
      <c r="B828" s="19"/>
      <c r="C828" s="18" t="s">
        <v>55</v>
      </c>
      <c r="D828" s="19"/>
      <c r="E828" s="25"/>
      <c r="F828" s="19"/>
      <c r="G828" s="21">
        <v>0</v>
      </c>
      <c r="H828" s="21"/>
      <c r="I828" s="21"/>
      <c r="J828" s="21"/>
      <c r="K828" s="19"/>
      <c r="L828" s="19"/>
      <c r="M828" s="22">
        <v>1</v>
      </c>
      <c r="N828" s="19"/>
      <c r="O828" s="25"/>
      <c r="P828" s="23"/>
      <c r="Q828" s="21" t="s">
        <v>46</v>
      </c>
      <c r="R828" s="19" t="s">
        <v>47</v>
      </c>
      <c r="S828" s="21"/>
      <c r="T828" s="19"/>
      <c r="U828" s="21"/>
      <c r="V828" s="7"/>
      <c r="W828" s="7"/>
      <c r="X828" s="51" t="str">
        <f t="shared" si="6"/>
        <v/>
      </c>
      <c r="Y828" s="51" t="str">
        <f t="shared" si="7"/>
        <v/>
      </c>
      <c r="Z828" s="37"/>
    </row>
    <row r="829" spans="1:26" ht="14.25" customHeight="1" x14ac:dyDescent="0.3">
      <c r="A829" s="18">
        <v>206.4</v>
      </c>
      <c r="B829" s="19"/>
      <c r="C829" s="18" t="s">
        <v>55</v>
      </c>
      <c r="D829" s="19"/>
      <c r="E829" s="25"/>
      <c r="F829" s="19"/>
      <c r="G829" s="21">
        <v>0</v>
      </c>
      <c r="H829" s="21"/>
      <c r="I829" s="21"/>
      <c r="J829" s="21"/>
      <c r="K829" s="19"/>
      <c r="L829" s="19"/>
      <c r="M829" s="22">
        <v>1</v>
      </c>
      <c r="N829" s="19"/>
      <c r="O829" s="25"/>
      <c r="P829" s="23"/>
      <c r="Q829" s="21" t="s">
        <v>46</v>
      </c>
      <c r="R829" s="19" t="s">
        <v>47</v>
      </c>
      <c r="S829" s="21"/>
      <c r="T829" s="19"/>
      <c r="U829" s="21"/>
      <c r="V829" s="7"/>
      <c r="W829" s="7"/>
      <c r="X829" s="51" t="str">
        <f t="shared" si="6"/>
        <v/>
      </c>
      <c r="Y829" s="51" t="str">
        <f t="shared" si="7"/>
        <v/>
      </c>
      <c r="Z829" s="37"/>
    </row>
    <row r="830" spans="1:26" ht="14.25" customHeight="1" x14ac:dyDescent="0.3">
      <c r="A830" s="18">
        <v>207.1</v>
      </c>
      <c r="B830" s="19"/>
      <c r="C830" s="18" t="s">
        <v>55</v>
      </c>
      <c r="D830" s="19"/>
      <c r="E830" s="25"/>
      <c r="F830" s="19"/>
      <c r="G830" s="21">
        <v>0</v>
      </c>
      <c r="H830" s="21"/>
      <c r="I830" s="21"/>
      <c r="J830" s="21"/>
      <c r="K830" s="19"/>
      <c r="L830" s="19"/>
      <c r="M830" s="22">
        <v>1</v>
      </c>
      <c r="N830" s="19"/>
      <c r="O830" s="25"/>
      <c r="P830" s="23"/>
      <c r="Q830" s="21" t="s">
        <v>46</v>
      </c>
      <c r="R830" s="19" t="s">
        <v>47</v>
      </c>
      <c r="S830" s="21"/>
      <c r="T830" s="19"/>
      <c r="U830" s="21"/>
      <c r="V830" s="7"/>
      <c r="W830" s="7"/>
      <c r="X830" s="51" t="str">
        <f t="shared" si="6"/>
        <v/>
      </c>
      <c r="Y830" s="51" t="str">
        <f t="shared" si="7"/>
        <v/>
      </c>
      <c r="Z830" s="37"/>
    </row>
    <row r="831" spans="1:26" ht="14.25" customHeight="1" x14ac:dyDescent="0.3">
      <c r="A831" s="18">
        <v>207.2</v>
      </c>
      <c r="B831" s="19"/>
      <c r="C831" s="18" t="s">
        <v>55</v>
      </c>
      <c r="D831" s="19"/>
      <c r="E831" s="25"/>
      <c r="F831" s="19"/>
      <c r="G831" s="21">
        <v>0</v>
      </c>
      <c r="H831" s="21"/>
      <c r="I831" s="21"/>
      <c r="J831" s="21"/>
      <c r="K831" s="19"/>
      <c r="L831" s="19"/>
      <c r="M831" s="22">
        <v>1</v>
      </c>
      <c r="N831" s="19"/>
      <c r="O831" s="25"/>
      <c r="P831" s="23"/>
      <c r="Q831" s="21" t="s">
        <v>46</v>
      </c>
      <c r="R831" s="19" t="s">
        <v>47</v>
      </c>
      <c r="S831" s="21"/>
      <c r="T831" s="19"/>
      <c r="U831" s="21"/>
      <c r="V831" s="7"/>
      <c r="W831" s="7"/>
      <c r="X831" s="51" t="str">
        <f t="shared" si="6"/>
        <v/>
      </c>
      <c r="Y831" s="51" t="str">
        <f t="shared" si="7"/>
        <v/>
      </c>
      <c r="Z831" s="37"/>
    </row>
    <row r="832" spans="1:26" ht="14.25" customHeight="1" x14ac:dyDescent="0.3">
      <c r="A832" s="18">
        <v>207.3</v>
      </c>
      <c r="B832" s="19"/>
      <c r="C832" s="18" t="s">
        <v>55</v>
      </c>
      <c r="D832" s="19"/>
      <c r="E832" s="25"/>
      <c r="F832" s="19"/>
      <c r="G832" s="21">
        <v>0</v>
      </c>
      <c r="H832" s="21"/>
      <c r="I832" s="21"/>
      <c r="J832" s="21"/>
      <c r="K832" s="19"/>
      <c r="L832" s="19"/>
      <c r="M832" s="22">
        <v>1</v>
      </c>
      <c r="N832" s="19"/>
      <c r="O832" s="25"/>
      <c r="P832" s="23"/>
      <c r="Q832" s="21" t="s">
        <v>46</v>
      </c>
      <c r="R832" s="19" t="s">
        <v>47</v>
      </c>
      <c r="S832" s="21"/>
      <c r="T832" s="19"/>
      <c r="U832" s="21"/>
      <c r="V832" s="7"/>
      <c r="W832" s="7"/>
      <c r="X832" s="51" t="str">
        <f t="shared" si="6"/>
        <v/>
      </c>
      <c r="Y832" s="51" t="str">
        <f t="shared" si="7"/>
        <v/>
      </c>
      <c r="Z832" s="37"/>
    </row>
    <row r="833" spans="1:26" ht="14.25" customHeight="1" x14ac:dyDescent="0.3">
      <c r="A833" s="18">
        <v>207.4</v>
      </c>
      <c r="B833" s="19"/>
      <c r="C833" s="18" t="s">
        <v>55</v>
      </c>
      <c r="D833" s="19"/>
      <c r="E833" s="25"/>
      <c r="F833" s="19"/>
      <c r="G833" s="21">
        <v>0</v>
      </c>
      <c r="H833" s="21"/>
      <c r="I833" s="21"/>
      <c r="J833" s="21"/>
      <c r="K833" s="19"/>
      <c r="L833" s="19"/>
      <c r="M833" s="22">
        <v>1</v>
      </c>
      <c r="N833" s="19"/>
      <c r="O833" s="25"/>
      <c r="P833" s="23"/>
      <c r="Q833" s="21" t="s">
        <v>46</v>
      </c>
      <c r="R833" s="19" t="s">
        <v>47</v>
      </c>
      <c r="S833" s="21"/>
      <c r="T833" s="19"/>
      <c r="U833" s="21"/>
      <c r="V833" s="7"/>
      <c r="W833" s="7"/>
      <c r="X833" s="51" t="str">
        <f t="shared" si="6"/>
        <v/>
      </c>
      <c r="Y833" s="51" t="str">
        <f t="shared" si="7"/>
        <v/>
      </c>
      <c r="Z833" s="37"/>
    </row>
    <row r="834" spans="1:26" ht="14.25" customHeight="1" x14ac:dyDescent="0.3">
      <c r="A834" s="18">
        <v>208.1</v>
      </c>
      <c r="B834" s="19"/>
      <c r="C834" s="18" t="s">
        <v>55</v>
      </c>
      <c r="D834" s="19"/>
      <c r="E834" s="25"/>
      <c r="F834" s="19"/>
      <c r="G834" s="21">
        <v>0</v>
      </c>
      <c r="H834" s="21"/>
      <c r="I834" s="21"/>
      <c r="J834" s="21"/>
      <c r="K834" s="19"/>
      <c r="L834" s="19"/>
      <c r="M834" s="22">
        <v>1</v>
      </c>
      <c r="N834" s="19"/>
      <c r="O834" s="25"/>
      <c r="P834" s="23"/>
      <c r="Q834" s="21" t="s">
        <v>46</v>
      </c>
      <c r="R834" s="19" t="s">
        <v>47</v>
      </c>
      <c r="S834" s="21"/>
      <c r="T834" s="19"/>
      <c r="U834" s="21"/>
      <c r="V834" s="7"/>
      <c r="W834" s="7"/>
      <c r="X834" s="51" t="str">
        <f t="shared" si="6"/>
        <v/>
      </c>
      <c r="Y834" s="51" t="str">
        <f t="shared" si="7"/>
        <v/>
      </c>
      <c r="Z834" s="37"/>
    </row>
    <row r="835" spans="1:26" ht="14.25" customHeight="1" x14ac:dyDescent="0.3">
      <c r="A835" s="18">
        <v>208.2</v>
      </c>
      <c r="B835" s="19"/>
      <c r="C835" s="18" t="s">
        <v>55</v>
      </c>
      <c r="D835" s="19"/>
      <c r="E835" s="25"/>
      <c r="F835" s="19"/>
      <c r="G835" s="21">
        <v>0</v>
      </c>
      <c r="H835" s="21"/>
      <c r="I835" s="21"/>
      <c r="J835" s="21"/>
      <c r="K835" s="19"/>
      <c r="L835" s="19"/>
      <c r="M835" s="22">
        <v>1</v>
      </c>
      <c r="N835" s="19"/>
      <c r="O835" s="25"/>
      <c r="P835" s="23"/>
      <c r="Q835" s="21" t="s">
        <v>46</v>
      </c>
      <c r="R835" s="19" t="s">
        <v>47</v>
      </c>
      <c r="S835" s="21"/>
      <c r="T835" s="19"/>
      <c r="U835" s="21"/>
      <c r="V835" s="7"/>
      <c r="W835" s="7"/>
      <c r="X835" s="51" t="str">
        <f t="shared" si="6"/>
        <v/>
      </c>
      <c r="Y835" s="51" t="str">
        <f t="shared" si="7"/>
        <v/>
      </c>
      <c r="Z835" s="37"/>
    </row>
    <row r="836" spans="1:26" ht="14.25" customHeight="1" x14ac:dyDescent="0.3">
      <c r="A836" s="18">
        <v>208.3</v>
      </c>
      <c r="B836" s="19"/>
      <c r="C836" s="18" t="s">
        <v>55</v>
      </c>
      <c r="D836" s="19"/>
      <c r="E836" s="25"/>
      <c r="F836" s="19"/>
      <c r="G836" s="21">
        <v>0</v>
      </c>
      <c r="H836" s="21"/>
      <c r="I836" s="21"/>
      <c r="J836" s="21"/>
      <c r="K836" s="19"/>
      <c r="L836" s="19"/>
      <c r="M836" s="22">
        <v>1</v>
      </c>
      <c r="N836" s="19"/>
      <c r="O836" s="25"/>
      <c r="P836" s="23"/>
      <c r="Q836" s="21" t="s">
        <v>46</v>
      </c>
      <c r="R836" s="19" t="s">
        <v>47</v>
      </c>
      <c r="S836" s="21"/>
      <c r="T836" s="19"/>
      <c r="U836" s="21"/>
      <c r="V836" s="7"/>
      <c r="W836" s="7"/>
      <c r="X836" s="51" t="str">
        <f t="shared" si="6"/>
        <v/>
      </c>
      <c r="Y836" s="51" t="str">
        <f t="shared" si="7"/>
        <v/>
      </c>
      <c r="Z836" s="37"/>
    </row>
    <row r="837" spans="1:26" ht="14.25" customHeight="1" x14ac:dyDescent="0.3">
      <c r="A837" s="18">
        <v>208.4</v>
      </c>
      <c r="B837" s="19"/>
      <c r="C837" s="18" t="s">
        <v>55</v>
      </c>
      <c r="D837" s="19"/>
      <c r="E837" s="25"/>
      <c r="F837" s="19"/>
      <c r="G837" s="21">
        <v>0</v>
      </c>
      <c r="H837" s="21"/>
      <c r="I837" s="21"/>
      <c r="J837" s="21"/>
      <c r="K837" s="19"/>
      <c r="L837" s="19"/>
      <c r="M837" s="22">
        <v>1</v>
      </c>
      <c r="N837" s="19"/>
      <c r="O837" s="25"/>
      <c r="P837" s="23"/>
      <c r="Q837" s="21" t="s">
        <v>46</v>
      </c>
      <c r="R837" s="19" t="s">
        <v>47</v>
      </c>
      <c r="S837" s="21"/>
      <c r="T837" s="19"/>
      <c r="U837" s="21"/>
      <c r="V837" s="7"/>
      <c r="W837" s="7"/>
      <c r="X837" s="51" t="str">
        <f t="shared" si="6"/>
        <v/>
      </c>
      <c r="Y837" s="51" t="str">
        <f t="shared" si="7"/>
        <v/>
      </c>
      <c r="Z837" s="37"/>
    </row>
    <row r="838" spans="1:26" ht="14.25" customHeight="1" x14ac:dyDescent="0.3">
      <c r="A838" s="18">
        <v>209.1</v>
      </c>
      <c r="B838" s="19"/>
      <c r="C838" s="18" t="s">
        <v>55</v>
      </c>
      <c r="D838" s="19"/>
      <c r="E838" s="25"/>
      <c r="F838" s="19"/>
      <c r="G838" s="21">
        <v>0</v>
      </c>
      <c r="H838" s="21"/>
      <c r="I838" s="21"/>
      <c r="J838" s="21"/>
      <c r="K838" s="19"/>
      <c r="L838" s="19"/>
      <c r="M838" s="22">
        <v>1</v>
      </c>
      <c r="N838" s="19"/>
      <c r="O838" s="25"/>
      <c r="P838" s="23"/>
      <c r="Q838" s="21" t="s">
        <v>46</v>
      </c>
      <c r="R838" s="19" t="s">
        <v>47</v>
      </c>
      <c r="S838" s="21"/>
      <c r="T838" s="19"/>
      <c r="U838" s="21"/>
      <c r="V838" s="7"/>
      <c r="W838" s="7"/>
      <c r="X838" s="51" t="str">
        <f t="shared" si="6"/>
        <v/>
      </c>
      <c r="Y838" s="51" t="str">
        <f t="shared" si="7"/>
        <v/>
      </c>
      <c r="Z838" s="37"/>
    </row>
    <row r="839" spans="1:26" ht="14.25" customHeight="1" x14ac:dyDescent="0.3">
      <c r="A839" s="18">
        <v>209.2</v>
      </c>
      <c r="B839" s="19"/>
      <c r="C839" s="18" t="s">
        <v>55</v>
      </c>
      <c r="D839" s="19"/>
      <c r="E839" s="25"/>
      <c r="F839" s="19"/>
      <c r="G839" s="21">
        <v>0</v>
      </c>
      <c r="H839" s="21"/>
      <c r="I839" s="21"/>
      <c r="J839" s="21"/>
      <c r="K839" s="19"/>
      <c r="L839" s="19"/>
      <c r="M839" s="22">
        <v>1</v>
      </c>
      <c r="N839" s="19"/>
      <c r="O839" s="25"/>
      <c r="P839" s="23"/>
      <c r="Q839" s="21" t="s">
        <v>46</v>
      </c>
      <c r="R839" s="19" t="s">
        <v>47</v>
      </c>
      <c r="S839" s="21"/>
      <c r="T839" s="19"/>
      <c r="U839" s="21"/>
      <c r="V839" s="7"/>
      <c r="W839" s="7"/>
      <c r="X839" s="51" t="str">
        <f t="shared" si="6"/>
        <v/>
      </c>
      <c r="Y839" s="51" t="str">
        <f t="shared" si="7"/>
        <v/>
      </c>
      <c r="Z839" s="37"/>
    </row>
    <row r="840" spans="1:26" ht="14.25" customHeight="1" x14ac:dyDescent="0.3">
      <c r="A840" s="18">
        <v>209.3</v>
      </c>
      <c r="B840" s="19"/>
      <c r="C840" s="18" t="s">
        <v>55</v>
      </c>
      <c r="D840" s="19"/>
      <c r="E840" s="25"/>
      <c r="F840" s="19"/>
      <c r="G840" s="21">
        <v>0</v>
      </c>
      <c r="H840" s="21"/>
      <c r="I840" s="21"/>
      <c r="J840" s="21"/>
      <c r="K840" s="19"/>
      <c r="L840" s="19"/>
      <c r="M840" s="22">
        <v>1</v>
      </c>
      <c r="N840" s="19"/>
      <c r="O840" s="25"/>
      <c r="P840" s="23"/>
      <c r="Q840" s="21" t="s">
        <v>46</v>
      </c>
      <c r="R840" s="19" t="s">
        <v>47</v>
      </c>
      <c r="S840" s="21"/>
      <c r="T840" s="19"/>
      <c r="U840" s="21"/>
      <c r="V840" s="7"/>
      <c r="W840" s="7"/>
      <c r="X840" s="51" t="str">
        <f t="shared" si="6"/>
        <v/>
      </c>
      <c r="Y840" s="51" t="str">
        <f t="shared" si="7"/>
        <v/>
      </c>
      <c r="Z840" s="37"/>
    </row>
    <row r="841" spans="1:26" ht="14.25" customHeight="1" x14ac:dyDescent="0.3">
      <c r="A841" s="18">
        <v>209.4</v>
      </c>
      <c r="B841" s="19"/>
      <c r="C841" s="18" t="s">
        <v>55</v>
      </c>
      <c r="D841" s="19"/>
      <c r="E841" s="25"/>
      <c r="F841" s="19"/>
      <c r="G841" s="21">
        <v>0</v>
      </c>
      <c r="H841" s="21"/>
      <c r="I841" s="21"/>
      <c r="J841" s="21"/>
      <c r="K841" s="19"/>
      <c r="L841" s="19"/>
      <c r="M841" s="22">
        <v>1</v>
      </c>
      <c r="N841" s="19"/>
      <c r="O841" s="25"/>
      <c r="P841" s="23"/>
      <c r="Q841" s="21" t="s">
        <v>46</v>
      </c>
      <c r="R841" s="19" t="s">
        <v>47</v>
      </c>
      <c r="S841" s="21"/>
      <c r="T841" s="19"/>
      <c r="U841" s="21"/>
      <c r="V841" s="7"/>
      <c r="W841" s="7"/>
      <c r="X841" s="51" t="str">
        <f t="shared" si="6"/>
        <v/>
      </c>
      <c r="Y841" s="51" t="str">
        <f t="shared" si="7"/>
        <v/>
      </c>
      <c r="Z841" s="37"/>
    </row>
    <row r="842" spans="1:26" ht="14.25" customHeight="1" x14ac:dyDescent="0.3">
      <c r="A842" s="18">
        <v>210.1</v>
      </c>
      <c r="B842" s="19"/>
      <c r="C842" s="18" t="s">
        <v>55</v>
      </c>
      <c r="D842" s="19"/>
      <c r="E842" s="25"/>
      <c r="F842" s="19"/>
      <c r="G842" s="21">
        <v>0</v>
      </c>
      <c r="H842" s="21"/>
      <c r="I842" s="21"/>
      <c r="J842" s="21"/>
      <c r="K842" s="19"/>
      <c r="L842" s="19"/>
      <c r="M842" s="22">
        <v>1</v>
      </c>
      <c r="N842" s="19"/>
      <c r="O842" s="25"/>
      <c r="P842" s="23"/>
      <c r="Q842" s="21" t="s">
        <v>46</v>
      </c>
      <c r="R842" s="19" t="s">
        <v>47</v>
      </c>
      <c r="S842" s="21"/>
      <c r="T842" s="19"/>
      <c r="U842" s="21"/>
      <c r="V842" s="7"/>
      <c r="W842" s="7"/>
      <c r="X842" s="51" t="str">
        <f t="shared" si="6"/>
        <v/>
      </c>
      <c r="Y842" s="51" t="str">
        <f t="shared" si="7"/>
        <v/>
      </c>
      <c r="Z842" s="37"/>
    </row>
    <row r="843" spans="1:26" ht="14.25" customHeight="1" x14ac:dyDescent="0.3">
      <c r="A843" s="18">
        <v>210.2</v>
      </c>
      <c r="B843" s="19"/>
      <c r="C843" s="18" t="s">
        <v>55</v>
      </c>
      <c r="D843" s="19"/>
      <c r="E843" s="25"/>
      <c r="F843" s="19"/>
      <c r="G843" s="21">
        <v>0</v>
      </c>
      <c r="H843" s="21"/>
      <c r="I843" s="21"/>
      <c r="J843" s="21"/>
      <c r="K843" s="19"/>
      <c r="L843" s="19"/>
      <c r="M843" s="22">
        <v>1</v>
      </c>
      <c r="N843" s="19"/>
      <c r="O843" s="25"/>
      <c r="P843" s="23"/>
      <c r="Q843" s="21" t="s">
        <v>46</v>
      </c>
      <c r="R843" s="19" t="s">
        <v>47</v>
      </c>
      <c r="S843" s="21"/>
      <c r="T843" s="19"/>
      <c r="U843" s="21"/>
      <c r="V843" s="7"/>
      <c r="W843" s="7"/>
      <c r="X843" s="51" t="str">
        <f t="shared" si="6"/>
        <v/>
      </c>
      <c r="Y843" s="51" t="str">
        <f t="shared" si="7"/>
        <v/>
      </c>
      <c r="Z843" s="37"/>
    </row>
    <row r="844" spans="1:26" ht="14.25" customHeight="1" x14ac:dyDescent="0.3">
      <c r="A844" s="18">
        <v>210.3</v>
      </c>
      <c r="B844" s="19"/>
      <c r="C844" s="18" t="s">
        <v>55</v>
      </c>
      <c r="D844" s="19"/>
      <c r="E844" s="25"/>
      <c r="F844" s="19"/>
      <c r="G844" s="21">
        <v>0</v>
      </c>
      <c r="H844" s="21"/>
      <c r="I844" s="21"/>
      <c r="J844" s="21"/>
      <c r="K844" s="19"/>
      <c r="L844" s="19"/>
      <c r="M844" s="22">
        <v>1</v>
      </c>
      <c r="N844" s="19"/>
      <c r="O844" s="25"/>
      <c r="P844" s="23"/>
      <c r="Q844" s="21" t="s">
        <v>46</v>
      </c>
      <c r="R844" s="19" t="s">
        <v>47</v>
      </c>
      <c r="S844" s="21"/>
      <c r="T844" s="19"/>
      <c r="U844" s="21"/>
      <c r="V844" s="7"/>
      <c r="W844" s="7"/>
      <c r="X844" s="51" t="str">
        <f t="shared" si="6"/>
        <v/>
      </c>
      <c r="Y844" s="51" t="str">
        <f t="shared" si="7"/>
        <v/>
      </c>
      <c r="Z844" s="37"/>
    </row>
    <row r="845" spans="1:26" ht="14.25" customHeight="1" x14ac:dyDescent="0.3">
      <c r="A845" s="18">
        <v>210.4</v>
      </c>
      <c r="B845" s="19"/>
      <c r="C845" s="18" t="s">
        <v>55</v>
      </c>
      <c r="D845" s="19"/>
      <c r="E845" s="25"/>
      <c r="F845" s="19"/>
      <c r="G845" s="21">
        <v>0</v>
      </c>
      <c r="H845" s="21"/>
      <c r="I845" s="21"/>
      <c r="J845" s="21"/>
      <c r="K845" s="19"/>
      <c r="L845" s="19"/>
      <c r="M845" s="22">
        <v>1</v>
      </c>
      <c r="N845" s="19"/>
      <c r="O845" s="25"/>
      <c r="P845" s="23"/>
      <c r="Q845" s="21" t="s">
        <v>46</v>
      </c>
      <c r="R845" s="19" t="s">
        <v>47</v>
      </c>
      <c r="S845" s="21"/>
      <c r="T845" s="19"/>
      <c r="U845" s="21"/>
      <c r="V845" s="7"/>
      <c r="W845" s="7"/>
      <c r="X845" s="51" t="str">
        <f t="shared" si="6"/>
        <v/>
      </c>
      <c r="Y845" s="51" t="str">
        <f t="shared" si="7"/>
        <v/>
      </c>
      <c r="Z845" s="37"/>
    </row>
    <row r="846" spans="1:26" ht="14.25" customHeight="1" x14ac:dyDescent="0.3">
      <c r="A846" s="18">
        <v>211.1</v>
      </c>
      <c r="B846" s="19"/>
      <c r="C846" s="18" t="s">
        <v>55</v>
      </c>
      <c r="D846" s="19"/>
      <c r="E846" s="25"/>
      <c r="F846" s="19"/>
      <c r="G846" s="21">
        <v>0</v>
      </c>
      <c r="H846" s="21"/>
      <c r="I846" s="21"/>
      <c r="J846" s="21"/>
      <c r="K846" s="19"/>
      <c r="L846" s="19"/>
      <c r="M846" s="22">
        <v>1</v>
      </c>
      <c r="N846" s="19"/>
      <c r="O846" s="25"/>
      <c r="P846" s="23"/>
      <c r="Q846" s="21" t="s">
        <v>46</v>
      </c>
      <c r="R846" s="19" t="s">
        <v>47</v>
      </c>
      <c r="S846" s="21"/>
      <c r="T846" s="19"/>
      <c r="U846" s="21"/>
      <c r="V846" s="7"/>
      <c r="W846" s="7"/>
      <c r="X846" s="51" t="str">
        <f t="shared" si="6"/>
        <v/>
      </c>
      <c r="Y846" s="51" t="str">
        <f t="shared" si="7"/>
        <v/>
      </c>
      <c r="Z846" s="37"/>
    </row>
    <row r="847" spans="1:26" ht="14.25" customHeight="1" x14ac:dyDescent="0.3">
      <c r="A847" s="18">
        <v>211.2</v>
      </c>
      <c r="B847" s="19"/>
      <c r="C847" s="18" t="s">
        <v>55</v>
      </c>
      <c r="D847" s="19"/>
      <c r="E847" s="25"/>
      <c r="F847" s="19"/>
      <c r="G847" s="21">
        <v>0</v>
      </c>
      <c r="H847" s="21"/>
      <c r="I847" s="21"/>
      <c r="J847" s="21"/>
      <c r="K847" s="19"/>
      <c r="L847" s="19"/>
      <c r="M847" s="22">
        <v>1</v>
      </c>
      <c r="N847" s="19"/>
      <c r="O847" s="25"/>
      <c r="P847" s="23"/>
      <c r="Q847" s="21" t="s">
        <v>46</v>
      </c>
      <c r="R847" s="19" t="s">
        <v>47</v>
      </c>
      <c r="S847" s="21"/>
      <c r="T847" s="19"/>
      <c r="U847" s="21"/>
      <c r="V847" s="7"/>
      <c r="W847" s="7"/>
      <c r="X847" s="51" t="str">
        <f t="shared" si="6"/>
        <v/>
      </c>
      <c r="Y847" s="51" t="str">
        <f t="shared" si="7"/>
        <v/>
      </c>
      <c r="Z847" s="37"/>
    </row>
    <row r="848" spans="1:26" ht="14.25" customHeight="1" x14ac:dyDescent="0.3">
      <c r="A848" s="18">
        <v>211.3</v>
      </c>
      <c r="B848" s="19"/>
      <c r="C848" s="18" t="s">
        <v>55</v>
      </c>
      <c r="D848" s="19"/>
      <c r="E848" s="25"/>
      <c r="F848" s="19"/>
      <c r="G848" s="21">
        <v>0</v>
      </c>
      <c r="H848" s="21"/>
      <c r="I848" s="21"/>
      <c r="J848" s="21"/>
      <c r="K848" s="19"/>
      <c r="L848" s="19"/>
      <c r="M848" s="22">
        <v>1</v>
      </c>
      <c r="N848" s="19"/>
      <c r="O848" s="25"/>
      <c r="P848" s="23"/>
      <c r="Q848" s="21" t="s">
        <v>46</v>
      </c>
      <c r="R848" s="19" t="s">
        <v>47</v>
      </c>
      <c r="S848" s="21"/>
      <c r="T848" s="19"/>
      <c r="U848" s="21"/>
      <c r="V848" s="7"/>
      <c r="W848" s="7"/>
      <c r="X848" s="51" t="str">
        <f t="shared" si="6"/>
        <v/>
      </c>
      <c r="Y848" s="51" t="str">
        <f t="shared" si="7"/>
        <v/>
      </c>
      <c r="Z848" s="37"/>
    </row>
    <row r="849" spans="1:26" ht="14.25" customHeight="1" x14ac:dyDescent="0.3">
      <c r="A849" s="18">
        <v>211.4</v>
      </c>
      <c r="B849" s="19"/>
      <c r="C849" s="18" t="s">
        <v>55</v>
      </c>
      <c r="D849" s="19"/>
      <c r="E849" s="25"/>
      <c r="F849" s="19"/>
      <c r="G849" s="21">
        <v>0</v>
      </c>
      <c r="H849" s="21"/>
      <c r="I849" s="21"/>
      <c r="J849" s="21"/>
      <c r="K849" s="19"/>
      <c r="L849" s="19"/>
      <c r="M849" s="22">
        <v>1</v>
      </c>
      <c r="N849" s="19"/>
      <c r="O849" s="25"/>
      <c r="P849" s="23"/>
      <c r="Q849" s="21" t="s">
        <v>46</v>
      </c>
      <c r="R849" s="19" t="s">
        <v>47</v>
      </c>
      <c r="S849" s="21"/>
      <c r="T849" s="19"/>
      <c r="U849" s="21"/>
      <c r="V849" s="7"/>
      <c r="W849" s="7"/>
      <c r="X849" s="51" t="str">
        <f t="shared" si="6"/>
        <v/>
      </c>
      <c r="Y849" s="51" t="str">
        <f t="shared" si="7"/>
        <v/>
      </c>
      <c r="Z849" s="37"/>
    </row>
    <row r="850" spans="1:26" ht="14.25" customHeight="1" x14ac:dyDescent="0.3">
      <c r="A850" s="18">
        <v>212.1</v>
      </c>
      <c r="B850" s="19"/>
      <c r="C850" s="18" t="s">
        <v>55</v>
      </c>
      <c r="D850" s="19"/>
      <c r="E850" s="25"/>
      <c r="F850" s="19"/>
      <c r="G850" s="21">
        <v>0</v>
      </c>
      <c r="H850" s="21"/>
      <c r="I850" s="21"/>
      <c r="J850" s="21"/>
      <c r="K850" s="19"/>
      <c r="L850" s="19"/>
      <c r="M850" s="22">
        <v>1</v>
      </c>
      <c r="N850" s="19"/>
      <c r="O850" s="25"/>
      <c r="P850" s="23"/>
      <c r="Q850" s="21" t="s">
        <v>46</v>
      </c>
      <c r="R850" s="19" t="s">
        <v>47</v>
      </c>
      <c r="S850" s="21"/>
      <c r="T850" s="19"/>
      <c r="U850" s="21"/>
      <c r="V850" s="7"/>
      <c r="W850" s="7"/>
      <c r="X850" s="51" t="str">
        <f t="shared" si="6"/>
        <v/>
      </c>
      <c r="Y850" s="51" t="str">
        <f t="shared" si="7"/>
        <v/>
      </c>
      <c r="Z850" s="37"/>
    </row>
    <row r="851" spans="1:26" ht="14.25" customHeight="1" x14ac:dyDescent="0.3">
      <c r="A851" s="18">
        <v>212.2</v>
      </c>
      <c r="B851" s="19"/>
      <c r="C851" s="18" t="s">
        <v>55</v>
      </c>
      <c r="D851" s="19"/>
      <c r="E851" s="25"/>
      <c r="F851" s="19"/>
      <c r="G851" s="21">
        <v>0</v>
      </c>
      <c r="H851" s="21"/>
      <c r="I851" s="21"/>
      <c r="J851" s="21"/>
      <c r="K851" s="19"/>
      <c r="L851" s="19"/>
      <c r="M851" s="22">
        <v>1</v>
      </c>
      <c r="N851" s="19"/>
      <c r="O851" s="25"/>
      <c r="P851" s="23"/>
      <c r="Q851" s="21" t="s">
        <v>46</v>
      </c>
      <c r="R851" s="19" t="s">
        <v>47</v>
      </c>
      <c r="S851" s="21"/>
      <c r="T851" s="19"/>
      <c r="U851" s="21"/>
      <c r="V851" s="7"/>
      <c r="W851" s="7"/>
      <c r="X851" s="51" t="str">
        <f t="shared" si="6"/>
        <v/>
      </c>
      <c r="Y851" s="51" t="str">
        <f t="shared" si="7"/>
        <v/>
      </c>
      <c r="Z851" s="37"/>
    </row>
    <row r="852" spans="1:26" ht="14.25" customHeight="1" x14ac:dyDescent="0.3">
      <c r="A852" s="18">
        <v>212.3</v>
      </c>
      <c r="B852" s="19"/>
      <c r="C852" s="18" t="s">
        <v>55</v>
      </c>
      <c r="D852" s="19"/>
      <c r="E852" s="25"/>
      <c r="F852" s="19"/>
      <c r="G852" s="21">
        <v>0</v>
      </c>
      <c r="H852" s="21"/>
      <c r="I852" s="21"/>
      <c r="J852" s="21"/>
      <c r="K852" s="19"/>
      <c r="L852" s="19"/>
      <c r="M852" s="22">
        <v>1</v>
      </c>
      <c r="N852" s="19"/>
      <c r="O852" s="25"/>
      <c r="P852" s="23"/>
      <c r="Q852" s="21" t="s">
        <v>46</v>
      </c>
      <c r="R852" s="19" t="s">
        <v>47</v>
      </c>
      <c r="S852" s="21"/>
      <c r="T852" s="19"/>
      <c r="U852" s="21"/>
      <c r="V852" s="7"/>
      <c r="W852" s="7"/>
      <c r="X852" s="51" t="str">
        <f t="shared" si="6"/>
        <v/>
      </c>
      <c r="Y852" s="51" t="str">
        <f t="shared" si="7"/>
        <v/>
      </c>
      <c r="Z852" s="37"/>
    </row>
    <row r="853" spans="1:26" ht="14.25" customHeight="1" x14ac:dyDescent="0.3">
      <c r="A853" s="18">
        <v>212.4</v>
      </c>
      <c r="B853" s="19"/>
      <c r="C853" s="18" t="s">
        <v>55</v>
      </c>
      <c r="D853" s="19"/>
      <c r="E853" s="25"/>
      <c r="F853" s="19"/>
      <c r="G853" s="21">
        <v>0</v>
      </c>
      <c r="H853" s="21"/>
      <c r="I853" s="21"/>
      <c r="J853" s="21"/>
      <c r="K853" s="19"/>
      <c r="L853" s="19"/>
      <c r="M853" s="22">
        <v>1</v>
      </c>
      <c r="N853" s="19"/>
      <c r="O853" s="25"/>
      <c r="P853" s="23"/>
      <c r="Q853" s="21" t="s">
        <v>46</v>
      </c>
      <c r="R853" s="19" t="s">
        <v>47</v>
      </c>
      <c r="S853" s="21"/>
      <c r="T853" s="19"/>
      <c r="U853" s="21"/>
      <c r="V853" s="7"/>
      <c r="W853" s="7"/>
      <c r="X853" s="51" t="str">
        <f t="shared" si="6"/>
        <v/>
      </c>
      <c r="Y853" s="51" t="str">
        <f t="shared" si="7"/>
        <v/>
      </c>
      <c r="Z853" s="37"/>
    </row>
    <row r="854" spans="1:26" ht="14.25" customHeight="1" x14ac:dyDescent="0.3">
      <c r="A854" s="18">
        <v>213.1</v>
      </c>
      <c r="B854" s="19"/>
      <c r="C854" s="18" t="s">
        <v>55</v>
      </c>
      <c r="D854" s="19"/>
      <c r="E854" s="25"/>
      <c r="F854" s="19"/>
      <c r="G854" s="21">
        <v>0</v>
      </c>
      <c r="H854" s="21"/>
      <c r="I854" s="21"/>
      <c r="J854" s="21"/>
      <c r="K854" s="19"/>
      <c r="L854" s="19"/>
      <c r="M854" s="22">
        <v>1</v>
      </c>
      <c r="N854" s="19"/>
      <c r="O854" s="25"/>
      <c r="P854" s="23"/>
      <c r="Q854" s="21" t="s">
        <v>46</v>
      </c>
      <c r="R854" s="19" t="s">
        <v>47</v>
      </c>
      <c r="S854" s="21"/>
      <c r="T854" s="19"/>
      <c r="U854" s="21"/>
      <c r="V854" s="7"/>
      <c r="W854" s="7"/>
      <c r="X854" s="51" t="str">
        <f t="shared" si="6"/>
        <v/>
      </c>
      <c r="Y854" s="51" t="str">
        <f t="shared" si="7"/>
        <v/>
      </c>
      <c r="Z854" s="37"/>
    </row>
    <row r="855" spans="1:26" ht="14.25" customHeight="1" x14ac:dyDescent="0.3">
      <c r="A855" s="18">
        <v>213.2</v>
      </c>
      <c r="B855" s="19"/>
      <c r="C855" s="18" t="s">
        <v>55</v>
      </c>
      <c r="D855" s="19"/>
      <c r="E855" s="25"/>
      <c r="F855" s="19"/>
      <c r="G855" s="21">
        <v>0</v>
      </c>
      <c r="H855" s="21"/>
      <c r="I855" s="21"/>
      <c r="J855" s="21"/>
      <c r="K855" s="19"/>
      <c r="L855" s="19"/>
      <c r="M855" s="22">
        <v>1</v>
      </c>
      <c r="N855" s="19"/>
      <c r="O855" s="25"/>
      <c r="P855" s="23"/>
      <c r="Q855" s="21" t="s">
        <v>46</v>
      </c>
      <c r="R855" s="19" t="s">
        <v>47</v>
      </c>
      <c r="S855" s="21"/>
      <c r="T855" s="19"/>
      <c r="U855" s="21"/>
      <c r="V855" s="7"/>
      <c r="W855" s="7"/>
      <c r="X855" s="51" t="str">
        <f t="shared" si="6"/>
        <v/>
      </c>
      <c r="Y855" s="51" t="str">
        <f t="shared" si="7"/>
        <v/>
      </c>
      <c r="Z855" s="37"/>
    </row>
    <row r="856" spans="1:26" ht="14.25" customHeight="1" x14ac:dyDescent="0.3">
      <c r="A856" s="18">
        <v>213.3</v>
      </c>
      <c r="B856" s="19"/>
      <c r="C856" s="18" t="s">
        <v>55</v>
      </c>
      <c r="D856" s="19"/>
      <c r="E856" s="25"/>
      <c r="F856" s="19"/>
      <c r="G856" s="21">
        <v>0</v>
      </c>
      <c r="H856" s="21"/>
      <c r="I856" s="21"/>
      <c r="J856" s="21"/>
      <c r="K856" s="19"/>
      <c r="L856" s="19"/>
      <c r="M856" s="22">
        <v>1</v>
      </c>
      <c r="N856" s="19"/>
      <c r="O856" s="25"/>
      <c r="P856" s="23"/>
      <c r="Q856" s="21" t="s">
        <v>46</v>
      </c>
      <c r="R856" s="19" t="s">
        <v>47</v>
      </c>
      <c r="S856" s="21"/>
      <c r="T856" s="19"/>
      <c r="U856" s="21"/>
      <c r="V856" s="7"/>
      <c r="W856" s="7"/>
      <c r="X856" s="51" t="str">
        <f t="shared" si="6"/>
        <v/>
      </c>
      <c r="Y856" s="51" t="str">
        <f t="shared" si="7"/>
        <v/>
      </c>
      <c r="Z856" s="37"/>
    </row>
    <row r="857" spans="1:26" ht="14.25" customHeight="1" x14ac:dyDescent="0.3">
      <c r="A857" s="18">
        <v>213.4</v>
      </c>
      <c r="B857" s="19"/>
      <c r="C857" s="18" t="s">
        <v>55</v>
      </c>
      <c r="D857" s="19"/>
      <c r="E857" s="25"/>
      <c r="F857" s="19"/>
      <c r="G857" s="21">
        <v>0</v>
      </c>
      <c r="H857" s="21"/>
      <c r="I857" s="21"/>
      <c r="J857" s="21"/>
      <c r="K857" s="19"/>
      <c r="L857" s="19"/>
      <c r="M857" s="22">
        <v>1</v>
      </c>
      <c r="N857" s="19"/>
      <c r="O857" s="25"/>
      <c r="P857" s="23"/>
      <c r="Q857" s="21" t="s">
        <v>46</v>
      </c>
      <c r="R857" s="19" t="s">
        <v>47</v>
      </c>
      <c r="S857" s="21"/>
      <c r="T857" s="19"/>
      <c r="U857" s="21"/>
      <c r="V857" s="7"/>
      <c r="W857" s="7"/>
      <c r="X857" s="51" t="str">
        <f t="shared" si="6"/>
        <v/>
      </c>
      <c r="Y857" s="51" t="str">
        <f t="shared" si="7"/>
        <v/>
      </c>
      <c r="Z857" s="37"/>
    </row>
    <row r="858" spans="1:26" ht="14.25" customHeight="1" x14ac:dyDescent="0.3">
      <c r="A858" s="18">
        <v>214.1</v>
      </c>
      <c r="B858" s="19"/>
      <c r="C858" s="18" t="s">
        <v>55</v>
      </c>
      <c r="D858" s="19"/>
      <c r="E858" s="25"/>
      <c r="F858" s="19"/>
      <c r="G858" s="21">
        <v>0</v>
      </c>
      <c r="H858" s="21"/>
      <c r="I858" s="21"/>
      <c r="J858" s="21"/>
      <c r="K858" s="19"/>
      <c r="L858" s="19"/>
      <c r="M858" s="22">
        <v>1</v>
      </c>
      <c r="N858" s="19"/>
      <c r="O858" s="25"/>
      <c r="P858" s="23"/>
      <c r="Q858" s="21" t="s">
        <v>46</v>
      </c>
      <c r="R858" s="19" t="s">
        <v>47</v>
      </c>
      <c r="S858" s="21"/>
      <c r="T858" s="19"/>
      <c r="U858" s="21"/>
      <c r="V858" s="7"/>
      <c r="W858" s="7"/>
      <c r="X858" s="51" t="str">
        <f t="shared" si="6"/>
        <v/>
      </c>
      <c r="Y858" s="51" t="str">
        <f t="shared" si="7"/>
        <v/>
      </c>
      <c r="Z858" s="37"/>
    </row>
    <row r="859" spans="1:26" ht="14.25" customHeight="1" x14ac:dyDescent="0.3">
      <c r="A859" s="18">
        <v>214.2</v>
      </c>
      <c r="B859" s="19"/>
      <c r="C859" s="18" t="s">
        <v>55</v>
      </c>
      <c r="D859" s="19"/>
      <c r="E859" s="25"/>
      <c r="F859" s="19"/>
      <c r="G859" s="21">
        <v>0</v>
      </c>
      <c r="H859" s="21"/>
      <c r="I859" s="21"/>
      <c r="J859" s="21"/>
      <c r="K859" s="19"/>
      <c r="L859" s="19"/>
      <c r="M859" s="22">
        <v>1</v>
      </c>
      <c r="N859" s="19"/>
      <c r="O859" s="25"/>
      <c r="P859" s="23"/>
      <c r="Q859" s="21" t="s">
        <v>46</v>
      </c>
      <c r="R859" s="19" t="s">
        <v>47</v>
      </c>
      <c r="S859" s="21"/>
      <c r="T859" s="19"/>
      <c r="U859" s="21"/>
      <c r="V859" s="7"/>
      <c r="W859" s="7"/>
      <c r="X859" s="51" t="str">
        <f t="shared" si="6"/>
        <v/>
      </c>
      <c r="Y859" s="51" t="str">
        <f t="shared" si="7"/>
        <v/>
      </c>
      <c r="Z859" s="37"/>
    </row>
    <row r="860" spans="1:26" ht="14.25" customHeight="1" x14ac:dyDescent="0.3">
      <c r="A860" s="18">
        <v>214.3</v>
      </c>
      <c r="B860" s="19"/>
      <c r="C860" s="18" t="s">
        <v>55</v>
      </c>
      <c r="D860" s="19"/>
      <c r="E860" s="25"/>
      <c r="F860" s="19"/>
      <c r="G860" s="21">
        <v>0</v>
      </c>
      <c r="H860" s="21"/>
      <c r="I860" s="21"/>
      <c r="J860" s="21"/>
      <c r="K860" s="19"/>
      <c r="L860" s="19"/>
      <c r="M860" s="22">
        <v>1</v>
      </c>
      <c r="N860" s="19"/>
      <c r="O860" s="25"/>
      <c r="P860" s="23"/>
      <c r="Q860" s="21" t="s">
        <v>46</v>
      </c>
      <c r="R860" s="19" t="s">
        <v>47</v>
      </c>
      <c r="S860" s="21"/>
      <c r="T860" s="19"/>
      <c r="U860" s="21"/>
      <c r="V860" s="7"/>
      <c r="W860" s="7"/>
      <c r="X860" s="51" t="str">
        <f t="shared" si="6"/>
        <v/>
      </c>
      <c r="Y860" s="51" t="str">
        <f t="shared" si="7"/>
        <v/>
      </c>
      <c r="Z860" s="37"/>
    </row>
    <row r="861" spans="1:26" ht="14.25" customHeight="1" x14ac:dyDescent="0.3">
      <c r="A861" s="18">
        <v>214.4</v>
      </c>
      <c r="B861" s="19"/>
      <c r="C861" s="18" t="s">
        <v>55</v>
      </c>
      <c r="D861" s="19"/>
      <c r="E861" s="25"/>
      <c r="F861" s="19"/>
      <c r="G861" s="21">
        <v>0</v>
      </c>
      <c r="H861" s="21"/>
      <c r="I861" s="21"/>
      <c r="J861" s="21"/>
      <c r="K861" s="19"/>
      <c r="L861" s="19"/>
      <c r="M861" s="22">
        <v>1</v>
      </c>
      <c r="N861" s="19"/>
      <c r="O861" s="25"/>
      <c r="P861" s="23"/>
      <c r="Q861" s="21" t="s">
        <v>46</v>
      </c>
      <c r="R861" s="19" t="s">
        <v>47</v>
      </c>
      <c r="S861" s="21"/>
      <c r="T861" s="19"/>
      <c r="U861" s="21"/>
      <c r="V861" s="7"/>
      <c r="W861" s="7"/>
      <c r="X861" s="51" t="str">
        <f t="shared" si="6"/>
        <v/>
      </c>
      <c r="Y861" s="51" t="str">
        <f t="shared" si="7"/>
        <v/>
      </c>
      <c r="Z861" s="37"/>
    </row>
    <row r="862" spans="1:26" ht="14.25" customHeight="1" x14ac:dyDescent="0.3">
      <c r="A862" s="18">
        <v>215.1</v>
      </c>
      <c r="B862" s="19"/>
      <c r="C862" s="18" t="s">
        <v>55</v>
      </c>
      <c r="D862" s="19"/>
      <c r="E862" s="25"/>
      <c r="F862" s="19"/>
      <c r="G862" s="21">
        <v>0</v>
      </c>
      <c r="H862" s="21"/>
      <c r="I862" s="21"/>
      <c r="J862" s="21"/>
      <c r="K862" s="19"/>
      <c r="L862" s="19"/>
      <c r="M862" s="22">
        <v>1</v>
      </c>
      <c r="N862" s="19"/>
      <c r="O862" s="25"/>
      <c r="P862" s="23"/>
      <c r="Q862" s="21" t="s">
        <v>46</v>
      </c>
      <c r="R862" s="19" t="s">
        <v>47</v>
      </c>
      <c r="S862" s="21"/>
      <c r="T862" s="19"/>
      <c r="U862" s="21"/>
      <c r="V862" s="7"/>
      <c r="W862" s="7"/>
      <c r="X862" s="51" t="str">
        <f t="shared" si="6"/>
        <v/>
      </c>
      <c r="Y862" s="51" t="str">
        <f t="shared" si="7"/>
        <v/>
      </c>
      <c r="Z862" s="37"/>
    </row>
    <row r="863" spans="1:26" ht="14.25" customHeight="1" x14ac:dyDescent="0.3">
      <c r="A863" s="18">
        <v>215.2</v>
      </c>
      <c r="B863" s="19"/>
      <c r="C863" s="18" t="s">
        <v>55</v>
      </c>
      <c r="D863" s="19"/>
      <c r="E863" s="25"/>
      <c r="F863" s="19"/>
      <c r="G863" s="21">
        <v>0</v>
      </c>
      <c r="H863" s="21"/>
      <c r="I863" s="21"/>
      <c r="J863" s="21"/>
      <c r="K863" s="19"/>
      <c r="L863" s="19"/>
      <c r="M863" s="22">
        <v>1</v>
      </c>
      <c r="N863" s="19"/>
      <c r="O863" s="25"/>
      <c r="P863" s="23"/>
      <c r="Q863" s="21" t="s">
        <v>46</v>
      </c>
      <c r="R863" s="19" t="s">
        <v>47</v>
      </c>
      <c r="S863" s="21"/>
      <c r="T863" s="19"/>
      <c r="U863" s="21"/>
      <c r="V863" s="7"/>
      <c r="W863" s="7"/>
      <c r="X863" s="51" t="str">
        <f t="shared" si="6"/>
        <v/>
      </c>
      <c r="Y863" s="51" t="str">
        <f t="shared" si="7"/>
        <v/>
      </c>
      <c r="Z863" s="37"/>
    </row>
    <row r="864" spans="1:26" ht="14.25" customHeight="1" x14ac:dyDescent="0.3">
      <c r="A864" s="18">
        <v>215.3</v>
      </c>
      <c r="B864" s="19"/>
      <c r="C864" s="18" t="s">
        <v>55</v>
      </c>
      <c r="D864" s="19"/>
      <c r="E864" s="25"/>
      <c r="F864" s="19"/>
      <c r="G864" s="21">
        <v>0</v>
      </c>
      <c r="H864" s="21"/>
      <c r="I864" s="21"/>
      <c r="J864" s="21"/>
      <c r="K864" s="19"/>
      <c r="L864" s="19"/>
      <c r="M864" s="22">
        <v>1</v>
      </c>
      <c r="N864" s="19"/>
      <c r="O864" s="25"/>
      <c r="P864" s="23"/>
      <c r="Q864" s="21" t="s">
        <v>46</v>
      </c>
      <c r="R864" s="19" t="s">
        <v>47</v>
      </c>
      <c r="S864" s="21"/>
      <c r="T864" s="19"/>
      <c r="U864" s="21"/>
      <c r="V864" s="7"/>
      <c r="W864" s="7"/>
      <c r="X864" s="51" t="str">
        <f t="shared" si="6"/>
        <v/>
      </c>
      <c r="Y864" s="51" t="str">
        <f t="shared" si="7"/>
        <v/>
      </c>
      <c r="Z864" s="37"/>
    </row>
    <row r="865" spans="1:26" ht="14.25" customHeight="1" x14ac:dyDescent="0.3">
      <c r="A865" s="18">
        <v>215.4</v>
      </c>
      <c r="B865" s="19"/>
      <c r="C865" s="18" t="s">
        <v>55</v>
      </c>
      <c r="D865" s="19"/>
      <c r="E865" s="25"/>
      <c r="F865" s="19"/>
      <c r="G865" s="21">
        <v>0</v>
      </c>
      <c r="H865" s="21"/>
      <c r="I865" s="21"/>
      <c r="J865" s="21"/>
      <c r="K865" s="19"/>
      <c r="L865" s="19"/>
      <c r="M865" s="22">
        <v>1</v>
      </c>
      <c r="N865" s="19"/>
      <c r="O865" s="25"/>
      <c r="P865" s="23"/>
      <c r="Q865" s="21" t="s">
        <v>46</v>
      </c>
      <c r="R865" s="19" t="s">
        <v>47</v>
      </c>
      <c r="S865" s="21"/>
      <c r="T865" s="19"/>
      <c r="U865" s="21"/>
      <c r="V865" s="7"/>
      <c r="W865" s="7"/>
      <c r="X865" s="51" t="str">
        <f t="shared" si="6"/>
        <v/>
      </c>
      <c r="Y865" s="51" t="str">
        <f t="shared" si="7"/>
        <v/>
      </c>
      <c r="Z865" s="37"/>
    </row>
    <row r="866" spans="1:26" ht="14.25" customHeight="1" x14ac:dyDescent="0.3">
      <c r="A866" s="18">
        <v>216.1</v>
      </c>
      <c r="B866" s="19"/>
      <c r="C866" s="18" t="s">
        <v>55</v>
      </c>
      <c r="D866" s="19"/>
      <c r="E866" s="25"/>
      <c r="F866" s="19"/>
      <c r="G866" s="21">
        <v>0</v>
      </c>
      <c r="H866" s="21"/>
      <c r="I866" s="21"/>
      <c r="J866" s="21"/>
      <c r="K866" s="19"/>
      <c r="L866" s="19"/>
      <c r="M866" s="22">
        <v>1</v>
      </c>
      <c r="N866" s="19"/>
      <c r="O866" s="25"/>
      <c r="P866" s="23"/>
      <c r="Q866" s="21" t="s">
        <v>46</v>
      </c>
      <c r="R866" s="19" t="s">
        <v>47</v>
      </c>
      <c r="S866" s="21"/>
      <c r="T866" s="19"/>
      <c r="U866" s="21"/>
      <c r="V866" s="7"/>
      <c r="W866" s="7"/>
      <c r="X866" s="51" t="str">
        <f t="shared" si="6"/>
        <v/>
      </c>
      <c r="Y866" s="51" t="str">
        <f t="shared" si="7"/>
        <v/>
      </c>
      <c r="Z866" s="37"/>
    </row>
    <row r="867" spans="1:26" ht="14.25" customHeight="1" x14ac:dyDescent="0.3">
      <c r="A867" s="18">
        <v>216.2</v>
      </c>
      <c r="B867" s="19"/>
      <c r="C867" s="18" t="s">
        <v>55</v>
      </c>
      <c r="D867" s="19"/>
      <c r="E867" s="25"/>
      <c r="F867" s="19"/>
      <c r="G867" s="21">
        <v>0</v>
      </c>
      <c r="H867" s="21"/>
      <c r="I867" s="21"/>
      <c r="J867" s="21"/>
      <c r="K867" s="19"/>
      <c r="L867" s="19"/>
      <c r="M867" s="22">
        <v>1</v>
      </c>
      <c r="N867" s="19"/>
      <c r="O867" s="25"/>
      <c r="P867" s="23"/>
      <c r="Q867" s="21" t="s">
        <v>46</v>
      </c>
      <c r="R867" s="19" t="s">
        <v>47</v>
      </c>
      <c r="S867" s="21"/>
      <c r="T867" s="19"/>
      <c r="U867" s="21"/>
      <c r="V867" s="7"/>
      <c r="W867" s="7"/>
      <c r="X867" s="51" t="str">
        <f t="shared" si="6"/>
        <v/>
      </c>
      <c r="Y867" s="51" t="str">
        <f t="shared" si="7"/>
        <v/>
      </c>
      <c r="Z867" s="37"/>
    </row>
    <row r="868" spans="1:26" ht="14.25" customHeight="1" x14ac:dyDescent="0.3">
      <c r="A868" s="18">
        <v>216.3</v>
      </c>
      <c r="B868" s="19"/>
      <c r="C868" s="18" t="s">
        <v>55</v>
      </c>
      <c r="D868" s="19"/>
      <c r="E868" s="25"/>
      <c r="F868" s="19"/>
      <c r="G868" s="21">
        <v>0</v>
      </c>
      <c r="H868" s="21"/>
      <c r="I868" s="21"/>
      <c r="J868" s="21"/>
      <c r="K868" s="19"/>
      <c r="L868" s="19"/>
      <c r="M868" s="22">
        <v>1</v>
      </c>
      <c r="N868" s="19"/>
      <c r="O868" s="25"/>
      <c r="P868" s="23"/>
      <c r="Q868" s="21" t="s">
        <v>46</v>
      </c>
      <c r="R868" s="19" t="s">
        <v>47</v>
      </c>
      <c r="S868" s="21"/>
      <c r="T868" s="19"/>
      <c r="U868" s="21"/>
      <c r="V868" s="7"/>
      <c r="W868" s="7"/>
      <c r="X868" s="51" t="str">
        <f t="shared" si="6"/>
        <v/>
      </c>
      <c r="Y868" s="51" t="str">
        <f t="shared" si="7"/>
        <v/>
      </c>
      <c r="Z868" s="37"/>
    </row>
    <row r="869" spans="1:26" ht="14.25" customHeight="1" x14ac:dyDescent="0.3">
      <c r="A869" s="18">
        <v>216.4</v>
      </c>
      <c r="B869" s="19"/>
      <c r="C869" s="18" t="s">
        <v>55</v>
      </c>
      <c r="D869" s="19"/>
      <c r="E869" s="25"/>
      <c r="F869" s="19"/>
      <c r="G869" s="21">
        <v>0</v>
      </c>
      <c r="H869" s="21"/>
      <c r="I869" s="21"/>
      <c r="J869" s="21"/>
      <c r="K869" s="19"/>
      <c r="L869" s="19"/>
      <c r="M869" s="22">
        <v>1</v>
      </c>
      <c r="N869" s="19"/>
      <c r="O869" s="25"/>
      <c r="P869" s="23"/>
      <c r="Q869" s="21" t="s">
        <v>46</v>
      </c>
      <c r="R869" s="19" t="s">
        <v>47</v>
      </c>
      <c r="S869" s="21"/>
      <c r="T869" s="19"/>
      <c r="U869" s="21"/>
      <c r="V869" s="7"/>
      <c r="W869" s="7"/>
      <c r="X869" s="51" t="str">
        <f t="shared" si="6"/>
        <v/>
      </c>
      <c r="Y869" s="51" t="str">
        <f t="shared" si="7"/>
        <v/>
      </c>
      <c r="Z869" s="37"/>
    </row>
    <row r="870" spans="1:26" ht="14.25" customHeight="1" x14ac:dyDescent="0.3">
      <c r="A870" s="18">
        <v>217.1</v>
      </c>
      <c r="B870" s="19"/>
      <c r="C870" s="18" t="s">
        <v>55</v>
      </c>
      <c r="D870" s="19"/>
      <c r="E870" s="25"/>
      <c r="F870" s="19"/>
      <c r="G870" s="21">
        <v>0</v>
      </c>
      <c r="H870" s="21"/>
      <c r="I870" s="21"/>
      <c r="J870" s="21"/>
      <c r="K870" s="19"/>
      <c r="L870" s="19"/>
      <c r="M870" s="22">
        <v>1</v>
      </c>
      <c r="N870" s="19"/>
      <c r="O870" s="25"/>
      <c r="P870" s="23"/>
      <c r="Q870" s="21" t="s">
        <v>46</v>
      </c>
      <c r="R870" s="19" t="s">
        <v>47</v>
      </c>
      <c r="S870" s="21"/>
      <c r="T870" s="19"/>
      <c r="U870" s="21"/>
      <c r="V870" s="7"/>
      <c r="W870" s="7"/>
      <c r="X870" s="51" t="str">
        <f t="shared" si="6"/>
        <v/>
      </c>
      <c r="Y870" s="51" t="str">
        <f t="shared" si="7"/>
        <v/>
      </c>
      <c r="Z870" s="37"/>
    </row>
    <row r="871" spans="1:26" ht="14.25" customHeight="1" x14ac:dyDescent="0.3">
      <c r="A871" s="18">
        <v>217.2</v>
      </c>
      <c r="B871" s="19"/>
      <c r="C871" s="18" t="s">
        <v>55</v>
      </c>
      <c r="D871" s="19"/>
      <c r="E871" s="25"/>
      <c r="F871" s="19"/>
      <c r="G871" s="21">
        <v>0</v>
      </c>
      <c r="H871" s="21"/>
      <c r="I871" s="21"/>
      <c r="J871" s="21"/>
      <c r="K871" s="19"/>
      <c r="L871" s="19"/>
      <c r="M871" s="22">
        <v>1</v>
      </c>
      <c r="N871" s="19"/>
      <c r="O871" s="25"/>
      <c r="P871" s="23"/>
      <c r="Q871" s="21" t="s">
        <v>46</v>
      </c>
      <c r="R871" s="19" t="s">
        <v>47</v>
      </c>
      <c r="S871" s="21"/>
      <c r="T871" s="19"/>
      <c r="U871" s="21"/>
      <c r="V871" s="7"/>
      <c r="W871" s="7"/>
      <c r="X871" s="51" t="str">
        <f t="shared" si="6"/>
        <v/>
      </c>
      <c r="Y871" s="51" t="str">
        <f t="shared" si="7"/>
        <v/>
      </c>
      <c r="Z871" s="37"/>
    </row>
    <row r="872" spans="1:26" ht="14.25" customHeight="1" x14ac:dyDescent="0.3">
      <c r="A872" s="18">
        <v>217.3</v>
      </c>
      <c r="B872" s="19"/>
      <c r="C872" s="18" t="s">
        <v>55</v>
      </c>
      <c r="D872" s="19"/>
      <c r="E872" s="25"/>
      <c r="F872" s="19"/>
      <c r="G872" s="21">
        <v>0</v>
      </c>
      <c r="H872" s="21"/>
      <c r="I872" s="21"/>
      <c r="J872" s="21"/>
      <c r="K872" s="19"/>
      <c r="L872" s="19"/>
      <c r="M872" s="22">
        <v>1</v>
      </c>
      <c r="N872" s="19"/>
      <c r="O872" s="25"/>
      <c r="P872" s="23"/>
      <c r="Q872" s="21" t="s">
        <v>46</v>
      </c>
      <c r="R872" s="19" t="s">
        <v>47</v>
      </c>
      <c r="S872" s="21"/>
      <c r="T872" s="19"/>
      <c r="U872" s="21"/>
      <c r="V872" s="7"/>
      <c r="W872" s="7"/>
      <c r="X872" s="51" t="str">
        <f t="shared" si="6"/>
        <v/>
      </c>
      <c r="Y872" s="51" t="str">
        <f t="shared" si="7"/>
        <v/>
      </c>
      <c r="Z872" s="37"/>
    </row>
    <row r="873" spans="1:26" ht="14.25" customHeight="1" x14ac:dyDescent="0.3">
      <c r="A873" s="18">
        <v>217.4</v>
      </c>
      <c r="B873" s="19"/>
      <c r="C873" s="18" t="s">
        <v>55</v>
      </c>
      <c r="D873" s="19"/>
      <c r="E873" s="25"/>
      <c r="F873" s="19"/>
      <c r="G873" s="21">
        <v>0</v>
      </c>
      <c r="H873" s="21"/>
      <c r="I873" s="21"/>
      <c r="J873" s="21"/>
      <c r="K873" s="19"/>
      <c r="L873" s="19"/>
      <c r="M873" s="22">
        <v>1</v>
      </c>
      <c r="N873" s="19"/>
      <c r="O873" s="25"/>
      <c r="P873" s="23"/>
      <c r="Q873" s="21" t="s">
        <v>46</v>
      </c>
      <c r="R873" s="19" t="s">
        <v>47</v>
      </c>
      <c r="S873" s="21"/>
      <c r="T873" s="19"/>
      <c r="U873" s="21"/>
      <c r="V873" s="7"/>
      <c r="W873" s="7"/>
      <c r="X873" s="51" t="str">
        <f t="shared" si="6"/>
        <v/>
      </c>
      <c r="Y873" s="51" t="str">
        <f t="shared" si="7"/>
        <v/>
      </c>
      <c r="Z873" s="37"/>
    </row>
    <row r="874" spans="1:26" ht="14.25" customHeight="1" x14ac:dyDescent="0.3">
      <c r="A874" s="18">
        <v>218.1</v>
      </c>
      <c r="B874" s="19"/>
      <c r="C874" s="18" t="s">
        <v>55</v>
      </c>
      <c r="D874" s="19"/>
      <c r="E874" s="25"/>
      <c r="F874" s="19"/>
      <c r="G874" s="21">
        <v>0</v>
      </c>
      <c r="H874" s="21"/>
      <c r="I874" s="21"/>
      <c r="J874" s="21"/>
      <c r="K874" s="19"/>
      <c r="L874" s="19"/>
      <c r="M874" s="22">
        <v>1</v>
      </c>
      <c r="N874" s="19"/>
      <c r="O874" s="25"/>
      <c r="P874" s="23"/>
      <c r="Q874" s="21" t="s">
        <v>46</v>
      </c>
      <c r="R874" s="19" t="s">
        <v>47</v>
      </c>
      <c r="S874" s="21"/>
      <c r="T874" s="19"/>
      <c r="U874" s="21"/>
      <c r="V874" s="7"/>
      <c r="W874" s="7"/>
      <c r="X874" s="51" t="str">
        <f t="shared" si="6"/>
        <v/>
      </c>
      <c r="Y874" s="51" t="str">
        <f t="shared" si="7"/>
        <v/>
      </c>
      <c r="Z874" s="37"/>
    </row>
    <row r="875" spans="1:26" ht="14.25" customHeight="1" x14ac:dyDescent="0.3">
      <c r="A875" s="18">
        <v>218.2</v>
      </c>
      <c r="B875" s="19"/>
      <c r="C875" s="18" t="s">
        <v>55</v>
      </c>
      <c r="D875" s="19"/>
      <c r="E875" s="25"/>
      <c r="F875" s="19"/>
      <c r="G875" s="21">
        <v>0</v>
      </c>
      <c r="H875" s="21"/>
      <c r="I875" s="21"/>
      <c r="J875" s="21"/>
      <c r="K875" s="19"/>
      <c r="L875" s="19"/>
      <c r="M875" s="22">
        <v>1</v>
      </c>
      <c r="N875" s="19"/>
      <c r="O875" s="25"/>
      <c r="P875" s="23"/>
      <c r="Q875" s="21" t="s">
        <v>46</v>
      </c>
      <c r="R875" s="19" t="s">
        <v>47</v>
      </c>
      <c r="S875" s="21"/>
      <c r="T875" s="19"/>
      <c r="U875" s="21"/>
      <c r="V875" s="7"/>
      <c r="W875" s="7"/>
      <c r="X875" s="51" t="str">
        <f t="shared" si="6"/>
        <v/>
      </c>
      <c r="Y875" s="51" t="str">
        <f t="shared" si="7"/>
        <v/>
      </c>
      <c r="Z875" s="37"/>
    </row>
    <row r="876" spans="1:26" ht="14.25" customHeight="1" x14ac:dyDescent="0.3">
      <c r="A876" s="18">
        <v>218.3</v>
      </c>
      <c r="B876" s="19"/>
      <c r="C876" s="18" t="s">
        <v>55</v>
      </c>
      <c r="D876" s="19"/>
      <c r="E876" s="25"/>
      <c r="F876" s="19"/>
      <c r="G876" s="21">
        <v>0</v>
      </c>
      <c r="H876" s="21"/>
      <c r="I876" s="21"/>
      <c r="J876" s="21"/>
      <c r="K876" s="19"/>
      <c r="L876" s="19"/>
      <c r="M876" s="22">
        <v>1</v>
      </c>
      <c r="N876" s="19"/>
      <c r="O876" s="25"/>
      <c r="P876" s="23"/>
      <c r="Q876" s="21" t="s">
        <v>46</v>
      </c>
      <c r="R876" s="19" t="s">
        <v>47</v>
      </c>
      <c r="S876" s="21"/>
      <c r="T876" s="19"/>
      <c r="U876" s="21"/>
      <c r="V876" s="7"/>
      <c r="W876" s="7"/>
      <c r="X876" s="51" t="str">
        <f t="shared" si="6"/>
        <v/>
      </c>
      <c r="Y876" s="51" t="str">
        <f t="shared" si="7"/>
        <v/>
      </c>
      <c r="Z876" s="37"/>
    </row>
    <row r="877" spans="1:26" ht="14.25" customHeight="1" x14ac:dyDescent="0.3">
      <c r="A877" s="18">
        <v>218.4</v>
      </c>
      <c r="B877" s="19"/>
      <c r="C877" s="18" t="s">
        <v>55</v>
      </c>
      <c r="D877" s="19"/>
      <c r="E877" s="25"/>
      <c r="F877" s="19"/>
      <c r="G877" s="21">
        <v>0</v>
      </c>
      <c r="H877" s="21"/>
      <c r="I877" s="21"/>
      <c r="J877" s="21"/>
      <c r="K877" s="19"/>
      <c r="L877" s="19"/>
      <c r="M877" s="22">
        <v>1</v>
      </c>
      <c r="N877" s="19"/>
      <c r="O877" s="25"/>
      <c r="P877" s="23"/>
      <c r="Q877" s="21" t="s">
        <v>46</v>
      </c>
      <c r="R877" s="19" t="s">
        <v>47</v>
      </c>
      <c r="S877" s="21"/>
      <c r="T877" s="19"/>
      <c r="U877" s="21"/>
      <c r="V877" s="7"/>
      <c r="W877" s="7"/>
      <c r="X877" s="51" t="str">
        <f t="shared" si="6"/>
        <v/>
      </c>
      <c r="Y877" s="51" t="str">
        <f t="shared" si="7"/>
        <v/>
      </c>
      <c r="Z877" s="37"/>
    </row>
    <row r="878" spans="1:26" ht="14.25" customHeight="1" x14ac:dyDescent="0.3">
      <c r="A878" s="18">
        <v>219.1</v>
      </c>
      <c r="B878" s="19"/>
      <c r="C878" s="18" t="s">
        <v>55</v>
      </c>
      <c r="D878" s="19"/>
      <c r="E878" s="25"/>
      <c r="F878" s="19"/>
      <c r="G878" s="21">
        <v>0</v>
      </c>
      <c r="H878" s="21"/>
      <c r="I878" s="21"/>
      <c r="J878" s="21"/>
      <c r="K878" s="19"/>
      <c r="L878" s="19"/>
      <c r="M878" s="22">
        <v>1</v>
      </c>
      <c r="N878" s="19"/>
      <c r="O878" s="25"/>
      <c r="P878" s="23"/>
      <c r="Q878" s="21" t="s">
        <v>46</v>
      </c>
      <c r="R878" s="19" t="s">
        <v>47</v>
      </c>
      <c r="S878" s="21"/>
      <c r="T878" s="19"/>
      <c r="U878" s="21"/>
      <c r="V878" s="7"/>
      <c r="W878" s="7"/>
      <c r="X878" s="51" t="str">
        <f t="shared" si="6"/>
        <v/>
      </c>
      <c r="Y878" s="51" t="str">
        <f t="shared" si="7"/>
        <v/>
      </c>
      <c r="Z878" s="37"/>
    </row>
    <row r="879" spans="1:26" ht="14.25" customHeight="1" x14ac:dyDescent="0.3">
      <c r="A879" s="18">
        <v>219.2</v>
      </c>
      <c r="B879" s="19"/>
      <c r="C879" s="18" t="s">
        <v>55</v>
      </c>
      <c r="D879" s="19"/>
      <c r="E879" s="25"/>
      <c r="F879" s="19"/>
      <c r="G879" s="21">
        <v>0</v>
      </c>
      <c r="H879" s="21"/>
      <c r="I879" s="21"/>
      <c r="J879" s="21"/>
      <c r="K879" s="19"/>
      <c r="L879" s="19"/>
      <c r="M879" s="22">
        <v>1</v>
      </c>
      <c r="N879" s="19"/>
      <c r="O879" s="25"/>
      <c r="P879" s="23"/>
      <c r="Q879" s="21" t="s">
        <v>46</v>
      </c>
      <c r="R879" s="19" t="s">
        <v>47</v>
      </c>
      <c r="S879" s="21"/>
      <c r="T879" s="19"/>
      <c r="U879" s="21"/>
      <c r="V879" s="7"/>
      <c r="W879" s="7"/>
      <c r="X879" s="51" t="str">
        <f t="shared" si="6"/>
        <v/>
      </c>
      <c r="Y879" s="51" t="str">
        <f t="shared" si="7"/>
        <v/>
      </c>
      <c r="Z879" s="37"/>
    </row>
    <row r="880" spans="1:26" ht="14.25" customHeight="1" x14ac:dyDescent="0.3">
      <c r="A880" s="18">
        <v>219.3</v>
      </c>
      <c r="B880" s="19"/>
      <c r="C880" s="18" t="s">
        <v>55</v>
      </c>
      <c r="D880" s="19"/>
      <c r="E880" s="25"/>
      <c r="F880" s="19"/>
      <c r="G880" s="21">
        <v>0</v>
      </c>
      <c r="H880" s="21"/>
      <c r="I880" s="21"/>
      <c r="J880" s="21"/>
      <c r="K880" s="19"/>
      <c r="L880" s="19"/>
      <c r="M880" s="22">
        <v>1</v>
      </c>
      <c r="N880" s="19"/>
      <c r="O880" s="25"/>
      <c r="P880" s="23"/>
      <c r="Q880" s="21" t="s">
        <v>46</v>
      </c>
      <c r="R880" s="19" t="s">
        <v>47</v>
      </c>
      <c r="S880" s="21"/>
      <c r="T880" s="19"/>
      <c r="U880" s="21"/>
      <c r="V880" s="7"/>
      <c r="W880" s="7"/>
      <c r="X880" s="51" t="str">
        <f t="shared" si="6"/>
        <v/>
      </c>
      <c r="Y880" s="51" t="str">
        <f t="shared" si="7"/>
        <v/>
      </c>
      <c r="Z880" s="37"/>
    </row>
    <row r="881" spans="1:26" ht="14.25" customHeight="1" x14ac:dyDescent="0.3">
      <c r="A881" s="18">
        <v>219.4</v>
      </c>
      <c r="B881" s="19"/>
      <c r="C881" s="18" t="s">
        <v>55</v>
      </c>
      <c r="D881" s="19"/>
      <c r="E881" s="25"/>
      <c r="F881" s="19"/>
      <c r="G881" s="21">
        <v>0</v>
      </c>
      <c r="H881" s="21"/>
      <c r="I881" s="21"/>
      <c r="J881" s="21"/>
      <c r="K881" s="19"/>
      <c r="L881" s="19"/>
      <c r="M881" s="22">
        <v>1</v>
      </c>
      <c r="N881" s="19"/>
      <c r="O881" s="25"/>
      <c r="P881" s="23"/>
      <c r="Q881" s="21" t="s">
        <v>46</v>
      </c>
      <c r="R881" s="19" t="s">
        <v>47</v>
      </c>
      <c r="S881" s="21"/>
      <c r="T881" s="19"/>
      <c r="U881" s="21"/>
      <c r="V881" s="7"/>
      <c r="W881" s="7"/>
      <c r="X881" s="51" t="str">
        <f t="shared" si="6"/>
        <v/>
      </c>
      <c r="Y881" s="51" t="str">
        <f t="shared" si="7"/>
        <v/>
      </c>
      <c r="Z881" s="37"/>
    </row>
    <row r="882" spans="1:26" ht="14.25" customHeight="1" x14ac:dyDescent="0.3">
      <c r="A882" s="18">
        <v>220.1</v>
      </c>
      <c r="B882" s="19"/>
      <c r="C882" s="18" t="s">
        <v>55</v>
      </c>
      <c r="D882" s="19"/>
      <c r="E882" s="25"/>
      <c r="F882" s="19"/>
      <c r="G882" s="21">
        <v>0</v>
      </c>
      <c r="H882" s="21"/>
      <c r="I882" s="21"/>
      <c r="J882" s="21"/>
      <c r="K882" s="19"/>
      <c r="L882" s="19"/>
      <c r="M882" s="22">
        <v>1</v>
      </c>
      <c r="N882" s="19"/>
      <c r="O882" s="25"/>
      <c r="P882" s="23"/>
      <c r="Q882" s="21" t="s">
        <v>46</v>
      </c>
      <c r="R882" s="19" t="s">
        <v>47</v>
      </c>
      <c r="S882" s="21"/>
      <c r="T882" s="19"/>
      <c r="U882" s="21"/>
      <c r="V882" s="7"/>
      <c r="W882" s="7"/>
      <c r="X882" s="51" t="str">
        <f t="shared" si="6"/>
        <v/>
      </c>
      <c r="Y882" s="51" t="str">
        <f t="shared" si="7"/>
        <v/>
      </c>
      <c r="Z882" s="37"/>
    </row>
    <row r="883" spans="1:26" ht="14.25" customHeight="1" x14ac:dyDescent="0.3">
      <c r="A883" s="18">
        <v>220.2</v>
      </c>
      <c r="B883" s="19"/>
      <c r="C883" s="18" t="s">
        <v>55</v>
      </c>
      <c r="D883" s="19"/>
      <c r="E883" s="25"/>
      <c r="F883" s="19"/>
      <c r="G883" s="21">
        <v>0</v>
      </c>
      <c r="H883" s="21"/>
      <c r="I883" s="21"/>
      <c r="J883" s="21"/>
      <c r="K883" s="19"/>
      <c r="L883" s="19"/>
      <c r="M883" s="22">
        <v>1</v>
      </c>
      <c r="N883" s="19"/>
      <c r="O883" s="25"/>
      <c r="P883" s="23"/>
      <c r="Q883" s="21" t="s">
        <v>46</v>
      </c>
      <c r="R883" s="19" t="s">
        <v>47</v>
      </c>
      <c r="S883" s="21"/>
      <c r="T883" s="19"/>
      <c r="U883" s="21"/>
      <c r="V883" s="7"/>
      <c r="W883" s="7"/>
      <c r="X883" s="51" t="str">
        <f t="shared" si="6"/>
        <v/>
      </c>
      <c r="Y883" s="51" t="str">
        <f t="shared" si="7"/>
        <v/>
      </c>
      <c r="Z883" s="37"/>
    </row>
    <row r="884" spans="1:26" ht="14.25" customHeight="1" x14ac:dyDescent="0.3">
      <c r="A884" s="18">
        <v>220.3</v>
      </c>
      <c r="B884" s="19"/>
      <c r="C884" s="18" t="s">
        <v>55</v>
      </c>
      <c r="D884" s="19"/>
      <c r="E884" s="25"/>
      <c r="F884" s="19"/>
      <c r="G884" s="21">
        <v>0</v>
      </c>
      <c r="H884" s="21"/>
      <c r="I884" s="21"/>
      <c r="J884" s="21"/>
      <c r="K884" s="19"/>
      <c r="L884" s="19"/>
      <c r="M884" s="22">
        <v>1</v>
      </c>
      <c r="N884" s="19"/>
      <c r="O884" s="25"/>
      <c r="P884" s="23"/>
      <c r="Q884" s="21" t="s">
        <v>46</v>
      </c>
      <c r="R884" s="19" t="s">
        <v>47</v>
      </c>
      <c r="S884" s="21"/>
      <c r="T884" s="19"/>
      <c r="U884" s="21"/>
      <c r="V884" s="7"/>
      <c r="W884" s="7"/>
      <c r="X884" s="51" t="str">
        <f t="shared" si="6"/>
        <v/>
      </c>
      <c r="Y884" s="51" t="str">
        <f t="shared" si="7"/>
        <v/>
      </c>
      <c r="Z884" s="37"/>
    </row>
    <row r="885" spans="1:26" ht="14.25" customHeight="1" x14ac:dyDescent="0.3">
      <c r="A885" s="18">
        <v>220.4</v>
      </c>
      <c r="B885" s="19"/>
      <c r="C885" s="18" t="s">
        <v>55</v>
      </c>
      <c r="D885" s="19"/>
      <c r="E885" s="25"/>
      <c r="F885" s="19"/>
      <c r="G885" s="21">
        <v>0</v>
      </c>
      <c r="H885" s="21"/>
      <c r="I885" s="21"/>
      <c r="J885" s="21"/>
      <c r="K885" s="19"/>
      <c r="L885" s="19"/>
      <c r="M885" s="22">
        <v>1</v>
      </c>
      <c r="N885" s="19"/>
      <c r="O885" s="25"/>
      <c r="P885" s="23"/>
      <c r="Q885" s="21" t="s">
        <v>46</v>
      </c>
      <c r="R885" s="19" t="s">
        <v>47</v>
      </c>
      <c r="S885" s="21"/>
      <c r="T885" s="19"/>
      <c r="U885" s="21"/>
      <c r="V885" s="7"/>
      <c r="W885" s="7"/>
      <c r="X885" s="51" t="str">
        <f t="shared" si="6"/>
        <v/>
      </c>
      <c r="Y885" s="51" t="str">
        <f t="shared" si="7"/>
        <v/>
      </c>
      <c r="Z885" s="37"/>
    </row>
    <row r="886" spans="1:26" ht="14.25" customHeight="1" x14ac:dyDescent="0.3">
      <c r="A886" s="18">
        <v>221.1</v>
      </c>
      <c r="B886" s="19"/>
      <c r="C886" s="18" t="s">
        <v>55</v>
      </c>
      <c r="D886" s="19"/>
      <c r="E886" s="25"/>
      <c r="F886" s="19"/>
      <c r="G886" s="21">
        <v>0</v>
      </c>
      <c r="H886" s="21"/>
      <c r="I886" s="21"/>
      <c r="J886" s="21"/>
      <c r="K886" s="19"/>
      <c r="L886" s="19"/>
      <c r="M886" s="22">
        <v>1</v>
      </c>
      <c r="N886" s="19"/>
      <c r="O886" s="25"/>
      <c r="P886" s="23"/>
      <c r="Q886" s="21" t="s">
        <v>46</v>
      </c>
      <c r="R886" s="19" t="s">
        <v>47</v>
      </c>
      <c r="S886" s="21"/>
      <c r="T886" s="19"/>
      <c r="U886" s="21"/>
      <c r="V886" s="7"/>
      <c r="W886" s="7"/>
      <c r="X886" s="51" t="str">
        <f t="shared" si="6"/>
        <v/>
      </c>
      <c r="Y886" s="51" t="str">
        <f t="shared" si="7"/>
        <v/>
      </c>
      <c r="Z886" s="37"/>
    </row>
    <row r="887" spans="1:26" ht="14.25" customHeight="1" x14ac:dyDescent="0.3">
      <c r="A887" s="18">
        <v>221.2</v>
      </c>
      <c r="B887" s="19"/>
      <c r="C887" s="18" t="s">
        <v>55</v>
      </c>
      <c r="D887" s="19"/>
      <c r="E887" s="25"/>
      <c r="F887" s="19"/>
      <c r="G887" s="21">
        <v>0</v>
      </c>
      <c r="H887" s="21"/>
      <c r="I887" s="21"/>
      <c r="J887" s="21"/>
      <c r="K887" s="19"/>
      <c r="L887" s="19"/>
      <c r="M887" s="22">
        <v>1</v>
      </c>
      <c r="N887" s="19"/>
      <c r="O887" s="25"/>
      <c r="P887" s="23"/>
      <c r="Q887" s="21" t="s">
        <v>46</v>
      </c>
      <c r="R887" s="19" t="s">
        <v>47</v>
      </c>
      <c r="S887" s="21"/>
      <c r="T887" s="19"/>
      <c r="U887" s="21"/>
      <c r="V887" s="7"/>
      <c r="W887" s="7"/>
      <c r="X887" s="51" t="str">
        <f t="shared" si="6"/>
        <v/>
      </c>
      <c r="Y887" s="51" t="str">
        <f t="shared" si="7"/>
        <v/>
      </c>
      <c r="Z887" s="37"/>
    </row>
    <row r="888" spans="1:26" ht="14.25" customHeight="1" x14ac:dyDescent="0.3">
      <c r="A888" s="18">
        <v>221.3</v>
      </c>
      <c r="B888" s="19"/>
      <c r="C888" s="18" t="s">
        <v>55</v>
      </c>
      <c r="D888" s="19"/>
      <c r="E888" s="25"/>
      <c r="F888" s="19"/>
      <c r="G888" s="21">
        <v>0</v>
      </c>
      <c r="H888" s="21"/>
      <c r="I888" s="21"/>
      <c r="J888" s="21"/>
      <c r="K888" s="19"/>
      <c r="L888" s="19"/>
      <c r="M888" s="22">
        <v>1</v>
      </c>
      <c r="N888" s="19"/>
      <c r="O888" s="25"/>
      <c r="P888" s="23"/>
      <c r="Q888" s="21" t="s">
        <v>46</v>
      </c>
      <c r="R888" s="19" t="s">
        <v>47</v>
      </c>
      <c r="S888" s="21"/>
      <c r="T888" s="19"/>
      <c r="U888" s="21"/>
      <c r="V888" s="7"/>
      <c r="W888" s="7"/>
      <c r="X888" s="51" t="str">
        <f t="shared" si="6"/>
        <v/>
      </c>
      <c r="Y888" s="51" t="str">
        <f t="shared" si="7"/>
        <v/>
      </c>
      <c r="Z888" s="37"/>
    </row>
    <row r="889" spans="1:26" ht="14.25" customHeight="1" x14ac:dyDescent="0.3">
      <c r="A889" s="18">
        <v>221.4</v>
      </c>
      <c r="B889" s="19"/>
      <c r="C889" s="18" t="s">
        <v>55</v>
      </c>
      <c r="D889" s="19"/>
      <c r="E889" s="25"/>
      <c r="F889" s="19"/>
      <c r="G889" s="21">
        <v>0</v>
      </c>
      <c r="H889" s="21"/>
      <c r="I889" s="21"/>
      <c r="J889" s="21"/>
      <c r="K889" s="19"/>
      <c r="L889" s="19"/>
      <c r="M889" s="22">
        <v>1</v>
      </c>
      <c r="N889" s="19"/>
      <c r="O889" s="25"/>
      <c r="P889" s="23"/>
      <c r="Q889" s="21" t="s">
        <v>46</v>
      </c>
      <c r="R889" s="19" t="s">
        <v>47</v>
      </c>
      <c r="S889" s="21"/>
      <c r="T889" s="19"/>
      <c r="U889" s="21"/>
      <c r="V889" s="7"/>
      <c r="W889" s="7"/>
      <c r="X889" s="51" t="str">
        <f t="shared" si="6"/>
        <v/>
      </c>
      <c r="Y889" s="51" t="str">
        <f t="shared" si="7"/>
        <v/>
      </c>
      <c r="Z889" s="37"/>
    </row>
    <row r="890" spans="1:26" ht="14.25" customHeight="1" x14ac:dyDescent="0.3">
      <c r="A890" s="18">
        <v>222.1</v>
      </c>
      <c r="B890" s="19"/>
      <c r="C890" s="18" t="s">
        <v>55</v>
      </c>
      <c r="D890" s="19"/>
      <c r="E890" s="25"/>
      <c r="F890" s="19"/>
      <c r="G890" s="21">
        <v>0</v>
      </c>
      <c r="H890" s="21"/>
      <c r="I890" s="21"/>
      <c r="J890" s="21"/>
      <c r="K890" s="19"/>
      <c r="L890" s="19"/>
      <c r="M890" s="22">
        <v>1</v>
      </c>
      <c r="N890" s="19"/>
      <c r="O890" s="25"/>
      <c r="P890" s="23"/>
      <c r="Q890" s="21" t="s">
        <v>46</v>
      </c>
      <c r="R890" s="19" t="s">
        <v>47</v>
      </c>
      <c r="S890" s="21"/>
      <c r="T890" s="19"/>
      <c r="U890" s="21"/>
      <c r="V890" s="7"/>
      <c r="W890" s="7"/>
      <c r="X890" s="51" t="str">
        <f t="shared" si="6"/>
        <v/>
      </c>
      <c r="Y890" s="51" t="str">
        <f t="shared" si="7"/>
        <v/>
      </c>
      <c r="Z890" s="37"/>
    </row>
    <row r="891" spans="1:26" ht="14.25" customHeight="1" x14ac:dyDescent="0.3">
      <c r="A891" s="18">
        <v>222.2</v>
      </c>
      <c r="B891" s="19"/>
      <c r="C891" s="18" t="s">
        <v>55</v>
      </c>
      <c r="D891" s="19"/>
      <c r="E891" s="25"/>
      <c r="F891" s="19"/>
      <c r="G891" s="21">
        <v>0</v>
      </c>
      <c r="H891" s="21"/>
      <c r="I891" s="21"/>
      <c r="J891" s="21"/>
      <c r="K891" s="19"/>
      <c r="L891" s="19"/>
      <c r="M891" s="22">
        <v>1</v>
      </c>
      <c r="N891" s="19"/>
      <c r="O891" s="25"/>
      <c r="P891" s="23"/>
      <c r="Q891" s="21" t="s">
        <v>46</v>
      </c>
      <c r="R891" s="19" t="s">
        <v>47</v>
      </c>
      <c r="S891" s="21"/>
      <c r="T891" s="19"/>
      <c r="U891" s="21"/>
      <c r="V891" s="7"/>
      <c r="W891" s="7"/>
      <c r="X891" s="51" t="str">
        <f t="shared" si="6"/>
        <v/>
      </c>
      <c r="Y891" s="51" t="str">
        <f t="shared" si="7"/>
        <v/>
      </c>
      <c r="Z891" s="37"/>
    </row>
    <row r="892" spans="1:26" ht="14.25" customHeight="1" x14ac:dyDescent="0.3">
      <c r="A892" s="18">
        <v>222.3</v>
      </c>
      <c r="B892" s="19"/>
      <c r="C892" s="18" t="s">
        <v>55</v>
      </c>
      <c r="D892" s="19"/>
      <c r="E892" s="25"/>
      <c r="F892" s="19"/>
      <c r="G892" s="21">
        <v>0</v>
      </c>
      <c r="H892" s="21"/>
      <c r="I892" s="21"/>
      <c r="J892" s="21"/>
      <c r="K892" s="19"/>
      <c r="L892" s="19"/>
      <c r="M892" s="22">
        <v>1</v>
      </c>
      <c r="N892" s="19"/>
      <c r="O892" s="25"/>
      <c r="P892" s="23"/>
      <c r="Q892" s="21" t="s">
        <v>46</v>
      </c>
      <c r="R892" s="19" t="s">
        <v>47</v>
      </c>
      <c r="S892" s="21"/>
      <c r="T892" s="19"/>
      <c r="U892" s="21"/>
      <c r="V892" s="7"/>
      <c r="W892" s="7"/>
      <c r="X892" s="51" t="str">
        <f t="shared" si="6"/>
        <v/>
      </c>
      <c r="Y892" s="51" t="str">
        <f t="shared" si="7"/>
        <v/>
      </c>
      <c r="Z892" s="37"/>
    </row>
    <row r="893" spans="1:26" ht="14.25" customHeight="1" x14ac:dyDescent="0.3">
      <c r="A893" s="18">
        <v>222.4</v>
      </c>
      <c r="B893" s="19"/>
      <c r="C893" s="18" t="s">
        <v>55</v>
      </c>
      <c r="D893" s="19"/>
      <c r="E893" s="25"/>
      <c r="F893" s="19"/>
      <c r="G893" s="21">
        <v>0</v>
      </c>
      <c r="H893" s="21"/>
      <c r="I893" s="21"/>
      <c r="J893" s="21"/>
      <c r="K893" s="19"/>
      <c r="L893" s="19"/>
      <c r="M893" s="22">
        <v>1</v>
      </c>
      <c r="N893" s="19"/>
      <c r="O893" s="25"/>
      <c r="P893" s="23"/>
      <c r="Q893" s="21" t="s">
        <v>46</v>
      </c>
      <c r="R893" s="19" t="s">
        <v>47</v>
      </c>
      <c r="S893" s="21"/>
      <c r="T893" s="19"/>
      <c r="U893" s="21"/>
      <c r="V893" s="7"/>
      <c r="W893" s="7"/>
      <c r="X893" s="51" t="str">
        <f t="shared" si="6"/>
        <v/>
      </c>
      <c r="Y893" s="51" t="str">
        <f t="shared" si="7"/>
        <v/>
      </c>
      <c r="Z893" s="37"/>
    </row>
    <row r="894" spans="1:26" ht="14.25" customHeight="1" x14ac:dyDescent="0.3">
      <c r="A894" s="18">
        <v>223.1</v>
      </c>
      <c r="B894" s="19"/>
      <c r="C894" s="18" t="s">
        <v>55</v>
      </c>
      <c r="D894" s="19"/>
      <c r="E894" s="25"/>
      <c r="F894" s="19"/>
      <c r="G894" s="21">
        <v>0</v>
      </c>
      <c r="H894" s="21"/>
      <c r="I894" s="21"/>
      <c r="J894" s="21"/>
      <c r="K894" s="19"/>
      <c r="L894" s="19"/>
      <c r="M894" s="22">
        <v>1</v>
      </c>
      <c r="N894" s="19"/>
      <c r="O894" s="25"/>
      <c r="P894" s="23"/>
      <c r="Q894" s="21" t="s">
        <v>46</v>
      </c>
      <c r="R894" s="19" t="s">
        <v>47</v>
      </c>
      <c r="S894" s="21"/>
      <c r="T894" s="19"/>
      <c r="U894" s="21"/>
      <c r="V894" s="7"/>
      <c r="W894" s="7"/>
      <c r="X894" s="51" t="str">
        <f t="shared" si="6"/>
        <v/>
      </c>
      <c r="Y894" s="51" t="str">
        <f t="shared" si="7"/>
        <v/>
      </c>
      <c r="Z894" s="37"/>
    </row>
    <row r="895" spans="1:26" ht="14.25" customHeight="1" x14ac:dyDescent="0.3">
      <c r="A895" s="18">
        <v>223.2</v>
      </c>
      <c r="B895" s="19"/>
      <c r="C895" s="18" t="s">
        <v>55</v>
      </c>
      <c r="D895" s="19"/>
      <c r="E895" s="25"/>
      <c r="F895" s="19"/>
      <c r="G895" s="21">
        <v>0</v>
      </c>
      <c r="H895" s="21"/>
      <c r="I895" s="21"/>
      <c r="J895" s="21"/>
      <c r="K895" s="19"/>
      <c r="L895" s="19"/>
      <c r="M895" s="22">
        <v>1</v>
      </c>
      <c r="N895" s="19"/>
      <c r="O895" s="25"/>
      <c r="P895" s="23"/>
      <c r="Q895" s="21" t="s">
        <v>46</v>
      </c>
      <c r="R895" s="19" t="s">
        <v>47</v>
      </c>
      <c r="S895" s="21"/>
      <c r="T895" s="19"/>
      <c r="U895" s="21"/>
      <c r="V895" s="7"/>
      <c r="W895" s="7"/>
      <c r="X895" s="51" t="str">
        <f t="shared" si="6"/>
        <v/>
      </c>
      <c r="Y895" s="51" t="str">
        <f t="shared" si="7"/>
        <v/>
      </c>
      <c r="Z895" s="37"/>
    </row>
    <row r="896" spans="1:26" ht="14.25" customHeight="1" x14ac:dyDescent="0.3">
      <c r="A896" s="18">
        <v>223.3</v>
      </c>
      <c r="B896" s="19"/>
      <c r="C896" s="18" t="s">
        <v>55</v>
      </c>
      <c r="D896" s="19"/>
      <c r="E896" s="25"/>
      <c r="F896" s="19"/>
      <c r="G896" s="21">
        <v>0</v>
      </c>
      <c r="H896" s="21"/>
      <c r="I896" s="21"/>
      <c r="J896" s="21"/>
      <c r="K896" s="19"/>
      <c r="L896" s="19"/>
      <c r="M896" s="22">
        <v>1</v>
      </c>
      <c r="N896" s="19"/>
      <c r="O896" s="25"/>
      <c r="P896" s="23"/>
      <c r="Q896" s="21" t="s">
        <v>46</v>
      </c>
      <c r="R896" s="19" t="s">
        <v>47</v>
      </c>
      <c r="S896" s="21"/>
      <c r="T896" s="19"/>
      <c r="U896" s="21"/>
      <c r="V896" s="7"/>
      <c r="W896" s="7"/>
      <c r="X896" s="51" t="str">
        <f t="shared" si="6"/>
        <v/>
      </c>
      <c r="Y896" s="51" t="str">
        <f t="shared" si="7"/>
        <v/>
      </c>
      <c r="Z896" s="37"/>
    </row>
    <row r="897" spans="1:26" ht="14.25" customHeight="1" x14ac:dyDescent="0.3">
      <c r="A897" s="18">
        <v>223.4</v>
      </c>
      <c r="B897" s="19"/>
      <c r="C897" s="18" t="s">
        <v>55</v>
      </c>
      <c r="D897" s="19"/>
      <c r="E897" s="25"/>
      <c r="F897" s="19"/>
      <c r="G897" s="21">
        <v>0</v>
      </c>
      <c r="H897" s="21"/>
      <c r="I897" s="21"/>
      <c r="J897" s="21"/>
      <c r="K897" s="19"/>
      <c r="L897" s="19"/>
      <c r="M897" s="22">
        <v>1</v>
      </c>
      <c r="N897" s="19"/>
      <c r="O897" s="25"/>
      <c r="P897" s="23"/>
      <c r="Q897" s="21" t="s">
        <v>46</v>
      </c>
      <c r="R897" s="19" t="s">
        <v>47</v>
      </c>
      <c r="S897" s="21"/>
      <c r="T897" s="19"/>
      <c r="U897" s="21"/>
      <c r="V897" s="7"/>
      <c r="W897" s="7"/>
      <c r="X897" s="51" t="str">
        <f t="shared" si="6"/>
        <v/>
      </c>
      <c r="Y897" s="51" t="str">
        <f t="shared" si="7"/>
        <v/>
      </c>
      <c r="Z897" s="37"/>
    </row>
    <row r="898" spans="1:26" ht="14.25" customHeight="1" x14ac:dyDescent="0.3">
      <c r="A898" s="18">
        <v>224.1</v>
      </c>
      <c r="B898" s="19"/>
      <c r="C898" s="18" t="s">
        <v>55</v>
      </c>
      <c r="D898" s="19"/>
      <c r="E898" s="25"/>
      <c r="F898" s="19"/>
      <c r="G898" s="21">
        <v>0</v>
      </c>
      <c r="H898" s="21"/>
      <c r="I898" s="21"/>
      <c r="J898" s="21"/>
      <c r="K898" s="19"/>
      <c r="L898" s="19"/>
      <c r="M898" s="22">
        <v>1</v>
      </c>
      <c r="N898" s="19"/>
      <c r="O898" s="25"/>
      <c r="P898" s="23"/>
      <c r="Q898" s="21" t="s">
        <v>46</v>
      </c>
      <c r="R898" s="19" t="s">
        <v>47</v>
      </c>
      <c r="S898" s="21"/>
      <c r="T898" s="19"/>
      <c r="U898" s="21"/>
      <c r="V898" s="7"/>
      <c r="W898" s="7"/>
      <c r="X898" s="51" t="str">
        <f t="shared" si="6"/>
        <v/>
      </c>
      <c r="Y898" s="51" t="str">
        <f t="shared" si="7"/>
        <v/>
      </c>
      <c r="Z898" s="37"/>
    </row>
    <row r="899" spans="1:26" ht="14.25" customHeight="1" x14ac:dyDescent="0.3">
      <c r="A899" s="18">
        <v>224.2</v>
      </c>
      <c r="B899" s="19"/>
      <c r="C899" s="18" t="s">
        <v>55</v>
      </c>
      <c r="D899" s="19"/>
      <c r="E899" s="25"/>
      <c r="F899" s="19"/>
      <c r="G899" s="21">
        <v>0</v>
      </c>
      <c r="H899" s="21"/>
      <c r="I899" s="21"/>
      <c r="J899" s="21"/>
      <c r="K899" s="19"/>
      <c r="L899" s="19"/>
      <c r="M899" s="22">
        <v>1</v>
      </c>
      <c r="N899" s="19"/>
      <c r="O899" s="25"/>
      <c r="P899" s="23"/>
      <c r="Q899" s="21" t="s">
        <v>46</v>
      </c>
      <c r="R899" s="19" t="s">
        <v>47</v>
      </c>
      <c r="S899" s="21"/>
      <c r="T899" s="19"/>
      <c r="U899" s="21"/>
      <c r="V899" s="7"/>
      <c r="W899" s="7"/>
      <c r="X899" s="51" t="str">
        <f t="shared" si="6"/>
        <v/>
      </c>
      <c r="Y899" s="51" t="str">
        <f t="shared" si="7"/>
        <v/>
      </c>
      <c r="Z899" s="37"/>
    </row>
    <row r="900" spans="1:26" ht="14.25" customHeight="1" x14ac:dyDescent="0.3">
      <c r="A900" s="18">
        <v>224.3</v>
      </c>
      <c r="B900" s="19"/>
      <c r="C900" s="18" t="s">
        <v>55</v>
      </c>
      <c r="D900" s="19"/>
      <c r="E900" s="25"/>
      <c r="F900" s="19"/>
      <c r="G900" s="21">
        <v>0</v>
      </c>
      <c r="H900" s="21"/>
      <c r="I900" s="21"/>
      <c r="J900" s="21"/>
      <c r="K900" s="19"/>
      <c r="L900" s="19"/>
      <c r="M900" s="22">
        <v>1</v>
      </c>
      <c r="N900" s="19"/>
      <c r="O900" s="25"/>
      <c r="P900" s="23"/>
      <c r="Q900" s="21" t="s">
        <v>46</v>
      </c>
      <c r="R900" s="19" t="s">
        <v>47</v>
      </c>
      <c r="S900" s="21"/>
      <c r="T900" s="19"/>
      <c r="U900" s="21"/>
      <c r="V900" s="7"/>
      <c r="W900" s="7"/>
      <c r="X900" s="51" t="str">
        <f t="shared" si="6"/>
        <v/>
      </c>
      <c r="Y900" s="51" t="str">
        <f t="shared" si="7"/>
        <v/>
      </c>
      <c r="Z900" s="37"/>
    </row>
    <row r="901" spans="1:26" ht="14.25" customHeight="1" x14ac:dyDescent="0.3">
      <c r="A901" s="18">
        <v>224.4</v>
      </c>
      <c r="B901" s="19"/>
      <c r="C901" s="18" t="s">
        <v>55</v>
      </c>
      <c r="D901" s="19"/>
      <c r="E901" s="25"/>
      <c r="F901" s="19"/>
      <c r="G901" s="21">
        <v>0</v>
      </c>
      <c r="H901" s="21"/>
      <c r="I901" s="21"/>
      <c r="J901" s="21"/>
      <c r="K901" s="19"/>
      <c r="L901" s="19"/>
      <c r="M901" s="22">
        <v>1</v>
      </c>
      <c r="N901" s="19"/>
      <c r="O901" s="25"/>
      <c r="P901" s="23"/>
      <c r="Q901" s="21" t="s">
        <v>46</v>
      </c>
      <c r="R901" s="19" t="s">
        <v>47</v>
      </c>
      <c r="S901" s="21"/>
      <c r="T901" s="19"/>
      <c r="U901" s="21"/>
      <c r="V901" s="7"/>
      <c r="W901" s="7"/>
      <c r="X901" s="51" t="str">
        <f t="shared" si="6"/>
        <v/>
      </c>
      <c r="Y901" s="51" t="str">
        <f t="shared" si="7"/>
        <v/>
      </c>
      <c r="Z901" s="37"/>
    </row>
    <row r="902" spans="1:26" ht="14.25" customHeight="1" x14ac:dyDescent="0.3">
      <c r="A902" s="18">
        <v>225.1</v>
      </c>
      <c r="B902" s="19"/>
      <c r="C902" s="18" t="s">
        <v>55</v>
      </c>
      <c r="D902" s="19"/>
      <c r="E902" s="25"/>
      <c r="F902" s="19"/>
      <c r="G902" s="21">
        <v>0</v>
      </c>
      <c r="H902" s="21"/>
      <c r="I902" s="21"/>
      <c r="J902" s="21"/>
      <c r="K902" s="19"/>
      <c r="L902" s="19"/>
      <c r="M902" s="22">
        <v>1</v>
      </c>
      <c r="N902" s="19"/>
      <c r="O902" s="25"/>
      <c r="P902" s="23"/>
      <c r="Q902" s="21" t="s">
        <v>46</v>
      </c>
      <c r="R902" s="19" t="s">
        <v>47</v>
      </c>
      <c r="S902" s="21"/>
      <c r="T902" s="19"/>
      <c r="U902" s="21"/>
      <c r="V902" s="7"/>
      <c r="W902" s="7"/>
      <c r="X902" s="51" t="str">
        <f t="shared" si="6"/>
        <v/>
      </c>
      <c r="Y902" s="51" t="str">
        <f t="shared" si="7"/>
        <v/>
      </c>
      <c r="Z902" s="37"/>
    </row>
    <row r="903" spans="1:26" ht="14.25" customHeight="1" x14ac:dyDescent="0.3">
      <c r="A903" s="18">
        <v>225.2</v>
      </c>
      <c r="B903" s="19"/>
      <c r="C903" s="18" t="s">
        <v>55</v>
      </c>
      <c r="D903" s="19"/>
      <c r="E903" s="25"/>
      <c r="F903" s="19"/>
      <c r="G903" s="21">
        <v>0</v>
      </c>
      <c r="H903" s="21"/>
      <c r="I903" s="21"/>
      <c r="J903" s="21"/>
      <c r="K903" s="19"/>
      <c r="L903" s="19"/>
      <c r="M903" s="22">
        <v>1</v>
      </c>
      <c r="N903" s="19"/>
      <c r="O903" s="25"/>
      <c r="P903" s="23"/>
      <c r="Q903" s="21" t="s">
        <v>46</v>
      </c>
      <c r="R903" s="19" t="s">
        <v>47</v>
      </c>
      <c r="S903" s="21"/>
      <c r="T903" s="19"/>
      <c r="U903" s="21"/>
      <c r="V903" s="7"/>
      <c r="W903" s="7"/>
      <c r="X903" s="51" t="str">
        <f t="shared" si="6"/>
        <v/>
      </c>
      <c r="Y903" s="51" t="str">
        <f t="shared" si="7"/>
        <v/>
      </c>
      <c r="Z903" s="37"/>
    </row>
    <row r="904" spans="1:26" ht="14.25" customHeight="1" x14ac:dyDescent="0.3">
      <c r="A904" s="18">
        <v>225.3</v>
      </c>
      <c r="B904" s="19"/>
      <c r="C904" s="18" t="s">
        <v>55</v>
      </c>
      <c r="D904" s="19"/>
      <c r="E904" s="25"/>
      <c r="F904" s="19"/>
      <c r="G904" s="21">
        <v>0</v>
      </c>
      <c r="H904" s="21"/>
      <c r="I904" s="21"/>
      <c r="J904" s="21"/>
      <c r="K904" s="19"/>
      <c r="L904" s="19"/>
      <c r="M904" s="22">
        <v>1</v>
      </c>
      <c r="N904" s="19"/>
      <c r="O904" s="25"/>
      <c r="P904" s="23"/>
      <c r="Q904" s="21" t="s">
        <v>46</v>
      </c>
      <c r="R904" s="19" t="s">
        <v>47</v>
      </c>
      <c r="S904" s="21"/>
      <c r="T904" s="19"/>
      <c r="U904" s="21"/>
      <c r="V904" s="7"/>
      <c r="W904" s="7"/>
      <c r="X904" s="51" t="str">
        <f t="shared" si="6"/>
        <v/>
      </c>
      <c r="Y904" s="51" t="str">
        <f t="shared" si="7"/>
        <v/>
      </c>
      <c r="Z904" s="37"/>
    </row>
    <row r="905" spans="1:26" ht="14.25" customHeight="1" x14ac:dyDescent="0.3">
      <c r="A905" s="18">
        <v>225.4</v>
      </c>
      <c r="B905" s="19"/>
      <c r="C905" s="18" t="s">
        <v>55</v>
      </c>
      <c r="D905" s="19"/>
      <c r="E905" s="25"/>
      <c r="F905" s="19"/>
      <c r="G905" s="21">
        <v>0</v>
      </c>
      <c r="H905" s="21"/>
      <c r="I905" s="21"/>
      <c r="J905" s="21"/>
      <c r="K905" s="19"/>
      <c r="L905" s="19"/>
      <c r="M905" s="22">
        <v>1</v>
      </c>
      <c r="N905" s="19"/>
      <c r="O905" s="25"/>
      <c r="P905" s="23"/>
      <c r="Q905" s="21" t="s">
        <v>46</v>
      </c>
      <c r="R905" s="19" t="s">
        <v>47</v>
      </c>
      <c r="S905" s="21"/>
      <c r="T905" s="19"/>
      <c r="U905" s="21"/>
      <c r="V905" s="7"/>
      <c r="W905" s="7"/>
      <c r="X905" s="51" t="str">
        <f t="shared" si="6"/>
        <v/>
      </c>
      <c r="Y905" s="51" t="str">
        <f t="shared" si="7"/>
        <v/>
      </c>
      <c r="Z905" s="37"/>
    </row>
    <row r="906" spans="1:26" ht="14.25" customHeight="1" x14ac:dyDescent="0.3">
      <c r="A906" s="18">
        <v>226.1</v>
      </c>
      <c r="B906" s="19"/>
      <c r="C906" s="18" t="s">
        <v>55</v>
      </c>
      <c r="D906" s="19"/>
      <c r="E906" s="25"/>
      <c r="F906" s="19"/>
      <c r="G906" s="21">
        <v>0</v>
      </c>
      <c r="H906" s="21"/>
      <c r="I906" s="21"/>
      <c r="J906" s="21"/>
      <c r="K906" s="19"/>
      <c r="L906" s="19"/>
      <c r="M906" s="22">
        <v>1</v>
      </c>
      <c r="N906" s="19"/>
      <c r="O906" s="25"/>
      <c r="P906" s="23"/>
      <c r="Q906" s="21" t="s">
        <v>46</v>
      </c>
      <c r="R906" s="19" t="s">
        <v>47</v>
      </c>
      <c r="S906" s="21"/>
      <c r="T906" s="19"/>
      <c r="U906" s="21"/>
      <c r="V906" s="7"/>
      <c r="W906" s="7"/>
      <c r="X906" s="51" t="str">
        <f t="shared" si="6"/>
        <v/>
      </c>
      <c r="Y906" s="51" t="str">
        <f t="shared" si="7"/>
        <v/>
      </c>
      <c r="Z906" s="37"/>
    </row>
    <row r="907" spans="1:26" ht="14.25" customHeight="1" x14ac:dyDescent="0.3">
      <c r="A907" s="18">
        <v>226.2</v>
      </c>
      <c r="B907" s="19"/>
      <c r="C907" s="18" t="s">
        <v>55</v>
      </c>
      <c r="D907" s="19"/>
      <c r="E907" s="25"/>
      <c r="F907" s="19"/>
      <c r="G907" s="21">
        <v>0</v>
      </c>
      <c r="H907" s="21"/>
      <c r="I907" s="21"/>
      <c r="J907" s="21"/>
      <c r="K907" s="19"/>
      <c r="L907" s="19"/>
      <c r="M907" s="22">
        <v>1</v>
      </c>
      <c r="N907" s="19"/>
      <c r="O907" s="25"/>
      <c r="P907" s="23"/>
      <c r="Q907" s="21" t="s">
        <v>46</v>
      </c>
      <c r="R907" s="19" t="s">
        <v>47</v>
      </c>
      <c r="S907" s="21"/>
      <c r="T907" s="19"/>
      <c r="U907" s="21"/>
      <c r="V907" s="7"/>
      <c r="W907" s="7"/>
      <c r="X907" s="51" t="str">
        <f t="shared" si="6"/>
        <v/>
      </c>
      <c r="Y907" s="51" t="str">
        <f t="shared" si="7"/>
        <v/>
      </c>
      <c r="Z907" s="37"/>
    </row>
    <row r="908" spans="1:26" ht="14.25" customHeight="1" x14ac:dyDescent="0.3">
      <c r="A908" s="18">
        <v>226.3</v>
      </c>
      <c r="B908" s="19"/>
      <c r="C908" s="18" t="s">
        <v>55</v>
      </c>
      <c r="D908" s="19"/>
      <c r="E908" s="25"/>
      <c r="F908" s="19"/>
      <c r="G908" s="21">
        <v>0</v>
      </c>
      <c r="H908" s="21"/>
      <c r="I908" s="21"/>
      <c r="J908" s="21"/>
      <c r="K908" s="19"/>
      <c r="L908" s="19"/>
      <c r="M908" s="22">
        <v>1</v>
      </c>
      <c r="N908" s="19"/>
      <c r="O908" s="25"/>
      <c r="P908" s="23"/>
      <c r="Q908" s="21" t="s">
        <v>46</v>
      </c>
      <c r="R908" s="19" t="s">
        <v>47</v>
      </c>
      <c r="S908" s="21"/>
      <c r="T908" s="19"/>
      <c r="U908" s="21"/>
      <c r="V908" s="7"/>
      <c r="W908" s="7"/>
      <c r="X908" s="51" t="str">
        <f t="shared" si="6"/>
        <v/>
      </c>
      <c r="Y908" s="51" t="str">
        <f t="shared" si="7"/>
        <v/>
      </c>
      <c r="Z908" s="37"/>
    </row>
    <row r="909" spans="1:26" ht="14.25" customHeight="1" x14ac:dyDescent="0.3">
      <c r="A909" s="18">
        <v>226.4</v>
      </c>
      <c r="B909" s="19"/>
      <c r="C909" s="18" t="s">
        <v>55</v>
      </c>
      <c r="D909" s="19"/>
      <c r="E909" s="25"/>
      <c r="F909" s="19"/>
      <c r="G909" s="21">
        <v>0</v>
      </c>
      <c r="H909" s="21"/>
      <c r="I909" s="21"/>
      <c r="J909" s="21"/>
      <c r="K909" s="19"/>
      <c r="L909" s="19"/>
      <c r="M909" s="22">
        <v>1</v>
      </c>
      <c r="N909" s="19"/>
      <c r="O909" s="25"/>
      <c r="P909" s="23"/>
      <c r="Q909" s="21" t="s">
        <v>46</v>
      </c>
      <c r="R909" s="19" t="s">
        <v>47</v>
      </c>
      <c r="S909" s="21"/>
      <c r="T909" s="19"/>
      <c r="U909" s="21"/>
      <c r="V909" s="7"/>
      <c r="W909" s="7"/>
      <c r="X909" s="51" t="str">
        <f t="shared" si="6"/>
        <v/>
      </c>
      <c r="Y909" s="51" t="str">
        <f t="shared" si="7"/>
        <v/>
      </c>
      <c r="Z909" s="37"/>
    </row>
    <row r="910" spans="1:26" ht="14.25" customHeight="1" x14ac:dyDescent="0.3">
      <c r="A910" s="18">
        <v>227.1</v>
      </c>
      <c r="B910" s="19"/>
      <c r="C910" s="18" t="s">
        <v>55</v>
      </c>
      <c r="D910" s="19"/>
      <c r="E910" s="25"/>
      <c r="F910" s="19"/>
      <c r="G910" s="21">
        <v>0</v>
      </c>
      <c r="H910" s="21"/>
      <c r="I910" s="21"/>
      <c r="J910" s="21"/>
      <c r="K910" s="19"/>
      <c r="L910" s="19"/>
      <c r="M910" s="22">
        <v>1</v>
      </c>
      <c r="N910" s="19"/>
      <c r="O910" s="25"/>
      <c r="P910" s="23"/>
      <c r="Q910" s="21" t="s">
        <v>46</v>
      </c>
      <c r="R910" s="19" t="s">
        <v>47</v>
      </c>
      <c r="S910" s="21"/>
      <c r="T910" s="19"/>
      <c r="U910" s="21"/>
      <c r="V910" s="7"/>
      <c r="W910" s="7"/>
      <c r="X910" s="51" t="str">
        <f t="shared" si="6"/>
        <v/>
      </c>
      <c r="Y910" s="51" t="str">
        <f t="shared" si="7"/>
        <v/>
      </c>
      <c r="Z910" s="37"/>
    </row>
    <row r="911" spans="1:26" ht="14.25" customHeight="1" x14ac:dyDescent="0.3">
      <c r="A911" s="18">
        <v>227.2</v>
      </c>
      <c r="B911" s="19"/>
      <c r="C911" s="18" t="s">
        <v>55</v>
      </c>
      <c r="D911" s="19"/>
      <c r="E911" s="25"/>
      <c r="F911" s="19"/>
      <c r="G911" s="21">
        <v>0</v>
      </c>
      <c r="H911" s="21"/>
      <c r="I911" s="21"/>
      <c r="J911" s="21"/>
      <c r="K911" s="19"/>
      <c r="L911" s="19"/>
      <c r="M911" s="22">
        <v>1</v>
      </c>
      <c r="N911" s="19"/>
      <c r="O911" s="25"/>
      <c r="P911" s="23"/>
      <c r="Q911" s="21" t="s">
        <v>46</v>
      </c>
      <c r="R911" s="19" t="s">
        <v>47</v>
      </c>
      <c r="S911" s="21"/>
      <c r="T911" s="19"/>
      <c r="U911" s="21"/>
      <c r="V911" s="7"/>
      <c r="W911" s="7"/>
      <c r="X911" s="51" t="str">
        <f t="shared" si="6"/>
        <v/>
      </c>
      <c r="Y911" s="51" t="str">
        <f t="shared" si="7"/>
        <v/>
      </c>
      <c r="Z911" s="37"/>
    </row>
    <row r="912" spans="1:26" ht="14.25" customHeight="1" x14ac:dyDescent="0.3">
      <c r="A912" s="18">
        <v>227.3</v>
      </c>
      <c r="B912" s="19"/>
      <c r="C912" s="18" t="s">
        <v>55</v>
      </c>
      <c r="D912" s="19"/>
      <c r="E912" s="25"/>
      <c r="F912" s="19"/>
      <c r="G912" s="21">
        <v>0</v>
      </c>
      <c r="H912" s="21"/>
      <c r="I912" s="21"/>
      <c r="J912" s="21"/>
      <c r="K912" s="19"/>
      <c r="L912" s="19"/>
      <c r="M912" s="22">
        <v>1</v>
      </c>
      <c r="N912" s="19"/>
      <c r="O912" s="25"/>
      <c r="P912" s="23"/>
      <c r="Q912" s="21" t="s">
        <v>46</v>
      </c>
      <c r="R912" s="19" t="s">
        <v>47</v>
      </c>
      <c r="S912" s="21"/>
      <c r="T912" s="19"/>
      <c r="U912" s="21"/>
      <c r="V912" s="7"/>
      <c r="W912" s="7"/>
      <c r="X912" s="51" t="str">
        <f t="shared" si="6"/>
        <v/>
      </c>
      <c r="Y912" s="51" t="str">
        <f t="shared" si="7"/>
        <v/>
      </c>
      <c r="Z912" s="37"/>
    </row>
    <row r="913" spans="1:26" ht="14.25" customHeight="1" x14ac:dyDescent="0.3">
      <c r="A913" s="18">
        <v>227.4</v>
      </c>
      <c r="B913" s="19"/>
      <c r="C913" s="18" t="s">
        <v>55</v>
      </c>
      <c r="D913" s="19"/>
      <c r="E913" s="25"/>
      <c r="F913" s="19"/>
      <c r="G913" s="21">
        <v>0</v>
      </c>
      <c r="H913" s="21"/>
      <c r="I913" s="21"/>
      <c r="J913" s="21"/>
      <c r="K913" s="19"/>
      <c r="L913" s="19"/>
      <c r="M913" s="22">
        <v>1</v>
      </c>
      <c r="N913" s="19"/>
      <c r="O913" s="25"/>
      <c r="P913" s="23"/>
      <c r="Q913" s="21" t="s">
        <v>46</v>
      </c>
      <c r="R913" s="19" t="s">
        <v>47</v>
      </c>
      <c r="S913" s="21"/>
      <c r="T913" s="19"/>
      <c r="U913" s="21"/>
      <c r="V913" s="7"/>
      <c r="W913" s="7"/>
      <c r="X913" s="51" t="str">
        <f t="shared" si="6"/>
        <v/>
      </c>
      <c r="Y913" s="51" t="str">
        <f t="shared" si="7"/>
        <v/>
      </c>
      <c r="Z913" s="37"/>
    </row>
    <row r="914" spans="1:26" ht="14.25" customHeight="1" x14ac:dyDescent="0.3">
      <c r="A914" s="18">
        <v>228.1</v>
      </c>
      <c r="B914" s="19"/>
      <c r="C914" s="18" t="s">
        <v>55</v>
      </c>
      <c r="D914" s="19"/>
      <c r="E914" s="25"/>
      <c r="F914" s="19"/>
      <c r="G914" s="21">
        <v>0</v>
      </c>
      <c r="H914" s="21"/>
      <c r="I914" s="21"/>
      <c r="J914" s="21"/>
      <c r="K914" s="19"/>
      <c r="L914" s="19"/>
      <c r="M914" s="22">
        <v>1</v>
      </c>
      <c r="N914" s="19"/>
      <c r="O914" s="25"/>
      <c r="P914" s="23"/>
      <c r="Q914" s="21" t="s">
        <v>46</v>
      </c>
      <c r="R914" s="19" t="s">
        <v>47</v>
      </c>
      <c r="S914" s="21"/>
      <c r="T914" s="19"/>
      <c r="U914" s="21"/>
      <c r="V914" s="7"/>
      <c r="W914" s="7"/>
      <c r="X914" s="51" t="str">
        <f t="shared" si="6"/>
        <v/>
      </c>
      <c r="Y914" s="51" t="str">
        <f t="shared" si="7"/>
        <v/>
      </c>
      <c r="Z914" s="37"/>
    </row>
    <row r="915" spans="1:26" ht="14.25" customHeight="1" x14ac:dyDescent="0.3">
      <c r="A915" s="18">
        <v>228.2</v>
      </c>
      <c r="B915" s="19"/>
      <c r="C915" s="18" t="s">
        <v>55</v>
      </c>
      <c r="D915" s="19"/>
      <c r="E915" s="25"/>
      <c r="F915" s="19"/>
      <c r="G915" s="21">
        <v>0</v>
      </c>
      <c r="H915" s="21"/>
      <c r="I915" s="21"/>
      <c r="J915" s="21"/>
      <c r="K915" s="19"/>
      <c r="L915" s="19"/>
      <c r="M915" s="22">
        <v>1</v>
      </c>
      <c r="N915" s="19"/>
      <c r="O915" s="25"/>
      <c r="P915" s="23"/>
      <c r="Q915" s="21" t="s">
        <v>46</v>
      </c>
      <c r="R915" s="19" t="s">
        <v>47</v>
      </c>
      <c r="S915" s="21"/>
      <c r="T915" s="19"/>
      <c r="U915" s="21"/>
      <c r="V915" s="7"/>
      <c r="W915" s="7"/>
      <c r="X915" s="51" t="str">
        <f t="shared" si="6"/>
        <v/>
      </c>
      <c r="Y915" s="51" t="str">
        <f t="shared" si="7"/>
        <v/>
      </c>
      <c r="Z915" s="37"/>
    </row>
    <row r="916" spans="1:26" ht="14.25" customHeight="1" x14ac:dyDescent="0.3">
      <c r="A916" s="18">
        <v>228.3</v>
      </c>
      <c r="B916" s="19"/>
      <c r="C916" s="18" t="s">
        <v>55</v>
      </c>
      <c r="D916" s="19"/>
      <c r="E916" s="25"/>
      <c r="F916" s="19"/>
      <c r="G916" s="21">
        <v>0</v>
      </c>
      <c r="H916" s="21"/>
      <c r="I916" s="21"/>
      <c r="J916" s="21"/>
      <c r="K916" s="19"/>
      <c r="L916" s="19"/>
      <c r="M916" s="22">
        <v>1</v>
      </c>
      <c r="N916" s="19"/>
      <c r="O916" s="25"/>
      <c r="P916" s="23"/>
      <c r="Q916" s="21" t="s">
        <v>46</v>
      </c>
      <c r="R916" s="19" t="s">
        <v>47</v>
      </c>
      <c r="S916" s="21"/>
      <c r="T916" s="19"/>
      <c r="U916" s="21"/>
      <c r="V916" s="7"/>
      <c r="W916" s="7"/>
      <c r="X916" s="51" t="str">
        <f t="shared" si="6"/>
        <v/>
      </c>
      <c r="Y916" s="51" t="str">
        <f t="shared" si="7"/>
        <v/>
      </c>
      <c r="Z916" s="37"/>
    </row>
    <row r="917" spans="1:26" ht="14.25" customHeight="1" x14ac:dyDescent="0.3">
      <c r="A917" s="18">
        <v>228.4</v>
      </c>
      <c r="B917" s="19"/>
      <c r="C917" s="18" t="s">
        <v>55</v>
      </c>
      <c r="D917" s="19"/>
      <c r="E917" s="25"/>
      <c r="F917" s="19"/>
      <c r="G917" s="21">
        <v>0</v>
      </c>
      <c r="H917" s="21"/>
      <c r="I917" s="21"/>
      <c r="J917" s="21"/>
      <c r="K917" s="19"/>
      <c r="L917" s="19"/>
      <c r="M917" s="22">
        <v>1</v>
      </c>
      <c r="N917" s="19"/>
      <c r="O917" s="25"/>
      <c r="P917" s="23"/>
      <c r="Q917" s="21" t="s">
        <v>46</v>
      </c>
      <c r="R917" s="19" t="s">
        <v>47</v>
      </c>
      <c r="S917" s="21"/>
      <c r="T917" s="19"/>
      <c r="U917" s="21"/>
      <c r="V917" s="7"/>
      <c r="W917" s="7"/>
      <c r="X917" s="51" t="str">
        <f t="shared" si="6"/>
        <v/>
      </c>
      <c r="Y917" s="51" t="str">
        <f t="shared" si="7"/>
        <v/>
      </c>
      <c r="Z917" s="37"/>
    </row>
    <row r="918" spans="1:26" ht="14.25" customHeight="1" x14ac:dyDescent="0.3">
      <c r="A918" s="18">
        <v>229.1</v>
      </c>
      <c r="B918" s="19"/>
      <c r="C918" s="18" t="s">
        <v>55</v>
      </c>
      <c r="D918" s="19"/>
      <c r="E918" s="25"/>
      <c r="F918" s="19"/>
      <c r="G918" s="21">
        <v>0</v>
      </c>
      <c r="H918" s="21"/>
      <c r="I918" s="21"/>
      <c r="J918" s="21"/>
      <c r="K918" s="19"/>
      <c r="L918" s="19"/>
      <c r="M918" s="22">
        <v>1</v>
      </c>
      <c r="N918" s="19"/>
      <c r="O918" s="25"/>
      <c r="P918" s="23"/>
      <c r="Q918" s="21" t="s">
        <v>46</v>
      </c>
      <c r="R918" s="19" t="s">
        <v>47</v>
      </c>
      <c r="S918" s="21"/>
      <c r="T918" s="19"/>
      <c r="U918" s="21"/>
      <c r="V918" s="7"/>
      <c r="W918" s="7"/>
      <c r="X918" s="51" t="str">
        <f t="shared" si="6"/>
        <v/>
      </c>
      <c r="Y918" s="51" t="str">
        <f t="shared" si="7"/>
        <v/>
      </c>
      <c r="Z918" s="37"/>
    </row>
    <row r="919" spans="1:26" ht="14.25" customHeight="1" x14ac:dyDescent="0.3">
      <c r="A919" s="18">
        <v>229.2</v>
      </c>
      <c r="B919" s="19"/>
      <c r="C919" s="18" t="s">
        <v>55</v>
      </c>
      <c r="D919" s="19"/>
      <c r="E919" s="25"/>
      <c r="F919" s="19"/>
      <c r="G919" s="21">
        <v>0</v>
      </c>
      <c r="H919" s="21"/>
      <c r="I919" s="21"/>
      <c r="J919" s="21"/>
      <c r="K919" s="19"/>
      <c r="L919" s="19"/>
      <c r="M919" s="22">
        <v>1</v>
      </c>
      <c r="N919" s="19"/>
      <c r="O919" s="25"/>
      <c r="P919" s="23"/>
      <c r="Q919" s="21" t="s">
        <v>46</v>
      </c>
      <c r="R919" s="19" t="s">
        <v>47</v>
      </c>
      <c r="S919" s="21"/>
      <c r="T919" s="19"/>
      <c r="U919" s="21"/>
      <c r="V919" s="7"/>
      <c r="W919" s="7"/>
      <c r="X919" s="51" t="str">
        <f t="shared" si="6"/>
        <v/>
      </c>
      <c r="Y919" s="51" t="str">
        <f t="shared" si="7"/>
        <v/>
      </c>
      <c r="Z919" s="37"/>
    </row>
    <row r="920" spans="1:26" ht="14.25" customHeight="1" x14ac:dyDescent="0.3">
      <c r="A920" s="18">
        <v>229.3</v>
      </c>
      <c r="B920" s="19"/>
      <c r="C920" s="18" t="s">
        <v>55</v>
      </c>
      <c r="D920" s="19"/>
      <c r="E920" s="25"/>
      <c r="F920" s="19"/>
      <c r="G920" s="21">
        <v>0</v>
      </c>
      <c r="H920" s="21"/>
      <c r="I920" s="21"/>
      <c r="J920" s="21"/>
      <c r="K920" s="19"/>
      <c r="L920" s="19"/>
      <c r="M920" s="22">
        <v>1</v>
      </c>
      <c r="N920" s="19"/>
      <c r="O920" s="25"/>
      <c r="P920" s="23"/>
      <c r="Q920" s="21" t="s">
        <v>46</v>
      </c>
      <c r="R920" s="19" t="s">
        <v>47</v>
      </c>
      <c r="S920" s="21"/>
      <c r="T920" s="19"/>
      <c r="U920" s="21"/>
      <c r="V920" s="7"/>
      <c r="W920" s="7"/>
      <c r="X920" s="51" t="str">
        <f t="shared" si="6"/>
        <v/>
      </c>
      <c r="Y920" s="51" t="str">
        <f t="shared" si="7"/>
        <v/>
      </c>
      <c r="Z920" s="37"/>
    </row>
    <row r="921" spans="1:26" ht="14.25" customHeight="1" x14ac:dyDescent="0.3">
      <c r="A921" s="18">
        <v>229.4</v>
      </c>
      <c r="B921" s="19"/>
      <c r="C921" s="18" t="s">
        <v>55</v>
      </c>
      <c r="D921" s="19"/>
      <c r="E921" s="25"/>
      <c r="F921" s="19"/>
      <c r="G921" s="21">
        <v>0</v>
      </c>
      <c r="H921" s="21"/>
      <c r="I921" s="21"/>
      <c r="J921" s="21"/>
      <c r="K921" s="19"/>
      <c r="L921" s="19"/>
      <c r="M921" s="22">
        <v>1</v>
      </c>
      <c r="N921" s="19"/>
      <c r="O921" s="25"/>
      <c r="P921" s="23"/>
      <c r="Q921" s="21" t="s">
        <v>46</v>
      </c>
      <c r="R921" s="19" t="s">
        <v>47</v>
      </c>
      <c r="S921" s="21"/>
      <c r="T921" s="19"/>
      <c r="U921" s="21"/>
      <c r="V921" s="7"/>
      <c r="W921" s="7"/>
      <c r="X921" s="51" t="str">
        <f t="shared" si="6"/>
        <v/>
      </c>
      <c r="Y921" s="51" t="str">
        <f t="shared" si="7"/>
        <v/>
      </c>
      <c r="Z921" s="37"/>
    </row>
    <row r="922" spans="1:26" ht="14.25" customHeight="1" x14ac:dyDescent="0.3">
      <c r="A922" s="18">
        <v>230.1</v>
      </c>
      <c r="B922" s="19"/>
      <c r="C922" s="18" t="s">
        <v>55</v>
      </c>
      <c r="D922" s="19"/>
      <c r="E922" s="25"/>
      <c r="F922" s="19"/>
      <c r="G922" s="21">
        <v>0</v>
      </c>
      <c r="H922" s="21"/>
      <c r="I922" s="21"/>
      <c r="J922" s="21"/>
      <c r="K922" s="19"/>
      <c r="L922" s="19"/>
      <c r="M922" s="22">
        <v>1</v>
      </c>
      <c r="N922" s="19"/>
      <c r="O922" s="25"/>
      <c r="P922" s="23"/>
      <c r="Q922" s="21" t="s">
        <v>46</v>
      </c>
      <c r="R922" s="19" t="s">
        <v>47</v>
      </c>
      <c r="S922" s="21"/>
      <c r="T922" s="19"/>
      <c r="U922" s="21"/>
      <c r="V922" s="7"/>
      <c r="W922" s="7"/>
      <c r="X922" s="51" t="str">
        <f t="shared" si="6"/>
        <v/>
      </c>
      <c r="Y922" s="51" t="str">
        <f t="shared" si="7"/>
        <v/>
      </c>
      <c r="Z922" s="37"/>
    </row>
    <row r="923" spans="1:26" ht="14.25" customHeight="1" x14ac:dyDescent="0.3">
      <c r="A923" s="18">
        <v>230.2</v>
      </c>
      <c r="B923" s="19"/>
      <c r="C923" s="18" t="s">
        <v>55</v>
      </c>
      <c r="D923" s="19"/>
      <c r="E923" s="25"/>
      <c r="F923" s="19"/>
      <c r="G923" s="21">
        <v>0</v>
      </c>
      <c r="H923" s="21"/>
      <c r="I923" s="21"/>
      <c r="J923" s="21"/>
      <c r="K923" s="19"/>
      <c r="L923" s="19"/>
      <c r="M923" s="22">
        <v>1</v>
      </c>
      <c r="N923" s="19"/>
      <c r="O923" s="25"/>
      <c r="P923" s="23"/>
      <c r="Q923" s="21" t="s">
        <v>46</v>
      </c>
      <c r="R923" s="19" t="s">
        <v>47</v>
      </c>
      <c r="S923" s="21"/>
      <c r="T923" s="19"/>
      <c r="U923" s="21"/>
      <c r="V923" s="7"/>
      <c r="W923" s="7"/>
      <c r="X923" s="51" t="str">
        <f t="shared" si="6"/>
        <v/>
      </c>
      <c r="Y923" s="51" t="str">
        <f t="shared" si="7"/>
        <v/>
      </c>
      <c r="Z923" s="37"/>
    </row>
    <row r="924" spans="1:26" ht="14.25" customHeight="1" x14ac:dyDescent="0.3">
      <c r="A924" s="18">
        <v>230.3</v>
      </c>
      <c r="B924" s="19"/>
      <c r="C924" s="18" t="s">
        <v>55</v>
      </c>
      <c r="D924" s="19"/>
      <c r="E924" s="25"/>
      <c r="F924" s="19"/>
      <c r="G924" s="21">
        <v>0</v>
      </c>
      <c r="H924" s="21"/>
      <c r="I924" s="21"/>
      <c r="J924" s="21"/>
      <c r="K924" s="19"/>
      <c r="L924" s="19"/>
      <c r="M924" s="22">
        <v>1</v>
      </c>
      <c r="N924" s="19"/>
      <c r="O924" s="25"/>
      <c r="P924" s="23"/>
      <c r="Q924" s="21" t="s">
        <v>46</v>
      </c>
      <c r="R924" s="19" t="s">
        <v>47</v>
      </c>
      <c r="S924" s="21"/>
      <c r="T924" s="19"/>
      <c r="U924" s="21"/>
      <c r="V924" s="7"/>
      <c r="W924" s="7"/>
      <c r="X924" s="51" t="str">
        <f t="shared" si="6"/>
        <v/>
      </c>
      <c r="Y924" s="51" t="str">
        <f t="shared" si="7"/>
        <v/>
      </c>
      <c r="Z924" s="37"/>
    </row>
    <row r="925" spans="1:26" ht="14.25" customHeight="1" x14ac:dyDescent="0.3">
      <c r="A925" s="18">
        <v>230.4</v>
      </c>
      <c r="B925" s="19"/>
      <c r="C925" s="18" t="s">
        <v>55</v>
      </c>
      <c r="D925" s="19"/>
      <c r="E925" s="25"/>
      <c r="F925" s="19"/>
      <c r="G925" s="21">
        <v>0</v>
      </c>
      <c r="H925" s="21"/>
      <c r="I925" s="21"/>
      <c r="J925" s="21"/>
      <c r="K925" s="19"/>
      <c r="L925" s="19"/>
      <c r="M925" s="22">
        <v>1</v>
      </c>
      <c r="N925" s="19"/>
      <c r="O925" s="25"/>
      <c r="P925" s="23"/>
      <c r="Q925" s="21" t="s">
        <v>46</v>
      </c>
      <c r="R925" s="19" t="s">
        <v>47</v>
      </c>
      <c r="S925" s="21"/>
      <c r="T925" s="19"/>
      <c r="U925" s="21"/>
      <c r="V925" s="7"/>
      <c r="W925" s="7"/>
      <c r="X925" s="51" t="str">
        <f t="shared" si="6"/>
        <v/>
      </c>
      <c r="Y925" s="51" t="str">
        <f t="shared" si="7"/>
        <v/>
      </c>
      <c r="Z925" s="37"/>
    </row>
    <row r="926" spans="1:26" ht="14.25" customHeight="1" x14ac:dyDescent="0.3">
      <c r="A926" s="18">
        <v>231.1</v>
      </c>
      <c r="B926" s="19"/>
      <c r="C926" s="18" t="s">
        <v>55</v>
      </c>
      <c r="D926" s="19"/>
      <c r="E926" s="25"/>
      <c r="F926" s="19"/>
      <c r="G926" s="21">
        <v>0</v>
      </c>
      <c r="H926" s="21"/>
      <c r="I926" s="21"/>
      <c r="J926" s="21"/>
      <c r="K926" s="19"/>
      <c r="L926" s="19"/>
      <c r="M926" s="22">
        <v>1</v>
      </c>
      <c r="N926" s="19"/>
      <c r="O926" s="25"/>
      <c r="P926" s="23"/>
      <c r="Q926" s="21" t="s">
        <v>46</v>
      </c>
      <c r="R926" s="19" t="s">
        <v>47</v>
      </c>
      <c r="S926" s="21"/>
      <c r="T926" s="19"/>
      <c r="U926" s="21"/>
      <c r="V926" s="7"/>
      <c r="W926" s="7"/>
      <c r="X926" s="51" t="str">
        <f t="shared" si="6"/>
        <v/>
      </c>
      <c r="Y926" s="51" t="str">
        <f t="shared" si="7"/>
        <v/>
      </c>
      <c r="Z926" s="37"/>
    </row>
    <row r="927" spans="1:26" ht="14.25" customHeight="1" x14ac:dyDescent="0.3">
      <c r="A927" s="18">
        <v>231.2</v>
      </c>
      <c r="B927" s="19"/>
      <c r="C927" s="18" t="s">
        <v>55</v>
      </c>
      <c r="D927" s="19"/>
      <c r="E927" s="25"/>
      <c r="F927" s="19"/>
      <c r="G927" s="21">
        <v>0</v>
      </c>
      <c r="H927" s="21"/>
      <c r="I927" s="21"/>
      <c r="J927" s="21"/>
      <c r="K927" s="19"/>
      <c r="L927" s="19"/>
      <c r="M927" s="22">
        <v>1</v>
      </c>
      <c r="N927" s="19"/>
      <c r="O927" s="25"/>
      <c r="P927" s="23"/>
      <c r="Q927" s="21" t="s">
        <v>46</v>
      </c>
      <c r="R927" s="19" t="s">
        <v>47</v>
      </c>
      <c r="S927" s="21"/>
      <c r="T927" s="19"/>
      <c r="U927" s="21"/>
      <c r="V927" s="7"/>
      <c r="W927" s="7"/>
      <c r="X927" s="51" t="str">
        <f t="shared" si="6"/>
        <v/>
      </c>
      <c r="Y927" s="51" t="str">
        <f t="shared" si="7"/>
        <v/>
      </c>
      <c r="Z927" s="37"/>
    </row>
    <row r="928" spans="1:26" ht="14.25" customHeight="1" x14ac:dyDescent="0.3">
      <c r="A928" s="18">
        <v>231.3</v>
      </c>
      <c r="B928" s="19"/>
      <c r="C928" s="18" t="s">
        <v>55</v>
      </c>
      <c r="D928" s="19"/>
      <c r="E928" s="25"/>
      <c r="F928" s="19"/>
      <c r="G928" s="21">
        <v>0</v>
      </c>
      <c r="H928" s="21"/>
      <c r="I928" s="21"/>
      <c r="J928" s="21"/>
      <c r="K928" s="19"/>
      <c r="L928" s="19"/>
      <c r="M928" s="22">
        <v>1</v>
      </c>
      <c r="N928" s="19"/>
      <c r="O928" s="25"/>
      <c r="P928" s="23"/>
      <c r="Q928" s="21" t="s">
        <v>46</v>
      </c>
      <c r="R928" s="19" t="s">
        <v>47</v>
      </c>
      <c r="S928" s="21"/>
      <c r="T928" s="19"/>
      <c r="U928" s="21"/>
      <c r="V928" s="7"/>
      <c r="W928" s="7"/>
      <c r="X928" s="51" t="str">
        <f t="shared" si="6"/>
        <v/>
      </c>
      <c r="Y928" s="51" t="str">
        <f t="shared" si="7"/>
        <v/>
      </c>
      <c r="Z928" s="37"/>
    </row>
    <row r="929" spans="1:26" ht="14.25" customHeight="1" x14ac:dyDescent="0.3">
      <c r="A929" s="18">
        <v>231.4</v>
      </c>
      <c r="B929" s="19"/>
      <c r="C929" s="18" t="s">
        <v>55</v>
      </c>
      <c r="D929" s="19"/>
      <c r="E929" s="25"/>
      <c r="F929" s="19"/>
      <c r="G929" s="21">
        <v>0</v>
      </c>
      <c r="H929" s="21"/>
      <c r="I929" s="21"/>
      <c r="J929" s="21"/>
      <c r="K929" s="19"/>
      <c r="L929" s="19"/>
      <c r="M929" s="22">
        <v>1</v>
      </c>
      <c r="N929" s="19"/>
      <c r="O929" s="25"/>
      <c r="P929" s="23"/>
      <c r="Q929" s="21" t="s">
        <v>46</v>
      </c>
      <c r="R929" s="19" t="s">
        <v>47</v>
      </c>
      <c r="S929" s="21"/>
      <c r="T929" s="19"/>
      <c r="U929" s="21"/>
      <c r="V929" s="7"/>
      <c r="W929" s="7"/>
      <c r="X929" s="51" t="str">
        <f t="shared" si="6"/>
        <v/>
      </c>
      <c r="Y929" s="51" t="str">
        <f t="shared" si="7"/>
        <v/>
      </c>
      <c r="Z929" s="37"/>
    </row>
    <row r="930" spans="1:26" ht="14.25" customHeight="1" x14ac:dyDescent="0.3">
      <c r="A930" s="18">
        <v>232.1</v>
      </c>
      <c r="B930" s="19"/>
      <c r="C930" s="18" t="s">
        <v>55</v>
      </c>
      <c r="D930" s="19"/>
      <c r="E930" s="25"/>
      <c r="F930" s="19"/>
      <c r="G930" s="21">
        <v>0</v>
      </c>
      <c r="H930" s="21"/>
      <c r="I930" s="21"/>
      <c r="J930" s="21"/>
      <c r="K930" s="19"/>
      <c r="L930" s="19"/>
      <c r="M930" s="22">
        <v>1</v>
      </c>
      <c r="N930" s="19"/>
      <c r="O930" s="25"/>
      <c r="P930" s="23"/>
      <c r="Q930" s="21" t="s">
        <v>46</v>
      </c>
      <c r="R930" s="19" t="s">
        <v>47</v>
      </c>
      <c r="S930" s="21"/>
      <c r="T930" s="19"/>
      <c r="U930" s="21"/>
      <c r="V930" s="7"/>
      <c r="W930" s="7"/>
      <c r="X930" s="51" t="str">
        <f t="shared" si="6"/>
        <v/>
      </c>
      <c r="Y930" s="51" t="str">
        <f t="shared" si="7"/>
        <v/>
      </c>
      <c r="Z930" s="37"/>
    </row>
    <row r="931" spans="1:26" ht="14.25" customHeight="1" x14ac:dyDescent="0.3">
      <c r="A931" s="18">
        <v>232.2</v>
      </c>
      <c r="B931" s="19"/>
      <c r="C931" s="18" t="s">
        <v>55</v>
      </c>
      <c r="D931" s="19"/>
      <c r="E931" s="25"/>
      <c r="F931" s="19"/>
      <c r="G931" s="21">
        <v>0</v>
      </c>
      <c r="H931" s="21"/>
      <c r="I931" s="21"/>
      <c r="J931" s="21"/>
      <c r="K931" s="19"/>
      <c r="L931" s="19"/>
      <c r="M931" s="22">
        <v>1</v>
      </c>
      <c r="N931" s="19"/>
      <c r="O931" s="25"/>
      <c r="P931" s="23"/>
      <c r="Q931" s="21" t="s">
        <v>46</v>
      </c>
      <c r="R931" s="19" t="s">
        <v>47</v>
      </c>
      <c r="S931" s="21"/>
      <c r="T931" s="19"/>
      <c r="U931" s="21"/>
      <c r="V931" s="7"/>
      <c r="W931" s="7"/>
      <c r="X931" s="51" t="str">
        <f t="shared" si="6"/>
        <v/>
      </c>
      <c r="Y931" s="51" t="str">
        <f t="shared" si="7"/>
        <v/>
      </c>
      <c r="Z931" s="37"/>
    </row>
    <row r="932" spans="1:26" ht="14.25" customHeight="1" x14ac:dyDescent="0.3">
      <c r="A932" s="18">
        <v>232.3</v>
      </c>
      <c r="B932" s="19"/>
      <c r="C932" s="18" t="s">
        <v>55</v>
      </c>
      <c r="D932" s="19"/>
      <c r="E932" s="25"/>
      <c r="F932" s="19"/>
      <c r="G932" s="21">
        <v>0</v>
      </c>
      <c r="H932" s="21"/>
      <c r="I932" s="21"/>
      <c r="J932" s="21"/>
      <c r="K932" s="19"/>
      <c r="L932" s="19"/>
      <c r="M932" s="22">
        <v>1</v>
      </c>
      <c r="N932" s="19"/>
      <c r="O932" s="25"/>
      <c r="P932" s="23"/>
      <c r="Q932" s="21" t="s">
        <v>46</v>
      </c>
      <c r="R932" s="19" t="s">
        <v>47</v>
      </c>
      <c r="S932" s="21"/>
      <c r="T932" s="19"/>
      <c r="U932" s="21"/>
      <c r="V932" s="7"/>
      <c r="W932" s="7"/>
      <c r="X932" s="51" t="str">
        <f t="shared" si="6"/>
        <v/>
      </c>
      <c r="Y932" s="51" t="str">
        <f t="shared" si="7"/>
        <v/>
      </c>
      <c r="Z932" s="37"/>
    </row>
    <row r="933" spans="1:26" ht="14.25" customHeight="1" x14ac:dyDescent="0.3">
      <c r="A933" s="18">
        <v>232.4</v>
      </c>
      <c r="B933" s="19"/>
      <c r="C933" s="18" t="s">
        <v>55</v>
      </c>
      <c r="D933" s="19"/>
      <c r="E933" s="25"/>
      <c r="F933" s="19"/>
      <c r="G933" s="21">
        <v>0</v>
      </c>
      <c r="H933" s="21"/>
      <c r="I933" s="21"/>
      <c r="J933" s="21"/>
      <c r="K933" s="19"/>
      <c r="L933" s="19"/>
      <c r="M933" s="22">
        <v>1</v>
      </c>
      <c r="N933" s="19"/>
      <c r="O933" s="25"/>
      <c r="P933" s="23"/>
      <c r="Q933" s="21" t="s">
        <v>46</v>
      </c>
      <c r="R933" s="19" t="s">
        <v>47</v>
      </c>
      <c r="S933" s="21"/>
      <c r="T933" s="19"/>
      <c r="U933" s="21"/>
      <c r="V933" s="7"/>
      <c r="W933" s="7"/>
      <c r="X933" s="51" t="str">
        <f t="shared" si="6"/>
        <v/>
      </c>
      <c r="Y933" s="51" t="str">
        <f t="shared" si="7"/>
        <v/>
      </c>
      <c r="Z933" s="37"/>
    </row>
    <row r="934" spans="1:26" ht="14.25" customHeight="1" x14ac:dyDescent="0.3">
      <c r="A934" s="18">
        <v>233.1</v>
      </c>
      <c r="B934" s="19"/>
      <c r="C934" s="18" t="s">
        <v>55</v>
      </c>
      <c r="D934" s="19"/>
      <c r="E934" s="25"/>
      <c r="F934" s="19"/>
      <c r="G934" s="21">
        <v>0</v>
      </c>
      <c r="H934" s="21"/>
      <c r="I934" s="21"/>
      <c r="J934" s="21"/>
      <c r="K934" s="19"/>
      <c r="L934" s="19"/>
      <c r="M934" s="22">
        <v>1</v>
      </c>
      <c r="N934" s="19"/>
      <c r="O934" s="25"/>
      <c r="P934" s="23"/>
      <c r="Q934" s="21" t="s">
        <v>46</v>
      </c>
      <c r="R934" s="19" t="s">
        <v>47</v>
      </c>
      <c r="S934" s="21"/>
      <c r="T934" s="19"/>
      <c r="U934" s="21"/>
      <c r="V934" s="7"/>
      <c r="W934" s="7"/>
      <c r="X934" s="51" t="str">
        <f t="shared" si="6"/>
        <v/>
      </c>
      <c r="Y934" s="51" t="str">
        <f t="shared" si="7"/>
        <v/>
      </c>
      <c r="Z934" s="37"/>
    </row>
    <row r="935" spans="1:26" ht="14.25" customHeight="1" x14ac:dyDescent="0.3">
      <c r="A935" s="18">
        <v>233.2</v>
      </c>
      <c r="B935" s="19"/>
      <c r="C935" s="18" t="s">
        <v>55</v>
      </c>
      <c r="D935" s="19"/>
      <c r="E935" s="25"/>
      <c r="F935" s="19"/>
      <c r="G935" s="21">
        <v>0</v>
      </c>
      <c r="H935" s="21"/>
      <c r="I935" s="21"/>
      <c r="J935" s="21"/>
      <c r="K935" s="19"/>
      <c r="L935" s="19"/>
      <c r="M935" s="22">
        <v>1</v>
      </c>
      <c r="N935" s="19"/>
      <c r="O935" s="25"/>
      <c r="P935" s="23"/>
      <c r="Q935" s="21" t="s">
        <v>46</v>
      </c>
      <c r="R935" s="19" t="s">
        <v>47</v>
      </c>
      <c r="S935" s="21"/>
      <c r="T935" s="19"/>
      <c r="U935" s="21"/>
      <c r="V935" s="7"/>
      <c r="W935" s="7"/>
      <c r="X935" s="51" t="str">
        <f t="shared" si="6"/>
        <v/>
      </c>
      <c r="Y935" s="51" t="str">
        <f t="shared" si="7"/>
        <v/>
      </c>
      <c r="Z935" s="37"/>
    </row>
    <row r="936" spans="1:26" ht="14.25" customHeight="1" x14ac:dyDescent="0.3">
      <c r="A936" s="18">
        <v>233.3</v>
      </c>
      <c r="B936" s="19"/>
      <c r="C936" s="18" t="s">
        <v>55</v>
      </c>
      <c r="D936" s="19"/>
      <c r="E936" s="25"/>
      <c r="F936" s="19"/>
      <c r="G936" s="21">
        <v>0</v>
      </c>
      <c r="H936" s="21"/>
      <c r="I936" s="21"/>
      <c r="J936" s="21"/>
      <c r="K936" s="19"/>
      <c r="L936" s="19"/>
      <c r="M936" s="22">
        <v>1</v>
      </c>
      <c r="N936" s="19"/>
      <c r="O936" s="25"/>
      <c r="P936" s="23"/>
      <c r="Q936" s="21" t="s">
        <v>46</v>
      </c>
      <c r="R936" s="19" t="s">
        <v>47</v>
      </c>
      <c r="S936" s="21"/>
      <c r="T936" s="19"/>
      <c r="U936" s="21"/>
      <c r="V936" s="7"/>
      <c r="W936" s="7"/>
      <c r="X936" s="51" t="str">
        <f t="shared" si="6"/>
        <v/>
      </c>
      <c r="Y936" s="51" t="str">
        <f t="shared" si="7"/>
        <v/>
      </c>
      <c r="Z936" s="37"/>
    </row>
    <row r="937" spans="1:26" ht="14.25" customHeight="1" x14ac:dyDescent="0.3">
      <c r="A937" s="18">
        <v>233.4</v>
      </c>
      <c r="B937" s="19"/>
      <c r="C937" s="18" t="s">
        <v>55</v>
      </c>
      <c r="D937" s="19"/>
      <c r="E937" s="25"/>
      <c r="F937" s="19"/>
      <c r="G937" s="21">
        <v>0</v>
      </c>
      <c r="H937" s="21"/>
      <c r="I937" s="21"/>
      <c r="J937" s="21"/>
      <c r="K937" s="19"/>
      <c r="L937" s="19"/>
      <c r="M937" s="22">
        <v>1</v>
      </c>
      <c r="N937" s="19"/>
      <c r="O937" s="25"/>
      <c r="P937" s="23"/>
      <c r="Q937" s="21" t="s">
        <v>46</v>
      </c>
      <c r="R937" s="19" t="s">
        <v>47</v>
      </c>
      <c r="S937" s="21"/>
      <c r="T937" s="19"/>
      <c r="U937" s="21"/>
      <c r="V937" s="7"/>
      <c r="W937" s="7"/>
      <c r="X937" s="51" t="str">
        <f t="shared" si="6"/>
        <v/>
      </c>
      <c r="Y937" s="51" t="str">
        <f t="shared" si="7"/>
        <v/>
      </c>
      <c r="Z937" s="37"/>
    </row>
    <row r="938" spans="1:26" ht="14.25" customHeight="1" x14ac:dyDescent="0.3">
      <c r="A938" s="18">
        <v>234.1</v>
      </c>
      <c r="B938" s="19"/>
      <c r="C938" s="18" t="s">
        <v>55</v>
      </c>
      <c r="D938" s="19"/>
      <c r="E938" s="25"/>
      <c r="F938" s="19"/>
      <c r="G938" s="21">
        <v>0</v>
      </c>
      <c r="H938" s="21"/>
      <c r="I938" s="21"/>
      <c r="J938" s="21"/>
      <c r="K938" s="19"/>
      <c r="L938" s="19"/>
      <c r="M938" s="22">
        <v>1</v>
      </c>
      <c r="N938" s="19"/>
      <c r="O938" s="25"/>
      <c r="P938" s="23"/>
      <c r="Q938" s="21" t="s">
        <v>46</v>
      </c>
      <c r="R938" s="19" t="s">
        <v>47</v>
      </c>
      <c r="S938" s="21"/>
      <c r="T938" s="19"/>
      <c r="U938" s="21"/>
      <c r="V938" s="7"/>
      <c r="W938" s="7"/>
      <c r="X938" s="51" t="str">
        <f t="shared" si="6"/>
        <v/>
      </c>
      <c r="Y938" s="51" t="str">
        <f t="shared" si="7"/>
        <v/>
      </c>
      <c r="Z938" s="37"/>
    </row>
    <row r="939" spans="1:26" ht="14.25" customHeight="1" x14ac:dyDescent="0.3">
      <c r="A939" s="18">
        <v>234.2</v>
      </c>
      <c r="B939" s="19"/>
      <c r="C939" s="18" t="s">
        <v>55</v>
      </c>
      <c r="D939" s="19"/>
      <c r="E939" s="25"/>
      <c r="F939" s="19"/>
      <c r="G939" s="21">
        <v>0</v>
      </c>
      <c r="H939" s="21"/>
      <c r="I939" s="21"/>
      <c r="J939" s="21"/>
      <c r="K939" s="19"/>
      <c r="L939" s="19"/>
      <c r="M939" s="22">
        <v>1</v>
      </c>
      <c r="N939" s="19"/>
      <c r="O939" s="25"/>
      <c r="P939" s="23"/>
      <c r="Q939" s="21" t="s">
        <v>46</v>
      </c>
      <c r="R939" s="19" t="s">
        <v>47</v>
      </c>
      <c r="S939" s="21"/>
      <c r="T939" s="19"/>
      <c r="U939" s="21"/>
      <c r="V939" s="7"/>
      <c r="W939" s="7"/>
      <c r="X939" s="51" t="str">
        <f t="shared" si="6"/>
        <v/>
      </c>
      <c r="Y939" s="51" t="str">
        <f t="shared" si="7"/>
        <v/>
      </c>
      <c r="Z939" s="37"/>
    </row>
    <row r="940" spans="1:26" ht="14.25" customHeight="1" x14ac:dyDescent="0.3">
      <c r="A940" s="18">
        <v>234.3</v>
      </c>
      <c r="B940" s="19"/>
      <c r="C940" s="18" t="s">
        <v>55</v>
      </c>
      <c r="D940" s="19"/>
      <c r="E940" s="25"/>
      <c r="F940" s="19"/>
      <c r="G940" s="21">
        <v>0</v>
      </c>
      <c r="H940" s="21"/>
      <c r="I940" s="21"/>
      <c r="J940" s="21"/>
      <c r="K940" s="19"/>
      <c r="L940" s="19"/>
      <c r="M940" s="22">
        <v>1</v>
      </c>
      <c r="N940" s="19"/>
      <c r="O940" s="25"/>
      <c r="P940" s="23"/>
      <c r="Q940" s="21" t="s">
        <v>46</v>
      </c>
      <c r="R940" s="19" t="s">
        <v>47</v>
      </c>
      <c r="S940" s="21"/>
      <c r="T940" s="19"/>
      <c r="U940" s="21"/>
      <c r="V940" s="7"/>
      <c r="W940" s="7"/>
      <c r="X940" s="51" t="str">
        <f t="shared" si="6"/>
        <v/>
      </c>
      <c r="Y940" s="51" t="str">
        <f t="shared" si="7"/>
        <v/>
      </c>
      <c r="Z940" s="37"/>
    </row>
    <row r="941" spans="1:26" ht="14.25" customHeight="1" x14ac:dyDescent="0.3">
      <c r="A941" s="18">
        <v>234.4</v>
      </c>
      <c r="B941" s="19"/>
      <c r="C941" s="18" t="s">
        <v>55</v>
      </c>
      <c r="D941" s="19"/>
      <c r="E941" s="25"/>
      <c r="F941" s="19"/>
      <c r="G941" s="21">
        <v>0</v>
      </c>
      <c r="H941" s="21"/>
      <c r="I941" s="21"/>
      <c r="J941" s="21"/>
      <c r="K941" s="19"/>
      <c r="L941" s="19"/>
      <c r="M941" s="22">
        <v>1</v>
      </c>
      <c r="N941" s="19"/>
      <c r="O941" s="25"/>
      <c r="P941" s="23"/>
      <c r="Q941" s="21" t="s">
        <v>46</v>
      </c>
      <c r="R941" s="19" t="s">
        <v>47</v>
      </c>
      <c r="S941" s="21"/>
      <c r="T941" s="19"/>
      <c r="U941" s="21"/>
      <c r="V941" s="7"/>
      <c r="W941" s="7"/>
      <c r="X941" s="51" t="str">
        <f t="shared" si="6"/>
        <v/>
      </c>
      <c r="Y941" s="51" t="str">
        <f t="shared" si="7"/>
        <v/>
      </c>
      <c r="Z941" s="37"/>
    </row>
    <row r="942" spans="1:26" ht="14.25" customHeight="1" x14ac:dyDescent="0.3">
      <c r="A942" s="18">
        <v>235.1</v>
      </c>
      <c r="B942" s="19"/>
      <c r="C942" s="18" t="s">
        <v>55</v>
      </c>
      <c r="D942" s="19"/>
      <c r="E942" s="25"/>
      <c r="F942" s="19"/>
      <c r="G942" s="21">
        <v>0</v>
      </c>
      <c r="H942" s="21"/>
      <c r="I942" s="21"/>
      <c r="J942" s="21"/>
      <c r="K942" s="19"/>
      <c r="L942" s="19"/>
      <c r="M942" s="22">
        <v>1</v>
      </c>
      <c r="N942" s="19"/>
      <c r="O942" s="25"/>
      <c r="P942" s="23"/>
      <c r="Q942" s="21" t="s">
        <v>46</v>
      </c>
      <c r="R942" s="19" t="s">
        <v>47</v>
      </c>
      <c r="S942" s="21"/>
      <c r="T942" s="19"/>
      <c r="U942" s="21"/>
      <c r="V942" s="7"/>
      <c r="W942" s="7"/>
      <c r="X942" s="51" t="str">
        <f t="shared" si="6"/>
        <v/>
      </c>
      <c r="Y942" s="51" t="str">
        <f t="shared" si="7"/>
        <v/>
      </c>
      <c r="Z942" s="37"/>
    </row>
    <row r="943" spans="1:26" ht="14.25" customHeight="1" x14ac:dyDescent="0.3">
      <c r="A943" s="18">
        <v>235.2</v>
      </c>
      <c r="B943" s="19"/>
      <c r="C943" s="18" t="s">
        <v>55</v>
      </c>
      <c r="D943" s="19"/>
      <c r="E943" s="25"/>
      <c r="F943" s="19"/>
      <c r="G943" s="21">
        <v>0</v>
      </c>
      <c r="H943" s="21"/>
      <c r="I943" s="21"/>
      <c r="J943" s="21"/>
      <c r="K943" s="19"/>
      <c r="L943" s="19"/>
      <c r="M943" s="22">
        <v>1</v>
      </c>
      <c r="N943" s="19"/>
      <c r="O943" s="25"/>
      <c r="P943" s="23"/>
      <c r="Q943" s="21" t="s">
        <v>46</v>
      </c>
      <c r="R943" s="19" t="s">
        <v>47</v>
      </c>
      <c r="S943" s="21"/>
      <c r="T943" s="19"/>
      <c r="U943" s="21"/>
      <c r="V943" s="7"/>
      <c r="W943" s="7"/>
      <c r="X943" s="51" t="str">
        <f t="shared" si="6"/>
        <v/>
      </c>
      <c r="Y943" s="51" t="str">
        <f t="shared" si="7"/>
        <v/>
      </c>
      <c r="Z943" s="37"/>
    </row>
    <row r="944" spans="1:26" ht="14.25" customHeight="1" x14ac:dyDescent="0.3">
      <c r="A944" s="18">
        <v>235.3</v>
      </c>
      <c r="B944" s="19"/>
      <c r="C944" s="18" t="s">
        <v>55</v>
      </c>
      <c r="D944" s="19"/>
      <c r="E944" s="25"/>
      <c r="F944" s="19"/>
      <c r="G944" s="21">
        <v>0</v>
      </c>
      <c r="H944" s="21"/>
      <c r="I944" s="21"/>
      <c r="J944" s="21"/>
      <c r="K944" s="19"/>
      <c r="L944" s="19"/>
      <c r="M944" s="22">
        <v>1</v>
      </c>
      <c r="N944" s="19"/>
      <c r="O944" s="25"/>
      <c r="P944" s="23"/>
      <c r="Q944" s="21" t="s">
        <v>46</v>
      </c>
      <c r="R944" s="19" t="s">
        <v>47</v>
      </c>
      <c r="S944" s="21"/>
      <c r="T944" s="19"/>
      <c r="U944" s="21"/>
      <c r="V944" s="7"/>
      <c r="W944" s="7"/>
      <c r="X944" s="51" t="str">
        <f t="shared" si="6"/>
        <v/>
      </c>
      <c r="Y944" s="51" t="str">
        <f t="shared" si="7"/>
        <v/>
      </c>
      <c r="Z944" s="37"/>
    </row>
    <row r="945" spans="1:26" ht="14.25" customHeight="1" x14ac:dyDescent="0.3">
      <c r="A945" s="18">
        <v>235.4</v>
      </c>
      <c r="B945" s="19"/>
      <c r="C945" s="18" t="s">
        <v>55</v>
      </c>
      <c r="D945" s="19"/>
      <c r="E945" s="25"/>
      <c r="F945" s="19"/>
      <c r="G945" s="21">
        <v>0</v>
      </c>
      <c r="H945" s="21"/>
      <c r="I945" s="21"/>
      <c r="J945" s="21"/>
      <c r="K945" s="19"/>
      <c r="L945" s="19"/>
      <c r="M945" s="22">
        <v>1</v>
      </c>
      <c r="N945" s="19"/>
      <c r="O945" s="25"/>
      <c r="P945" s="23"/>
      <c r="Q945" s="21" t="s">
        <v>46</v>
      </c>
      <c r="R945" s="19" t="s">
        <v>47</v>
      </c>
      <c r="S945" s="21"/>
      <c r="T945" s="19"/>
      <c r="U945" s="21"/>
      <c r="V945" s="7"/>
      <c r="W945" s="7"/>
      <c r="X945" s="51" t="str">
        <f t="shared" si="6"/>
        <v/>
      </c>
      <c r="Y945" s="51" t="str">
        <f t="shared" si="7"/>
        <v/>
      </c>
      <c r="Z945" s="37"/>
    </row>
    <row r="946" spans="1:26" ht="14.25" customHeight="1" x14ac:dyDescent="0.3">
      <c r="A946" s="18">
        <v>236.1</v>
      </c>
      <c r="B946" s="19"/>
      <c r="C946" s="18" t="s">
        <v>55</v>
      </c>
      <c r="D946" s="19"/>
      <c r="E946" s="25"/>
      <c r="F946" s="19"/>
      <c r="G946" s="21">
        <v>0</v>
      </c>
      <c r="H946" s="21"/>
      <c r="I946" s="21"/>
      <c r="J946" s="21"/>
      <c r="K946" s="19"/>
      <c r="L946" s="19"/>
      <c r="M946" s="22">
        <v>1</v>
      </c>
      <c r="N946" s="19"/>
      <c r="O946" s="25"/>
      <c r="P946" s="23"/>
      <c r="Q946" s="21" t="s">
        <v>46</v>
      </c>
      <c r="R946" s="19" t="s">
        <v>47</v>
      </c>
      <c r="S946" s="21"/>
      <c r="T946" s="19"/>
      <c r="U946" s="21"/>
      <c r="V946" s="7"/>
      <c r="W946" s="7"/>
      <c r="X946" s="51" t="str">
        <f t="shared" si="6"/>
        <v/>
      </c>
      <c r="Y946" s="51" t="str">
        <f t="shared" si="7"/>
        <v/>
      </c>
      <c r="Z946" s="37"/>
    </row>
    <row r="947" spans="1:26" ht="14.25" customHeight="1" x14ac:dyDescent="0.3">
      <c r="A947" s="18">
        <v>236.2</v>
      </c>
      <c r="B947" s="19"/>
      <c r="C947" s="18" t="s">
        <v>55</v>
      </c>
      <c r="D947" s="19"/>
      <c r="E947" s="25"/>
      <c r="F947" s="19"/>
      <c r="G947" s="21">
        <v>0</v>
      </c>
      <c r="H947" s="21"/>
      <c r="I947" s="21"/>
      <c r="J947" s="21"/>
      <c r="K947" s="19"/>
      <c r="L947" s="19"/>
      <c r="M947" s="22">
        <v>1</v>
      </c>
      <c r="N947" s="19"/>
      <c r="O947" s="25"/>
      <c r="P947" s="23"/>
      <c r="Q947" s="21" t="s">
        <v>46</v>
      </c>
      <c r="R947" s="19" t="s">
        <v>47</v>
      </c>
      <c r="S947" s="21"/>
      <c r="T947" s="19"/>
      <c r="U947" s="21"/>
      <c r="V947" s="7"/>
      <c r="W947" s="7"/>
      <c r="X947" s="51" t="str">
        <f t="shared" si="6"/>
        <v/>
      </c>
      <c r="Y947" s="51" t="str">
        <f t="shared" si="7"/>
        <v/>
      </c>
      <c r="Z947" s="37"/>
    </row>
    <row r="948" spans="1:26" ht="14.25" customHeight="1" x14ac:dyDescent="0.3">
      <c r="A948" s="18">
        <v>236.3</v>
      </c>
      <c r="B948" s="19"/>
      <c r="C948" s="18" t="s">
        <v>55</v>
      </c>
      <c r="D948" s="19"/>
      <c r="E948" s="25"/>
      <c r="F948" s="19"/>
      <c r="G948" s="21">
        <v>0</v>
      </c>
      <c r="H948" s="21"/>
      <c r="I948" s="21"/>
      <c r="J948" s="21"/>
      <c r="K948" s="19"/>
      <c r="L948" s="19"/>
      <c r="M948" s="22">
        <v>1</v>
      </c>
      <c r="N948" s="19"/>
      <c r="O948" s="25"/>
      <c r="P948" s="23"/>
      <c r="Q948" s="21" t="s">
        <v>46</v>
      </c>
      <c r="R948" s="19" t="s">
        <v>47</v>
      </c>
      <c r="S948" s="21"/>
      <c r="T948" s="19"/>
      <c r="U948" s="21"/>
      <c r="V948" s="7"/>
      <c r="W948" s="7"/>
      <c r="X948" s="51" t="str">
        <f t="shared" si="6"/>
        <v/>
      </c>
      <c r="Y948" s="51" t="str">
        <f t="shared" si="7"/>
        <v/>
      </c>
      <c r="Z948" s="37"/>
    </row>
    <row r="949" spans="1:26" ht="14.25" customHeight="1" x14ac:dyDescent="0.3">
      <c r="A949" s="18">
        <v>236.4</v>
      </c>
      <c r="B949" s="19"/>
      <c r="C949" s="18" t="s">
        <v>55</v>
      </c>
      <c r="D949" s="19"/>
      <c r="E949" s="25"/>
      <c r="F949" s="19"/>
      <c r="G949" s="21">
        <v>0</v>
      </c>
      <c r="H949" s="21"/>
      <c r="I949" s="21"/>
      <c r="J949" s="21"/>
      <c r="K949" s="19"/>
      <c r="L949" s="19"/>
      <c r="M949" s="22">
        <v>1</v>
      </c>
      <c r="N949" s="19"/>
      <c r="O949" s="25"/>
      <c r="P949" s="23"/>
      <c r="Q949" s="21" t="s">
        <v>46</v>
      </c>
      <c r="R949" s="19" t="s">
        <v>47</v>
      </c>
      <c r="S949" s="21"/>
      <c r="T949" s="19"/>
      <c r="U949" s="21"/>
      <c r="V949" s="7"/>
      <c r="W949" s="7"/>
      <c r="X949" s="51" t="str">
        <f t="shared" si="6"/>
        <v/>
      </c>
      <c r="Y949" s="51" t="str">
        <f t="shared" si="7"/>
        <v/>
      </c>
      <c r="Z949" s="37"/>
    </row>
    <row r="950" spans="1:26" ht="14.25" customHeight="1" x14ac:dyDescent="0.3">
      <c r="A950" s="18">
        <v>237.1</v>
      </c>
      <c r="B950" s="19"/>
      <c r="C950" s="18" t="s">
        <v>55</v>
      </c>
      <c r="D950" s="19"/>
      <c r="E950" s="25"/>
      <c r="F950" s="19"/>
      <c r="G950" s="21">
        <v>0</v>
      </c>
      <c r="H950" s="21"/>
      <c r="I950" s="21"/>
      <c r="J950" s="21"/>
      <c r="K950" s="19"/>
      <c r="L950" s="19"/>
      <c r="M950" s="22">
        <v>1</v>
      </c>
      <c r="N950" s="19"/>
      <c r="O950" s="25"/>
      <c r="P950" s="23"/>
      <c r="Q950" s="21" t="s">
        <v>46</v>
      </c>
      <c r="R950" s="19" t="s">
        <v>47</v>
      </c>
      <c r="S950" s="21"/>
      <c r="T950" s="19"/>
      <c r="U950" s="21"/>
      <c r="V950" s="7"/>
      <c r="W950" s="7"/>
      <c r="X950" s="51" t="str">
        <f t="shared" si="6"/>
        <v/>
      </c>
      <c r="Y950" s="51" t="str">
        <f t="shared" si="7"/>
        <v/>
      </c>
      <c r="Z950" s="37"/>
    </row>
    <row r="951" spans="1:26" ht="14.25" customHeight="1" x14ac:dyDescent="0.3">
      <c r="A951" s="18">
        <v>237.2</v>
      </c>
      <c r="B951" s="19"/>
      <c r="C951" s="18" t="s">
        <v>55</v>
      </c>
      <c r="D951" s="19"/>
      <c r="E951" s="25"/>
      <c r="F951" s="19"/>
      <c r="G951" s="21">
        <v>0</v>
      </c>
      <c r="H951" s="21"/>
      <c r="I951" s="21"/>
      <c r="J951" s="21"/>
      <c r="K951" s="19"/>
      <c r="L951" s="19"/>
      <c r="M951" s="22">
        <v>1</v>
      </c>
      <c r="N951" s="19"/>
      <c r="O951" s="25"/>
      <c r="P951" s="23"/>
      <c r="Q951" s="21" t="s">
        <v>46</v>
      </c>
      <c r="R951" s="19" t="s">
        <v>47</v>
      </c>
      <c r="S951" s="21"/>
      <c r="T951" s="19"/>
      <c r="U951" s="21"/>
      <c r="V951" s="7"/>
      <c r="W951" s="7"/>
      <c r="X951" s="51" t="str">
        <f t="shared" si="6"/>
        <v/>
      </c>
      <c r="Y951" s="51" t="str">
        <f t="shared" si="7"/>
        <v/>
      </c>
      <c r="Z951" s="37"/>
    </row>
    <row r="952" spans="1:26" ht="14.25" customHeight="1" x14ac:dyDescent="0.3">
      <c r="A952" s="18">
        <v>237.3</v>
      </c>
      <c r="B952" s="19"/>
      <c r="C952" s="18" t="s">
        <v>55</v>
      </c>
      <c r="D952" s="19"/>
      <c r="E952" s="25"/>
      <c r="F952" s="19"/>
      <c r="G952" s="21">
        <v>0</v>
      </c>
      <c r="H952" s="21"/>
      <c r="I952" s="21"/>
      <c r="J952" s="21"/>
      <c r="K952" s="19"/>
      <c r="L952" s="19"/>
      <c r="M952" s="22">
        <v>1</v>
      </c>
      <c r="N952" s="19"/>
      <c r="O952" s="25"/>
      <c r="P952" s="23"/>
      <c r="Q952" s="21" t="s">
        <v>46</v>
      </c>
      <c r="R952" s="19" t="s">
        <v>47</v>
      </c>
      <c r="S952" s="21"/>
      <c r="T952" s="19"/>
      <c r="U952" s="21"/>
      <c r="V952" s="7"/>
      <c r="W952" s="7"/>
      <c r="X952" s="51" t="str">
        <f t="shared" si="6"/>
        <v/>
      </c>
      <c r="Y952" s="51" t="str">
        <f t="shared" si="7"/>
        <v/>
      </c>
      <c r="Z952" s="37"/>
    </row>
    <row r="953" spans="1:26" ht="14.25" customHeight="1" x14ac:dyDescent="0.3">
      <c r="A953" s="18">
        <v>237.4</v>
      </c>
      <c r="B953" s="19"/>
      <c r="C953" s="18" t="s">
        <v>55</v>
      </c>
      <c r="D953" s="19"/>
      <c r="E953" s="25"/>
      <c r="F953" s="19"/>
      <c r="G953" s="21">
        <v>0</v>
      </c>
      <c r="H953" s="21"/>
      <c r="I953" s="21"/>
      <c r="J953" s="21"/>
      <c r="K953" s="19"/>
      <c r="L953" s="19"/>
      <c r="M953" s="22">
        <v>1</v>
      </c>
      <c r="N953" s="19"/>
      <c r="O953" s="25"/>
      <c r="P953" s="23"/>
      <c r="Q953" s="21" t="s">
        <v>46</v>
      </c>
      <c r="R953" s="19" t="s">
        <v>47</v>
      </c>
      <c r="S953" s="21"/>
      <c r="T953" s="19"/>
      <c r="U953" s="21"/>
      <c r="V953" s="7"/>
      <c r="W953" s="7"/>
      <c r="X953" s="51" t="str">
        <f t="shared" si="6"/>
        <v/>
      </c>
      <c r="Y953" s="51" t="str">
        <f t="shared" si="7"/>
        <v/>
      </c>
      <c r="Z953" s="37"/>
    </row>
    <row r="954" spans="1:26" ht="14.25" customHeight="1" x14ac:dyDescent="0.3">
      <c r="A954" s="18">
        <v>238.1</v>
      </c>
      <c r="B954" s="19"/>
      <c r="C954" s="18" t="s">
        <v>55</v>
      </c>
      <c r="D954" s="19"/>
      <c r="E954" s="25"/>
      <c r="F954" s="19"/>
      <c r="G954" s="21">
        <v>0</v>
      </c>
      <c r="H954" s="21"/>
      <c r="I954" s="21"/>
      <c r="J954" s="21"/>
      <c r="K954" s="19"/>
      <c r="L954" s="19"/>
      <c r="M954" s="22">
        <v>1</v>
      </c>
      <c r="N954" s="19"/>
      <c r="O954" s="25"/>
      <c r="P954" s="23"/>
      <c r="Q954" s="21" t="s">
        <v>46</v>
      </c>
      <c r="R954" s="19" t="s">
        <v>47</v>
      </c>
      <c r="S954" s="21"/>
      <c r="T954" s="19"/>
      <c r="U954" s="21"/>
      <c r="V954" s="7"/>
      <c r="W954" s="7"/>
      <c r="X954" s="51" t="str">
        <f t="shared" si="6"/>
        <v/>
      </c>
      <c r="Y954" s="51" t="str">
        <f t="shared" si="7"/>
        <v/>
      </c>
      <c r="Z954" s="37"/>
    </row>
    <row r="955" spans="1:26" ht="14.25" customHeight="1" x14ac:dyDescent="0.3">
      <c r="A955" s="18">
        <v>238.2</v>
      </c>
      <c r="B955" s="19"/>
      <c r="C955" s="18" t="s">
        <v>55</v>
      </c>
      <c r="D955" s="19"/>
      <c r="E955" s="25"/>
      <c r="F955" s="19"/>
      <c r="G955" s="21">
        <v>0</v>
      </c>
      <c r="H955" s="21"/>
      <c r="I955" s="21"/>
      <c r="J955" s="21"/>
      <c r="K955" s="19"/>
      <c r="L955" s="19"/>
      <c r="M955" s="22">
        <v>1</v>
      </c>
      <c r="N955" s="19"/>
      <c r="O955" s="25"/>
      <c r="P955" s="23"/>
      <c r="Q955" s="21" t="s">
        <v>46</v>
      </c>
      <c r="R955" s="19" t="s">
        <v>47</v>
      </c>
      <c r="S955" s="21"/>
      <c r="T955" s="19"/>
      <c r="U955" s="21"/>
      <c r="V955" s="7"/>
      <c r="W955" s="7"/>
      <c r="X955" s="51" t="str">
        <f t="shared" si="6"/>
        <v/>
      </c>
      <c r="Y955" s="51" t="str">
        <f t="shared" si="7"/>
        <v/>
      </c>
      <c r="Z955" s="37"/>
    </row>
    <row r="956" spans="1:26" ht="14.25" customHeight="1" x14ac:dyDescent="0.3">
      <c r="A956" s="18">
        <v>238.3</v>
      </c>
      <c r="B956" s="19"/>
      <c r="C956" s="18" t="s">
        <v>55</v>
      </c>
      <c r="D956" s="19"/>
      <c r="E956" s="25"/>
      <c r="F956" s="19"/>
      <c r="G956" s="21">
        <v>0</v>
      </c>
      <c r="H956" s="21"/>
      <c r="I956" s="21"/>
      <c r="J956" s="21"/>
      <c r="K956" s="19"/>
      <c r="L956" s="19"/>
      <c r="M956" s="22">
        <v>1</v>
      </c>
      <c r="N956" s="19"/>
      <c r="O956" s="25"/>
      <c r="P956" s="23"/>
      <c r="Q956" s="21" t="s">
        <v>46</v>
      </c>
      <c r="R956" s="19" t="s">
        <v>47</v>
      </c>
      <c r="S956" s="21"/>
      <c r="T956" s="19"/>
      <c r="U956" s="21"/>
      <c r="V956" s="7"/>
      <c r="W956" s="7"/>
      <c r="X956" s="51" t="str">
        <f t="shared" si="6"/>
        <v/>
      </c>
      <c r="Y956" s="51" t="str">
        <f t="shared" si="7"/>
        <v/>
      </c>
      <c r="Z956" s="37"/>
    </row>
    <row r="957" spans="1:26" ht="14.25" customHeight="1" x14ac:dyDescent="0.3">
      <c r="A957" s="18">
        <v>238.4</v>
      </c>
      <c r="B957" s="19"/>
      <c r="C957" s="18" t="s">
        <v>55</v>
      </c>
      <c r="D957" s="19"/>
      <c r="E957" s="25"/>
      <c r="F957" s="19"/>
      <c r="G957" s="21">
        <v>0</v>
      </c>
      <c r="H957" s="21"/>
      <c r="I957" s="21"/>
      <c r="J957" s="21"/>
      <c r="K957" s="19"/>
      <c r="L957" s="19"/>
      <c r="M957" s="22">
        <v>1</v>
      </c>
      <c r="N957" s="19"/>
      <c r="O957" s="25"/>
      <c r="P957" s="23"/>
      <c r="Q957" s="21" t="s">
        <v>46</v>
      </c>
      <c r="R957" s="19" t="s">
        <v>47</v>
      </c>
      <c r="S957" s="21"/>
      <c r="T957" s="19"/>
      <c r="U957" s="21"/>
      <c r="V957" s="7"/>
      <c r="W957" s="7"/>
      <c r="X957" s="51" t="str">
        <f t="shared" si="6"/>
        <v/>
      </c>
      <c r="Y957" s="51" t="str">
        <f t="shared" si="7"/>
        <v/>
      </c>
      <c r="Z957" s="37"/>
    </row>
    <row r="958" spans="1:26" ht="14.25" customHeight="1" x14ac:dyDescent="0.3">
      <c r="A958" s="18">
        <v>239.1</v>
      </c>
      <c r="B958" s="19"/>
      <c r="C958" s="18" t="s">
        <v>55</v>
      </c>
      <c r="D958" s="19"/>
      <c r="E958" s="25"/>
      <c r="F958" s="19"/>
      <c r="G958" s="21">
        <v>0</v>
      </c>
      <c r="H958" s="21"/>
      <c r="I958" s="21"/>
      <c r="J958" s="21"/>
      <c r="K958" s="19"/>
      <c r="L958" s="19"/>
      <c r="M958" s="22">
        <v>1</v>
      </c>
      <c r="N958" s="19"/>
      <c r="O958" s="25"/>
      <c r="P958" s="23"/>
      <c r="Q958" s="21" t="s">
        <v>46</v>
      </c>
      <c r="R958" s="19" t="s">
        <v>47</v>
      </c>
      <c r="S958" s="21"/>
      <c r="T958" s="19"/>
      <c r="U958" s="21"/>
      <c r="V958" s="7"/>
      <c r="W958" s="7"/>
      <c r="X958" s="51" t="str">
        <f t="shared" si="6"/>
        <v/>
      </c>
      <c r="Y958" s="51" t="str">
        <f t="shared" si="7"/>
        <v/>
      </c>
      <c r="Z958" s="37"/>
    </row>
    <row r="959" spans="1:26" ht="14.25" customHeight="1" x14ac:dyDescent="0.3">
      <c r="A959" s="18">
        <v>239.2</v>
      </c>
      <c r="B959" s="19"/>
      <c r="C959" s="18" t="s">
        <v>55</v>
      </c>
      <c r="D959" s="19"/>
      <c r="E959" s="25"/>
      <c r="F959" s="19"/>
      <c r="G959" s="21">
        <v>0</v>
      </c>
      <c r="H959" s="21"/>
      <c r="I959" s="21"/>
      <c r="J959" s="21"/>
      <c r="K959" s="19"/>
      <c r="L959" s="19"/>
      <c r="M959" s="22">
        <v>1</v>
      </c>
      <c r="N959" s="19"/>
      <c r="O959" s="25"/>
      <c r="P959" s="23"/>
      <c r="Q959" s="21" t="s">
        <v>46</v>
      </c>
      <c r="R959" s="19" t="s">
        <v>47</v>
      </c>
      <c r="S959" s="21"/>
      <c r="T959" s="19"/>
      <c r="U959" s="21"/>
      <c r="V959" s="7"/>
      <c r="W959" s="7"/>
      <c r="X959" s="51" t="str">
        <f t="shared" si="6"/>
        <v/>
      </c>
      <c r="Y959" s="51" t="str">
        <f t="shared" si="7"/>
        <v/>
      </c>
      <c r="Z959" s="37"/>
    </row>
    <row r="960" spans="1:26" ht="14.25" customHeight="1" x14ac:dyDescent="0.3">
      <c r="A960" s="18">
        <v>239.3</v>
      </c>
      <c r="B960" s="19"/>
      <c r="C960" s="18" t="s">
        <v>55</v>
      </c>
      <c r="D960" s="19"/>
      <c r="E960" s="25"/>
      <c r="F960" s="19"/>
      <c r="G960" s="21">
        <v>0</v>
      </c>
      <c r="H960" s="21"/>
      <c r="I960" s="21"/>
      <c r="J960" s="21"/>
      <c r="K960" s="19"/>
      <c r="L960" s="19"/>
      <c r="M960" s="22">
        <v>1</v>
      </c>
      <c r="N960" s="19"/>
      <c r="O960" s="25"/>
      <c r="P960" s="23"/>
      <c r="Q960" s="21" t="s">
        <v>46</v>
      </c>
      <c r="R960" s="19" t="s">
        <v>47</v>
      </c>
      <c r="S960" s="21"/>
      <c r="T960" s="19"/>
      <c r="U960" s="21"/>
      <c r="V960" s="7"/>
      <c r="W960" s="7"/>
      <c r="X960" s="51" t="str">
        <f t="shared" si="6"/>
        <v/>
      </c>
      <c r="Y960" s="51" t="str">
        <f t="shared" si="7"/>
        <v/>
      </c>
      <c r="Z960" s="37"/>
    </row>
    <row r="961" spans="1:26" ht="14.25" customHeight="1" x14ac:dyDescent="0.3">
      <c r="A961" s="18">
        <v>239.4</v>
      </c>
      <c r="B961" s="19"/>
      <c r="C961" s="18" t="s">
        <v>55</v>
      </c>
      <c r="D961" s="19"/>
      <c r="E961" s="25"/>
      <c r="F961" s="19"/>
      <c r="G961" s="21">
        <v>0</v>
      </c>
      <c r="H961" s="21"/>
      <c r="I961" s="21"/>
      <c r="J961" s="21"/>
      <c r="K961" s="19"/>
      <c r="L961" s="19"/>
      <c r="M961" s="22">
        <v>1</v>
      </c>
      <c r="N961" s="19"/>
      <c r="O961" s="25"/>
      <c r="P961" s="23"/>
      <c r="Q961" s="21" t="s">
        <v>46</v>
      </c>
      <c r="R961" s="19" t="s">
        <v>47</v>
      </c>
      <c r="S961" s="21"/>
      <c r="T961" s="19"/>
      <c r="U961" s="21"/>
      <c r="V961" s="7"/>
      <c r="W961" s="7"/>
      <c r="X961" s="51" t="str">
        <f t="shared" si="6"/>
        <v/>
      </c>
      <c r="Y961" s="51" t="str">
        <f t="shared" si="7"/>
        <v/>
      </c>
      <c r="Z961" s="37"/>
    </row>
    <row r="962" spans="1:26" ht="14.25" customHeight="1" x14ac:dyDescent="0.3">
      <c r="A962" s="18">
        <v>240.1</v>
      </c>
      <c r="B962" s="19"/>
      <c r="C962" s="18" t="s">
        <v>55</v>
      </c>
      <c r="D962" s="19"/>
      <c r="E962" s="25"/>
      <c r="F962" s="19"/>
      <c r="G962" s="21">
        <v>0</v>
      </c>
      <c r="H962" s="21"/>
      <c r="I962" s="21"/>
      <c r="J962" s="21"/>
      <c r="K962" s="19"/>
      <c r="L962" s="19"/>
      <c r="M962" s="22">
        <v>1</v>
      </c>
      <c r="N962" s="19"/>
      <c r="O962" s="25"/>
      <c r="P962" s="23"/>
      <c r="Q962" s="21" t="s">
        <v>46</v>
      </c>
      <c r="R962" s="19" t="s">
        <v>47</v>
      </c>
      <c r="S962" s="21"/>
      <c r="T962" s="19"/>
      <c r="U962" s="21"/>
      <c r="V962" s="7"/>
      <c r="W962" s="7"/>
      <c r="X962" s="51" t="str">
        <f t="shared" si="6"/>
        <v/>
      </c>
      <c r="Y962" s="51" t="str">
        <f t="shared" si="7"/>
        <v/>
      </c>
      <c r="Z962" s="37"/>
    </row>
    <row r="963" spans="1:26" ht="14.25" customHeight="1" x14ac:dyDescent="0.3">
      <c r="A963" s="18">
        <v>240.2</v>
      </c>
      <c r="B963" s="19"/>
      <c r="C963" s="18" t="s">
        <v>55</v>
      </c>
      <c r="D963" s="19"/>
      <c r="E963" s="25"/>
      <c r="F963" s="19"/>
      <c r="G963" s="21">
        <v>0</v>
      </c>
      <c r="H963" s="21"/>
      <c r="I963" s="21"/>
      <c r="J963" s="21"/>
      <c r="K963" s="19"/>
      <c r="L963" s="19"/>
      <c r="M963" s="22">
        <v>1</v>
      </c>
      <c r="N963" s="19"/>
      <c r="O963" s="25"/>
      <c r="P963" s="23"/>
      <c r="Q963" s="21" t="s">
        <v>46</v>
      </c>
      <c r="R963" s="19" t="s">
        <v>47</v>
      </c>
      <c r="S963" s="21"/>
      <c r="T963" s="19"/>
      <c r="U963" s="21"/>
      <c r="V963" s="7"/>
      <c r="W963" s="7"/>
      <c r="X963" s="51" t="str">
        <f t="shared" si="6"/>
        <v/>
      </c>
      <c r="Y963" s="51" t="str">
        <f t="shared" si="7"/>
        <v/>
      </c>
      <c r="Z963" s="37"/>
    </row>
    <row r="964" spans="1:26" ht="14.25" customHeight="1" x14ac:dyDescent="0.3">
      <c r="A964" s="18">
        <v>240.3</v>
      </c>
      <c r="B964" s="19"/>
      <c r="C964" s="18" t="s">
        <v>55</v>
      </c>
      <c r="D964" s="19"/>
      <c r="E964" s="25"/>
      <c r="F964" s="19"/>
      <c r="G964" s="21">
        <v>0</v>
      </c>
      <c r="H964" s="21"/>
      <c r="I964" s="21"/>
      <c r="J964" s="21"/>
      <c r="K964" s="19"/>
      <c r="L964" s="19"/>
      <c r="M964" s="22">
        <v>1</v>
      </c>
      <c r="N964" s="19"/>
      <c r="O964" s="25"/>
      <c r="P964" s="23"/>
      <c r="Q964" s="21" t="s">
        <v>46</v>
      </c>
      <c r="R964" s="19" t="s">
        <v>47</v>
      </c>
      <c r="S964" s="21"/>
      <c r="T964" s="19"/>
      <c r="U964" s="21"/>
      <c r="V964" s="7"/>
      <c r="W964" s="7"/>
      <c r="X964" s="51" t="str">
        <f t="shared" si="6"/>
        <v/>
      </c>
      <c r="Y964" s="51" t="str">
        <f t="shared" si="7"/>
        <v/>
      </c>
      <c r="Z964" s="37"/>
    </row>
    <row r="965" spans="1:26" ht="14.25" customHeight="1" x14ac:dyDescent="0.3">
      <c r="A965" s="18">
        <v>240.4</v>
      </c>
      <c r="B965" s="19"/>
      <c r="C965" s="18" t="s">
        <v>55</v>
      </c>
      <c r="D965" s="19"/>
      <c r="E965" s="25"/>
      <c r="F965" s="19"/>
      <c r="G965" s="21">
        <v>0</v>
      </c>
      <c r="H965" s="21"/>
      <c r="I965" s="21"/>
      <c r="J965" s="21"/>
      <c r="K965" s="19"/>
      <c r="L965" s="19"/>
      <c r="M965" s="22">
        <v>1</v>
      </c>
      <c r="N965" s="19"/>
      <c r="O965" s="25"/>
      <c r="P965" s="23"/>
      <c r="Q965" s="21" t="s">
        <v>46</v>
      </c>
      <c r="R965" s="19" t="s">
        <v>47</v>
      </c>
      <c r="S965" s="21"/>
      <c r="T965" s="19"/>
      <c r="U965" s="21"/>
      <c r="V965" s="7"/>
      <c r="W965" s="7"/>
      <c r="X965" s="51" t="str">
        <f t="shared" si="6"/>
        <v/>
      </c>
      <c r="Y965" s="51" t="str">
        <f t="shared" si="7"/>
        <v/>
      </c>
      <c r="Z965" s="37"/>
    </row>
    <row r="966" spans="1:26" ht="14.25" customHeight="1" x14ac:dyDescent="0.3">
      <c r="A966" s="18">
        <v>241.1</v>
      </c>
      <c r="B966" s="19"/>
      <c r="C966" s="18" t="s">
        <v>55</v>
      </c>
      <c r="D966" s="19"/>
      <c r="E966" s="25"/>
      <c r="F966" s="19"/>
      <c r="G966" s="21">
        <v>0</v>
      </c>
      <c r="H966" s="21"/>
      <c r="I966" s="21"/>
      <c r="J966" s="21"/>
      <c r="K966" s="19"/>
      <c r="L966" s="19"/>
      <c r="M966" s="22">
        <v>1</v>
      </c>
      <c r="N966" s="19"/>
      <c r="O966" s="25"/>
      <c r="P966" s="23"/>
      <c r="Q966" s="21" t="s">
        <v>46</v>
      </c>
      <c r="R966" s="19" t="s">
        <v>47</v>
      </c>
      <c r="S966" s="21"/>
      <c r="T966" s="19"/>
      <c r="U966" s="21"/>
      <c r="V966" s="7"/>
      <c r="W966" s="7"/>
      <c r="X966" s="51" t="str">
        <f t="shared" si="6"/>
        <v/>
      </c>
      <c r="Y966" s="51" t="str">
        <f t="shared" si="7"/>
        <v/>
      </c>
      <c r="Z966" s="37"/>
    </row>
    <row r="967" spans="1:26" ht="14.25" customHeight="1" x14ac:dyDescent="0.3">
      <c r="A967" s="18">
        <v>241.2</v>
      </c>
      <c r="B967" s="19"/>
      <c r="C967" s="18" t="s">
        <v>55</v>
      </c>
      <c r="D967" s="19"/>
      <c r="E967" s="25"/>
      <c r="F967" s="19"/>
      <c r="G967" s="21">
        <v>0</v>
      </c>
      <c r="H967" s="21"/>
      <c r="I967" s="21"/>
      <c r="J967" s="21"/>
      <c r="K967" s="19"/>
      <c r="L967" s="19"/>
      <c r="M967" s="22">
        <v>1</v>
      </c>
      <c r="N967" s="19"/>
      <c r="O967" s="25"/>
      <c r="P967" s="23"/>
      <c r="Q967" s="21" t="s">
        <v>46</v>
      </c>
      <c r="R967" s="19" t="s">
        <v>47</v>
      </c>
      <c r="S967" s="21"/>
      <c r="T967" s="19"/>
      <c r="U967" s="21"/>
      <c r="V967" s="7"/>
      <c r="W967" s="7"/>
      <c r="X967" s="51" t="str">
        <f t="shared" si="6"/>
        <v/>
      </c>
      <c r="Y967" s="51" t="str">
        <f t="shared" si="7"/>
        <v/>
      </c>
      <c r="Z967" s="37"/>
    </row>
    <row r="968" spans="1:26" ht="14.25" customHeight="1" x14ac:dyDescent="0.3">
      <c r="A968" s="18">
        <v>241.3</v>
      </c>
      <c r="B968" s="19"/>
      <c r="C968" s="18" t="s">
        <v>55</v>
      </c>
      <c r="D968" s="19"/>
      <c r="E968" s="25"/>
      <c r="F968" s="19"/>
      <c r="G968" s="21">
        <v>0</v>
      </c>
      <c r="H968" s="21"/>
      <c r="I968" s="21"/>
      <c r="J968" s="21"/>
      <c r="K968" s="19"/>
      <c r="L968" s="19"/>
      <c r="M968" s="22">
        <v>1</v>
      </c>
      <c r="N968" s="19"/>
      <c r="O968" s="25"/>
      <c r="P968" s="23"/>
      <c r="Q968" s="21" t="s">
        <v>46</v>
      </c>
      <c r="R968" s="19" t="s">
        <v>47</v>
      </c>
      <c r="S968" s="21"/>
      <c r="T968" s="19"/>
      <c r="U968" s="21"/>
      <c r="V968" s="7"/>
      <c r="W968" s="7"/>
      <c r="X968" s="51" t="str">
        <f t="shared" si="6"/>
        <v/>
      </c>
      <c r="Y968" s="51" t="str">
        <f t="shared" si="7"/>
        <v/>
      </c>
      <c r="Z968" s="37"/>
    </row>
    <row r="969" spans="1:26" ht="14.25" customHeight="1" x14ac:dyDescent="0.3">
      <c r="A969" s="18">
        <v>241.4</v>
      </c>
      <c r="B969" s="19"/>
      <c r="C969" s="18" t="s">
        <v>55</v>
      </c>
      <c r="D969" s="19"/>
      <c r="E969" s="25"/>
      <c r="F969" s="19"/>
      <c r="G969" s="21">
        <v>0</v>
      </c>
      <c r="H969" s="21"/>
      <c r="I969" s="21"/>
      <c r="J969" s="21"/>
      <c r="K969" s="19"/>
      <c r="L969" s="19"/>
      <c r="M969" s="22">
        <v>1</v>
      </c>
      <c r="N969" s="19"/>
      <c r="O969" s="25"/>
      <c r="P969" s="23"/>
      <c r="Q969" s="21" t="s">
        <v>46</v>
      </c>
      <c r="R969" s="19" t="s">
        <v>47</v>
      </c>
      <c r="S969" s="21"/>
      <c r="T969" s="19"/>
      <c r="U969" s="21"/>
      <c r="V969" s="7"/>
      <c r="W969" s="7"/>
      <c r="X969" s="51" t="str">
        <f t="shared" si="6"/>
        <v/>
      </c>
      <c r="Y969" s="51" t="str">
        <f t="shared" si="7"/>
        <v/>
      </c>
      <c r="Z969" s="37"/>
    </row>
    <row r="970" spans="1:26" ht="14.25" customHeight="1" x14ac:dyDescent="0.3">
      <c r="A970" s="18">
        <v>242.1</v>
      </c>
      <c r="B970" s="19"/>
      <c r="C970" s="18" t="s">
        <v>55</v>
      </c>
      <c r="D970" s="19"/>
      <c r="E970" s="25"/>
      <c r="F970" s="19"/>
      <c r="G970" s="21">
        <v>0</v>
      </c>
      <c r="H970" s="21"/>
      <c r="I970" s="21"/>
      <c r="J970" s="21"/>
      <c r="K970" s="19"/>
      <c r="L970" s="19"/>
      <c r="M970" s="22">
        <v>1</v>
      </c>
      <c r="N970" s="19"/>
      <c r="O970" s="25"/>
      <c r="P970" s="23"/>
      <c r="Q970" s="21" t="s">
        <v>46</v>
      </c>
      <c r="R970" s="19" t="s">
        <v>47</v>
      </c>
      <c r="S970" s="21"/>
      <c r="T970" s="19"/>
      <c r="U970" s="21"/>
      <c r="V970" s="7"/>
      <c r="W970" s="7"/>
      <c r="X970" s="51" t="str">
        <f t="shared" si="6"/>
        <v/>
      </c>
      <c r="Y970" s="51" t="str">
        <f t="shared" si="7"/>
        <v/>
      </c>
      <c r="Z970" s="37"/>
    </row>
    <row r="971" spans="1:26" ht="14.25" customHeight="1" x14ac:dyDescent="0.3">
      <c r="A971" s="18">
        <v>242.2</v>
      </c>
      <c r="B971" s="19"/>
      <c r="C971" s="18" t="s">
        <v>55</v>
      </c>
      <c r="D971" s="19"/>
      <c r="E971" s="25"/>
      <c r="F971" s="19"/>
      <c r="G971" s="21">
        <v>0</v>
      </c>
      <c r="H971" s="21"/>
      <c r="I971" s="21"/>
      <c r="J971" s="21"/>
      <c r="K971" s="19"/>
      <c r="L971" s="19"/>
      <c r="M971" s="22">
        <v>1</v>
      </c>
      <c r="N971" s="19"/>
      <c r="O971" s="25"/>
      <c r="P971" s="23"/>
      <c r="Q971" s="21" t="s">
        <v>46</v>
      </c>
      <c r="R971" s="19" t="s">
        <v>47</v>
      </c>
      <c r="S971" s="21"/>
      <c r="T971" s="19"/>
      <c r="U971" s="21"/>
      <c r="V971" s="7"/>
      <c r="W971" s="7"/>
      <c r="X971" s="51" t="str">
        <f t="shared" si="6"/>
        <v/>
      </c>
      <c r="Y971" s="51" t="str">
        <f t="shared" si="7"/>
        <v/>
      </c>
      <c r="Z971" s="37"/>
    </row>
    <row r="972" spans="1:26" ht="14.25" customHeight="1" x14ac:dyDescent="0.3">
      <c r="A972" s="18">
        <v>242.3</v>
      </c>
      <c r="B972" s="19"/>
      <c r="C972" s="18" t="s">
        <v>55</v>
      </c>
      <c r="D972" s="19"/>
      <c r="E972" s="25"/>
      <c r="F972" s="19"/>
      <c r="G972" s="21">
        <v>0</v>
      </c>
      <c r="H972" s="21"/>
      <c r="I972" s="21"/>
      <c r="J972" s="21"/>
      <c r="K972" s="19"/>
      <c r="L972" s="19"/>
      <c r="M972" s="22">
        <v>1</v>
      </c>
      <c r="N972" s="19"/>
      <c r="O972" s="25"/>
      <c r="P972" s="23"/>
      <c r="Q972" s="21" t="s">
        <v>46</v>
      </c>
      <c r="R972" s="19" t="s">
        <v>47</v>
      </c>
      <c r="S972" s="21"/>
      <c r="T972" s="19"/>
      <c r="U972" s="21"/>
      <c r="V972" s="7"/>
      <c r="W972" s="7"/>
      <c r="X972" s="51" t="str">
        <f t="shared" si="6"/>
        <v/>
      </c>
      <c r="Y972" s="51" t="str">
        <f t="shared" si="7"/>
        <v/>
      </c>
      <c r="Z972" s="37"/>
    </row>
    <row r="973" spans="1:26" ht="14.25" customHeight="1" x14ac:dyDescent="0.3">
      <c r="A973" s="18">
        <v>242.4</v>
      </c>
      <c r="B973" s="19"/>
      <c r="C973" s="18" t="s">
        <v>55</v>
      </c>
      <c r="D973" s="19"/>
      <c r="E973" s="25"/>
      <c r="F973" s="19"/>
      <c r="G973" s="21">
        <v>0</v>
      </c>
      <c r="H973" s="21"/>
      <c r="I973" s="21"/>
      <c r="J973" s="21"/>
      <c r="K973" s="19"/>
      <c r="L973" s="19"/>
      <c r="M973" s="22">
        <v>1</v>
      </c>
      <c r="N973" s="19"/>
      <c r="O973" s="25"/>
      <c r="P973" s="23"/>
      <c r="Q973" s="21" t="s">
        <v>46</v>
      </c>
      <c r="R973" s="19" t="s">
        <v>47</v>
      </c>
      <c r="S973" s="21"/>
      <c r="T973" s="19"/>
      <c r="U973" s="21"/>
      <c r="V973" s="7"/>
      <c r="W973" s="7"/>
      <c r="X973" s="51" t="str">
        <f t="shared" si="6"/>
        <v/>
      </c>
      <c r="Y973" s="51" t="str">
        <f t="shared" si="7"/>
        <v/>
      </c>
      <c r="Z973" s="37"/>
    </row>
    <row r="974" spans="1:26" ht="14.25" customHeight="1" x14ac:dyDescent="0.3">
      <c r="A974" s="18">
        <v>243.1</v>
      </c>
      <c r="B974" s="19"/>
      <c r="C974" s="18" t="s">
        <v>55</v>
      </c>
      <c r="D974" s="19"/>
      <c r="E974" s="25"/>
      <c r="F974" s="19"/>
      <c r="G974" s="21">
        <v>0</v>
      </c>
      <c r="H974" s="21"/>
      <c r="I974" s="21"/>
      <c r="J974" s="21"/>
      <c r="K974" s="19"/>
      <c r="L974" s="19"/>
      <c r="M974" s="22">
        <v>1</v>
      </c>
      <c r="N974" s="19"/>
      <c r="O974" s="25"/>
      <c r="P974" s="23"/>
      <c r="Q974" s="21" t="s">
        <v>46</v>
      </c>
      <c r="R974" s="19" t="s">
        <v>47</v>
      </c>
      <c r="S974" s="21"/>
      <c r="T974" s="19"/>
      <c r="U974" s="21"/>
      <c r="V974" s="7"/>
      <c r="W974" s="7"/>
      <c r="X974" s="51" t="str">
        <f t="shared" si="6"/>
        <v/>
      </c>
      <c r="Y974" s="51" t="str">
        <f t="shared" si="7"/>
        <v/>
      </c>
      <c r="Z974" s="37"/>
    </row>
    <row r="975" spans="1:26" ht="14.25" customHeight="1" x14ac:dyDescent="0.3">
      <c r="A975" s="18">
        <v>243.2</v>
      </c>
      <c r="B975" s="19"/>
      <c r="C975" s="18" t="s">
        <v>55</v>
      </c>
      <c r="D975" s="19"/>
      <c r="E975" s="25"/>
      <c r="F975" s="19"/>
      <c r="G975" s="21">
        <v>0</v>
      </c>
      <c r="H975" s="21"/>
      <c r="I975" s="21"/>
      <c r="J975" s="21"/>
      <c r="K975" s="19"/>
      <c r="L975" s="19"/>
      <c r="M975" s="22">
        <v>1</v>
      </c>
      <c r="N975" s="19"/>
      <c r="O975" s="25"/>
      <c r="P975" s="23"/>
      <c r="Q975" s="21" t="s">
        <v>46</v>
      </c>
      <c r="R975" s="19" t="s">
        <v>47</v>
      </c>
      <c r="S975" s="21"/>
      <c r="T975" s="19"/>
      <c r="U975" s="21"/>
      <c r="V975" s="7"/>
      <c r="W975" s="7"/>
      <c r="X975" s="51" t="str">
        <f t="shared" si="6"/>
        <v/>
      </c>
      <c r="Y975" s="51" t="str">
        <f t="shared" si="7"/>
        <v/>
      </c>
      <c r="Z975" s="37"/>
    </row>
    <row r="976" spans="1:26" ht="14.25" customHeight="1" x14ac:dyDescent="0.3">
      <c r="A976" s="18">
        <v>243.3</v>
      </c>
      <c r="B976" s="19"/>
      <c r="C976" s="18" t="s">
        <v>55</v>
      </c>
      <c r="D976" s="19"/>
      <c r="E976" s="25"/>
      <c r="F976" s="19"/>
      <c r="G976" s="21">
        <v>0</v>
      </c>
      <c r="H976" s="21"/>
      <c r="I976" s="21"/>
      <c r="J976" s="21"/>
      <c r="K976" s="19"/>
      <c r="L976" s="19"/>
      <c r="M976" s="22">
        <v>1</v>
      </c>
      <c r="N976" s="19"/>
      <c r="O976" s="25"/>
      <c r="P976" s="23"/>
      <c r="Q976" s="21" t="s">
        <v>46</v>
      </c>
      <c r="R976" s="19" t="s">
        <v>47</v>
      </c>
      <c r="S976" s="21"/>
      <c r="T976" s="19"/>
      <c r="U976" s="21"/>
      <c r="V976" s="7"/>
      <c r="W976" s="7"/>
      <c r="X976" s="51" t="str">
        <f t="shared" si="6"/>
        <v/>
      </c>
      <c r="Y976" s="51" t="str">
        <f t="shared" si="7"/>
        <v/>
      </c>
      <c r="Z976" s="37"/>
    </row>
    <row r="977" spans="1:26" ht="14.25" customHeight="1" x14ac:dyDescent="0.3">
      <c r="A977" s="18">
        <v>243.4</v>
      </c>
      <c r="B977" s="19"/>
      <c r="C977" s="18" t="s">
        <v>55</v>
      </c>
      <c r="D977" s="19"/>
      <c r="E977" s="25"/>
      <c r="F977" s="19"/>
      <c r="G977" s="21">
        <v>0</v>
      </c>
      <c r="H977" s="21"/>
      <c r="I977" s="21"/>
      <c r="J977" s="21"/>
      <c r="K977" s="19"/>
      <c r="L977" s="19"/>
      <c r="M977" s="22">
        <v>1</v>
      </c>
      <c r="N977" s="19"/>
      <c r="O977" s="25"/>
      <c r="P977" s="23"/>
      <c r="Q977" s="21" t="s">
        <v>46</v>
      </c>
      <c r="R977" s="19" t="s">
        <v>47</v>
      </c>
      <c r="S977" s="21"/>
      <c r="T977" s="19"/>
      <c r="U977" s="21"/>
      <c r="V977" s="7"/>
      <c r="W977" s="7"/>
      <c r="X977" s="51" t="str">
        <f t="shared" si="6"/>
        <v/>
      </c>
      <c r="Y977" s="51" t="str">
        <f t="shared" si="7"/>
        <v/>
      </c>
      <c r="Z977" s="37"/>
    </row>
    <row r="978" spans="1:26" ht="14.25" customHeight="1" x14ac:dyDescent="0.3">
      <c r="A978" s="18">
        <v>244.1</v>
      </c>
      <c r="B978" s="19"/>
      <c r="C978" s="18" t="s">
        <v>55</v>
      </c>
      <c r="D978" s="19"/>
      <c r="E978" s="25"/>
      <c r="F978" s="19"/>
      <c r="G978" s="21">
        <v>0</v>
      </c>
      <c r="H978" s="21"/>
      <c r="I978" s="21"/>
      <c r="J978" s="21"/>
      <c r="K978" s="19"/>
      <c r="L978" s="19"/>
      <c r="M978" s="22">
        <v>1</v>
      </c>
      <c r="N978" s="19"/>
      <c r="O978" s="25"/>
      <c r="P978" s="23"/>
      <c r="Q978" s="21" t="s">
        <v>46</v>
      </c>
      <c r="R978" s="19" t="s">
        <v>47</v>
      </c>
      <c r="S978" s="21"/>
      <c r="T978" s="19"/>
      <c r="U978" s="21"/>
      <c r="V978" s="7"/>
      <c r="W978" s="7"/>
      <c r="X978" s="51" t="str">
        <f t="shared" si="6"/>
        <v/>
      </c>
      <c r="Y978" s="51" t="str">
        <f t="shared" si="7"/>
        <v/>
      </c>
      <c r="Z978" s="37"/>
    </row>
    <row r="979" spans="1:26" ht="14.25" customHeight="1" x14ac:dyDescent="0.3">
      <c r="A979" s="18">
        <v>244.2</v>
      </c>
      <c r="B979" s="19"/>
      <c r="C979" s="18" t="s">
        <v>55</v>
      </c>
      <c r="D979" s="19"/>
      <c r="E979" s="25"/>
      <c r="F979" s="19"/>
      <c r="G979" s="21">
        <v>0</v>
      </c>
      <c r="H979" s="21"/>
      <c r="I979" s="21"/>
      <c r="J979" s="21"/>
      <c r="K979" s="19"/>
      <c r="L979" s="19"/>
      <c r="M979" s="22">
        <v>1</v>
      </c>
      <c r="N979" s="19"/>
      <c r="O979" s="25"/>
      <c r="P979" s="23"/>
      <c r="Q979" s="21" t="s">
        <v>46</v>
      </c>
      <c r="R979" s="19" t="s">
        <v>47</v>
      </c>
      <c r="S979" s="21"/>
      <c r="T979" s="19"/>
      <c r="U979" s="21"/>
      <c r="V979" s="7"/>
      <c r="W979" s="7"/>
      <c r="X979" s="51" t="str">
        <f t="shared" si="6"/>
        <v/>
      </c>
      <c r="Y979" s="51" t="str">
        <f t="shared" si="7"/>
        <v/>
      </c>
      <c r="Z979" s="37"/>
    </row>
    <row r="980" spans="1:26" ht="14.25" customHeight="1" x14ac:dyDescent="0.3">
      <c r="A980" s="18">
        <v>244.3</v>
      </c>
      <c r="B980" s="19"/>
      <c r="C980" s="18" t="s">
        <v>55</v>
      </c>
      <c r="D980" s="19"/>
      <c r="E980" s="25"/>
      <c r="F980" s="19"/>
      <c r="G980" s="21">
        <v>0</v>
      </c>
      <c r="H980" s="21"/>
      <c r="I980" s="21"/>
      <c r="J980" s="21"/>
      <c r="K980" s="19"/>
      <c r="L980" s="19"/>
      <c r="M980" s="22">
        <v>1</v>
      </c>
      <c r="N980" s="19"/>
      <c r="O980" s="25"/>
      <c r="P980" s="23"/>
      <c r="Q980" s="21" t="s">
        <v>46</v>
      </c>
      <c r="R980" s="19" t="s">
        <v>47</v>
      </c>
      <c r="S980" s="21"/>
      <c r="T980" s="19"/>
      <c r="U980" s="21"/>
      <c r="V980" s="7"/>
      <c r="W980" s="7"/>
      <c r="X980" s="51" t="str">
        <f t="shared" si="6"/>
        <v/>
      </c>
      <c r="Y980" s="51" t="str">
        <f t="shared" si="7"/>
        <v/>
      </c>
      <c r="Z980" s="37"/>
    </row>
    <row r="981" spans="1:26" ht="14.25" customHeight="1" x14ac:dyDescent="0.3">
      <c r="A981" s="18">
        <v>244.4</v>
      </c>
      <c r="B981" s="19"/>
      <c r="C981" s="18" t="s">
        <v>55</v>
      </c>
      <c r="D981" s="19"/>
      <c r="E981" s="25"/>
      <c r="F981" s="19"/>
      <c r="G981" s="21">
        <v>0</v>
      </c>
      <c r="H981" s="21"/>
      <c r="I981" s="21"/>
      <c r="J981" s="21"/>
      <c r="K981" s="19"/>
      <c r="L981" s="19"/>
      <c r="M981" s="22">
        <v>1</v>
      </c>
      <c r="N981" s="19"/>
      <c r="O981" s="25"/>
      <c r="P981" s="23"/>
      <c r="Q981" s="21" t="s">
        <v>46</v>
      </c>
      <c r="R981" s="19" t="s">
        <v>47</v>
      </c>
      <c r="S981" s="21"/>
      <c r="T981" s="19"/>
      <c r="U981" s="21"/>
      <c r="V981" s="7"/>
      <c r="W981" s="7"/>
      <c r="X981" s="51" t="str">
        <f t="shared" si="6"/>
        <v/>
      </c>
      <c r="Y981" s="51" t="str">
        <f t="shared" si="7"/>
        <v/>
      </c>
      <c r="Z981" s="37"/>
    </row>
    <row r="982" spans="1:26" ht="14.25" customHeight="1" x14ac:dyDescent="0.3">
      <c r="A982" s="18">
        <v>245.1</v>
      </c>
      <c r="B982" s="19"/>
      <c r="C982" s="18" t="s">
        <v>55</v>
      </c>
      <c r="D982" s="19"/>
      <c r="E982" s="25"/>
      <c r="F982" s="19"/>
      <c r="G982" s="21">
        <v>0</v>
      </c>
      <c r="H982" s="21"/>
      <c r="I982" s="21"/>
      <c r="J982" s="21"/>
      <c r="K982" s="19"/>
      <c r="L982" s="19"/>
      <c r="M982" s="22">
        <v>1</v>
      </c>
      <c r="N982" s="19"/>
      <c r="O982" s="25"/>
      <c r="P982" s="23"/>
      <c r="Q982" s="21" t="s">
        <v>46</v>
      </c>
      <c r="R982" s="19" t="s">
        <v>47</v>
      </c>
      <c r="S982" s="21"/>
      <c r="T982" s="19"/>
      <c r="U982" s="21"/>
      <c r="V982" s="7"/>
      <c r="W982" s="7"/>
      <c r="X982" s="51" t="str">
        <f t="shared" si="6"/>
        <v/>
      </c>
      <c r="Y982" s="51" t="str">
        <f t="shared" si="7"/>
        <v/>
      </c>
      <c r="Z982" s="37"/>
    </row>
    <row r="983" spans="1:26" ht="14.25" customHeight="1" x14ac:dyDescent="0.3">
      <c r="A983" s="18">
        <v>245.2</v>
      </c>
      <c r="B983" s="19"/>
      <c r="C983" s="18" t="s">
        <v>55</v>
      </c>
      <c r="D983" s="19"/>
      <c r="E983" s="25"/>
      <c r="F983" s="19"/>
      <c r="G983" s="21">
        <v>0</v>
      </c>
      <c r="H983" s="21"/>
      <c r="I983" s="21"/>
      <c r="J983" s="21"/>
      <c r="K983" s="19"/>
      <c r="L983" s="19"/>
      <c r="M983" s="22">
        <v>1</v>
      </c>
      <c r="N983" s="19"/>
      <c r="O983" s="25"/>
      <c r="P983" s="23"/>
      <c r="Q983" s="21" t="s">
        <v>46</v>
      </c>
      <c r="R983" s="19" t="s">
        <v>47</v>
      </c>
      <c r="S983" s="21"/>
      <c r="T983" s="19"/>
      <c r="U983" s="21"/>
      <c r="V983" s="7"/>
      <c r="W983" s="7"/>
      <c r="X983" s="51" t="str">
        <f t="shared" si="6"/>
        <v/>
      </c>
      <c r="Y983" s="51" t="str">
        <f t="shared" si="7"/>
        <v/>
      </c>
      <c r="Z983" s="37"/>
    </row>
    <row r="984" spans="1:26" ht="14.25" customHeight="1" x14ac:dyDescent="0.3">
      <c r="A984" s="18">
        <v>245.3</v>
      </c>
      <c r="B984" s="19"/>
      <c r="C984" s="18" t="s">
        <v>55</v>
      </c>
      <c r="D984" s="19"/>
      <c r="E984" s="25"/>
      <c r="F984" s="19"/>
      <c r="G984" s="21">
        <v>0</v>
      </c>
      <c r="H984" s="21"/>
      <c r="I984" s="21"/>
      <c r="J984" s="21"/>
      <c r="K984" s="19"/>
      <c r="L984" s="19"/>
      <c r="M984" s="22">
        <v>1</v>
      </c>
      <c r="N984" s="19"/>
      <c r="O984" s="25"/>
      <c r="P984" s="23"/>
      <c r="Q984" s="21" t="s">
        <v>46</v>
      </c>
      <c r="R984" s="19" t="s">
        <v>47</v>
      </c>
      <c r="S984" s="21"/>
      <c r="T984" s="19"/>
      <c r="U984" s="21"/>
      <c r="V984" s="7"/>
      <c r="W984" s="7"/>
      <c r="X984" s="51" t="str">
        <f t="shared" si="6"/>
        <v/>
      </c>
      <c r="Y984" s="51" t="str">
        <f t="shared" si="7"/>
        <v/>
      </c>
      <c r="Z984" s="37"/>
    </row>
    <row r="985" spans="1:26" ht="14.25" customHeight="1" x14ac:dyDescent="0.3">
      <c r="A985" s="18">
        <v>245.4</v>
      </c>
      <c r="B985" s="19"/>
      <c r="C985" s="18" t="s">
        <v>55</v>
      </c>
      <c r="D985" s="19"/>
      <c r="E985" s="25"/>
      <c r="F985" s="19"/>
      <c r="G985" s="21">
        <v>0</v>
      </c>
      <c r="H985" s="21"/>
      <c r="I985" s="21"/>
      <c r="J985" s="21"/>
      <c r="K985" s="19"/>
      <c r="L985" s="19"/>
      <c r="M985" s="22">
        <v>1</v>
      </c>
      <c r="N985" s="19"/>
      <c r="O985" s="25"/>
      <c r="P985" s="23"/>
      <c r="Q985" s="21" t="s">
        <v>46</v>
      </c>
      <c r="R985" s="19" t="s">
        <v>47</v>
      </c>
      <c r="S985" s="21"/>
      <c r="T985" s="19"/>
      <c r="U985" s="21"/>
      <c r="V985" s="7"/>
      <c r="W985" s="7"/>
      <c r="X985" s="51" t="str">
        <f t="shared" si="6"/>
        <v/>
      </c>
      <c r="Y985" s="51" t="str">
        <f t="shared" si="7"/>
        <v/>
      </c>
      <c r="Z985" s="37"/>
    </row>
    <row r="986" spans="1:26" ht="14.25" customHeight="1" x14ac:dyDescent="0.3">
      <c r="A986" s="18">
        <v>246.1</v>
      </c>
      <c r="B986" s="19"/>
      <c r="C986" s="18" t="s">
        <v>55</v>
      </c>
      <c r="D986" s="19"/>
      <c r="E986" s="25"/>
      <c r="F986" s="19"/>
      <c r="G986" s="21">
        <v>0</v>
      </c>
      <c r="H986" s="21"/>
      <c r="I986" s="21"/>
      <c r="J986" s="21"/>
      <c r="K986" s="19"/>
      <c r="L986" s="19"/>
      <c r="M986" s="22">
        <v>1</v>
      </c>
      <c r="N986" s="19"/>
      <c r="O986" s="25"/>
      <c r="P986" s="23"/>
      <c r="Q986" s="21" t="s">
        <v>46</v>
      </c>
      <c r="R986" s="19" t="s">
        <v>47</v>
      </c>
      <c r="S986" s="21"/>
      <c r="T986" s="19"/>
      <c r="U986" s="21"/>
      <c r="V986" s="7"/>
      <c r="W986" s="7"/>
      <c r="X986" s="51" t="str">
        <f t="shared" si="6"/>
        <v/>
      </c>
      <c r="Y986" s="51" t="str">
        <f t="shared" si="7"/>
        <v/>
      </c>
      <c r="Z986" s="37"/>
    </row>
    <row r="987" spans="1:26" ht="14.25" customHeight="1" x14ac:dyDescent="0.3">
      <c r="A987" s="18">
        <v>246.2</v>
      </c>
      <c r="B987" s="19"/>
      <c r="C987" s="18" t="s">
        <v>55</v>
      </c>
      <c r="D987" s="19"/>
      <c r="E987" s="25"/>
      <c r="F987" s="19"/>
      <c r="G987" s="21">
        <v>0</v>
      </c>
      <c r="H987" s="21"/>
      <c r="I987" s="21"/>
      <c r="J987" s="21"/>
      <c r="K987" s="19"/>
      <c r="L987" s="19"/>
      <c r="M987" s="22">
        <v>1</v>
      </c>
      <c r="N987" s="19"/>
      <c r="O987" s="25"/>
      <c r="P987" s="23"/>
      <c r="Q987" s="21" t="s">
        <v>46</v>
      </c>
      <c r="R987" s="19" t="s">
        <v>47</v>
      </c>
      <c r="S987" s="21"/>
      <c r="T987" s="19"/>
      <c r="U987" s="21"/>
      <c r="V987" s="7"/>
      <c r="W987" s="7"/>
      <c r="X987" s="51" t="str">
        <f t="shared" si="6"/>
        <v/>
      </c>
      <c r="Y987" s="51" t="str">
        <f t="shared" si="7"/>
        <v/>
      </c>
      <c r="Z987" s="37"/>
    </row>
    <row r="988" spans="1:26" ht="14.25" customHeight="1" x14ac:dyDescent="0.3">
      <c r="A988" s="18">
        <v>246.3</v>
      </c>
      <c r="B988" s="19"/>
      <c r="C988" s="18" t="s">
        <v>55</v>
      </c>
      <c r="D988" s="19"/>
      <c r="E988" s="25"/>
      <c r="F988" s="19"/>
      <c r="G988" s="21">
        <v>0</v>
      </c>
      <c r="H988" s="21"/>
      <c r="I988" s="21"/>
      <c r="J988" s="21"/>
      <c r="K988" s="19"/>
      <c r="L988" s="19"/>
      <c r="M988" s="22">
        <v>1</v>
      </c>
      <c r="N988" s="19"/>
      <c r="O988" s="25"/>
      <c r="P988" s="23"/>
      <c r="Q988" s="21" t="s">
        <v>46</v>
      </c>
      <c r="R988" s="19" t="s">
        <v>47</v>
      </c>
      <c r="S988" s="21"/>
      <c r="T988" s="19"/>
      <c r="U988" s="21"/>
      <c r="V988" s="7"/>
      <c r="W988" s="7"/>
      <c r="X988" s="51" t="str">
        <f t="shared" si="6"/>
        <v/>
      </c>
      <c r="Y988" s="51" t="str">
        <f t="shared" si="7"/>
        <v/>
      </c>
      <c r="Z988" s="37"/>
    </row>
    <row r="989" spans="1:26" ht="14.25" customHeight="1" x14ac:dyDescent="0.3">
      <c r="A989" s="18">
        <v>246.4</v>
      </c>
      <c r="B989" s="19"/>
      <c r="C989" s="18" t="s">
        <v>55</v>
      </c>
      <c r="D989" s="19"/>
      <c r="E989" s="25"/>
      <c r="F989" s="19"/>
      <c r="G989" s="21">
        <v>0</v>
      </c>
      <c r="H989" s="21"/>
      <c r="I989" s="21"/>
      <c r="J989" s="21"/>
      <c r="K989" s="19"/>
      <c r="L989" s="19"/>
      <c r="M989" s="22">
        <v>1</v>
      </c>
      <c r="N989" s="19"/>
      <c r="O989" s="25"/>
      <c r="P989" s="23"/>
      <c r="Q989" s="21" t="s">
        <v>46</v>
      </c>
      <c r="R989" s="19" t="s">
        <v>47</v>
      </c>
      <c r="S989" s="21"/>
      <c r="T989" s="19"/>
      <c r="U989" s="21"/>
      <c r="V989" s="7"/>
      <c r="W989" s="7"/>
      <c r="X989" s="51" t="str">
        <f t="shared" si="6"/>
        <v/>
      </c>
      <c r="Y989" s="51" t="str">
        <f t="shared" si="7"/>
        <v/>
      </c>
      <c r="Z989" s="37"/>
    </row>
    <row r="990" spans="1:26" ht="14.25" customHeight="1" x14ac:dyDescent="0.3">
      <c r="A990" s="18">
        <v>247.1</v>
      </c>
      <c r="B990" s="19"/>
      <c r="C990" s="18" t="s">
        <v>55</v>
      </c>
      <c r="D990" s="19"/>
      <c r="E990" s="25"/>
      <c r="F990" s="19"/>
      <c r="G990" s="21">
        <v>0</v>
      </c>
      <c r="H990" s="21"/>
      <c r="I990" s="21"/>
      <c r="J990" s="21"/>
      <c r="K990" s="19"/>
      <c r="L990" s="19"/>
      <c r="M990" s="22">
        <v>1</v>
      </c>
      <c r="N990" s="19"/>
      <c r="O990" s="25"/>
      <c r="P990" s="23"/>
      <c r="Q990" s="21" t="s">
        <v>46</v>
      </c>
      <c r="R990" s="19" t="s">
        <v>47</v>
      </c>
      <c r="S990" s="21"/>
      <c r="T990" s="19"/>
      <c r="U990" s="21"/>
      <c r="V990" s="7"/>
      <c r="W990" s="7"/>
      <c r="X990" s="51" t="str">
        <f t="shared" si="6"/>
        <v/>
      </c>
      <c r="Y990" s="51" t="str">
        <f t="shared" si="7"/>
        <v/>
      </c>
      <c r="Z990" s="37"/>
    </row>
    <row r="991" spans="1:26" ht="14.25" customHeight="1" x14ac:dyDescent="0.3">
      <c r="A991" s="18">
        <v>247.2</v>
      </c>
      <c r="B991" s="19"/>
      <c r="C991" s="18" t="s">
        <v>55</v>
      </c>
      <c r="D991" s="19"/>
      <c r="E991" s="25"/>
      <c r="F991" s="19"/>
      <c r="G991" s="21">
        <v>0</v>
      </c>
      <c r="H991" s="21"/>
      <c r="I991" s="21"/>
      <c r="J991" s="21"/>
      <c r="K991" s="19"/>
      <c r="L991" s="19"/>
      <c r="M991" s="22">
        <v>1</v>
      </c>
      <c r="N991" s="19"/>
      <c r="O991" s="25"/>
      <c r="P991" s="23"/>
      <c r="Q991" s="21" t="s">
        <v>46</v>
      </c>
      <c r="R991" s="19" t="s">
        <v>47</v>
      </c>
      <c r="S991" s="21"/>
      <c r="T991" s="19"/>
      <c r="U991" s="21"/>
      <c r="V991" s="7"/>
      <c r="W991" s="7"/>
      <c r="X991" s="51" t="str">
        <f t="shared" si="6"/>
        <v/>
      </c>
      <c r="Y991" s="51" t="str">
        <f t="shared" si="7"/>
        <v/>
      </c>
      <c r="Z991" s="37"/>
    </row>
    <row r="992" spans="1:26" ht="14.25" customHeight="1" x14ac:dyDescent="0.3">
      <c r="A992" s="18">
        <v>247.3</v>
      </c>
      <c r="B992" s="19"/>
      <c r="C992" s="18" t="s">
        <v>55</v>
      </c>
      <c r="D992" s="19"/>
      <c r="E992" s="25"/>
      <c r="F992" s="19"/>
      <c r="G992" s="21">
        <v>0</v>
      </c>
      <c r="H992" s="21"/>
      <c r="I992" s="21"/>
      <c r="J992" s="21"/>
      <c r="K992" s="19"/>
      <c r="L992" s="19"/>
      <c r="M992" s="22">
        <v>1</v>
      </c>
      <c r="N992" s="19"/>
      <c r="O992" s="25"/>
      <c r="P992" s="23"/>
      <c r="Q992" s="21" t="s">
        <v>46</v>
      </c>
      <c r="R992" s="19" t="s">
        <v>47</v>
      </c>
      <c r="S992" s="21"/>
      <c r="T992" s="19"/>
      <c r="U992" s="21"/>
      <c r="V992" s="7"/>
      <c r="W992" s="7"/>
      <c r="X992" s="51" t="str">
        <f t="shared" si="6"/>
        <v/>
      </c>
      <c r="Y992" s="51" t="str">
        <f t="shared" si="7"/>
        <v/>
      </c>
      <c r="Z992" s="37"/>
    </row>
    <row r="993" spans="1:26" ht="14.25" customHeight="1" x14ac:dyDescent="0.3">
      <c r="A993" s="18">
        <v>247.4</v>
      </c>
      <c r="B993" s="19"/>
      <c r="C993" s="18" t="s">
        <v>55</v>
      </c>
      <c r="D993" s="19"/>
      <c r="E993" s="25"/>
      <c r="F993" s="19"/>
      <c r="G993" s="21">
        <v>0</v>
      </c>
      <c r="H993" s="21"/>
      <c r="I993" s="21"/>
      <c r="J993" s="21"/>
      <c r="K993" s="19"/>
      <c r="L993" s="19"/>
      <c r="M993" s="22">
        <v>1</v>
      </c>
      <c r="N993" s="19"/>
      <c r="O993" s="25"/>
      <c r="P993" s="23"/>
      <c r="Q993" s="21" t="s">
        <v>46</v>
      </c>
      <c r="R993" s="19" t="s">
        <v>47</v>
      </c>
      <c r="S993" s="21"/>
      <c r="T993" s="19"/>
      <c r="U993" s="21"/>
      <c r="V993" s="7"/>
      <c r="W993" s="7"/>
      <c r="X993" s="51" t="str">
        <f t="shared" si="6"/>
        <v/>
      </c>
      <c r="Y993" s="51" t="str">
        <f t="shared" si="7"/>
        <v/>
      </c>
      <c r="Z993" s="37"/>
    </row>
    <row r="994" spans="1:26" ht="14.25" customHeight="1" x14ac:dyDescent="0.3">
      <c r="A994" s="18">
        <v>248.1</v>
      </c>
      <c r="B994" s="19"/>
      <c r="C994" s="18" t="s">
        <v>55</v>
      </c>
      <c r="D994" s="19"/>
      <c r="E994" s="25"/>
      <c r="F994" s="19"/>
      <c r="G994" s="21">
        <v>0</v>
      </c>
      <c r="H994" s="21"/>
      <c r="I994" s="21"/>
      <c r="J994" s="21"/>
      <c r="K994" s="19"/>
      <c r="L994" s="19"/>
      <c r="M994" s="22">
        <v>1</v>
      </c>
      <c r="N994" s="19"/>
      <c r="O994" s="25"/>
      <c r="P994" s="23"/>
      <c r="Q994" s="21" t="s">
        <v>46</v>
      </c>
      <c r="R994" s="19" t="s">
        <v>47</v>
      </c>
      <c r="S994" s="21"/>
      <c r="T994" s="19"/>
      <c r="U994" s="21"/>
      <c r="V994" s="7"/>
      <c r="W994" s="7"/>
      <c r="X994" s="51" t="str">
        <f t="shared" si="6"/>
        <v/>
      </c>
      <c r="Y994" s="51" t="str">
        <f t="shared" si="7"/>
        <v/>
      </c>
      <c r="Z994" s="37"/>
    </row>
    <row r="995" spans="1:26" ht="14.25" customHeight="1" x14ac:dyDescent="0.3">
      <c r="A995" s="18">
        <v>248.2</v>
      </c>
      <c r="B995" s="19"/>
      <c r="C995" s="18" t="s">
        <v>55</v>
      </c>
      <c r="D995" s="19"/>
      <c r="E995" s="25"/>
      <c r="F995" s="19"/>
      <c r="G995" s="21">
        <v>0</v>
      </c>
      <c r="H995" s="21"/>
      <c r="I995" s="21"/>
      <c r="J995" s="21"/>
      <c r="K995" s="19"/>
      <c r="L995" s="19"/>
      <c r="M995" s="22">
        <v>1</v>
      </c>
      <c r="N995" s="19"/>
      <c r="O995" s="25"/>
      <c r="P995" s="23"/>
      <c r="Q995" s="21" t="s">
        <v>46</v>
      </c>
      <c r="R995" s="19" t="s">
        <v>47</v>
      </c>
      <c r="S995" s="21"/>
      <c r="T995" s="19"/>
      <c r="U995" s="21"/>
      <c r="V995" s="7"/>
      <c r="W995" s="7"/>
      <c r="X995" s="51" t="str">
        <f t="shared" si="6"/>
        <v/>
      </c>
      <c r="Y995" s="51" t="str">
        <f t="shared" si="7"/>
        <v/>
      </c>
      <c r="Z995" s="37"/>
    </row>
    <row r="996" spans="1:26" ht="14.25" customHeight="1" x14ac:dyDescent="0.3">
      <c r="A996" s="18">
        <v>248.3</v>
      </c>
      <c r="B996" s="19"/>
      <c r="C996" s="18" t="s">
        <v>55</v>
      </c>
      <c r="D996" s="19"/>
      <c r="E996" s="25"/>
      <c r="F996" s="19"/>
      <c r="G996" s="21">
        <v>0</v>
      </c>
      <c r="H996" s="21"/>
      <c r="I996" s="21"/>
      <c r="J996" s="21"/>
      <c r="K996" s="19"/>
      <c r="L996" s="19"/>
      <c r="M996" s="22">
        <v>1</v>
      </c>
      <c r="N996" s="19"/>
      <c r="O996" s="25"/>
      <c r="P996" s="23"/>
      <c r="Q996" s="21" t="s">
        <v>46</v>
      </c>
      <c r="R996" s="19" t="s">
        <v>47</v>
      </c>
      <c r="S996" s="21"/>
      <c r="T996" s="19"/>
      <c r="U996" s="21"/>
      <c r="V996" s="7"/>
      <c r="W996" s="7"/>
      <c r="X996" s="51" t="str">
        <f t="shared" si="6"/>
        <v/>
      </c>
      <c r="Y996" s="51" t="str">
        <f t="shared" si="7"/>
        <v/>
      </c>
      <c r="Z996" s="37"/>
    </row>
    <row r="997" spans="1:26" ht="14.25" customHeight="1" x14ac:dyDescent="0.3">
      <c r="A997" s="18">
        <v>248.4</v>
      </c>
      <c r="B997" s="19"/>
      <c r="C997" s="18" t="s">
        <v>55</v>
      </c>
      <c r="D997" s="19"/>
      <c r="E997" s="25"/>
      <c r="F997" s="19"/>
      <c r="G997" s="21">
        <v>0</v>
      </c>
      <c r="H997" s="21"/>
      <c r="I997" s="21"/>
      <c r="J997" s="21"/>
      <c r="K997" s="19"/>
      <c r="L997" s="19"/>
      <c r="M997" s="22">
        <v>1</v>
      </c>
      <c r="N997" s="19"/>
      <c r="O997" s="25"/>
      <c r="P997" s="23"/>
      <c r="Q997" s="21" t="s">
        <v>46</v>
      </c>
      <c r="R997" s="19" t="s">
        <v>47</v>
      </c>
      <c r="S997" s="21"/>
      <c r="T997" s="19"/>
      <c r="U997" s="21"/>
      <c r="V997" s="7"/>
      <c r="W997" s="7"/>
      <c r="X997" s="51" t="str">
        <f t="shared" si="6"/>
        <v/>
      </c>
      <c r="Y997" s="51" t="str">
        <f t="shared" si="7"/>
        <v/>
      </c>
      <c r="Z997" s="37"/>
    </row>
    <row r="998" spans="1:26" ht="14.25" customHeight="1" x14ac:dyDescent="0.3">
      <c r="A998" s="18">
        <v>249.1</v>
      </c>
      <c r="B998" s="19"/>
      <c r="C998" s="18" t="s">
        <v>55</v>
      </c>
      <c r="D998" s="19"/>
      <c r="E998" s="25"/>
      <c r="F998" s="19"/>
      <c r="G998" s="21">
        <v>0</v>
      </c>
      <c r="H998" s="21"/>
      <c r="I998" s="21"/>
      <c r="J998" s="21"/>
      <c r="K998" s="19"/>
      <c r="L998" s="19"/>
      <c r="M998" s="22">
        <v>1</v>
      </c>
      <c r="N998" s="19"/>
      <c r="O998" s="25"/>
      <c r="P998" s="23"/>
      <c r="Q998" s="21" t="s">
        <v>46</v>
      </c>
      <c r="R998" s="19" t="s">
        <v>47</v>
      </c>
      <c r="S998" s="21"/>
      <c r="T998" s="19"/>
      <c r="U998" s="21"/>
      <c r="V998" s="7"/>
      <c r="W998" s="7"/>
      <c r="X998" s="51" t="str">
        <f t="shared" si="6"/>
        <v/>
      </c>
      <c r="Y998" s="51" t="str">
        <f t="shared" si="7"/>
        <v/>
      </c>
      <c r="Z998" s="37"/>
    </row>
    <row r="999" spans="1:26" ht="14.25" customHeight="1" x14ac:dyDescent="0.3">
      <c r="A999" s="18">
        <v>249.2</v>
      </c>
      <c r="B999" s="19"/>
      <c r="C999" s="18" t="s">
        <v>55</v>
      </c>
      <c r="D999" s="19"/>
      <c r="E999" s="25"/>
      <c r="F999" s="19"/>
      <c r="G999" s="21">
        <v>0</v>
      </c>
      <c r="H999" s="21"/>
      <c r="I999" s="21"/>
      <c r="J999" s="21"/>
      <c r="K999" s="19"/>
      <c r="L999" s="19"/>
      <c r="M999" s="22">
        <v>1</v>
      </c>
      <c r="N999" s="19"/>
      <c r="O999" s="25"/>
      <c r="P999" s="23"/>
      <c r="Q999" s="21" t="s">
        <v>46</v>
      </c>
      <c r="R999" s="19" t="s">
        <v>47</v>
      </c>
      <c r="S999" s="21"/>
      <c r="T999" s="19"/>
      <c r="U999" s="21"/>
      <c r="V999" s="7"/>
      <c r="W999" s="7"/>
      <c r="X999" s="51" t="str">
        <f t="shared" si="6"/>
        <v/>
      </c>
      <c r="Y999" s="51" t="str">
        <f t="shared" si="7"/>
        <v/>
      </c>
      <c r="Z999" s="37"/>
    </row>
    <row r="1000" spans="1:26" ht="14.25" customHeight="1" x14ac:dyDescent="0.3">
      <c r="A1000" s="18">
        <v>249.3</v>
      </c>
      <c r="B1000" s="19"/>
      <c r="C1000" s="18" t="s">
        <v>55</v>
      </c>
      <c r="D1000" s="19"/>
      <c r="E1000" s="25"/>
      <c r="F1000" s="19"/>
      <c r="G1000" s="21">
        <v>0</v>
      </c>
      <c r="H1000" s="21"/>
      <c r="I1000" s="21"/>
      <c r="J1000" s="21"/>
      <c r="K1000" s="19"/>
      <c r="L1000" s="19"/>
      <c r="M1000" s="22">
        <v>1</v>
      </c>
      <c r="N1000" s="19"/>
      <c r="O1000" s="25"/>
      <c r="P1000" s="23"/>
      <c r="Q1000" s="21" t="s">
        <v>46</v>
      </c>
      <c r="R1000" s="19" t="s">
        <v>47</v>
      </c>
      <c r="S1000" s="21"/>
      <c r="T1000" s="19"/>
      <c r="U1000" s="21"/>
      <c r="V1000" s="7"/>
      <c r="W1000" s="7"/>
      <c r="X1000" s="51" t="str">
        <f t="shared" si="6"/>
        <v/>
      </c>
      <c r="Y1000" s="51" t="str">
        <f t="shared" si="7"/>
        <v/>
      </c>
      <c r="Z1000" s="37"/>
    </row>
    <row r="1001" spans="1:26" ht="15" customHeight="1" x14ac:dyDescent="0.3">
      <c r="A1001" s="18">
        <v>249.4</v>
      </c>
      <c r="B1001" s="19"/>
      <c r="C1001" s="18" t="s">
        <v>55</v>
      </c>
      <c r="D1001" s="19"/>
      <c r="E1001" s="25"/>
      <c r="F1001" s="19"/>
      <c r="G1001" s="21">
        <v>0</v>
      </c>
      <c r="H1001" s="21"/>
      <c r="I1001" s="21"/>
      <c r="J1001" s="21"/>
      <c r="K1001" s="19"/>
      <c r="L1001" s="19"/>
      <c r="M1001" s="22">
        <v>1</v>
      </c>
      <c r="N1001" s="19"/>
      <c r="O1001" s="25"/>
      <c r="P1001" s="23"/>
      <c r="Q1001" s="21" t="s">
        <v>46</v>
      </c>
      <c r="R1001" s="19" t="s">
        <v>47</v>
      </c>
      <c r="S1001" s="21"/>
      <c r="T1001" s="19"/>
      <c r="U1001" s="21"/>
      <c r="V1001" s="7"/>
      <c r="W1001" s="7"/>
      <c r="X1001" s="51" t="str">
        <f t="shared" si="6"/>
        <v/>
      </c>
      <c r="Y1001" s="51" t="str">
        <f t="shared" si="7"/>
        <v/>
      </c>
      <c r="Z1001" s="37"/>
    </row>
    <row r="1002" spans="1:26" ht="15" customHeight="1" x14ac:dyDescent="0.3">
      <c r="A1002" s="18">
        <v>250.1</v>
      </c>
      <c r="B1002" s="19"/>
      <c r="C1002" s="18" t="s">
        <v>55</v>
      </c>
      <c r="D1002" s="19"/>
      <c r="E1002" s="25"/>
      <c r="F1002" s="19"/>
      <c r="G1002" s="21">
        <v>0</v>
      </c>
      <c r="H1002" s="21"/>
      <c r="I1002" s="21"/>
      <c r="J1002" s="21"/>
      <c r="K1002" s="19"/>
      <c r="L1002" s="19"/>
      <c r="M1002" s="22">
        <v>1</v>
      </c>
      <c r="N1002" s="19"/>
      <c r="O1002" s="25"/>
      <c r="P1002" s="23"/>
      <c r="Q1002" s="21" t="s">
        <v>46</v>
      </c>
      <c r="R1002" s="19" t="s">
        <v>47</v>
      </c>
      <c r="S1002" s="21"/>
      <c r="T1002" s="19"/>
      <c r="U1002" s="21"/>
      <c r="V1002" s="7"/>
      <c r="W1002" s="7"/>
      <c r="X1002" s="51" t="str">
        <f t="shared" si="6"/>
        <v/>
      </c>
      <c r="Y1002" s="51" t="str">
        <f t="shared" si="7"/>
        <v/>
      </c>
      <c r="Z1002" s="37"/>
    </row>
    <row r="1003" spans="1:26" ht="15" customHeight="1" x14ac:dyDescent="0.3">
      <c r="A1003" s="18">
        <v>250.2</v>
      </c>
      <c r="B1003" s="19"/>
      <c r="C1003" s="18" t="s">
        <v>55</v>
      </c>
      <c r="D1003" s="19"/>
      <c r="E1003" s="25"/>
      <c r="F1003" s="19"/>
      <c r="G1003" s="21">
        <v>0</v>
      </c>
      <c r="H1003" s="21"/>
      <c r="I1003" s="21"/>
      <c r="J1003" s="21"/>
      <c r="K1003" s="19"/>
      <c r="L1003" s="19"/>
      <c r="M1003" s="22">
        <v>1</v>
      </c>
      <c r="N1003" s="19"/>
      <c r="O1003" s="25"/>
      <c r="P1003" s="23"/>
      <c r="Q1003" s="21" t="s">
        <v>46</v>
      </c>
      <c r="R1003" s="19" t="s">
        <v>47</v>
      </c>
      <c r="S1003" s="21"/>
      <c r="T1003" s="19"/>
      <c r="U1003" s="21"/>
      <c r="V1003" s="7"/>
      <c r="W1003" s="7"/>
      <c r="X1003" s="51" t="str">
        <f t="shared" si="6"/>
        <v/>
      </c>
      <c r="Y1003" s="51" t="str">
        <f t="shared" si="7"/>
        <v/>
      </c>
      <c r="Z1003" s="37"/>
    </row>
    <row r="1004" spans="1:26" ht="15" customHeight="1" x14ac:dyDescent="0.3">
      <c r="A1004" s="18">
        <v>250.3</v>
      </c>
      <c r="B1004" s="19"/>
      <c r="C1004" s="59" t="s">
        <v>55</v>
      </c>
      <c r="D1004" s="19"/>
      <c r="E1004" s="25"/>
      <c r="F1004" s="19"/>
      <c r="G1004" s="60">
        <v>0</v>
      </c>
      <c r="H1004" s="60"/>
      <c r="I1004" s="60"/>
      <c r="J1004" s="60"/>
      <c r="K1004" s="61"/>
      <c r="L1004" s="61"/>
      <c r="M1004" s="62">
        <v>1</v>
      </c>
      <c r="N1004" s="19"/>
      <c r="O1004" s="25"/>
      <c r="P1004" s="23"/>
      <c r="Q1004" s="60" t="s">
        <v>46</v>
      </c>
      <c r="R1004" s="19" t="s">
        <v>47</v>
      </c>
      <c r="S1004" s="60"/>
      <c r="T1004" s="19"/>
      <c r="U1004" s="60"/>
      <c r="V1004" s="7"/>
      <c r="W1004" s="7"/>
      <c r="X1004" s="51" t="str">
        <f t="shared" si="6"/>
        <v/>
      </c>
      <c r="Y1004" s="51" t="str">
        <f t="shared" si="7"/>
        <v/>
      </c>
      <c r="Z1004" s="37"/>
    </row>
    <row r="1005" spans="1:26" ht="15" customHeight="1" x14ac:dyDescent="0.3">
      <c r="A1005" s="18">
        <v>250.4</v>
      </c>
      <c r="B1005" s="19"/>
      <c r="C1005" s="18" t="s">
        <v>55</v>
      </c>
      <c r="D1005" s="19"/>
      <c r="E1005" s="25"/>
      <c r="F1005" s="19"/>
      <c r="G1005" s="21">
        <v>0</v>
      </c>
      <c r="H1005" s="21"/>
      <c r="I1005" s="21"/>
      <c r="J1005" s="21"/>
      <c r="K1005" s="19"/>
      <c r="L1005" s="19"/>
      <c r="M1005" s="22">
        <v>1</v>
      </c>
      <c r="N1005" s="19"/>
      <c r="O1005" s="25"/>
      <c r="P1005" s="23"/>
      <c r="Q1005" s="21" t="s">
        <v>46</v>
      </c>
      <c r="R1005" s="19" t="s">
        <v>47</v>
      </c>
      <c r="S1005" s="21"/>
      <c r="T1005" s="19"/>
      <c r="U1005" s="21"/>
      <c r="V1005" s="7"/>
      <c r="W1005" s="7"/>
      <c r="X1005" s="51" t="str">
        <f t="shared" si="6"/>
        <v/>
      </c>
      <c r="Y1005" s="51" t="str">
        <f t="shared" si="7"/>
        <v/>
      </c>
      <c r="Z1005" s="37"/>
    </row>
    <row r="1006" spans="1:26" ht="15" hidden="1" customHeight="1" x14ac:dyDescent="0.3">
      <c r="A1006" s="63"/>
      <c r="B1006" s="7"/>
      <c r="C1006" s="7"/>
      <c r="D1006" s="19"/>
      <c r="E1006" s="64"/>
      <c r="F1006" s="19"/>
      <c r="G1006" s="7"/>
      <c r="H1006" s="37"/>
      <c r="I1006" s="37"/>
      <c r="J1006" s="37"/>
      <c r="K1006" s="37"/>
      <c r="L1006" s="37"/>
      <c r="M1006" s="65"/>
      <c r="N1006" s="7"/>
      <c r="O1006" s="7"/>
      <c r="P1006" s="37"/>
      <c r="Q1006" s="7"/>
      <c r="R1006" s="7"/>
      <c r="S1006" s="66"/>
      <c r="T1006" s="19"/>
      <c r="U1006" s="37"/>
      <c r="V1006" s="37"/>
      <c r="W1006" s="37"/>
      <c r="X1006" s="37"/>
      <c r="Y1006" s="37"/>
      <c r="Z1006" s="37"/>
    </row>
  </sheetData>
  <mergeCells count="15">
    <mergeCell ref="A2:B2"/>
    <mergeCell ref="A3:B3"/>
    <mergeCell ref="A4:C4"/>
    <mergeCell ref="C3:H3"/>
    <mergeCell ref="J3:M3"/>
    <mergeCell ref="D4:F4"/>
    <mergeCell ref="G4:I4"/>
    <mergeCell ref="D1:E1"/>
    <mergeCell ref="G1:I1"/>
    <mergeCell ref="K1:M1"/>
    <mergeCell ref="N1:W4"/>
    <mergeCell ref="C2:E2"/>
    <mergeCell ref="F2:H2"/>
    <mergeCell ref="I2:M2"/>
    <mergeCell ref="J4:M4"/>
  </mergeCells>
  <conditionalFormatting sqref="T6:T1005">
    <cfRule type="expression" dxfId="2" priority="4">
      <formula>AND(NOT(ISBLANK(S6)), OR(T6 &lt;= S6 - 0.02, T6 &gt;= S6 + 0.02))</formula>
    </cfRule>
    <cfRule type="expression" dxfId="1" priority="5">
      <formula>IF(ISBLANK(T6), FALSE, IF(T6 &gt; F6 + (F6 * 0.25), TRUE, FALSE))</formula>
    </cfRule>
    <cfRule type="expression" dxfId="0" priority="6">
      <formula>IF(NOT(ISBLANK(S6)),"", IF(OR(ISBLANK(T6), ISBLANK(F6)), FALSE, IF($J$4 = "Seamed", IF(T6 &lt; F6 - MIN(F6 * 0.06, 0.01), TRUE, FALSE), IF(T6 &lt; F6 - F6 * 0.125, TRUE, FALSE))))</formula>
    </cfRule>
  </conditionalFormatting>
  <dataValidations count="12">
    <dataValidation type="list" allowBlank="1" showErrorMessage="1" sqref="N6:N1005" xr:uid="{00000000-0002-0000-0200-000000000000}">
      <formula1>"Ground,Ladder,Man Lift,Platform,Manlift,Manbasket,Scaffolding,Stairway"</formula1>
    </dataValidation>
    <dataValidation type="list" allowBlank="1" showErrorMessage="1" sqref="D4" xr:uid="{00000000-0002-0000-0200-000001000000}">
      <formula1>"Carbon,Stainless"</formula1>
    </dataValidation>
    <dataValidation type="list" allowBlank="1" sqref="F34:F1006" xr:uid="{00000000-0002-0000-0200-000002000000}">
      <formula1>INDIRECT("NOM_" &amp; SUBSTITUTE(E34, " ", ""))</formula1>
    </dataValidation>
    <dataValidation type="list" allowBlank="1" showErrorMessage="1" sqref="C6:C1005" xr:uid="{00000000-0002-0000-0200-000003000000}">
      <formula1>"Piping"</formula1>
    </dataValidation>
    <dataValidation type="list" allowBlank="1" showInputMessage="1" showErrorMessage="1" prompt="DEFAULT MATERIALS - Selecting from the dropdown, or typing the word &quot;Default&quot; in G4 will generate the default piping materials for you in the helper columns, X and Y that can be pasted into columns I and J" sqref="G4" xr:uid="{00000000-0002-0000-0200-000004000000}">
      <formula1>"Default"</formula1>
    </dataValidation>
    <dataValidation type="list" allowBlank="1" sqref="B6:B1005" xr:uid="{00000000-0002-0000-0200-000005000000}">
      <formula1>"Top,Bottom,North,South,East,West,Outside Radius,Inside Radius,Upstream,Center,Downstream"</formula1>
    </dataValidation>
    <dataValidation type="list" allowBlank="1" showErrorMessage="1" sqref="D1006" xr:uid="{00000000-0002-0000-0200-000006000000}">
      <formula1>"Straight Pipe,Reducer,Elbow,Tee,Cap"</formula1>
    </dataValidation>
    <dataValidation type="list" allowBlank="1" sqref="E6:E1005 F14:F33" xr:uid="{00000000-0002-0000-0200-000007000000}">
      <formula1>ODs</formula1>
    </dataValidation>
    <dataValidation type="list" allowBlank="1" showErrorMessage="1" sqref="O6:O1005" xr:uid="{00000000-0002-0000-0200-000008000000}">
      <formula1>"Yes,No,Removable"</formula1>
    </dataValidation>
    <dataValidation type="list" allowBlank="1" showErrorMessage="1" sqref="R7:R1005" xr:uid="{00000000-0002-0000-0200-000009000000}">
      <formula1>"UT,RT"</formula1>
    </dataValidation>
    <dataValidation type="list" allowBlank="1" showInputMessage="1" showErrorMessage="1" sqref="R6" xr:uid="{867DBDED-6816-4C04-AFC2-DB78548D9FFA}">
      <formula1>"UT, RT"</formula1>
    </dataValidation>
    <dataValidation type="list" allowBlank="1" showInputMessage="1" sqref="F6:F13" xr:uid="{AC8E07E1-06E5-4ADE-896A-18D6BD199D83}">
      <formula1>INDIRECT("NOM_" &amp; SUBSTITUTE(E6, " ", ""))</formula1>
    </dataValidation>
  </dataValidations>
  <pageMargins left="0.25" right="0.25" top="0.75" bottom="0.75" header="0" footer="0"/>
  <pageSetup scale="41"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xr:uid="{00000000-0002-0000-0200-00000A000000}">
          <x14:formula1>
            <xm:f>'LWN SHEET'!$AA$36:$AA$60</xm:f>
          </x14:formula1>
          <xm:sqref>D6:D1005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F1000"/>
  <sheetViews>
    <sheetView topLeftCell="A31" workbookViewId="0">
      <selection activeCell="O51" sqref="O51"/>
    </sheetView>
  </sheetViews>
  <sheetFormatPr defaultColWidth="14.44140625" defaultRowHeight="15" customHeight="1" x14ac:dyDescent="0.3"/>
  <cols>
    <col min="1" max="1" width="8.5546875" customWidth="1"/>
    <col min="2" max="3" width="9.21875" customWidth="1"/>
    <col min="4" max="4" width="9.21875" hidden="1" customWidth="1"/>
    <col min="5" max="13" width="9.21875" customWidth="1"/>
    <col min="14" max="15" width="13.5546875" customWidth="1"/>
    <col min="16" max="17" width="9.21875" customWidth="1"/>
    <col min="18" max="18" width="9.21875" hidden="1" customWidth="1"/>
    <col min="19" max="19" width="21.44140625" hidden="1" customWidth="1"/>
    <col min="20" max="20" width="13.21875" hidden="1" customWidth="1"/>
    <col min="21" max="21" width="17.21875" hidden="1" customWidth="1"/>
    <col min="22" max="22" width="13.5546875" hidden="1" customWidth="1"/>
    <col min="23" max="38" width="9.21875" hidden="1" customWidth="1"/>
    <col min="39" max="84" width="9.21875" customWidth="1"/>
  </cols>
  <sheetData>
    <row r="1" spans="1:58" ht="31.2" x14ac:dyDescent="0.6">
      <c r="A1" s="175" t="s">
        <v>90</v>
      </c>
      <c r="B1" s="133"/>
      <c r="C1" s="133"/>
      <c r="D1" s="133"/>
      <c r="E1" s="133"/>
      <c r="F1" s="133"/>
      <c r="G1" s="133"/>
      <c r="H1" s="133"/>
      <c r="I1" s="133"/>
      <c r="J1" s="133"/>
      <c r="K1" s="133"/>
      <c r="L1" s="133"/>
      <c r="M1" s="133"/>
      <c r="N1" s="132"/>
      <c r="AB1" s="67" t="s">
        <v>57</v>
      </c>
      <c r="AC1" s="68" t="s">
        <v>58</v>
      </c>
      <c r="AD1" s="68" t="s">
        <v>59</v>
      </c>
      <c r="AE1" s="68" t="s">
        <v>60</v>
      </c>
      <c r="AF1" s="68" t="s">
        <v>61</v>
      </c>
      <c r="AG1" s="69" t="s">
        <v>62</v>
      </c>
      <c r="AH1" s="69" t="s">
        <v>63</v>
      </c>
      <c r="AI1" s="69" t="s">
        <v>64</v>
      </c>
      <c r="AJ1" s="69" t="s">
        <v>66</v>
      </c>
      <c r="AK1" s="69" t="s">
        <v>67</v>
      </c>
      <c r="AL1" s="69" t="s">
        <v>68</v>
      </c>
      <c r="AM1" s="69" t="s">
        <v>69</v>
      </c>
      <c r="AN1" s="69" t="s">
        <v>70</v>
      </c>
      <c r="AO1" s="69" t="s">
        <v>71</v>
      </c>
      <c r="AP1" s="69" t="s">
        <v>72</v>
      </c>
      <c r="AQ1" s="69" t="s">
        <v>73</v>
      </c>
      <c r="AR1" s="69" t="s">
        <v>75</v>
      </c>
      <c r="AS1" s="69" t="s">
        <v>76</v>
      </c>
      <c r="AT1" s="69" t="s">
        <v>77</v>
      </c>
      <c r="AU1" s="69" t="s">
        <v>78</v>
      </c>
      <c r="AV1" s="69" t="s">
        <v>79</v>
      </c>
      <c r="AW1" s="69" t="s">
        <v>80</v>
      </c>
      <c r="AX1" s="69" t="s">
        <v>81</v>
      </c>
      <c r="AY1" s="69" t="s">
        <v>82</v>
      </c>
      <c r="AZ1" s="69" t="s">
        <v>83</v>
      </c>
      <c r="BA1" s="69" t="s">
        <v>84</v>
      </c>
      <c r="BB1" s="69" t="s">
        <v>85</v>
      </c>
      <c r="BC1" s="69" t="s">
        <v>86</v>
      </c>
      <c r="BD1" s="69" t="s">
        <v>87</v>
      </c>
      <c r="BE1" s="69" t="s">
        <v>88</v>
      </c>
      <c r="BF1" s="69" t="s">
        <v>89</v>
      </c>
    </row>
    <row r="2" spans="1:58" ht="15" customHeight="1" x14ac:dyDescent="0.3">
      <c r="A2" s="70"/>
      <c r="B2" s="176" t="s">
        <v>91</v>
      </c>
      <c r="C2" s="133"/>
      <c r="D2" s="133"/>
      <c r="E2" s="133"/>
      <c r="F2" s="133"/>
      <c r="G2" s="132"/>
      <c r="H2" s="70"/>
      <c r="I2" s="177" t="s">
        <v>92</v>
      </c>
      <c r="J2" s="133"/>
      <c r="K2" s="133"/>
      <c r="L2" s="133"/>
      <c r="M2" s="133"/>
      <c r="N2" s="132"/>
      <c r="S2" s="27" t="s">
        <v>93</v>
      </c>
      <c r="T2" s="27" t="s">
        <v>94</v>
      </c>
      <c r="U2" s="27" t="s">
        <v>95</v>
      </c>
      <c r="V2" s="28" t="s">
        <v>96</v>
      </c>
      <c r="AA2" s="71" t="s">
        <v>97</v>
      </c>
      <c r="AB2" s="72">
        <v>0.40500000000000003</v>
      </c>
      <c r="AC2" s="73">
        <v>0.54</v>
      </c>
      <c r="AD2" s="72">
        <v>0.67500000000000004</v>
      </c>
      <c r="AE2" s="73">
        <v>0.84</v>
      </c>
      <c r="AF2" s="73">
        <v>1.05</v>
      </c>
      <c r="AG2" s="72">
        <v>1.3149999999999999</v>
      </c>
      <c r="AH2" s="73">
        <v>1.66</v>
      </c>
      <c r="AI2" s="74">
        <v>1.9</v>
      </c>
      <c r="AJ2" s="72">
        <v>2.375</v>
      </c>
      <c r="AK2" s="72">
        <v>2.875</v>
      </c>
      <c r="AL2" s="74">
        <v>3.5</v>
      </c>
      <c r="AM2" s="75">
        <v>4</v>
      </c>
      <c r="AN2" s="74">
        <v>4.5</v>
      </c>
      <c r="AO2" s="72">
        <v>5.5629999999999997</v>
      </c>
      <c r="AP2" s="72">
        <v>6.625</v>
      </c>
      <c r="AQ2" s="72">
        <v>8.625</v>
      </c>
      <c r="AR2" s="73">
        <v>10.75</v>
      </c>
      <c r="AS2" s="73">
        <v>12.75</v>
      </c>
      <c r="AT2" s="75">
        <v>14</v>
      </c>
      <c r="AU2" s="75">
        <v>16</v>
      </c>
      <c r="AV2" s="75">
        <v>18</v>
      </c>
      <c r="AW2" s="75">
        <v>20</v>
      </c>
      <c r="AX2" s="75">
        <v>22</v>
      </c>
      <c r="AY2" s="75">
        <v>24</v>
      </c>
      <c r="AZ2" s="75">
        <v>26</v>
      </c>
      <c r="BA2" s="75">
        <v>28</v>
      </c>
      <c r="BB2" s="75">
        <v>30</v>
      </c>
      <c r="BC2" s="75">
        <v>32</v>
      </c>
      <c r="BD2" s="75">
        <v>34</v>
      </c>
      <c r="BE2" s="75">
        <v>36</v>
      </c>
      <c r="BF2" s="76">
        <v>42</v>
      </c>
    </row>
    <row r="3" spans="1:58" ht="14.4" x14ac:dyDescent="0.3">
      <c r="A3" s="77" t="s">
        <v>98</v>
      </c>
      <c r="B3" s="78" t="s">
        <v>99</v>
      </c>
      <c r="C3" s="79" t="s">
        <v>100</v>
      </c>
      <c r="D3" s="80" t="s">
        <v>101</v>
      </c>
      <c r="E3" s="81" t="s">
        <v>102</v>
      </c>
      <c r="F3" s="82" t="s">
        <v>103</v>
      </c>
      <c r="G3" s="70" t="s">
        <v>104</v>
      </c>
      <c r="H3" s="77" t="s">
        <v>98</v>
      </c>
      <c r="I3" s="78" t="s">
        <v>99</v>
      </c>
      <c r="J3" s="79" t="s">
        <v>100</v>
      </c>
      <c r="K3" s="80" t="s">
        <v>101</v>
      </c>
      <c r="L3" s="83" t="s">
        <v>102</v>
      </c>
      <c r="M3" s="84" t="s">
        <v>103</v>
      </c>
      <c r="N3" s="85" t="s">
        <v>104</v>
      </c>
      <c r="S3" s="28" t="s">
        <v>105</v>
      </c>
      <c r="T3" s="86" t="s">
        <v>106</v>
      </c>
      <c r="U3" s="27" t="s">
        <v>95</v>
      </c>
      <c r="V3" s="28" t="s">
        <v>107</v>
      </c>
      <c r="AA3" s="87"/>
      <c r="AB3" s="88">
        <v>4.9000000000000002E-2</v>
      </c>
      <c r="AC3" s="89">
        <v>6.5000000000000002E-2</v>
      </c>
      <c r="AD3" s="88">
        <v>6.5000000000000002E-2</v>
      </c>
      <c r="AE3" s="89">
        <v>6.5000000000000002E-2</v>
      </c>
      <c r="AF3" s="88">
        <v>6.5000000000000002E-2</v>
      </c>
      <c r="AG3" s="89">
        <v>6.5000000000000002E-2</v>
      </c>
      <c r="AH3" s="88">
        <v>6.5000000000000002E-2</v>
      </c>
      <c r="AI3" s="89">
        <v>6.5000000000000002E-2</v>
      </c>
      <c r="AJ3" s="88">
        <v>8.5000000000000006E-2</v>
      </c>
      <c r="AK3" s="89">
        <v>8.3000000000000004E-2</v>
      </c>
      <c r="AL3" s="88">
        <v>8.3000000000000004E-2</v>
      </c>
      <c r="AM3" s="90">
        <v>8.3000000000000004E-2</v>
      </c>
      <c r="AN3" s="88">
        <v>8.3000000000000004E-2</v>
      </c>
      <c r="AO3" s="89">
        <v>0.109</v>
      </c>
      <c r="AP3" s="88">
        <v>0.109</v>
      </c>
      <c r="AQ3" s="89">
        <v>0.109</v>
      </c>
      <c r="AR3" s="88">
        <v>0.13400000000000001</v>
      </c>
      <c r="AS3" s="89">
        <v>0.156</v>
      </c>
      <c r="AT3" s="88">
        <v>0.156</v>
      </c>
      <c r="AU3" s="89">
        <v>0.16500000000000001</v>
      </c>
      <c r="AV3" s="88">
        <v>0.16500000000000001</v>
      </c>
      <c r="AW3" s="89">
        <v>0.188</v>
      </c>
      <c r="AX3" s="88">
        <v>0.188</v>
      </c>
      <c r="AY3" s="89">
        <v>0.218</v>
      </c>
      <c r="AZ3" s="88">
        <v>0.312</v>
      </c>
      <c r="BA3" s="89">
        <v>0.312</v>
      </c>
      <c r="BB3" s="88">
        <v>0.25</v>
      </c>
      <c r="BC3" s="89">
        <v>0.312</v>
      </c>
      <c r="BD3" s="88">
        <v>0.312</v>
      </c>
      <c r="BE3" s="89">
        <v>0.312</v>
      </c>
      <c r="BF3" s="91">
        <v>0.375</v>
      </c>
    </row>
    <row r="4" spans="1:58" ht="14.4" x14ac:dyDescent="0.3">
      <c r="A4" s="77" t="s">
        <v>108</v>
      </c>
      <c r="B4" s="78">
        <v>1.25</v>
      </c>
      <c r="C4" s="79">
        <v>1.5</v>
      </c>
      <c r="D4" s="80">
        <v>3.5</v>
      </c>
      <c r="E4" s="81" t="s">
        <v>65</v>
      </c>
      <c r="F4" s="82" t="s">
        <v>65</v>
      </c>
      <c r="G4" s="70" t="s">
        <v>65</v>
      </c>
      <c r="H4" s="77" t="s">
        <v>108</v>
      </c>
      <c r="I4" s="78">
        <v>0.38</v>
      </c>
      <c r="J4" s="79">
        <v>0.48</v>
      </c>
      <c r="K4" s="80">
        <v>1.5</v>
      </c>
      <c r="L4" s="81" t="s">
        <v>65</v>
      </c>
      <c r="M4" s="82" t="s">
        <v>65</v>
      </c>
      <c r="N4" s="70" t="s">
        <v>65</v>
      </c>
      <c r="S4" s="86" t="s">
        <v>109</v>
      </c>
      <c r="T4" s="86" t="s">
        <v>110</v>
      </c>
      <c r="U4" s="86" t="s">
        <v>111</v>
      </c>
      <c r="V4" s="28" t="s">
        <v>112</v>
      </c>
      <c r="AA4" s="87"/>
      <c r="AB4" s="88">
        <v>6.8000000000000005E-2</v>
      </c>
      <c r="AC4" s="89">
        <v>8.7999999999999995E-2</v>
      </c>
      <c r="AD4" s="88">
        <v>9.0999999999999998E-2</v>
      </c>
      <c r="AE4" s="89">
        <v>8.3000000000000004E-2</v>
      </c>
      <c r="AF4" s="88">
        <v>0.83</v>
      </c>
      <c r="AG4" s="89">
        <v>0.109</v>
      </c>
      <c r="AH4" s="88">
        <v>0.109</v>
      </c>
      <c r="AI4" s="89">
        <v>0.109</v>
      </c>
      <c r="AJ4" s="88">
        <v>0.109</v>
      </c>
      <c r="AK4" s="89">
        <v>0.12</v>
      </c>
      <c r="AL4" s="88">
        <v>0.12</v>
      </c>
      <c r="AM4" s="89">
        <v>0.12</v>
      </c>
      <c r="AN4" s="88">
        <v>0.12</v>
      </c>
      <c r="AO4" s="89">
        <v>0.13400000000000001</v>
      </c>
      <c r="AP4" s="88">
        <v>0.13400000000000001</v>
      </c>
      <c r="AQ4" s="89">
        <v>0.14799999999999999</v>
      </c>
      <c r="AR4" s="88">
        <v>0.16500000000000001</v>
      </c>
      <c r="AS4" s="89">
        <v>0.188</v>
      </c>
      <c r="AT4" s="88">
        <v>0.188</v>
      </c>
      <c r="AU4" s="89">
        <v>0.25</v>
      </c>
      <c r="AV4" s="88">
        <v>0.25</v>
      </c>
      <c r="AW4" s="89">
        <v>0.25</v>
      </c>
      <c r="AX4" s="88">
        <v>0.25</v>
      </c>
      <c r="AY4" s="89">
        <v>0.25</v>
      </c>
      <c r="AZ4" s="88">
        <v>0.5</v>
      </c>
      <c r="BA4" s="89">
        <v>0.5</v>
      </c>
      <c r="BB4" s="88">
        <v>0.312</v>
      </c>
      <c r="BC4" s="89">
        <v>0.5</v>
      </c>
      <c r="BD4" s="88">
        <v>0.5</v>
      </c>
      <c r="BE4" s="89">
        <v>0.5</v>
      </c>
      <c r="BF4" s="91">
        <v>0.5</v>
      </c>
    </row>
    <row r="5" spans="1:58" ht="14.4" x14ac:dyDescent="0.3">
      <c r="A5" s="77" t="s">
        <v>113</v>
      </c>
      <c r="B5" s="78">
        <v>1.62</v>
      </c>
      <c r="C5" s="79">
        <v>1.88</v>
      </c>
      <c r="D5" s="80">
        <v>3.88</v>
      </c>
      <c r="E5" s="81" t="s">
        <v>65</v>
      </c>
      <c r="F5" s="82" t="s">
        <v>65</v>
      </c>
      <c r="G5" s="70" t="s">
        <v>65</v>
      </c>
      <c r="H5" s="77" t="s">
        <v>113</v>
      </c>
      <c r="I5" s="78">
        <v>0.44</v>
      </c>
      <c r="J5" s="79">
        <v>0.56999999999999995</v>
      </c>
      <c r="K5" s="80">
        <v>1.56</v>
      </c>
      <c r="L5" s="81" t="s">
        <v>65</v>
      </c>
      <c r="M5" s="82" t="s">
        <v>65</v>
      </c>
      <c r="N5" s="70" t="s">
        <v>65</v>
      </c>
      <c r="S5" s="86" t="s">
        <v>114</v>
      </c>
      <c r="T5" s="86" t="s">
        <v>115</v>
      </c>
      <c r="U5" s="86" t="s">
        <v>116</v>
      </c>
      <c r="V5" s="28" t="s">
        <v>117</v>
      </c>
      <c r="AA5" s="87"/>
      <c r="AB5" s="88">
        <v>9.5000000000000001E-2</v>
      </c>
      <c r="AC5" s="89">
        <v>0.11899999999999999</v>
      </c>
      <c r="AD5" s="88">
        <v>0.126</v>
      </c>
      <c r="AE5" s="89">
        <v>0.109</v>
      </c>
      <c r="AF5" s="88">
        <v>0.113</v>
      </c>
      <c r="AG5" s="89">
        <v>0.13300000000000001</v>
      </c>
      <c r="AH5" s="88">
        <v>0.14000000000000001</v>
      </c>
      <c r="AI5" s="89">
        <v>0.14499999999999999</v>
      </c>
      <c r="AJ5" s="88">
        <v>0.154</v>
      </c>
      <c r="AK5" s="89">
        <v>0.20300000000000001</v>
      </c>
      <c r="AL5" s="88">
        <v>0.216</v>
      </c>
      <c r="AM5" s="89">
        <v>0.22600000000000001</v>
      </c>
      <c r="AN5" s="88">
        <v>0.23699999999999999</v>
      </c>
      <c r="AO5" s="89">
        <v>0.25800000000000001</v>
      </c>
      <c r="AP5" s="88">
        <v>0.28000000000000003</v>
      </c>
      <c r="AQ5" s="89">
        <v>0.25</v>
      </c>
      <c r="AR5" s="88">
        <v>0.25</v>
      </c>
      <c r="AS5" s="89">
        <v>0.25</v>
      </c>
      <c r="AT5" s="88">
        <v>0.312</v>
      </c>
      <c r="AU5" s="89">
        <v>0.312</v>
      </c>
      <c r="AV5" s="88">
        <v>0.312</v>
      </c>
      <c r="AW5" s="89">
        <v>0.375</v>
      </c>
      <c r="AX5" s="88">
        <v>0.375</v>
      </c>
      <c r="AY5" s="89">
        <v>0.375</v>
      </c>
      <c r="AZ5" s="88">
        <v>0.375</v>
      </c>
      <c r="BA5" s="89">
        <v>0.625</v>
      </c>
      <c r="BB5" s="88">
        <v>0.5</v>
      </c>
      <c r="BC5" s="89">
        <v>0.625</v>
      </c>
      <c r="BD5" s="88">
        <v>0.625</v>
      </c>
      <c r="BE5" s="89">
        <v>0.625</v>
      </c>
      <c r="BF5" s="91"/>
    </row>
    <row r="6" spans="1:58" ht="14.4" x14ac:dyDescent="0.3">
      <c r="A6" s="77">
        <v>1</v>
      </c>
      <c r="B6" s="78">
        <v>2</v>
      </c>
      <c r="C6" s="79">
        <v>2.25</v>
      </c>
      <c r="D6" s="80">
        <v>4.25</v>
      </c>
      <c r="E6" s="81">
        <v>2.75</v>
      </c>
      <c r="F6" s="82">
        <v>3.25</v>
      </c>
      <c r="G6" s="70">
        <v>4</v>
      </c>
      <c r="H6" s="77">
        <v>1</v>
      </c>
      <c r="I6" s="78">
        <v>0.5</v>
      </c>
      <c r="J6" s="79">
        <v>0.65</v>
      </c>
      <c r="K6" s="80">
        <v>1.62</v>
      </c>
      <c r="L6" s="81">
        <v>0.9</v>
      </c>
      <c r="M6" s="82">
        <v>1.1499999999999999</v>
      </c>
      <c r="N6" s="70">
        <v>1.52</v>
      </c>
      <c r="S6" s="86" t="s">
        <v>118</v>
      </c>
      <c r="T6" s="86" t="s">
        <v>119</v>
      </c>
      <c r="U6" s="86" t="s">
        <v>120</v>
      </c>
      <c r="V6" s="28" t="s">
        <v>121</v>
      </c>
      <c r="AA6" s="87"/>
      <c r="AB6" s="88"/>
      <c r="AC6" s="89"/>
      <c r="AD6" s="88"/>
      <c r="AE6" s="89">
        <v>0.14699999999999999</v>
      </c>
      <c r="AF6" s="88">
        <v>0.154</v>
      </c>
      <c r="AG6" s="89">
        <v>0.17899999999999999</v>
      </c>
      <c r="AH6" s="88">
        <v>0.191</v>
      </c>
      <c r="AI6" s="89">
        <v>0.2</v>
      </c>
      <c r="AJ6" s="88">
        <v>0.218</v>
      </c>
      <c r="AK6" s="89">
        <v>0.27600000000000002</v>
      </c>
      <c r="AL6" s="88">
        <v>0.3</v>
      </c>
      <c r="AM6" s="89">
        <v>0.318</v>
      </c>
      <c r="AN6" s="88">
        <v>0.33700000000000002</v>
      </c>
      <c r="AO6" s="89">
        <v>0.375</v>
      </c>
      <c r="AP6" s="88">
        <v>0.432</v>
      </c>
      <c r="AQ6" s="89">
        <v>0.27700000000000002</v>
      </c>
      <c r="AR6" s="88">
        <v>0.307</v>
      </c>
      <c r="AS6" s="89">
        <v>0.33</v>
      </c>
      <c r="AT6" s="88">
        <v>0.375</v>
      </c>
      <c r="AU6" s="89">
        <v>0.375</v>
      </c>
      <c r="AV6" s="88">
        <v>0.438</v>
      </c>
      <c r="AW6" s="89">
        <v>0.5</v>
      </c>
      <c r="AX6" s="88">
        <v>0.5</v>
      </c>
      <c r="AY6" s="89">
        <v>0.56200000000000006</v>
      </c>
      <c r="AZ6" s="88"/>
      <c r="BA6" s="89">
        <v>0.375</v>
      </c>
      <c r="BB6" s="88">
        <v>0.625</v>
      </c>
      <c r="BC6" s="89">
        <v>0.375</v>
      </c>
      <c r="BD6" s="88">
        <v>0.375</v>
      </c>
      <c r="BE6" s="89">
        <v>0.375</v>
      </c>
      <c r="BF6" s="91"/>
    </row>
    <row r="7" spans="1:58" ht="14.4" x14ac:dyDescent="0.3">
      <c r="A7" s="77" t="s">
        <v>122</v>
      </c>
      <c r="B7" s="78">
        <v>2.38</v>
      </c>
      <c r="C7" s="79">
        <v>2.62</v>
      </c>
      <c r="D7" s="80">
        <v>4.63</v>
      </c>
      <c r="E7" s="81" t="s">
        <v>65</v>
      </c>
      <c r="F7" s="82" t="s">
        <v>65</v>
      </c>
      <c r="G7" s="70" t="s">
        <v>65</v>
      </c>
      <c r="H7" s="77" t="s">
        <v>122</v>
      </c>
      <c r="I7" s="78">
        <v>0.56000000000000005</v>
      </c>
      <c r="J7" s="79">
        <v>0.67</v>
      </c>
      <c r="K7" s="80">
        <v>1.69</v>
      </c>
      <c r="L7" s="81" t="s">
        <v>65</v>
      </c>
      <c r="M7" s="82" t="s">
        <v>65</v>
      </c>
      <c r="N7" s="70" t="s">
        <v>65</v>
      </c>
      <c r="S7" s="86" t="s">
        <v>123</v>
      </c>
      <c r="T7" s="86" t="s">
        <v>124</v>
      </c>
      <c r="U7" s="86" t="s">
        <v>125</v>
      </c>
      <c r="V7" s="28" t="s">
        <v>126</v>
      </c>
      <c r="AA7" s="87"/>
      <c r="AB7" s="88"/>
      <c r="AC7" s="89"/>
      <c r="AD7" s="88"/>
      <c r="AE7" s="89">
        <v>0.187</v>
      </c>
      <c r="AF7" s="88">
        <v>0.219</v>
      </c>
      <c r="AG7" s="89">
        <v>0.25</v>
      </c>
      <c r="AH7" s="88">
        <v>0.25</v>
      </c>
      <c r="AI7" s="89">
        <v>0.28100000000000003</v>
      </c>
      <c r="AJ7" s="88">
        <v>0.34399999999999997</v>
      </c>
      <c r="AK7" s="89">
        <v>0.375</v>
      </c>
      <c r="AL7" s="88">
        <v>0.438</v>
      </c>
      <c r="AM7" s="89"/>
      <c r="AN7" s="88">
        <v>0.438</v>
      </c>
      <c r="AO7" s="89">
        <v>0.5</v>
      </c>
      <c r="AP7" s="88">
        <v>0.56200000000000006</v>
      </c>
      <c r="AQ7" s="89">
        <v>0.32200000000000001</v>
      </c>
      <c r="AR7" s="88">
        <v>0.36499999999999999</v>
      </c>
      <c r="AS7" s="89">
        <v>0.375</v>
      </c>
      <c r="AT7" s="88">
        <v>0.438</v>
      </c>
      <c r="AU7" s="89">
        <v>0.5</v>
      </c>
      <c r="AV7" s="88">
        <v>0.375</v>
      </c>
      <c r="AW7" s="89">
        <v>0.375</v>
      </c>
      <c r="AX7" s="88">
        <v>0.875</v>
      </c>
      <c r="AY7" s="89">
        <v>0.375</v>
      </c>
      <c r="AZ7" s="88"/>
      <c r="BA7" s="89"/>
      <c r="BB7" s="88">
        <v>0.375</v>
      </c>
      <c r="BC7" s="89">
        <v>0.68799999999999994</v>
      </c>
      <c r="BD7" s="88">
        <v>0.68799999999999994</v>
      </c>
      <c r="BE7" s="89">
        <v>0.75</v>
      </c>
      <c r="BF7" s="91"/>
    </row>
    <row r="8" spans="1:58" ht="14.4" x14ac:dyDescent="0.3">
      <c r="A8" s="77" t="s">
        <v>127</v>
      </c>
      <c r="B8" s="78">
        <v>2.62</v>
      </c>
      <c r="C8" s="79">
        <v>3</v>
      </c>
      <c r="D8" s="80">
        <v>5</v>
      </c>
      <c r="E8" s="81">
        <v>3.25</v>
      </c>
      <c r="F8" s="82">
        <v>4</v>
      </c>
      <c r="G8" s="70">
        <v>4.62</v>
      </c>
      <c r="H8" s="77" t="s">
        <v>127</v>
      </c>
      <c r="I8" s="78">
        <v>0.56000000000000005</v>
      </c>
      <c r="J8" s="79">
        <v>0.75</v>
      </c>
      <c r="K8" s="80">
        <v>1.75</v>
      </c>
      <c r="L8" s="81">
        <v>0.88</v>
      </c>
      <c r="M8" s="82">
        <v>1.25</v>
      </c>
      <c r="N8" s="70">
        <v>1.56</v>
      </c>
      <c r="S8" s="86" t="s">
        <v>128</v>
      </c>
      <c r="T8" s="86" t="s">
        <v>129</v>
      </c>
      <c r="U8" s="86" t="s">
        <v>130</v>
      </c>
      <c r="V8" s="28" t="s">
        <v>131</v>
      </c>
      <c r="AA8" s="87"/>
      <c r="AB8" s="88"/>
      <c r="AC8" s="89"/>
      <c r="AD8" s="88"/>
      <c r="AE8" s="89">
        <v>0.29399999999999998</v>
      </c>
      <c r="AF8" s="88">
        <v>0.308</v>
      </c>
      <c r="AG8" s="89">
        <v>0.35799999999999998</v>
      </c>
      <c r="AH8" s="88">
        <v>0.38200000000000001</v>
      </c>
      <c r="AI8" s="89">
        <v>0.4</v>
      </c>
      <c r="AJ8" s="88">
        <v>0.436</v>
      </c>
      <c r="AK8" s="89">
        <v>0.55200000000000005</v>
      </c>
      <c r="AL8" s="88">
        <v>0.6</v>
      </c>
      <c r="AM8" s="89"/>
      <c r="AN8" s="88">
        <v>0.53100000000000003</v>
      </c>
      <c r="AO8" s="89">
        <v>0.625</v>
      </c>
      <c r="AP8" s="88">
        <v>0.71899999999999997</v>
      </c>
      <c r="AQ8" s="89">
        <v>0.40600000000000003</v>
      </c>
      <c r="AR8" s="88">
        <v>0.5</v>
      </c>
      <c r="AS8" s="89">
        <v>0.40600000000000003</v>
      </c>
      <c r="AT8" s="88">
        <v>0.59399999999999997</v>
      </c>
      <c r="AU8" s="89">
        <v>0.65600000000000003</v>
      </c>
      <c r="AV8" s="88">
        <v>0.56200000000000006</v>
      </c>
      <c r="AW8" s="89">
        <v>0.59399999999999997</v>
      </c>
      <c r="AX8" s="88">
        <v>1.125</v>
      </c>
      <c r="AY8" s="89">
        <v>0.68799999999999994</v>
      </c>
      <c r="AZ8" s="88"/>
      <c r="BA8" s="89"/>
      <c r="BB8" s="88"/>
      <c r="BC8" s="89">
        <v>0.5</v>
      </c>
      <c r="BD8" s="88">
        <v>0.5</v>
      </c>
      <c r="BE8" s="89">
        <v>0.5</v>
      </c>
      <c r="BF8" s="91"/>
    </row>
    <row r="9" spans="1:58" ht="14.4" x14ac:dyDescent="0.3">
      <c r="A9" s="77">
        <v>2</v>
      </c>
      <c r="B9" s="78">
        <v>3.06</v>
      </c>
      <c r="C9" s="79">
        <v>3.69</v>
      </c>
      <c r="D9" s="80">
        <v>6</v>
      </c>
      <c r="E9" s="81">
        <v>4</v>
      </c>
      <c r="F9" s="82">
        <v>4.62</v>
      </c>
      <c r="G9" s="70">
        <v>5.5</v>
      </c>
      <c r="H9" s="77">
        <v>2</v>
      </c>
      <c r="I9" s="78">
        <v>0.53</v>
      </c>
      <c r="J9" s="79">
        <v>0.88</v>
      </c>
      <c r="K9" s="80">
        <v>2</v>
      </c>
      <c r="L9" s="81">
        <v>1.03</v>
      </c>
      <c r="M9" s="82">
        <v>1.34</v>
      </c>
      <c r="N9" s="70">
        <v>1.78</v>
      </c>
      <c r="S9" s="86" t="s">
        <v>132</v>
      </c>
      <c r="T9" s="86" t="s">
        <v>133</v>
      </c>
      <c r="U9" s="86" t="s">
        <v>134</v>
      </c>
      <c r="V9" s="28" t="s">
        <v>135</v>
      </c>
      <c r="AA9" s="87"/>
      <c r="AB9" s="88"/>
      <c r="AC9" s="89"/>
      <c r="AD9" s="88"/>
      <c r="AE9" s="89"/>
      <c r="AF9" s="88"/>
      <c r="AG9" s="89"/>
      <c r="AH9" s="88"/>
      <c r="AI9" s="89"/>
      <c r="AJ9" s="88"/>
      <c r="AK9" s="89"/>
      <c r="AL9" s="88"/>
      <c r="AM9" s="89"/>
      <c r="AN9" s="88">
        <v>0.67400000000000004</v>
      </c>
      <c r="AO9" s="89">
        <v>0.75</v>
      </c>
      <c r="AP9" s="88">
        <v>0.86399999999999999</v>
      </c>
      <c r="AQ9" s="89">
        <v>0.5</v>
      </c>
      <c r="AR9" s="88">
        <v>0.59399999999999997</v>
      </c>
      <c r="AS9" s="89">
        <v>0.5</v>
      </c>
      <c r="AT9" s="88">
        <v>0.5</v>
      </c>
      <c r="AU9" s="89">
        <v>0.84399999999999997</v>
      </c>
      <c r="AV9" s="88">
        <v>0.75</v>
      </c>
      <c r="AW9" s="89">
        <v>0.81200000000000006</v>
      </c>
      <c r="AX9" s="88">
        <v>1.375</v>
      </c>
      <c r="AY9" s="89">
        <v>0.96899999999999997</v>
      </c>
      <c r="AZ9" s="88"/>
      <c r="BA9" s="89"/>
      <c r="BB9" s="88"/>
      <c r="BC9" s="89"/>
      <c r="BD9" s="88"/>
      <c r="BE9" s="89"/>
      <c r="BF9" s="91"/>
    </row>
    <row r="10" spans="1:58" ht="14.4" x14ac:dyDescent="0.3">
      <c r="A10" s="77" t="s">
        <v>136</v>
      </c>
      <c r="B10" s="78">
        <v>3.75</v>
      </c>
      <c r="C10" s="79">
        <v>4.4400000000000004</v>
      </c>
      <c r="D10" s="80">
        <v>7</v>
      </c>
      <c r="E10" s="81">
        <v>4.62</v>
      </c>
      <c r="F10" s="82">
        <v>5.75</v>
      </c>
      <c r="G10" s="70">
        <v>6</v>
      </c>
      <c r="H10" s="77" t="s">
        <v>136</v>
      </c>
      <c r="I10" s="78">
        <v>0.62</v>
      </c>
      <c r="J10" s="79">
        <v>1.06</v>
      </c>
      <c r="K10" s="80">
        <v>2.25</v>
      </c>
      <c r="L10" s="81">
        <v>1.1499999999999999</v>
      </c>
      <c r="M10" s="82">
        <v>1.72</v>
      </c>
      <c r="N10" s="70">
        <v>1.84</v>
      </c>
      <c r="S10" s="86" t="s">
        <v>137</v>
      </c>
      <c r="T10" s="86" t="s">
        <v>138</v>
      </c>
      <c r="U10" s="86" t="s">
        <v>139</v>
      </c>
      <c r="V10" s="28" t="s">
        <v>140</v>
      </c>
      <c r="AA10" s="87"/>
      <c r="AB10" s="88"/>
      <c r="AC10" s="89"/>
      <c r="AD10" s="88"/>
      <c r="AE10" s="89"/>
      <c r="AF10" s="88"/>
      <c r="AG10" s="89"/>
      <c r="AH10" s="88"/>
      <c r="AI10" s="89"/>
      <c r="AJ10" s="88"/>
      <c r="AK10" s="89"/>
      <c r="AL10" s="88"/>
      <c r="AM10" s="89"/>
      <c r="AN10" s="88"/>
      <c r="AO10" s="89"/>
      <c r="AP10" s="88"/>
      <c r="AQ10" s="89">
        <v>0.59399999999999997</v>
      </c>
      <c r="AR10" s="88">
        <v>0.71899999999999997</v>
      </c>
      <c r="AS10" s="89">
        <v>0.56200000000000006</v>
      </c>
      <c r="AT10" s="88">
        <v>0.75</v>
      </c>
      <c r="AU10" s="89">
        <v>1.0309999999999999</v>
      </c>
      <c r="AV10" s="88">
        <v>0.5</v>
      </c>
      <c r="AW10" s="89">
        <v>1.31</v>
      </c>
      <c r="AX10" s="88">
        <v>1.625</v>
      </c>
      <c r="AY10" s="89">
        <v>0.5</v>
      </c>
      <c r="AZ10" s="88"/>
      <c r="BA10" s="89"/>
      <c r="BB10" s="88"/>
      <c r="BC10" s="89"/>
      <c r="BD10" s="88"/>
      <c r="BE10" s="89"/>
      <c r="BF10" s="91"/>
    </row>
    <row r="11" spans="1:58" ht="14.4" x14ac:dyDescent="0.3">
      <c r="A11" s="77">
        <v>3</v>
      </c>
      <c r="B11" s="78">
        <v>4.25</v>
      </c>
      <c r="C11" s="79">
        <v>4.9400000000000004</v>
      </c>
      <c r="D11" s="80">
        <v>7.5</v>
      </c>
      <c r="E11" s="81">
        <v>5.75</v>
      </c>
      <c r="F11" s="82">
        <v>6</v>
      </c>
      <c r="G11" s="70">
        <v>6.38</v>
      </c>
      <c r="H11" s="77">
        <v>3</v>
      </c>
      <c r="I11" s="78">
        <v>0.62</v>
      </c>
      <c r="J11" s="79">
        <v>1.02</v>
      </c>
      <c r="K11" s="80">
        <v>2.25</v>
      </c>
      <c r="L11" s="81">
        <v>1.43</v>
      </c>
      <c r="M11" s="82">
        <v>1.55</v>
      </c>
      <c r="N11" s="70">
        <v>1.74</v>
      </c>
      <c r="S11" s="86" t="s">
        <v>141</v>
      </c>
      <c r="T11" s="86" t="s">
        <v>142</v>
      </c>
      <c r="U11" s="86" t="s">
        <v>143</v>
      </c>
      <c r="V11" s="28" t="s">
        <v>144</v>
      </c>
      <c r="AA11" s="87"/>
      <c r="AB11" s="88"/>
      <c r="AC11" s="89"/>
      <c r="AD11" s="88"/>
      <c r="AE11" s="89"/>
      <c r="AF11" s="88"/>
      <c r="AG11" s="89"/>
      <c r="AH11" s="88"/>
      <c r="AI11" s="89"/>
      <c r="AJ11" s="88"/>
      <c r="AK11" s="89"/>
      <c r="AL11" s="88"/>
      <c r="AM11" s="89"/>
      <c r="AN11" s="88"/>
      <c r="AO11" s="89"/>
      <c r="AP11" s="88"/>
      <c r="AQ11" s="89">
        <v>0.71899999999999997</v>
      </c>
      <c r="AR11" s="88">
        <v>0.84399999999999997</v>
      </c>
      <c r="AS11" s="89">
        <v>0.68799999999999994</v>
      </c>
      <c r="AT11" s="88">
        <v>0.93799999999999994</v>
      </c>
      <c r="AU11" s="89">
        <v>1.2190000000000001</v>
      </c>
      <c r="AV11" s="88">
        <v>0.93799999999999994</v>
      </c>
      <c r="AW11" s="89">
        <v>1.2809999999999999</v>
      </c>
      <c r="AX11" s="88">
        <v>1.875</v>
      </c>
      <c r="AY11" s="89">
        <v>1.218</v>
      </c>
      <c r="AZ11" s="88"/>
      <c r="BA11" s="89"/>
      <c r="BB11" s="88"/>
      <c r="BC11" s="89"/>
      <c r="BD11" s="88"/>
      <c r="BE11" s="89"/>
      <c r="BF11" s="91"/>
    </row>
    <row r="12" spans="1:58" ht="14.4" x14ac:dyDescent="0.3">
      <c r="A12" s="77" t="s">
        <v>145</v>
      </c>
      <c r="B12" s="78">
        <v>4.88</v>
      </c>
      <c r="C12" s="79">
        <v>5.94</v>
      </c>
      <c r="D12" s="80">
        <v>8.5</v>
      </c>
      <c r="E12" s="81">
        <v>6.38</v>
      </c>
      <c r="F12" s="82">
        <v>7</v>
      </c>
      <c r="G12" s="70">
        <v>7.75</v>
      </c>
      <c r="H12" s="77" t="s">
        <v>145</v>
      </c>
      <c r="I12" s="78">
        <v>0.69</v>
      </c>
      <c r="J12" s="79">
        <v>1.29</v>
      </c>
      <c r="K12" s="80">
        <v>2.5</v>
      </c>
      <c r="L12" s="81">
        <v>1.51</v>
      </c>
      <c r="M12" s="82">
        <v>1.82</v>
      </c>
      <c r="N12" s="70">
        <v>2.2000000000000002</v>
      </c>
      <c r="S12" s="86" t="s">
        <v>146</v>
      </c>
      <c r="T12" s="86" t="s">
        <v>147</v>
      </c>
      <c r="U12" s="86" t="s">
        <v>148</v>
      </c>
      <c r="V12" s="28" t="s">
        <v>149</v>
      </c>
      <c r="AA12" s="87"/>
      <c r="AB12" s="88"/>
      <c r="AC12" s="89"/>
      <c r="AD12" s="88"/>
      <c r="AE12" s="89"/>
      <c r="AF12" s="88"/>
      <c r="AG12" s="89"/>
      <c r="AH12" s="88"/>
      <c r="AI12" s="89"/>
      <c r="AJ12" s="88"/>
      <c r="AK12" s="89"/>
      <c r="AL12" s="88"/>
      <c r="AM12" s="89"/>
      <c r="AN12" s="88"/>
      <c r="AO12" s="89"/>
      <c r="AP12" s="88"/>
      <c r="AQ12" s="89">
        <v>0.81200000000000006</v>
      </c>
      <c r="AR12" s="88">
        <v>1</v>
      </c>
      <c r="AS12" s="89">
        <v>0.84399999999999997</v>
      </c>
      <c r="AT12" s="88">
        <v>1.94</v>
      </c>
      <c r="AU12" s="89">
        <v>1.4379999999999999</v>
      </c>
      <c r="AV12" s="88">
        <v>1.1559999999999999</v>
      </c>
      <c r="AW12" s="89">
        <v>1.5</v>
      </c>
      <c r="AX12" s="88">
        <v>2.125</v>
      </c>
      <c r="AY12" s="89">
        <v>1.5309999999999999</v>
      </c>
      <c r="AZ12" s="88"/>
      <c r="BA12" s="89"/>
      <c r="BB12" s="88"/>
      <c r="BC12" s="89"/>
      <c r="BD12" s="88"/>
      <c r="BE12" s="89"/>
      <c r="BF12" s="91"/>
    </row>
    <row r="13" spans="1:58" ht="14.4" x14ac:dyDescent="0.3">
      <c r="A13" s="77">
        <v>4</v>
      </c>
      <c r="B13" s="78">
        <v>5.5</v>
      </c>
      <c r="C13" s="79">
        <v>6.44</v>
      </c>
      <c r="D13" s="80">
        <v>9</v>
      </c>
      <c r="E13" s="81">
        <v>7</v>
      </c>
      <c r="F13" s="82">
        <v>7.75</v>
      </c>
      <c r="G13" s="70">
        <v>8.25</v>
      </c>
      <c r="H13" s="77">
        <v>4</v>
      </c>
      <c r="I13" s="78">
        <v>0.75</v>
      </c>
      <c r="J13" s="79">
        <v>1.31</v>
      </c>
      <c r="K13" s="80">
        <v>2.5</v>
      </c>
      <c r="L13" s="81">
        <v>1.59</v>
      </c>
      <c r="M13" s="82">
        <v>1.96</v>
      </c>
      <c r="N13" s="70">
        <v>2.21</v>
      </c>
      <c r="S13" s="86" t="s">
        <v>150</v>
      </c>
      <c r="T13" s="86" t="s">
        <v>151</v>
      </c>
      <c r="U13" s="86" t="s">
        <v>152</v>
      </c>
      <c r="V13" s="28" t="s">
        <v>153</v>
      </c>
      <c r="AA13" s="87"/>
      <c r="AB13" s="88"/>
      <c r="AC13" s="89"/>
      <c r="AD13" s="88"/>
      <c r="AE13" s="89"/>
      <c r="AF13" s="88"/>
      <c r="AG13" s="89"/>
      <c r="AH13" s="88"/>
      <c r="AI13" s="89"/>
      <c r="AJ13" s="88"/>
      <c r="AK13" s="89"/>
      <c r="AL13" s="88"/>
      <c r="AM13" s="89"/>
      <c r="AN13" s="88"/>
      <c r="AO13" s="89"/>
      <c r="AP13" s="88"/>
      <c r="AQ13" s="89">
        <v>0.875</v>
      </c>
      <c r="AR13" s="88">
        <v>1.125</v>
      </c>
      <c r="AS13" s="89">
        <v>1</v>
      </c>
      <c r="AT13" s="88">
        <v>1.25</v>
      </c>
      <c r="AU13" s="89">
        <v>1.5940000000000001</v>
      </c>
      <c r="AV13" s="88">
        <v>1.375</v>
      </c>
      <c r="AW13" s="89">
        <v>1.75</v>
      </c>
      <c r="AX13" s="88"/>
      <c r="AY13" s="89">
        <v>1.8120000000000001</v>
      </c>
      <c r="AZ13" s="88"/>
      <c r="BA13" s="89"/>
      <c r="BB13" s="88"/>
      <c r="BC13" s="89"/>
      <c r="BD13" s="88"/>
      <c r="BE13" s="89"/>
      <c r="BF13" s="91"/>
    </row>
    <row r="14" spans="1:58" ht="14.4" x14ac:dyDescent="0.3">
      <c r="A14" s="77">
        <v>5</v>
      </c>
      <c r="B14" s="78">
        <v>6.5</v>
      </c>
      <c r="C14" s="79">
        <v>7.25</v>
      </c>
      <c r="D14" s="80">
        <v>10</v>
      </c>
      <c r="E14" s="81">
        <v>7.75</v>
      </c>
      <c r="F14" s="82">
        <v>8.25</v>
      </c>
      <c r="G14" s="70">
        <v>8.8800000000000008</v>
      </c>
      <c r="H14" s="77">
        <v>5</v>
      </c>
      <c r="I14" s="78">
        <v>0.75</v>
      </c>
      <c r="J14" s="79">
        <v>1.22</v>
      </c>
      <c r="K14" s="80">
        <v>2.5</v>
      </c>
      <c r="L14" s="81">
        <v>1.47</v>
      </c>
      <c r="M14" s="82">
        <v>1.72</v>
      </c>
      <c r="N14" s="70">
        <v>2.04</v>
      </c>
      <c r="S14" s="86" t="s">
        <v>154</v>
      </c>
      <c r="T14" s="86" t="s">
        <v>155</v>
      </c>
      <c r="U14" s="86" t="s">
        <v>156</v>
      </c>
      <c r="V14" s="28" t="s">
        <v>157</v>
      </c>
      <c r="AA14" s="87"/>
      <c r="AB14" s="88"/>
      <c r="AC14" s="89"/>
      <c r="AD14" s="88"/>
      <c r="AE14" s="89"/>
      <c r="AF14" s="88"/>
      <c r="AG14" s="89"/>
      <c r="AH14" s="88"/>
      <c r="AI14" s="89"/>
      <c r="AJ14" s="88"/>
      <c r="AK14" s="89"/>
      <c r="AL14" s="88"/>
      <c r="AM14" s="89"/>
      <c r="AN14" s="88"/>
      <c r="AO14" s="89"/>
      <c r="AP14" s="88"/>
      <c r="AQ14" s="89">
        <v>0.90600000000000003</v>
      </c>
      <c r="AR14" s="88"/>
      <c r="AS14" s="89">
        <v>1.125</v>
      </c>
      <c r="AT14" s="88">
        <v>1.4059999999999999</v>
      </c>
      <c r="AU14" s="89"/>
      <c r="AV14" s="88">
        <v>1.5620000000000001</v>
      </c>
      <c r="AW14" s="89">
        <v>1.9690000000000001</v>
      </c>
      <c r="AX14" s="88"/>
      <c r="AY14" s="89">
        <v>2.62</v>
      </c>
      <c r="AZ14" s="88"/>
      <c r="BA14" s="89"/>
      <c r="BB14" s="88"/>
      <c r="BC14" s="89"/>
      <c r="BD14" s="88"/>
      <c r="BE14" s="89"/>
      <c r="BF14" s="91"/>
    </row>
    <row r="15" spans="1:58" ht="14.4" x14ac:dyDescent="0.3">
      <c r="A15" s="77">
        <v>6</v>
      </c>
      <c r="B15" s="78">
        <v>7.75</v>
      </c>
      <c r="C15" s="79">
        <v>8.25</v>
      </c>
      <c r="D15" s="80">
        <v>11</v>
      </c>
      <c r="E15" s="81">
        <v>8.8800000000000008</v>
      </c>
      <c r="F15" s="82">
        <v>9.8800000000000008</v>
      </c>
      <c r="G15" s="70">
        <v>10.38</v>
      </c>
      <c r="H15" s="77">
        <v>6</v>
      </c>
      <c r="I15" s="78">
        <v>0.88</v>
      </c>
      <c r="J15" s="79">
        <v>1.25</v>
      </c>
      <c r="K15" s="80">
        <v>2.5</v>
      </c>
      <c r="L15" s="81">
        <v>1.56</v>
      </c>
      <c r="M15" s="82">
        <v>2.06</v>
      </c>
      <c r="N15" s="70">
        <v>2.31</v>
      </c>
      <c r="S15" s="86" t="s">
        <v>158</v>
      </c>
      <c r="T15" s="86" t="s">
        <v>159</v>
      </c>
      <c r="U15" s="86" t="s">
        <v>160</v>
      </c>
      <c r="V15" s="28" t="s">
        <v>161</v>
      </c>
      <c r="AA15" s="92"/>
      <c r="AB15" s="93"/>
      <c r="AC15" s="94"/>
      <c r="AD15" s="93"/>
      <c r="AE15" s="94"/>
      <c r="AF15" s="93"/>
      <c r="AG15" s="94"/>
      <c r="AH15" s="93"/>
      <c r="AI15" s="94"/>
      <c r="AJ15" s="93"/>
      <c r="AK15" s="94"/>
      <c r="AL15" s="93"/>
      <c r="AM15" s="94"/>
      <c r="AN15" s="93"/>
      <c r="AO15" s="94"/>
      <c r="AP15" s="93"/>
      <c r="AQ15" s="94"/>
      <c r="AR15" s="93"/>
      <c r="AS15" s="94">
        <v>1.3120000000000001</v>
      </c>
      <c r="AT15" s="93"/>
      <c r="AU15" s="94"/>
      <c r="AV15" s="93">
        <v>1.7809999999999999</v>
      </c>
      <c r="AW15" s="94"/>
      <c r="AX15" s="93"/>
      <c r="AY15" s="94">
        <v>2.3439999999999999</v>
      </c>
      <c r="AZ15" s="93"/>
      <c r="BA15" s="94"/>
      <c r="BB15" s="93"/>
      <c r="BC15" s="94"/>
      <c r="BD15" s="93"/>
      <c r="BE15" s="94"/>
      <c r="BF15" s="95"/>
    </row>
    <row r="16" spans="1:58" ht="14.4" x14ac:dyDescent="0.3">
      <c r="A16" s="77">
        <v>8</v>
      </c>
      <c r="B16" s="78">
        <v>9.75</v>
      </c>
      <c r="C16" s="79">
        <v>10.5</v>
      </c>
      <c r="D16" s="80">
        <v>13.5</v>
      </c>
      <c r="E16" s="81">
        <v>11</v>
      </c>
      <c r="F16" s="82">
        <v>11.5</v>
      </c>
      <c r="G16" s="70">
        <v>12.12</v>
      </c>
      <c r="H16" s="77">
        <v>8</v>
      </c>
      <c r="I16" s="78">
        <v>0.88</v>
      </c>
      <c r="J16" s="79">
        <v>1.44</v>
      </c>
      <c r="K16" s="80">
        <v>2.75</v>
      </c>
      <c r="L16" s="81">
        <v>1.69</v>
      </c>
      <c r="M16" s="82">
        <v>1.94</v>
      </c>
      <c r="N16" s="70">
        <v>2.25</v>
      </c>
      <c r="S16" s="86" t="s">
        <v>162</v>
      </c>
      <c r="T16" s="86" t="s">
        <v>163</v>
      </c>
      <c r="U16" s="86" t="s">
        <v>164</v>
      </c>
      <c r="V16" s="28" t="s">
        <v>165</v>
      </c>
      <c r="AA16" s="96"/>
      <c r="AB16" s="89"/>
      <c r="AC16" s="89"/>
      <c r="AD16" s="89"/>
      <c r="AE16" s="89"/>
      <c r="AF16" s="89"/>
      <c r="AG16" s="89"/>
      <c r="AH16" s="89"/>
      <c r="AI16" s="89"/>
      <c r="AJ16" s="89"/>
      <c r="AK16" s="89"/>
      <c r="AL16" s="89"/>
      <c r="AM16" s="89"/>
      <c r="AN16" s="94"/>
      <c r="AO16" s="28"/>
    </row>
    <row r="17" spans="1:84" ht="14.4" x14ac:dyDescent="0.3">
      <c r="A17" s="77">
        <v>10</v>
      </c>
      <c r="B17" s="78">
        <v>12</v>
      </c>
      <c r="C17" s="79">
        <v>12.81</v>
      </c>
      <c r="D17" s="80">
        <v>16</v>
      </c>
      <c r="E17" s="81">
        <v>13.5</v>
      </c>
      <c r="F17" s="82">
        <v>14.25</v>
      </c>
      <c r="G17" s="70">
        <v>15.12</v>
      </c>
      <c r="H17" s="77">
        <v>10</v>
      </c>
      <c r="I17" s="78">
        <v>1</v>
      </c>
      <c r="J17" s="79">
        <v>1.63</v>
      </c>
      <c r="K17" s="80">
        <v>3</v>
      </c>
      <c r="L17" s="81">
        <v>1.97</v>
      </c>
      <c r="M17" s="82">
        <v>2.35</v>
      </c>
      <c r="N17" s="70">
        <v>2.78</v>
      </c>
      <c r="S17" s="86" t="s">
        <v>166</v>
      </c>
      <c r="T17" s="86" t="s">
        <v>167</v>
      </c>
      <c r="U17" s="86" t="s">
        <v>168</v>
      </c>
      <c r="V17" s="28" t="s">
        <v>169</v>
      </c>
      <c r="AA17" s="96"/>
      <c r="AB17" s="89"/>
      <c r="AC17" s="89"/>
      <c r="AD17" s="89"/>
      <c r="AE17" s="89"/>
      <c r="AF17" s="89"/>
      <c r="AG17" s="89"/>
      <c r="AH17" s="89"/>
      <c r="AI17" s="89"/>
      <c r="AJ17" s="89"/>
      <c r="AK17" s="89"/>
      <c r="AL17" s="89"/>
      <c r="AM17" s="89"/>
      <c r="AN17" s="94"/>
      <c r="AO17" s="28"/>
    </row>
    <row r="18" spans="1:84" ht="14.4" x14ac:dyDescent="0.3">
      <c r="A18" s="77">
        <v>12</v>
      </c>
      <c r="B18" s="78">
        <v>14.38</v>
      </c>
      <c r="C18" s="79">
        <v>15.56</v>
      </c>
      <c r="D18" s="80">
        <v>19</v>
      </c>
      <c r="E18" s="81">
        <v>16.25</v>
      </c>
      <c r="F18" s="82">
        <v>17.38</v>
      </c>
      <c r="G18" s="70">
        <v>18.25</v>
      </c>
      <c r="H18" s="77">
        <v>12</v>
      </c>
      <c r="I18" s="78">
        <v>1.19</v>
      </c>
      <c r="J18" s="79">
        <v>2.09</v>
      </c>
      <c r="K18" s="80">
        <v>3.5</v>
      </c>
      <c r="L18" s="81">
        <v>2.44</v>
      </c>
      <c r="M18" s="82">
        <v>3</v>
      </c>
      <c r="N18" s="70">
        <v>3.44</v>
      </c>
      <c r="S18" s="86" t="s">
        <v>170</v>
      </c>
      <c r="T18" s="86" t="s">
        <v>171</v>
      </c>
      <c r="U18" s="86" t="s">
        <v>172</v>
      </c>
      <c r="V18" s="28" t="s">
        <v>173</v>
      </c>
      <c r="AA18" s="96"/>
      <c r="AB18" s="89"/>
      <c r="AC18" s="89"/>
      <c r="AD18" s="89"/>
      <c r="AE18" s="89"/>
      <c r="AF18" s="89"/>
      <c r="AG18" s="89"/>
      <c r="AH18" s="89"/>
      <c r="AI18" s="89"/>
      <c r="AJ18" s="89"/>
      <c r="AK18" s="89"/>
      <c r="AL18" s="89"/>
      <c r="AM18" s="89"/>
      <c r="AN18" s="94"/>
      <c r="AO18" s="28"/>
    </row>
    <row r="19" spans="1:84" ht="14.4" x14ac:dyDescent="0.3">
      <c r="A19" s="77">
        <v>14</v>
      </c>
      <c r="B19" s="78">
        <v>16</v>
      </c>
      <c r="C19" s="79">
        <v>17.12</v>
      </c>
      <c r="D19" s="80">
        <v>21</v>
      </c>
      <c r="E19" s="81">
        <v>18.25</v>
      </c>
      <c r="F19" s="82">
        <v>19.38</v>
      </c>
      <c r="G19" s="70">
        <v>20.12</v>
      </c>
      <c r="H19" s="77">
        <v>14</v>
      </c>
      <c r="I19" s="78">
        <v>1</v>
      </c>
      <c r="J19" s="79">
        <v>1.56</v>
      </c>
      <c r="K19" s="80">
        <v>3.5</v>
      </c>
      <c r="L19" s="81">
        <v>2.13</v>
      </c>
      <c r="M19" s="82">
        <v>2.69</v>
      </c>
      <c r="N19" s="70">
        <v>3.06</v>
      </c>
      <c r="S19" s="86" t="s">
        <v>174</v>
      </c>
      <c r="T19" s="86" t="s">
        <v>175</v>
      </c>
      <c r="U19" s="86" t="s">
        <v>176</v>
      </c>
      <c r="V19" s="28" t="s">
        <v>177</v>
      </c>
      <c r="AA19" s="96"/>
      <c r="AB19" s="89"/>
      <c r="AC19" s="89"/>
      <c r="AD19" s="89"/>
      <c r="AE19" s="89"/>
      <c r="AF19" s="89"/>
      <c r="AG19" s="89"/>
      <c r="AH19" s="89"/>
      <c r="AI19" s="89"/>
      <c r="AJ19" s="89"/>
      <c r="AK19" s="89"/>
      <c r="AL19" s="89"/>
      <c r="AM19" s="89"/>
      <c r="AN19" s="94"/>
      <c r="AO19" s="28"/>
    </row>
    <row r="20" spans="1:84" ht="14.4" x14ac:dyDescent="0.3">
      <c r="A20" s="77">
        <v>16</v>
      </c>
      <c r="B20" s="78">
        <v>18</v>
      </c>
      <c r="C20" s="79">
        <v>19.62</v>
      </c>
      <c r="D20" s="80">
        <v>23.5</v>
      </c>
      <c r="E20" s="81">
        <v>20.12</v>
      </c>
      <c r="F20" s="82">
        <v>21</v>
      </c>
      <c r="G20" s="70">
        <v>22.25</v>
      </c>
      <c r="H20" s="77">
        <v>16</v>
      </c>
      <c r="I20" s="78">
        <v>1</v>
      </c>
      <c r="J20" s="79">
        <v>1.81</v>
      </c>
      <c r="K20" s="80">
        <v>3.75</v>
      </c>
      <c r="L20" s="81">
        <v>2.06</v>
      </c>
      <c r="M20" s="82">
        <v>2.5</v>
      </c>
      <c r="N20" s="70">
        <v>3.13</v>
      </c>
      <c r="S20" s="86" t="s">
        <v>178</v>
      </c>
      <c r="T20" s="86" t="s">
        <v>179</v>
      </c>
      <c r="U20" s="86" t="s">
        <v>180</v>
      </c>
      <c r="V20" s="28" t="s">
        <v>181</v>
      </c>
      <c r="AA20" s="96"/>
      <c r="AB20" s="89"/>
      <c r="AC20" s="89"/>
      <c r="AD20" s="89"/>
      <c r="AE20" s="89"/>
      <c r="AF20" s="89"/>
      <c r="AG20" s="89"/>
      <c r="AH20" s="89"/>
      <c r="AI20" s="89"/>
      <c r="AJ20" s="89"/>
      <c r="AK20" s="89"/>
      <c r="AL20" s="89"/>
      <c r="AM20" s="89"/>
      <c r="AN20" s="94"/>
      <c r="AO20" s="28"/>
    </row>
    <row r="21" spans="1:84" ht="15.75" customHeight="1" x14ac:dyDescent="0.3">
      <c r="A21" s="77">
        <v>18</v>
      </c>
      <c r="B21" s="78">
        <v>20</v>
      </c>
      <c r="C21" s="79">
        <v>20.94</v>
      </c>
      <c r="D21" s="80">
        <v>25</v>
      </c>
      <c r="E21" s="81">
        <v>22.25</v>
      </c>
      <c r="F21" s="82">
        <v>23.25</v>
      </c>
      <c r="G21" s="70">
        <v>24.12</v>
      </c>
      <c r="H21" s="77">
        <v>18</v>
      </c>
      <c r="I21" s="78">
        <v>1</v>
      </c>
      <c r="J21" s="79">
        <v>1.47</v>
      </c>
      <c r="K21" s="80">
        <v>3.5</v>
      </c>
      <c r="L21" s="81">
        <v>2.13</v>
      </c>
      <c r="M21" s="82">
        <v>2.63</v>
      </c>
      <c r="N21" s="70">
        <v>3.06</v>
      </c>
      <c r="S21" s="86" t="s">
        <v>182</v>
      </c>
      <c r="T21" s="86" t="s">
        <v>183</v>
      </c>
      <c r="U21" s="86" t="s">
        <v>184</v>
      </c>
      <c r="V21" s="28" t="s">
        <v>185</v>
      </c>
      <c r="AA21" s="96"/>
      <c r="AB21" s="89"/>
      <c r="AC21" s="89"/>
      <c r="AD21" s="89"/>
      <c r="AE21" s="89"/>
      <c r="AF21" s="89"/>
      <c r="AG21" s="89"/>
      <c r="AH21" s="89"/>
      <c r="AI21" s="89"/>
      <c r="AJ21" s="89"/>
      <c r="AK21" s="89"/>
      <c r="AL21" s="89"/>
      <c r="AM21" s="89"/>
      <c r="AN21" s="94"/>
      <c r="AO21" s="28"/>
      <c r="AQ21" s="86">
        <v>8.3000000000000004E-2</v>
      </c>
    </row>
    <row r="22" spans="1:84" ht="15.75" customHeight="1" x14ac:dyDescent="0.3">
      <c r="A22" s="77">
        <v>20</v>
      </c>
      <c r="B22" s="78">
        <v>22</v>
      </c>
      <c r="C22" s="79">
        <v>23.19</v>
      </c>
      <c r="D22" s="80">
        <v>27.5</v>
      </c>
      <c r="E22" s="81">
        <v>24.12</v>
      </c>
      <c r="F22" s="82">
        <v>25</v>
      </c>
      <c r="G22" s="70">
        <v>26.25</v>
      </c>
      <c r="H22" s="77">
        <v>20</v>
      </c>
      <c r="I22" s="78">
        <v>1</v>
      </c>
      <c r="J22" s="79">
        <v>1.6</v>
      </c>
      <c r="K22" s="80">
        <v>3.75</v>
      </c>
      <c r="L22" s="81">
        <v>2.06</v>
      </c>
      <c r="M22" s="82">
        <v>2.5</v>
      </c>
      <c r="N22" s="70">
        <v>3.13</v>
      </c>
      <c r="S22" s="86" t="s">
        <v>186</v>
      </c>
      <c r="T22" s="86" t="s">
        <v>187</v>
      </c>
      <c r="U22" s="86" t="s">
        <v>188</v>
      </c>
      <c r="V22" s="28" t="s">
        <v>189</v>
      </c>
      <c r="AA22" s="96"/>
      <c r="AB22" s="89"/>
      <c r="AC22" s="89"/>
      <c r="AD22" s="89"/>
      <c r="AE22" s="89"/>
      <c r="AF22" s="89"/>
      <c r="AG22" s="89"/>
      <c r="AH22" s="89"/>
      <c r="AI22" s="89"/>
      <c r="AJ22" s="89"/>
      <c r="AK22" s="89"/>
      <c r="AL22" s="89"/>
      <c r="AM22" s="89"/>
      <c r="AN22" s="94"/>
      <c r="AO22" s="28"/>
      <c r="AQ22" s="86">
        <v>0.109</v>
      </c>
    </row>
    <row r="23" spans="1:84" ht="15.75" customHeight="1" x14ac:dyDescent="0.3">
      <c r="A23" s="77">
        <v>24</v>
      </c>
      <c r="B23" s="78">
        <v>26.25</v>
      </c>
      <c r="C23" s="79">
        <v>27.5</v>
      </c>
      <c r="D23" s="80">
        <v>32</v>
      </c>
      <c r="E23" s="81">
        <v>27.75</v>
      </c>
      <c r="F23" s="82">
        <v>29.25</v>
      </c>
      <c r="G23" s="70">
        <v>30.75</v>
      </c>
      <c r="H23" s="77">
        <v>24</v>
      </c>
      <c r="I23" s="78">
        <v>1.1200000000000001</v>
      </c>
      <c r="J23" s="79">
        <v>1.75</v>
      </c>
      <c r="K23" s="80">
        <v>4</v>
      </c>
      <c r="L23" s="81">
        <v>1.88</v>
      </c>
      <c r="M23" s="82">
        <v>2.63</v>
      </c>
      <c r="N23" s="70">
        <v>3.38</v>
      </c>
      <c r="S23" s="86" t="s">
        <v>105</v>
      </c>
      <c r="T23" s="86" t="s">
        <v>190</v>
      </c>
      <c r="U23" s="86" t="s">
        <v>191</v>
      </c>
      <c r="V23" s="28" t="s">
        <v>192</v>
      </c>
      <c r="AA23" s="96"/>
      <c r="AB23" s="89"/>
      <c r="AC23" s="89"/>
      <c r="AD23" s="89"/>
      <c r="AE23" s="89"/>
      <c r="AF23" s="89"/>
      <c r="AG23" s="89"/>
      <c r="AH23" s="89"/>
      <c r="AI23" s="89"/>
      <c r="AJ23" s="89"/>
      <c r="AK23" s="89"/>
      <c r="AL23" s="89"/>
      <c r="AM23" s="89"/>
      <c r="AN23" s="94"/>
      <c r="AO23" s="28"/>
      <c r="AQ23" s="86">
        <v>0.14699999999999999</v>
      </c>
      <c r="BF23" s="97">
        <v>0.125</v>
      </c>
      <c r="BG23" s="98">
        <v>0.40500000000000003</v>
      </c>
      <c r="BH23" s="98">
        <v>6.8000000000000005E-2</v>
      </c>
      <c r="BI23" s="98">
        <v>0.245</v>
      </c>
      <c r="BJ23" s="98">
        <v>9.5000000000000001E-2</v>
      </c>
      <c r="BK23" s="98">
        <v>0.315</v>
      </c>
      <c r="BO23" s="97">
        <v>0.125</v>
      </c>
      <c r="BP23" s="97">
        <v>0.25</v>
      </c>
      <c r="BQ23" s="97">
        <v>0.375</v>
      </c>
      <c r="BR23" s="97">
        <v>0.5</v>
      </c>
      <c r="BS23" s="97">
        <v>0.75</v>
      </c>
      <c r="BT23" s="97">
        <v>1</v>
      </c>
      <c r="BU23" s="97">
        <v>1.25</v>
      </c>
      <c r="BV23" s="97">
        <v>1.5</v>
      </c>
      <c r="BW23" s="97">
        <v>2</v>
      </c>
      <c r="BX23" s="97">
        <v>2.5</v>
      </c>
      <c r="BY23" s="97">
        <v>3</v>
      </c>
      <c r="BZ23" s="97">
        <v>3.5</v>
      </c>
      <c r="CA23" s="97">
        <v>4</v>
      </c>
      <c r="CB23" s="97">
        <v>5</v>
      </c>
      <c r="CC23" s="97">
        <v>6</v>
      </c>
      <c r="CD23" s="97">
        <v>8</v>
      </c>
      <c r="CE23" s="97">
        <v>10</v>
      </c>
      <c r="CF23" s="97">
        <v>12</v>
      </c>
    </row>
    <row r="24" spans="1:84" ht="15.75" customHeight="1" x14ac:dyDescent="0.6">
      <c r="A24" s="175" t="s">
        <v>193</v>
      </c>
      <c r="B24" s="133"/>
      <c r="C24" s="133"/>
      <c r="D24" s="133"/>
      <c r="E24" s="133"/>
      <c r="F24" s="133"/>
      <c r="G24" s="133"/>
      <c r="H24" s="133"/>
      <c r="I24" s="133"/>
      <c r="J24" s="133"/>
      <c r="K24" s="133"/>
      <c r="L24" s="133"/>
      <c r="M24" s="133"/>
      <c r="N24" s="132"/>
      <c r="S24" s="86" t="s">
        <v>109</v>
      </c>
      <c r="T24" s="28" t="s">
        <v>194</v>
      </c>
      <c r="U24" s="86" t="s">
        <v>195</v>
      </c>
      <c r="V24" s="28" t="s">
        <v>196</v>
      </c>
      <c r="AA24" s="96"/>
      <c r="AB24" s="89"/>
      <c r="AC24" s="89"/>
      <c r="AD24" s="89"/>
      <c r="AE24" s="89"/>
      <c r="AF24" s="89"/>
      <c r="AG24" s="89"/>
      <c r="AH24" s="89"/>
      <c r="AI24" s="89"/>
      <c r="AJ24" s="89"/>
      <c r="AK24" s="89"/>
      <c r="AL24" s="89"/>
      <c r="AM24" s="89"/>
      <c r="AN24" s="94"/>
      <c r="AO24" s="28"/>
      <c r="BF24" s="97">
        <v>0.25</v>
      </c>
      <c r="BG24" s="98">
        <v>0.54</v>
      </c>
      <c r="BH24" s="98">
        <v>8.7999999999999995E-2</v>
      </c>
      <c r="BI24" s="98">
        <v>0.42499999999999999</v>
      </c>
      <c r="BJ24" s="98">
        <v>0.11899999999999999</v>
      </c>
      <c r="BK24" s="98">
        <v>0.53500000000000003</v>
      </c>
      <c r="BO24" s="98">
        <v>0.40500000000000003</v>
      </c>
      <c r="BP24" s="98">
        <v>0.54</v>
      </c>
      <c r="BQ24" s="98">
        <v>0.67500000000000004</v>
      </c>
      <c r="BR24" s="98">
        <v>0.84</v>
      </c>
      <c r="BS24" s="98">
        <v>1.05</v>
      </c>
      <c r="BT24" s="98">
        <v>1.3149999999999999</v>
      </c>
      <c r="BU24" s="98">
        <v>1.66</v>
      </c>
      <c r="BV24" s="98">
        <v>1.9</v>
      </c>
      <c r="BW24" s="98">
        <v>2.375</v>
      </c>
      <c r="BX24" s="98">
        <v>2.875</v>
      </c>
      <c r="BY24" s="98">
        <v>3.5</v>
      </c>
      <c r="BZ24" s="98">
        <v>4</v>
      </c>
      <c r="CA24" s="98">
        <v>4.5</v>
      </c>
      <c r="CB24" s="98">
        <v>5.5629999999999997</v>
      </c>
      <c r="CC24" s="98">
        <v>6.625</v>
      </c>
      <c r="CD24" s="98">
        <v>8.625</v>
      </c>
      <c r="CE24" s="98">
        <v>10.75</v>
      </c>
      <c r="CF24" s="98">
        <v>12.75</v>
      </c>
    </row>
    <row r="25" spans="1:84" ht="15.75" customHeight="1" x14ac:dyDescent="0.3">
      <c r="A25" s="70"/>
      <c r="B25" s="176" t="s">
        <v>91</v>
      </c>
      <c r="C25" s="133"/>
      <c r="D25" s="133"/>
      <c r="E25" s="133"/>
      <c r="F25" s="133"/>
      <c r="G25" s="132"/>
      <c r="H25" s="70"/>
      <c r="I25" s="177" t="s">
        <v>92</v>
      </c>
      <c r="J25" s="133"/>
      <c r="K25" s="133"/>
      <c r="L25" s="133"/>
      <c r="M25" s="133"/>
      <c r="N25" s="132"/>
      <c r="S25" s="86" t="s">
        <v>114</v>
      </c>
      <c r="T25" s="28" t="s">
        <v>197</v>
      </c>
      <c r="U25" s="86" t="s">
        <v>198</v>
      </c>
      <c r="V25" s="28" t="s">
        <v>199</v>
      </c>
      <c r="AA25" s="96"/>
      <c r="AB25" s="89"/>
      <c r="AC25" s="89"/>
      <c r="AD25" s="89"/>
      <c r="AE25" s="89"/>
      <c r="AF25" s="89"/>
      <c r="AG25" s="89"/>
      <c r="AH25" s="89"/>
      <c r="AI25" s="89"/>
      <c r="AJ25" s="89"/>
      <c r="AK25" s="89"/>
      <c r="AL25" s="89"/>
      <c r="AM25" s="89"/>
      <c r="AN25" s="94"/>
      <c r="AO25" s="28"/>
      <c r="BF25" s="97">
        <v>0.375</v>
      </c>
      <c r="BG25" s="98">
        <v>0.67500000000000004</v>
      </c>
      <c r="BH25" s="98">
        <v>9.0999999999999998E-2</v>
      </c>
      <c r="BI25" s="98">
        <v>0.56799999999999995</v>
      </c>
      <c r="BJ25" s="98">
        <v>0.126</v>
      </c>
      <c r="BK25" s="98">
        <v>0.73899999999999999</v>
      </c>
      <c r="BO25" s="98">
        <v>6.8000000000000005E-2</v>
      </c>
      <c r="BP25" s="98">
        <v>8.7999999999999995E-2</v>
      </c>
      <c r="BQ25" s="98">
        <v>9.0999999999999998E-2</v>
      </c>
      <c r="BR25" s="98">
        <v>0.109</v>
      </c>
      <c r="BS25" s="98">
        <v>0.113</v>
      </c>
      <c r="BT25" s="98">
        <v>0.13300000000000001</v>
      </c>
      <c r="BU25" s="98">
        <v>0.14000000000000001</v>
      </c>
      <c r="BV25" s="98">
        <v>0.14499999999999999</v>
      </c>
      <c r="BW25" s="98">
        <v>0.154</v>
      </c>
      <c r="BX25" s="98">
        <v>0.20300000000000001</v>
      </c>
      <c r="BY25" s="98">
        <v>0.216</v>
      </c>
      <c r="BZ25" s="98">
        <v>0.22600000000000001</v>
      </c>
      <c r="CA25" s="98">
        <v>0.23699999999999999</v>
      </c>
      <c r="CB25" s="98">
        <v>0.25800000000000001</v>
      </c>
      <c r="CC25" s="98">
        <v>0.28000000000000003</v>
      </c>
      <c r="CD25" s="98">
        <v>0.32200000000000001</v>
      </c>
      <c r="CE25" s="98">
        <v>0.36499999999999999</v>
      </c>
      <c r="CF25" s="98">
        <v>0.375</v>
      </c>
    </row>
    <row r="26" spans="1:84" ht="15.75" customHeight="1" x14ac:dyDescent="0.3">
      <c r="A26" s="77" t="s">
        <v>98</v>
      </c>
      <c r="B26" s="78" t="s">
        <v>99</v>
      </c>
      <c r="C26" s="79" t="s">
        <v>100</v>
      </c>
      <c r="D26" s="80" t="s">
        <v>101</v>
      </c>
      <c r="E26" s="81" t="s">
        <v>102</v>
      </c>
      <c r="F26" s="82" t="s">
        <v>103</v>
      </c>
      <c r="G26" s="70" t="s">
        <v>104</v>
      </c>
      <c r="H26" s="77" t="s">
        <v>98</v>
      </c>
      <c r="I26" s="78" t="s">
        <v>99</v>
      </c>
      <c r="J26" s="79" t="s">
        <v>100</v>
      </c>
      <c r="K26" s="80" t="s">
        <v>101</v>
      </c>
      <c r="L26" s="83" t="s">
        <v>102</v>
      </c>
      <c r="M26" s="84" t="s">
        <v>103</v>
      </c>
      <c r="N26" s="85" t="s">
        <v>104</v>
      </c>
      <c r="S26" s="86" t="s">
        <v>118</v>
      </c>
      <c r="T26" s="28" t="s">
        <v>200</v>
      </c>
      <c r="U26" s="86" t="s">
        <v>201</v>
      </c>
      <c r="V26" s="28" t="s">
        <v>202</v>
      </c>
      <c r="AA26" s="96"/>
      <c r="AB26" s="89"/>
      <c r="AC26" s="89"/>
      <c r="AD26" s="89"/>
      <c r="AE26" s="89"/>
      <c r="AF26" s="89"/>
      <c r="AG26" s="89"/>
      <c r="AH26" s="89"/>
      <c r="AI26" s="89"/>
      <c r="AJ26" s="89"/>
      <c r="AK26" s="89"/>
      <c r="AL26" s="89"/>
      <c r="AM26" s="89"/>
      <c r="AN26" s="94"/>
      <c r="AO26" s="28"/>
      <c r="BF26" s="97">
        <v>0.5</v>
      </c>
      <c r="BG26" s="98">
        <v>0.84</v>
      </c>
      <c r="BH26" s="98">
        <v>0.109</v>
      </c>
      <c r="BI26" s="98">
        <v>0.85099999999999998</v>
      </c>
      <c r="BJ26" s="98">
        <v>0.14699999999999999</v>
      </c>
      <c r="BK26" s="98">
        <v>1.0880000000000001</v>
      </c>
      <c r="BO26" s="98">
        <v>0.245</v>
      </c>
      <c r="BP26" s="98">
        <v>0.42499999999999999</v>
      </c>
      <c r="BQ26" s="98">
        <v>0.56799999999999995</v>
      </c>
      <c r="BR26" s="98">
        <v>0.85099999999999998</v>
      </c>
      <c r="BS26" s="98">
        <v>1.131</v>
      </c>
      <c r="BT26" s="98">
        <v>1.679</v>
      </c>
      <c r="BU26" s="98">
        <v>2.2730000000000001</v>
      </c>
      <c r="BV26" s="98">
        <v>2.718</v>
      </c>
      <c r="BW26" s="98">
        <v>3.653</v>
      </c>
      <c r="BX26" s="98">
        <v>5.7930000000000001</v>
      </c>
      <c r="BY26" s="98">
        <v>7.5759999999999996</v>
      </c>
      <c r="BZ26" s="98">
        <v>9.109</v>
      </c>
      <c r="CA26" s="98">
        <v>10.79</v>
      </c>
      <c r="CB26" s="98">
        <v>14.62</v>
      </c>
      <c r="CC26" s="98">
        <v>18.97</v>
      </c>
      <c r="CD26" s="98">
        <v>28.55</v>
      </c>
      <c r="CE26" s="98">
        <v>40.479999999999997</v>
      </c>
      <c r="CF26" s="98">
        <v>49.56</v>
      </c>
    </row>
    <row r="27" spans="1:84" ht="15.75" customHeight="1" x14ac:dyDescent="0.3">
      <c r="A27" s="77" t="s">
        <v>108</v>
      </c>
      <c r="B27" s="78">
        <v>1.5</v>
      </c>
      <c r="C27" s="79">
        <v>1.75</v>
      </c>
      <c r="D27" s="80">
        <v>3.75</v>
      </c>
      <c r="E27" s="81" t="s">
        <v>65</v>
      </c>
      <c r="F27" s="82" t="s">
        <v>65</v>
      </c>
      <c r="G27" s="70" t="s">
        <v>65</v>
      </c>
      <c r="H27" s="77" t="s">
        <v>108</v>
      </c>
      <c r="I27" s="78">
        <v>0.5</v>
      </c>
      <c r="J27" s="79">
        <v>0.6</v>
      </c>
      <c r="K27" s="80">
        <v>1.63</v>
      </c>
      <c r="L27" s="81" t="s">
        <v>65</v>
      </c>
      <c r="M27" s="82" t="s">
        <v>65</v>
      </c>
      <c r="N27" s="70" t="s">
        <v>65</v>
      </c>
      <c r="S27" s="86" t="s">
        <v>123</v>
      </c>
      <c r="T27" s="28" t="s">
        <v>203</v>
      </c>
      <c r="U27" s="86" t="s">
        <v>204</v>
      </c>
      <c r="V27" s="28" t="s">
        <v>205</v>
      </c>
      <c r="AA27" s="96"/>
      <c r="AB27" s="89"/>
      <c r="AC27" s="89"/>
      <c r="AD27" s="89"/>
      <c r="AE27" s="89"/>
      <c r="AF27" s="89"/>
      <c r="AG27" s="89"/>
      <c r="AH27" s="89"/>
      <c r="AI27" s="89"/>
      <c r="AJ27" s="89"/>
      <c r="AK27" s="89"/>
      <c r="AL27" s="89"/>
      <c r="AM27" s="89"/>
      <c r="AN27" s="94"/>
      <c r="AO27" s="28"/>
      <c r="BF27" s="97">
        <v>0.75</v>
      </c>
      <c r="BG27" s="98">
        <v>1.05</v>
      </c>
      <c r="BH27" s="98">
        <v>0.113</v>
      </c>
      <c r="BI27" s="98">
        <v>1.131</v>
      </c>
      <c r="BJ27" s="98">
        <v>0.154</v>
      </c>
      <c r="BK27" s="98">
        <v>1.474</v>
      </c>
      <c r="BO27" s="98">
        <v>9.5000000000000001E-2</v>
      </c>
      <c r="BP27" s="98">
        <v>0.11899999999999999</v>
      </c>
      <c r="BQ27" s="98">
        <v>0.126</v>
      </c>
      <c r="BR27" s="98">
        <v>0.14699999999999999</v>
      </c>
      <c r="BS27" s="98">
        <v>0.154</v>
      </c>
      <c r="BT27" s="98">
        <v>0.17899999999999999</v>
      </c>
      <c r="BU27" s="98">
        <v>0.191</v>
      </c>
      <c r="BV27" s="98">
        <v>0.2</v>
      </c>
      <c r="BW27" s="98">
        <v>0.218</v>
      </c>
      <c r="BX27" s="98">
        <v>0.27500000000000002</v>
      </c>
      <c r="BY27" s="98">
        <v>0.3</v>
      </c>
      <c r="BZ27" s="98">
        <v>0.318</v>
      </c>
      <c r="CA27" s="98">
        <v>0.33700000000000002</v>
      </c>
      <c r="CB27" s="98">
        <v>0.375</v>
      </c>
      <c r="CC27" s="98">
        <v>0.432</v>
      </c>
      <c r="CD27" s="98">
        <v>0.5</v>
      </c>
      <c r="CE27" s="98">
        <v>0.5</v>
      </c>
      <c r="CF27" s="98">
        <v>0.5</v>
      </c>
    </row>
    <row r="28" spans="1:84" ht="15.75" customHeight="1" x14ac:dyDescent="0.3">
      <c r="A28" s="77" t="s">
        <v>113</v>
      </c>
      <c r="B28" s="78">
        <v>1.88</v>
      </c>
      <c r="C28" s="79">
        <v>2.19</v>
      </c>
      <c r="D28" s="80">
        <v>4.62</v>
      </c>
      <c r="E28" s="81" t="s">
        <v>65</v>
      </c>
      <c r="F28" s="82" t="s">
        <v>65</v>
      </c>
      <c r="G28" s="70" t="s">
        <v>65</v>
      </c>
      <c r="H28" s="77" t="s">
        <v>113</v>
      </c>
      <c r="I28" s="78">
        <v>0.56999999999999995</v>
      </c>
      <c r="J28" s="79">
        <v>0.73</v>
      </c>
      <c r="K28" s="80">
        <v>1.94</v>
      </c>
      <c r="L28" s="81" t="s">
        <v>65</v>
      </c>
      <c r="M28" s="82" t="s">
        <v>65</v>
      </c>
      <c r="N28" s="70" t="s">
        <v>65</v>
      </c>
      <c r="S28" s="86" t="s">
        <v>128</v>
      </c>
      <c r="T28" s="28" t="s">
        <v>206</v>
      </c>
      <c r="U28" s="86" t="s">
        <v>207</v>
      </c>
      <c r="V28" s="28" t="s">
        <v>208</v>
      </c>
      <c r="AA28" s="96"/>
      <c r="AB28" s="89"/>
      <c r="AC28" s="89"/>
      <c r="AD28" s="89"/>
      <c r="AE28" s="89"/>
      <c r="AF28" s="89"/>
      <c r="AG28" s="89"/>
      <c r="AH28" s="89"/>
      <c r="AI28" s="89"/>
      <c r="AJ28" s="89"/>
      <c r="AK28" s="89"/>
      <c r="AL28" s="89"/>
      <c r="AM28" s="89"/>
      <c r="AN28" s="94"/>
      <c r="AO28" s="28"/>
      <c r="AV28" s="99"/>
      <c r="BF28" s="97">
        <v>1</v>
      </c>
      <c r="BG28" s="98">
        <v>1.3149999999999999</v>
      </c>
      <c r="BH28" s="98">
        <v>0.13300000000000001</v>
      </c>
      <c r="BI28" s="98">
        <v>1.679</v>
      </c>
      <c r="BJ28" s="98">
        <v>0.17899999999999999</v>
      </c>
      <c r="BK28" s="98">
        <v>2.1720000000000002</v>
      </c>
      <c r="BO28" s="98">
        <v>0.315</v>
      </c>
      <c r="BP28" s="98">
        <v>0.53500000000000003</v>
      </c>
      <c r="BQ28" s="98">
        <v>0.73899999999999999</v>
      </c>
      <c r="BR28" s="98">
        <v>1.0880000000000001</v>
      </c>
      <c r="BS28" s="98">
        <v>1.474</v>
      </c>
      <c r="BT28" s="98">
        <v>2.1720000000000002</v>
      </c>
      <c r="BU28" s="98">
        <v>2.9969999999999999</v>
      </c>
      <c r="BV28" s="98">
        <v>3.6309999999999998</v>
      </c>
      <c r="BW28" s="98">
        <v>5.0220000000000002</v>
      </c>
      <c r="BX28" s="98">
        <v>7.6609999999999996</v>
      </c>
      <c r="BY28" s="98">
        <v>10.25</v>
      </c>
      <c r="BZ28" s="98">
        <v>12.51</v>
      </c>
      <c r="CA28" s="98">
        <v>14.98</v>
      </c>
      <c r="CB28" s="98">
        <v>20.78</v>
      </c>
      <c r="CC28" s="98">
        <v>28.57</v>
      </c>
      <c r="CD28" s="98">
        <v>43.39</v>
      </c>
      <c r="CE28" s="98">
        <v>54.74</v>
      </c>
      <c r="CF28" s="98">
        <v>65.42</v>
      </c>
    </row>
    <row r="29" spans="1:84" ht="15.75" customHeight="1" x14ac:dyDescent="0.3">
      <c r="A29" s="77">
        <v>1</v>
      </c>
      <c r="B29" s="78">
        <v>2.12</v>
      </c>
      <c r="C29" s="79">
        <v>2.44</v>
      </c>
      <c r="D29" s="80">
        <v>4.88</v>
      </c>
      <c r="E29" s="81">
        <v>2.75</v>
      </c>
      <c r="F29" s="82">
        <v>3.75</v>
      </c>
      <c r="G29" s="70">
        <v>4</v>
      </c>
      <c r="H29" s="77">
        <v>1</v>
      </c>
      <c r="I29" s="78">
        <v>0.56000000000000005</v>
      </c>
      <c r="J29" s="79">
        <v>0.74</v>
      </c>
      <c r="K29" s="80">
        <v>1.94</v>
      </c>
      <c r="L29" s="81">
        <v>0.9</v>
      </c>
      <c r="M29" s="82">
        <v>1.4</v>
      </c>
      <c r="N29" s="70">
        <v>1.52</v>
      </c>
      <c r="S29" s="86" t="s">
        <v>132</v>
      </c>
      <c r="T29" s="28" t="s">
        <v>209</v>
      </c>
      <c r="U29" s="86" t="s">
        <v>210</v>
      </c>
      <c r="V29" s="28" t="s">
        <v>211</v>
      </c>
      <c r="AA29" s="96"/>
      <c r="AB29" s="89"/>
      <c r="AC29" s="89"/>
      <c r="AD29" s="89"/>
      <c r="AE29" s="89"/>
      <c r="AF29" s="89"/>
      <c r="AG29" s="89"/>
      <c r="AH29" s="89"/>
      <c r="AI29" s="89"/>
      <c r="AJ29" s="89"/>
      <c r="AK29" s="89"/>
      <c r="AL29" s="89"/>
      <c r="AM29" s="89"/>
      <c r="AN29" s="94"/>
      <c r="AO29" s="28"/>
      <c r="AQ29" s="100"/>
      <c r="AR29" s="100"/>
      <c r="AS29" s="100"/>
      <c r="AT29" s="100"/>
      <c r="AU29" s="100"/>
      <c r="AV29" s="100"/>
      <c r="AW29" s="100"/>
      <c r="BE29" s="99"/>
      <c r="BF29" s="97">
        <v>1.25</v>
      </c>
      <c r="BG29" s="98">
        <v>1.66</v>
      </c>
      <c r="BH29" s="98">
        <v>0.14000000000000001</v>
      </c>
      <c r="BI29" s="98">
        <v>2.2730000000000001</v>
      </c>
      <c r="BJ29" s="98">
        <v>0.191</v>
      </c>
      <c r="BK29" s="98">
        <v>2.9969999999999999</v>
      </c>
      <c r="BM29" s="9"/>
      <c r="BO29" s="9"/>
    </row>
    <row r="30" spans="1:84" ht="15.75" customHeight="1" x14ac:dyDescent="0.3">
      <c r="A30" s="77" t="s">
        <v>122</v>
      </c>
      <c r="B30" s="78">
        <v>2.5</v>
      </c>
      <c r="C30" s="79">
        <v>2.81</v>
      </c>
      <c r="D30" s="80">
        <v>5.25</v>
      </c>
      <c r="E30" s="81" t="s">
        <v>65</v>
      </c>
      <c r="F30" s="82" t="s">
        <v>65</v>
      </c>
      <c r="G30" s="70" t="s">
        <v>65</v>
      </c>
      <c r="H30" s="77" t="s">
        <v>122</v>
      </c>
      <c r="I30" s="78">
        <v>0.63</v>
      </c>
      <c r="J30" s="79">
        <v>0.77</v>
      </c>
      <c r="K30" s="80">
        <v>2</v>
      </c>
      <c r="L30" s="81" t="s">
        <v>65</v>
      </c>
      <c r="M30" s="82" t="s">
        <v>65</v>
      </c>
      <c r="N30" s="70" t="s">
        <v>65</v>
      </c>
      <c r="S30" s="86" t="s">
        <v>212</v>
      </c>
      <c r="T30" s="28" t="s">
        <v>213</v>
      </c>
      <c r="U30" s="86" t="s">
        <v>214</v>
      </c>
      <c r="V30" s="28" t="s">
        <v>215</v>
      </c>
      <c r="AA30" s="96"/>
      <c r="AB30" s="89"/>
      <c r="AC30" s="89"/>
      <c r="AD30" s="89"/>
      <c r="AE30" s="89"/>
      <c r="AF30" s="89"/>
      <c r="AG30" s="89"/>
      <c r="AH30" s="89"/>
      <c r="AI30" s="89"/>
      <c r="AJ30" s="89"/>
      <c r="AK30" s="89"/>
      <c r="AL30" s="89"/>
      <c r="AM30" s="89"/>
      <c r="AN30" s="94"/>
      <c r="AO30" s="28"/>
      <c r="AV30" s="99"/>
      <c r="BF30" s="97">
        <v>1.5</v>
      </c>
      <c r="BG30" s="98">
        <v>1.9</v>
      </c>
      <c r="BH30" s="98">
        <v>0.14499999999999999</v>
      </c>
      <c r="BI30" s="98">
        <v>2.718</v>
      </c>
      <c r="BJ30" s="98">
        <v>0.2</v>
      </c>
      <c r="BK30" s="98">
        <v>3.6309999999999998</v>
      </c>
    </row>
    <row r="31" spans="1:84" ht="15.75" customHeight="1" x14ac:dyDescent="0.3">
      <c r="A31" s="77" t="s">
        <v>127</v>
      </c>
      <c r="B31" s="78">
        <v>2.75</v>
      </c>
      <c r="C31" s="79">
        <v>3.25</v>
      </c>
      <c r="D31" s="80">
        <v>6.12</v>
      </c>
      <c r="E31" s="81">
        <v>4</v>
      </c>
      <c r="F31" s="82">
        <v>4.62</v>
      </c>
      <c r="G31" s="70">
        <v>5.5</v>
      </c>
      <c r="H31" s="77" t="s">
        <v>127</v>
      </c>
      <c r="I31" s="78">
        <v>0.63</v>
      </c>
      <c r="J31" s="79">
        <v>0.88</v>
      </c>
      <c r="K31" s="80">
        <v>2.31</v>
      </c>
      <c r="L31" s="81">
        <v>1.25</v>
      </c>
      <c r="M31" s="82">
        <v>1.56</v>
      </c>
      <c r="N31" s="70">
        <v>2</v>
      </c>
      <c r="S31" s="86" t="s">
        <v>105</v>
      </c>
      <c r="T31" s="28" t="s">
        <v>216</v>
      </c>
      <c r="U31" s="86" t="s">
        <v>217</v>
      </c>
      <c r="V31" s="28" t="s">
        <v>218</v>
      </c>
      <c r="AA31" s="96"/>
      <c r="AB31" s="89"/>
      <c r="AC31" s="89"/>
      <c r="AD31" s="89"/>
      <c r="AE31" s="89"/>
      <c r="AF31" s="89"/>
      <c r="AG31" s="89"/>
      <c r="AH31" s="89"/>
      <c r="AI31" s="89"/>
      <c r="AJ31" s="89"/>
      <c r="AK31" s="89"/>
      <c r="AL31" s="89"/>
      <c r="AM31" s="89"/>
      <c r="AN31" s="94"/>
      <c r="AO31" s="28"/>
      <c r="AV31" s="99"/>
      <c r="BF31" s="97">
        <v>2</v>
      </c>
      <c r="BG31" s="98">
        <v>2.375</v>
      </c>
      <c r="BH31" s="98">
        <v>0.154</v>
      </c>
      <c r="BI31" s="98">
        <v>3.653</v>
      </c>
      <c r="BJ31" s="98">
        <v>0.218</v>
      </c>
      <c r="BK31" s="98">
        <v>5.0220000000000002</v>
      </c>
    </row>
    <row r="32" spans="1:84" ht="15.75" customHeight="1" x14ac:dyDescent="0.3">
      <c r="A32" s="77">
        <v>2</v>
      </c>
      <c r="B32" s="78">
        <v>3.31</v>
      </c>
      <c r="C32" s="79">
        <v>3.94</v>
      </c>
      <c r="D32" s="80">
        <v>6.5</v>
      </c>
      <c r="E32" s="81">
        <v>4.62</v>
      </c>
      <c r="F32" s="82">
        <v>5.5</v>
      </c>
      <c r="G32" s="70">
        <v>6</v>
      </c>
      <c r="H32" s="77">
        <v>2</v>
      </c>
      <c r="I32" s="78">
        <v>0.66</v>
      </c>
      <c r="J32" s="79">
        <v>1</v>
      </c>
      <c r="K32" s="80">
        <v>2.25</v>
      </c>
      <c r="L32" s="81">
        <v>1.34</v>
      </c>
      <c r="M32" s="82">
        <v>1.78</v>
      </c>
      <c r="N32" s="70">
        <v>2.0299999999999998</v>
      </c>
      <c r="S32" s="86" t="s">
        <v>109</v>
      </c>
      <c r="T32" s="28" t="s">
        <v>219</v>
      </c>
      <c r="U32" s="86" t="s">
        <v>220</v>
      </c>
      <c r="V32" s="28" t="s">
        <v>221</v>
      </c>
      <c r="AA32" s="96"/>
      <c r="AB32" s="89"/>
      <c r="AC32" s="89"/>
      <c r="AD32" s="89"/>
      <c r="AE32" s="89"/>
      <c r="AF32" s="89"/>
      <c r="AG32" s="89"/>
      <c r="AH32" s="89"/>
      <c r="AI32" s="89"/>
      <c r="AJ32" s="89"/>
      <c r="AK32" s="89"/>
      <c r="AL32" s="89"/>
      <c r="AM32" s="89"/>
      <c r="AN32" s="94"/>
      <c r="AO32" s="28"/>
      <c r="BF32" s="97">
        <v>2.5</v>
      </c>
      <c r="BG32" s="98">
        <v>2.875</v>
      </c>
      <c r="BH32" s="98">
        <v>0.20300000000000001</v>
      </c>
      <c r="BI32" s="98">
        <v>5.7930000000000001</v>
      </c>
      <c r="BJ32" s="98">
        <v>0.27500000000000002</v>
      </c>
      <c r="BK32" s="98">
        <v>7.6609999999999996</v>
      </c>
    </row>
    <row r="33" spans="1:63" ht="15.75" customHeight="1" x14ac:dyDescent="0.3">
      <c r="A33" s="77" t="s">
        <v>136</v>
      </c>
      <c r="B33" s="78">
        <v>3.94</v>
      </c>
      <c r="C33" s="79">
        <v>4.62</v>
      </c>
      <c r="D33" s="80">
        <v>7.5</v>
      </c>
      <c r="E33" s="81">
        <v>5.75</v>
      </c>
      <c r="F33" s="82">
        <v>6</v>
      </c>
      <c r="G33" s="70">
        <v>6.38</v>
      </c>
      <c r="H33" s="77" t="s">
        <v>136</v>
      </c>
      <c r="I33" s="78">
        <v>0.72</v>
      </c>
      <c r="J33" s="79">
        <v>1.1499999999999999</v>
      </c>
      <c r="K33" s="80">
        <v>2.5</v>
      </c>
      <c r="L33" s="81">
        <v>1.72</v>
      </c>
      <c r="M33" s="82">
        <v>1.84</v>
      </c>
      <c r="N33" s="70">
        <v>2.0299999999999998</v>
      </c>
      <c r="S33" s="86" t="s">
        <v>114</v>
      </c>
      <c r="T33" s="28" t="s">
        <v>222</v>
      </c>
      <c r="U33" s="86" t="s">
        <v>223</v>
      </c>
      <c r="V33" s="28" t="s">
        <v>224</v>
      </c>
      <c r="AA33" s="101"/>
      <c r="AB33" s="102"/>
      <c r="AC33" s="102"/>
      <c r="AD33" s="102"/>
      <c r="AE33" s="102"/>
      <c r="AF33" s="102"/>
      <c r="AG33" s="102"/>
      <c r="AH33" s="102"/>
      <c r="AI33" s="102"/>
      <c r="AJ33" s="102"/>
      <c r="AK33" s="102"/>
      <c r="AL33" s="102"/>
      <c r="AM33" s="102"/>
      <c r="AN33" s="103"/>
      <c r="AO33" s="28"/>
      <c r="AV33" s="9"/>
      <c r="BF33" s="97">
        <v>3</v>
      </c>
      <c r="BG33" s="98">
        <v>3.5</v>
      </c>
      <c r="BH33" s="98">
        <v>0.216</v>
      </c>
      <c r="BI33" s="98">
        <v>7.5759999999999996</v>
      </c>
      <c r="BJ33" s="98">
        <v>0.3</v>
      </c>
      <c r="BK33" s="98">
        <v>10.25</v>
      </c>
    </row>
    <row r="34" spans="1:63" ht="15.75" customHeight="1" x14ac:dyDescent="0.3">
      <c r="A34" s="77">
        <v>3</v>
      </c>
      <c r="B34" s="78">
        <v>4.62</v>
      </c>
      <c r="C34" s="79">
        <v>5.38</v>
      </c>
      <c r="D34" s="80">
        <v>8.25</v>
      </c>
      <c r="E34" s="81">
        <v>6</v>
      </c>
      <c r="F34" s="82">
        <v>6.38</v>
      </c>
      <c r="G34" s="70">
        <v>7</v>
      </c>
      <c r="H34" s="77">
        <v>3</v>
      </c>
      <c r="I34" s="78">
        <v>0.81</v>
      </c>
      <c r="J34" s="79">
        <v>1.24</v>
      </c>
      <c r="K34" s="80">
        <v>2.63</v>
      </c>
      <c r="L34" s="81">
        <v>1.55</v>
      </c>
      <c r="M34" s="82">
        <v>1.74</v>
      </c>
      <c r="N34" s="70">
        <v>2.0499999999999998</v>
      </c>
      <c r="S34" s="86" t="s">
        <v>118</v>
      </c>
      <c r="T34" s="28" t="s">
        <v>225</v>
      </c>
      <c r="U34" s="86" t="s">
        <v>226</v>
      </c>
      <c r="V34" s="28" t="s">
        <v>227</v>
      </c>
      <c r="AA34" s="104"/>
      <c r="AB34" s="100"/>
      <c r="AC34" s="100"/>
      <c r="AD34" s="100"/>
      <c r="AE34" s="100"/>
      <c r="AF34" s="100"/>
      <c r="AG34" s="100"/>
      <c r="AH34" s="100"/>
      <c r="AI34" s="100"/>
      <c r="AJ34" s="100"/>
      <c r="AK34" s="100"/>
      <c r="AL34" s="100"/>
      <c r="AM34" s="100"/>
      <c r="AN34" s="100"/>
      <c r="AV34" s="9"/>
      <c r="BF34" s="97">
        <v>3.5</v>
      </c>
      <c r="BG34" s="98">
        <v>4</v>
      </c>
      <c r="BH34" s="98">
        <v>0.22600000000000001</v>
      </c>
      <c r="BI34" s="98">
        <v>9.109</v>
      </c>
      <c r="BJ34" s="98">
        <v>0.318</v>
      </c>
      <c r="BK34" s="98">
        <v>12.51</v>
      </c>
    </row>
    <row r="35" spans="1:63" ht="15.75" customHeight="1" x14ac:dyDescent="0.3">
      <c r="A35" s="77" t="s">
        <v>145</v>
      </c>
      <c r="B35" s="78">
        <v>5.25</v>
      </c>
      <c r="C35" s="79">
        <v>6</v>
      </c>
      <c r="D35" s="80">
        <v>9</v>
      </c>
      <c r="E35" s="81">
        <v>7</v>
      </c>
      <c r="F35" s="82">
        <v>7.75</v>
      </c>
      <c r="G35" s="70">
        <v>8.25</v>
      </c>
      <c r="H35" s="77" t="s">
        <v>145</v>
      </c>
      <c r="I35" s="78">
        <v>0.88</v>
      </c>
      <c r="J35" s="79">
        <v>1.32</v>
      </c>
      <c r="K35" s="80">
        <v>2.75</v>
      </c>
      <c r="L35" s="81">
        <v>1.82</v>
      </c>
      <c r="M35" s="82">
        <v>2.2000000000000002</v>
      </c>
      <c r="N35" s="70">
        <v>2.4500000000000002</v>
      </c>
      <c r="S35" s="86" t="s">
        <v>123</v>
      </c>
      <c r="T35" s="28" t="s">
        <v>228</v>
      </c>
      <c r="U35" s="86" t="s">
        <v>229</v>
      </c>
      <c r="V35" s="28" t="s">
        <v>230</v>
      </c>
      <c r="AA35" s="104"/>
      <c r="BF35" s="97">
        <v>4</v>
      </c>
      <c r="BG35" s="98">
        <v>4.5</v>
      </c>
      <c r="BH35" s="98">
        <v>0.23699999999999999</v>
      </c>
      <c r="BI35" s="98">
        <v>10.79</v>
      </c>
      <c r="BJ35" s="98">
        <v>0.33700000000000002</v>
      </c>
      <c r="BK35" s="98">
        <v>14.98</v>
      </c>
    </row>
    <row r="36" spans="1:63" ht="15.75" customHeight="1" x14ac:dyDescent="0.3">
      <c r="A36" s="77">
        <v>4</v>
      </c>
      <c r="B36" s="78">
        <v>5.75</v>
      </c>
      <c r="C36" s="79">
        <v>6.62</v>
      </c>
      <c r="D36" s="80">
        <v>10</v>
      </c>
      <c r="E36" s="81">
        <v>7</v>
      </c>
      <c r="F36" s="82">
        <v>7.75</v>
      </c>
      <c r="G36" s="70">
        <v>8.8800000000000008</v>
      </c>
      <c r="H36" s="77">
        <v>4</v>
      </c>
      <c r="I36" s="78">
        <v>0.88</v>
      </c>
      <c r="J36" s="79">
        <v>1.4</v>
      </c>
      <c r="K36" s="80">
        <v>3</v>
      </c>
      <c r="L36" s="81">
        <v>1.59</v>
      </c>
      <c r="M36" s="82">
        <v>1.96</v>
      </c>
      <c r="N36" s="70">
        <v>2.52</v>
      </c>
      <c r="S36" s="86" t="s">
        <v>128</v>
      </c>
      <c r="T36" s="28" t="s">
        <v>231</v>
      </c>
      <c r="U36" s="86" t="s">
        <v>232</v>
      </c>
      <c r="V36" s="28" t="s">
        <v>233</v>
      </c>
      <c r="AA36" s="104" t="s">
        <v>56</v>
      </c>
      <c r="AC36" s="104"/>
      <c r="AV36" s="9"/>
      <c r="BF36" s="97">
        <v>5</v>
      </c>
      <c r="BG36" s="98">
        <v>5.5629999999999997</v>
      </c>
      <c r="BH36" s="98">
        <v>0.25800000000000001</v>
      </c>
      <c r="BI36" s="98">
        <v>14.62</v>
      </c>
      <c r="BJ36" s="98">
        <v>0.375</v>
      </c>
      <c r="BK36" s="98">
        <v>20.78</v>
      </c>
    </row>
    <row r="37" spans="1:63" ht="15.75" customHeight="1" x14ac:dyDescent="0.3">
      <c r="A37" s="77">
        <v>5</v>
      </c>
      <c r="B37" s="78">
        <v>7</v>
      </c>
      <c r="C37" s="79">
        <v>8</v>
      </c>
      <c r="D37" s="80">
        <v>11</v>
      </c>
      <c r="E37" s="81">
        <v>8.25</v>
      </c>
      <c r="F37" s="82">
        <v>8.8800000000000008</v>
      </c>
      <c r="G37" s="70">
        <v>9.8800000000000008</v>
      </c>
      <c r="H37" s="77">
        <v>5</v>
      </c>
      <c r="I37" s="78">
        <v>1</v>
      </c>
      <c r="J37" s="79">
        <v>1.6</v>
      </c>
      <c r="K37" s="80">
        <v>3</v>
      </c>
      <c r="L37" s="81">
        <v>1.72</v>
      </c>
      <c r="M37" s="82">
        <v>2.04</v>
      </c>
      <c r="N37" s="70">
        <v>2.54</v>
      </c>
      <c r="S37" s="86" t="s">
        <v>132</v>
      </c>
      <c r="T37" s="28" t="s">
        <v>234</v>
      </c>
      <c r="U37" s="86" t="s">
        <v>235</v>
      </c>
      <c r="V37" s="28" t="s">
        <v>236</v>
      </c>
      <c r="AA37" s="104" t="s">
        <v>250</v>
      </c>
      <c r="AC37" s="104"/>
      <c r="BF37" s="97">
        <v>6</v>
      </c>
      <c r="BG37" s="98">
        <v>6.625</v>
      </c>
      <c r="BH37" s="98">
        <v>0.28000000000000003</v>
      </c>
      <c r="BI37" s="98">
        <v>18.97</v>
      </c>
      <c r="BJ37" s="98">
        <v>0.432</v>
      </c>
      <c r="BK37" s="98">
        <v>28.57</v>
      </c>
    </row>
    <row r="38" spans="1:63" ht="15.75" customHeight="1" x14ac:dyDescent="0.3">
      <c r="A38" s="77">
        <v>6</v>
      </c>
      <c r="B38" s="78">
        <v>8.1199999999999992</v>
      </c>
      <c r="C38" s="79">
        <v>9.3800000000000008</v>
      </c>
      <c r="D38" s="80">
        <v>12.5</v>
      </c>
      <c r="E38" s="81">
        <v>9.8800000000000008</v>
      </c>
      <c r="F38" s="82">
        <v>10.38</v>
      </c>
      <c r="G38" s="70">
        <v>11</v>
      </c>
      <c r="H38" s="77">
        <v>6</v>
      </c>
      <c r="I38" s="78">
        <v>1.06</v>
      </c>
      <c r="J38" s="79">
        <v>1.81</v>
      </c>
      <c r="K38" s="80">
        <v>3.25</v>
      </c>
      <c r="L38" s="81">
        <v>2.06</v>
      </c>
      <c r="M38" s="82">
        <v>2.31</v>
      </c>
      <c r="N38" s="70">
        <v>2.62</v>
      </c>
      <c r="S38" s="86" t="s">
        <v>237</v>
      </c>
      <c r="T38" s="28" t="s">
        <v>238</v>
      </c>
      <c r="U38" s="86" t="s">
        <v>239</v>
      </c>
      <c r="V38" s="28" t="s">
        <v>240</v>
      </c>
      <c r="AA38" s="104" t="s">
        <v>74</v>
      </c>
      <c r="AC38" s="104"/>
      <c r="AH38" s="105"/>
      <c r="AV38" s="9"/>
      <c r="BF38" s="97">
        <v>8</v>
      </c>
      <c r="BG38" s="98">
        <v>8.625</v>
      </c>
      <c r="BH38" s="98">
        <v>0.32200000000000001</v>
      </c>
      <c r="BI38" s="98">
        <v>28.55</v>
      </c>
      <c r="BJ38" s="98">
        <v>0.5</v>
      </c>
      <c r="BK38" s="98">
        <v>43.39</v>
      </c>
    </row>
    <row r="39" spans="1:63" ht="15.75" customHeight="1" x14ac:dyDescent="0.3">
      <c r="A39" s="77">
        <v>8</v>
      </c>
      <c r="B39" s="78">
        <v>10.25</v>
      </c>
      <c r="C39" s="79">
        <v>11.56</v>
      </c>
      <c r="D39" s="80">
        <v>15</v>
      </c>
      <c r="E39" s="81">
        <v>12.12</v>
      </c>
      <c r="F39" s="82">
        <v>13.5</v>
      </c>
      <c r="G39" s="70">
        <v>14.25</v>
      </c>
      <c r="H39" s="77">
        <v>8</v>
      </c>
      <c r="I39" s="78">
        <v>1.1299999999999999</v>
      </c>
      <c r="J39" s="79">
        <v>1.97</v>
      </c>
      <c r="K39" s="80">
        <v>3.5</v>
      </c>
      <c r="L39" s="81">
        <v>2.25</v>
      </c>
      <c r="M39" s="82">
        <v>2.94</v>
      </c>
      <c r="N39" s="70">
        <v>3.32</v>
      </c>
      <c r="S39" s="86" t="s">
        <v>105</v>
      </c>
      <c r="T39" s="28" t="s">
        <v>241</v>
      </c>
      <c r="U39" s="86" t="s">
        <v>242</v>
      </c>
      <c r="V39" s="28" t="s">
        <v>243</v>
      </c>
      <c r="AA39" s="104" t="s">
        <v>282</v>
      </c>
      <c r="AC39" s="104"/>
      <c r="BF39" s="97">
        <v>10</v>
      </c>
      <c r="BG39" s="98">
        <v>10.75</v>
      </c>
      <c r="BH39" s="98">
        <v>0.36499999999999999</v>
      </c>
      <c r="BI39" s="98">
        <v>40.479999999999997</v>
      </c>
      <c r="BJ39" s="98">
        <v>0.5</v>
      </c>
      <c r="BK39" s="98">
        <v>54.74</v>
      </c>
    </row>
    <row r="40" spans="1:63" ht="15.75" customHeight="1" x14ac:dyDescent="0.3">
      <c r="A40" s="77">
        <v>10</v>
      </c>
      <c r="B40" s="78">
        <v>12.62</v>
      </c>
      <c r="C40" s="79">
        <v>13.62</v>
      </c>
      <c r="D40" s="80">
        <v>17.5</v>
      </c>
      <c r="E40" s="81">
        <v>14.25</v>
      </c>
      <c r="F40" s="82">
        <v>15.12</v>
      </c>
      <c r="G40" s="70">
        <v>16.25</v>
      </c>
      <c r="H40" s="77">
        <v>10</v>
      </c>
      <c r="I40" s="78">
        <v>1.31</v>
      </c>
      <c r="J40" s="79">
        <v>2.0299999999999998</v>
      </c>
      <c r="K40" s="80">
        <v>3.75</v>
      </c>
      <c r="L40" s="81">
        <v>2.35</v>
      </c>
      <c r="M40" s="82">
        <v>2.78</v>
      </c>
      <c r="N40" s="70">
        <v>3.35</v>
      </c>
      <c r="S40" s="86" t="s">
        <v>109</v>
      </c>
      <c r="T40" s="28" t="s">
        <v>244</v>
      </c>
      <c r="U40" s="86" t="s">
        <v>245</v>
      </c>
      <c r="V40" s="28" t="s">
        <v>246</v>
      </c>
      <c r="AA40" s="104" t="s">
        <v>294</v>
      </c>
      <c r="AC40" s="104"/>
      <c r="BF40" s="97">
        <v>12</v>
      </c>
      <c r="BG40" s="98">
        <v>12.75</v>
      </c>
      <c r="BH40" s="98">
        <v>0.375</v>
      </c>
      <c r="BI40" s="98">
        <v>49.56</v>
      </c>
      <c r="BJ40" s="98">
        <v>0.5</v>
      </c>
      <c r="BK40" s="98">
        <v>65.42</v>
      </c>
    </row>
    <row r="41" spans="1:63" ht="15.75" customHeight="1" x14ac:dyDescent="0.3">
      <c r="A41" s="77">
        <v>12</v>
      </c>
      <c r="B41" s="78">
        <v>14.75</v>
      </c>
      <c r="C41" s="79">
        <v>15.94</v>
      </c>
      <c r="D41" s="80">
        <v>20.5</v>
      </c>
      <c r="E41" s="81">
        <v>16.25</v>
      </c>
      <c r="F41" s="82">
        <v>17.38</v>
      </c>
      <c r="G41" s="70">
        <v>18.25</v>
      </c>
      <c r="H41" s="77">
        <v>12</v>
      </c>
      <c r="I41" s="78">
        <v>1.38</v>
      </c>
      <c r="J41" s="79">
        <v>2.2799999999999998</v>
      </c>
      <c r="K41" s="80">
        <v>4.25</v>
      </c>
      <c r="L41" s="81">
        <v>2.44</v>
      </c>
      <c r="M41" s="82">
        <v>3</v>
      </c>
      <c r="N41" s="70">
        <v>3.44</v>
      </c>
      <c r="S41" s="86" t="s">
        <v>114</v>
      </c>
      <c r="T41" s="28" t="s">
        <v>247</v>
      </c>
      <c r="U41" s="86" t="s">
        <v>248</v>
      </c>
      <c r="V41" s="28" t="s">
        <v>249</v>
      </c>
      <c r="AA41" s="104"/>
      <c r="AC41" s="104"/>
    </row>
    <row r="42" spans="1:63" ht="15.75" customHeight="1" x14ac:dyDescent="0.3">
      <c r="A42" s="77">
        <v>14</v>
      </c>
      <c r="B42" s="78">
        <v>16.75</v>
      </c>
      <c r="C42" s="79">
        <v>18.440000000000001</v>
      </c>
      <c r="D42" s="80">
        <v>23</v>
      </c>
      <c r="E42" s="81">
        <v>19.38</v>
      </c>
      <c r="F42" s="82">
        <v>20.12</v>
      </c>
      <c r="G42" s="70">
        <v>22.25</v>
      </c>
      <c r="H42" s="77">
        <v>14</v>
      </c>
      <c r="I42" s="78">
        <v>1.38</v>
      </c>
      <c r="J42" s="79">
        <v>2.2200000000000002</v>
      </c>
      <c r="K42" s="80">
        <v>4.5</v>
      </c>
      <c r="L42" s="81">
        <v>2.69</v>
      </c>
      <c r="M42" s="82">
        <v>3.06</v>
      </c>
      <c r="N42" s="70">
        <v>4.13</v>
      </c>
      <c r="S42" s="86" t="s">
        <v>118</v>
      </c>
      <c r="T42" s="28" t="s">
        <v>251</v>
      </c>
      <c r="U42" s="86" t="s">
        <v>252</v>
      </c>
      <c r="V42" s="28" t="s">
        <v>253</v>
      </c>
      <c r="AA42" s="104"/>
      <c r="AC42" s="104"/>
    </row>
    <row r="43" spans="1:63" ht="15.75" customHeight="1" x14ac:dyDescent="0.3">
      <c r="A43" s="77">
        <v>16</v>
      </c>
      <c r="B43" s="78">
        <v>19</v>
      </c>
      <c r="C43" s="79">
        <v>20.5</v>
      </c>
      <c r="D43" s="80">
        <v>25.5</v>
      </c>
      <c r="E43" s="81">
        <v>22.25</v>
      </c>
      <c r="F43" s="82">
        <v>23.25</v>
      </c>
      <c r="G43" s="70">
        <v>24.12</v>
      </c>
      <c r="H43" s="77">
        <v>16</v>
      </c>
      <c r="I43" s="78">
        <v>1.5</v>
      </c>
      <c r="J43" s="79">
        <v>2.25</v>
      </c>
      <c r="K43" s="80">
        <v>4.75</v>
      </c>
      <c r="L43" s="81">
        <v>3.13</v>
      </c>
      <c r="M43" s="82">
        <v>3.63</v>
      </c>
      <c r="N43" s="70">
        <v>4.0599999999999996</v>
      </c>
      <c r="S43" s="86" t="s">
        <v>123</v>
      </c>
      <c r="T43" s="86" t="s">
        <v>254</v>
      </c>
      <c r="U43" s="86" t="s">
        <v>255</v>
      </c>
      <c r="V43" s="28" t="s">
        <v>256</v>
      </c>
      <c r="AA43" s="104"/>
      <c r="AC43" s="104"/>
    </row>
    <row r="44" spans="1:63" ht="15.75" customHeight="1" x14ac:dyDescent="0.3">
      <c r="A44" s="77">
        <v>18</v>
      </c>
      <c r="B44" s="78">
        <v>21</v>
      </c>
      <c r="C44" s="79">
        <v>22.75</v>
      </c>
      <c r="D44" s="80">
        <v>28</v>
      </c>
      <c r="E44" s="81">
        <v>24.12</v>
      </c>
      <c r="F44" s="82">
        <v>25.12</v>
      </c>
      <c r="G44" s="70">
        <v>26.75</v>
      </c>
      <c r="H44" s="77">
        <v>18</v>
      </c>
      <c r="I44" s="78">
        <v>1.5</v>
      </c>
      <c r="J44" s="79">
        <v>2.38</v>
      </c>
      <c r="K44" s="80">
        <v>5</v>
      </c>
      <c r="L44" s="81">
        <v>3.06</v>
      </c>
      <c r="M44" s="82">
        <v>3.56</v>
      </c>
      <c r="N44" s="70">
        <v>4.38</v>
      </c>
      <c r="S44" s="86" t="s">
        <v>128</v>
      </c>
      <c r="T44" s="28" t="s">
        <v>257</v>
      </c>
      <c r="U44" s="86" t="s">
        <v>258</v>
      </c>
      <c r="V44" s="28" t="s">
        <v>259</v>
      </c>
      <c r="AA44" s="104"/>
      <c r="AC44" s="104"/>
    </row>
    <row r="45" spans="1:63" ht="15.75" customHeight="1" x14ac:dyDescent="0.3">
      <c r="A45" s="77">
        <v>20</v>
      </c>
      <c r="B45" s="78">
        <v>23.12</v>
      </c>
      <c r="C45" s="79">
        <v>25</v>
      </c>
      <c r="D45" s="80">
        <v>30.5</v>
      </c>
      <c r="E45" s="81">
        <v>26.75</v>
      </c>
      <c r="F45" s="82">
        <v>27.75</v>
      </c>
      <c r="G45" s="70">
        <v>29.25</v>
      </c>
      <c r="H45" s="77">
        <v>20</v>
      </c>
      <c r="I45" s="78">
        <v>1.56</v>
      </c>
      <c r="J45" s="79">
        <v>2.5</v>
      </c>
      <c r="K45" s="80">
        <v>5.25</v>
      </c>
      <c r="L45" s="81">
        <v>3.38</v>
      </c>
      <c r="M45" s="82">
        <v>3.88</v>
      </c>
      <c r="N45" s="70">
        <v>4.63</v>
      </c>
      <c r="S45" s="86" t="s">
        <v>132</v>
      </c>
      <c r="T45" s="28" t="s">
        <v>260</v>
      </c>
      <c r="U45" s="86" t="s">
        <v>261</v>
      </c>
      <c r="V45" s="28" t="s">
        <v>262</v>
      </c>
      <c r="AA45" s="104"/>
      <c r="AC45" s="104"/>
    </row>
    <row r="46" spans="1:63" ht="15.75" customHeight="1" x14ac:dyDescent="0.3">
      <c r="A46" s="77">
        <v>24</v>
      </c>
      <c r="B46" s="78">
        <v>27.62</v>
      </c>
      <c r="C46" s="79">
        <v>29.62</v>
      </c>
      <c r="D46" s="80">
        <v>36</v>
      </c>
      <c r="E46" s="81">
        <v>30.75</v>
      </c>
      <c r="F46" s="82">
        <v>32</v>
      </c>
      <c r="G46" s="70">
        <v>33.619999999999997</v>
      </c>
      <c r="H46" s="77">
        <v>24</v>
      </c>
      <c r="I46" s="78">
        <v>1.81</v>
      </c>
      <c r="J46" s="79">
        <v>2.81</v>
      </c>
      <c r="K46" s="80">
        <v>6</v>
      </c>
      <c r="L46" s="81">
        <v>3.38</v>
      </c>
      <c r="M46" s="82">
        <v>4</v>
      </c>
      <c r="N46" s="70">
        <v>4.8099999999999996</v>
      </c>
      <c r="S46" s="86" t="s">
        <v>137</v>
      </c>
      <c r="T46" s="28" t="s">
        <v>263</v>
      </c>
      <c r="U46" s="86" t="s">
        <v>264</v>
      </c>
      <c r="V46" s="28" t="s">
        <v>265</v>
      </c>
      <c r="AA46" s="104"/>
      <c r="AC46" s="104"/>
    </row>
    <row r="47" spans="1:63" ht="15.75" customHeight="1" x14ac:dyDescent="0.6">
      <c r="A47" s="175" t="s">
        <v>266</v>
      </c>
      <c r="B47" s="133"/>
      <c r="C47" s="133"/>
      <c r="D47" s="133"/>
      <c r="E47" s="133"/>
      <c r="F47" s="133"/>
      <c r="G47" s="133"/>
      <c r="H47" s="133"/>
      <c r="I47" s="133"/>
      <c r="J47" s="133"/>
      <c r="K47" s="133"/>
      <c r="L47" s="133"/>
      <c r="M47" s="133"/>
      <c r="N47" s="132"/>
      <c r="S47" s="86" t="s">
        <v>141</v>
      </c>
      <c r="T47" s="28" t="s">
        <v>267</v>
      </c>
      <c r="U47" s="86" t="s">
        <v>268</v>
      </c>
      <c r="V47" s="28" t="s">
        <v>269</v>
      </c>
      <c r="AA47" s="104"/>
      <c r="AC47" s="104"/>
    </row>
    <row r="48" spans="1:63" ht="15.75" customHeight="1" x14ac:dyDescent="0.3">
      <c r="A48" s="70"/>
      <c r="B48" s="176" t="s">
        <v>91</v>
      </c>
      <c r="C48" s="133"/>
      <c r="D48" s="133"/>
      <c r="E48" s="133"/>
      <c r="F48" s="133"/>
      <c r="G48" s="132"/>
      <c r="H48" s="70"/>
      <c r="I48" s="177" t="s">
        <v>92</v>
      </c>
      <c r="J48" s="133"/>
      <c r="K48" s="133"/>
      <c r="L48" s="133"/>
      <c r="M48" s="133"/>
      <c r="N48" s="132"/>
      <c r="S48" s="86" t="s">
        <v>146</v>
      </c>
      <c r="T48" s="28" t="s">
        <v>270</v>
      </c>
      <c r="U48" s="86" t="s">
        <v>271</v>
      </c>
      <c r="V48" s="28" t="s">
        <v>272</v>
      </c>
      <c r="AA48" s="104"/>
      <c r="AC48" s="104"/>
    </row>
    <row r="49" spans="1:29" ht="15.75" customHeight="1" x14ac:dyDescent="0.3">
      <c r="A49" s="77" t="s">
        <v>98</v>
      </c>
      <c r="B49" s="78" t="s">
        <v>99</v>
      </c>
      <c r="C49" s="79" t="s">
        <v>100</v>
      </c>
      <c r="D49" s="80" t="s">
        <v>101</v>
      </c>
      <c r="E49" s="81" t="s">
        <v>102</v>
      </c>
      <c r="F49" s="82" t="s">
        <v>103</v>
      </c>
      <c r="G49" s="70" t="s">
        <v>104</v>
      </c>
      <c r="H49" s="77" t="s">
        <v>98</v>
      </c>
      <c r="I49" s="78" t="s">
        <v>99</v>
      </c>
      <c r="J49" s="79" t="s">
        <v>100</v>
      </c>
      <c r="K49" s="80" t="s">
        <v>101</v>
      </c>
      <c r="L49" s="83" t="s">
        <v>102</v>
      </c>
      <c r="M49" s="84" t="s">
        <v>103</v>
      </c>
      <c r="N49" s="85" t="s">
        <v>104</v>
      </c>
      <c r="S49" s="86" t="s">
        <v>150</v>
      </c>
      <c r="T49" s="28" t="s">
        <v>273</v>
      </c>
      <c r="U49" s="86" t="s">
        <v>274</v>
      </c>
      <c r="V49" s="28" t="s">
        <v>275</v>
      </c>
      <c r="AA49" s="104"/>
      <c r="AC49" s="104"/>
    </row>
    <row r="50" spans="1:29" ht="15" customHeight="1" x14ac:dyDescent="0.3">
      <c r="A50" s="77" t="s">
        <v>108</v>
      </c>
      <c r="B50" s="78">
        <v>1.5</v>
      </c>
      <c r="C50" s="79">
        <v>1.75</v>
      </c>
      <c r="D50" s="80">
        <v>3.75</v>
      </c>
      <c r="E50" s="81" t="s">
        <v>65</v>
      </c>
      <c r="F50" s="82" t="s">
        <v>65</v>
      </c>
      <c r="G50" s="70" t="s">
        <v>65</v>
      </c>
      <c r="H50" s="77" t="s">
        <v>108</v>
      </c>
      <c r="I50" s="78">
        <v>0.5</v>
      </c>
      <c r="J50" s="79">
        <v>0.6</v>
      </c>
      <c r="K50" s="80">
        <v>1.63</v>
      </c>
      <c r="L50" s="81" t="s">
        <v>65</v>
      </c>
      <c r="M50" s="82" t="s">
        <v>65</v>
      </c>
      <c r="N50" s="70" t="s">
        <v>65</v>
      </c>
      <c r="S50" s="86" t="s">
        <v>154</v>
      </c>
      <c r="T50" s="28" t="s">
        <v>276</v>
      </c>
      <c r="U50" s="86" t="s">
        <v>277</v>
      </c>
      <c r="V50" s="28" t="s">
        <v>278</v>
      </c>
      <c r="AA50" s="104"/>
      <c r="AC50" s="104"/>
    </row>
    <row r="51" spans="1:29" ht="15" customHeight="1" x14ac:dyDescent="0.3">
      <c r="A51" s="77" t="s">
        <v>113</v>
      </c>
      <c r="B51" s="78">
        <v>1.88</v>
      </c>
      <c r="C51" s="79">
        <v>2.19</v>
      </c>
      <c r="D51" s="80">
        <v>4.62</v>
      </c>
      <c r="E51" s="81" t="s">
        <v>65</v>
      </c>
      <c r="F51" s="82" t="s">
        <v>65</v>
      </c>
      <c r="G51" s="70" t="s">
        <v>65</v>
      </c>
      <c r="H51" s="77" t="s">
        <v>113</v>
      </c>
      <c r="I51" s="78">
        <v>0.56999999999999995</v>
      </c>
      <c r="J51" s="79">
        <v>0.73</v>
      </c>
      <c r="K51" s="80">
        <v>1.94</v>
      </c>
      <c r="L51" s="81" t="s">
        <v>65</v>
      </c>
      <c r="M51" s="82" t="s">
        <v>65</v>
      </c>
      <c r="N51" s="70" t="s">
        <v>65</v>
      </c>
      <c r="S51" s="86" t="s">
        <v>158</v>
      </c>
      <c r="T51" s="28" t="s">
        <v>279</v>
      </c>
      <c r="U51" s="86" t="s">
        <v>280</v>
      </c>
      <c r="V51" s="28" t="s">
        <v>281</v>
      </c>
      <c r="AA51" s="104"/>
      <c r="AC51" s="104"/>
    </row>
    <row r="52" spans="1:29" ht="15" customHeight="1" x14ac:dyDescent="0.3">
      <c r="A52" s="77">
        <v>1</v>
      </c>
      <c r="B52" s="78">
        <v>2.12</v>
      </c>
      <c r="C52" s="79">
        <v>2.44</v>
      </c>
      <c r="D52" s="80">
        <v>4.88</v>
      </c>
      <c r="E52" s="81">
        <v>2.75</v>
      </c>
      <c r="F52" s="82">
        <v>3.25</v>
      </c>
      <c r="G52" s="70">
        <v>4</v>
      </c>
      <c r="H52" s="77">
        <v>1</v>
      </c>
      <c r="I52" s="78">
        <v>0.56000000000000005</v>
      </c>
      <c r="J52" s="79">
        <v>0.74</v>
      </c>
      <c r="K52" s="80">
        <v>1.94</v>
      </c>
      <c r="L52" s="81">
        <v>0.9</v>
      </c>
      <c r="M52" s="82">
        <v>1.1499999999999999</v>
      </c>
      <c r="N52" s="70">
        <v>1.52</v>
      </c>
      <c r="S52" s="86" t="s">
        <v>162</v>
      </c>
      <c r="T52" s="28" t="s">
        <v>283</v>
      </c>
      <c r="U52" s="86" t="s">
        <v>284</v>
      </c>
      <c r="V52" s="28" t="s">
        <v>285</v>
      </c>
      <c r="AA52" s="104"/>
      <c r="AC52" s="104"/>
    </row>
    <row r="53" spans="1:29" ht="15" customHeight="1" x14ac:dyDescent="0.3">
      <c r="A53" s="77" t="s">
        <v>122</v>
      </c>
      <c r="B53" s="78">
        <v>2.5</v>
      </c>
      <c r="C53" s="79">
        <v>2.81</v>
      </c>
      <c r="D53" s="80">
        <v>5.25</v>
      </c>
      <c r="E53" s="81" t="s">
        <v>65</v>
      </c>
      <c r="F53" s="82" t="s">
        <v>65</v>
      </c>
      <c r="G53" s="70" t="s">
        <v>65</v>
      </c>
      <c r="H53" s="77" t="s">
        <v>122</v>
      </c>
      <c r="I53" s="78">
        <v>0.63</v>
      </c>
      <c r="J53" s="79">
        <v>0.77</v>
      </c>
      <c r="K53" s="80">
        <v>2</v>
      </c>
      <c r="L53" s="81" t="s">
        <v>65</v>
      </c>
      <c r="M53" s="82" t="s">
        <v>65</v>
      </c>
      <c r="N53" s="70" t="s">
        <v>65</v>
      </c>
      <c r="S53" s="86" t="s">
        <v>166</v>
      </c>
      <c r="T53" s="28" t="s">
        <v>286</v>
      </c>
      <c r="U53" s="86" t="s">
        <v>287</v>
      </c>
      <c r="AA53" s="104"/>
      <c r="AC53" s="104"/>
    </row>
    <row r="54" spans="1:29" ht="15" customHeight="1" x14ac:dyDescent="0.3">
      <c r="A54" s="77" t="s">
        <v>127</v>
      </c>
      <c r="B54" s="78">
        <v>2.75</v>
      </c>
      <c r="C54" s="79">
        <v>3.25</v>
      </c>
      <c r="D54" s="80">
        <v>6.12</v>
      </c>
      <c r="E54" s="81">
        <v>4</v>
      </c>
      <c r="F54" s="82">
        <v>4.62</v>
      </c>
      <c r="G54" s="70">
        <v>5.5</v>
      </c>
      <c r="H54" s="77" t="s">
        <v>127</v>
      </c>
      <c r="I54" s="78">
        <v>0.63</v>
      </c>
      <c r="J54" s="79">
        <v>0.88</v>
      </c>
      <c r="K54" s="80">
        <v>2.31</v>
      </c>
      <c r="L54" s="81">
        <v>1.25</v>
      </c>
      <c r="M54" s="82">
        <v>1.56</v>
      </c>
      <c r="N54" s="70">
        <v>2</v>
      </c>
      <c r="S54" s="86" t="s">
        <v>170</v>
      </c>
      <c r="T54" s="28" t="s">
        <v>288</v>
      </c>
      <c r="U54" s="86" t="s">
        <v>289</v>
      </c>
      <c r="AA54" s="104"/>
      <c r="AC54" s="104"/>
    </row>
    <row r="55" spans="1:29" ht="15" customHeight="1" x14ac:dyDescent="0.3">
      <c r="A55" s="77">
        <v>2</v>
      </c>
      <c r="B55" s="78">
        <v>3.31</v>
      </c>
      <c r="C55" s="79">
        <v>3.94</v>
      </c>
      <c r="D55" s="80">
        <v>6.5</v>
      </c>
      <c r="E55" s="81">
        <v>4.62</v>
      </c>
      <c r="F55" s="82">
        <v>5.5</v>
      </c>
      <c r="G55" s="70">
        <v>6</v>
      </c>
      <c r="H55" s="77">
        <v>2</v>
      </c>
      <c r="I55" s="78">
        <v>0.66</v>
      </c>
      <c r="J55" s="79">
        <v>1</v>
      </c>
      <c r="K55" s="80">
        <v>2.25</v>
      </c>
      <c r="L55" s="81">
        <v>1.34</v>
      </c>
      <c r="M55" s="82">
        <v>1.78</v>
      </c>
      <c r="N55" s="70">
        <v>2.0299999999999998</v>
      </c>
      <c r="S55" s="86" t="s">
        <v>174</v>
      </c>
      <c r="T55" s="28" t="s">
        <v>290</v>
      </c>
      <c r="U55" s="86" t="s">
        <v>291</v>
      </c>
      <c r="AA55" s="104"/>
      <c r="AC55" s="104"/>
    </row>
    <row r="56" spans="1:29" ht="15" customHeight="1" x14ac:dyDescent="0.3">
      <c r="A56" s="77" t="s">
        <v>136</v>
      </c>
      <c r="B56" s="78">
        <v>3.94</v>
      </c>
      <c r="C56" s="79">
        <v>4.62</v>
      </c>
      <c r="D56" s="80">
        <v>7.5</v>
      </c>
      <c r="E56" s="81">
        <v>5.75</v>
      </c>
      <c r="F56" s="82">
        <v>6</v>
      </c>
      <c r="G56" s="70">
        <v>6.38</v>
      </c>
      <c r="H56" s="77" t="s">
        <v>136</v>
      </c>
      <c r="I56" s="78">
        <v>0.72</v>
      </c>
      <c r="J56" s="79">
        <v>1.1499999999999999</v>
      </c>
      <c r="K56" s="80">
        <v>2.5</v>
      </c>
      <c r="L56" s="81">
        <v>1.72</v>
      </c>
      <c r="M56" s="82">
        <v>1.84</v>
      </c>
      <c r="N56" s="70">
        <v>2.0299999999999998</v>
      </c>
      <c r="S56" s="86" t="s">
        <v>178</v>
      </c>
      <c r="T56" s="28" t="s">
        <v>292</v>
      </c>
      <c r="U56" s="86" t="s">
        <v>293</v>
      </c>
      <c r="AA56" s="104"/>
      <c r="AC56" s="104"/>
    </row>
    <row r="57" spans="1:29" ht="15" customHeight="1" x14ac:dyDescent="0.3">
      <c r="A57" s="77">
        <v>3</v>
      </c>
      <c r="B57" s="78">
        <v>4.62</v>
      </c>
      <c r="C57" s="79">
        <v>5.38</v>
      </c>
      <c r="D57" s="80">
        <v>8.25</v>
      </c>
      <c r="E57" s="81">
        <v>6</v>
      </c>
      <c r="F57" s="82">
        <v>6.38</v>
      </c>
      <c r="G57" s="70">
        <v>7</v>
      </c>
      <c r="H57" s="77">
        <v>3</v>
      </c>
      <c r="I57" s="78">
        <v>0.81</v>
      </c>
      <c r="J57" s="79">
        <v>1.24</v>
      </c>
      <c r="K57" s="80">
        <v>2.63</v>
      </c>
      <c r="L57" s="81">
        <v>1.55</v>
      </c>
      <c r="M57" s="82">
        <v>1.74</v>
      </c>
      <c r="N57" s="70">
        <v>2.0499999999999998</v>
      </c>
      <c r="S57" s="86" t="s">
        <v>182</v>
      </c>
      <c r="T57" s="28" t="s">
        <v>295</v>
      </c>
      <c r="U57" s="86" t="s">
        <v>296</v>
      </c>
      <c r="AA57" s="104"/>
      <c r="AC57" s="104"/>
    </row>
    <row r="58" spans="1:29" ht="15" customHeight="1" x14ac:dyDescent="0.3">
      <c r="A58" s="77" t="s">
        <v>145</v>
      </c>
      <c r="B58" s="78">
        <v>5.25</v>
      </c>
      <c r="C58" s="79">
        <v>5.81</v>
      </c>
      <c r="D58" s="80">
        <v>9</v>
      </c>
      <c r="E58" s="81">
        <v>7</v>
      </c>
      <c r="F58" s="82">
        <v>7.75</v>
      </c>
      <c r="G58" s="70">
        <v>8.25</v>
      </c>
      <c r="H58" s="77" t="s">
        <v>145</v>
      </c>
      <c r="I58" s="78">
        <v>0.88</v>
      </c>
      <c r="J58" s="79">
        <v>1.23</v>
      </c>
      <c r="K58" s="80">
        <v>2.75</v>
      </c>
      <c r="L58" s="81">
        <v>1.82</v>
      </c>
      <c r="M58" s="82">
        <v>2.2000000000000002</v>
      </c>
      <c r="N58" s="70">
        <v>2.4500000000000002</v>
      </c>
      <c r="S58" s="28" t="s">
        <v>297</v>
      </c>
      <c r="T58" s="28" t="s">
        <v>298</v>
      </c>
      <c r="U58" s="86" t="s">
        <v>299</v>
      </c>
      <c r="AA58" s="104"/>
      <c r="AC58" s="104"/>
    </row>
    <row r="59" spans="1:29" ht="15" customHeight="1" x14ac:dyDescent="0.3">
      <c r="A59" s="77">
        <v>4</v>
      </c>
      <c r="B59" s="78">
        <v>5.75</v>
      </c>
      <c r="C59" s="79">
        <v>6.44</v>
      </c>
      <c r="D59" s="80">
        <v>10</v>
      </c>
      <c r="E59" s="81">
        <v>7</v>
      </c>
      <c r="F59" s="82">
        <v>7.75</v>
      </c>
      <c r="G59" s="70">
        <v>8.8800000000000008</v>
      </c>
      <c r="H59" s="77">
        <v>4</v>
      </c>
      <c r="I59" s="78">
        <v>0.88</v>
      </c>
      <c r="J59" s="79">
        <v>1.31</v>
      </c>
      <c r="K59" s="80">
        <v>3</v>
      </c>
      <c r="L59" s="81">
        <v>1.59</v>
      </c>
      <c r="M59" s="82">
        <v>1.96</v>
      </c>
      <c r="N59" s="70">
        <v>2.5299999999999998</v>
      </c>
      <c r="S59" s="33" t="s">
        <v>300</v>
      </c>
      <c r="T59" s="28" t="s">
        <v>301</v>
      </c>
      <c r="U59" s="86" t="s">
        <v>302</v>
      </c>
      <c r="AA59" s="104"/>
      <c r="AC59" s="104"/>
    </row>
    <row r="60" spans="1:29" ht="15.75" customHeight="1" x14ac:dyDescent="0.3">
      <c r="A60" s="77">
        <v>5</v>
      </c>
      <c r="B60" s="78">
        <v>7</v>
      </c>
      <c r="C60" s="79">
        <v>7.81</v>
      </c>
      <c r="D60" s="80">
        <v>11</v>
      </c>
      <c r="E60" s="81">
        <v>8.25</v>
      </c>
      <c r="F60" s="82">
        <v>8.8800000000000008</v>
      </c>
      <c r="G60" s="70">
        <v>9.8800000000000008</v>
      </c>
      <c r="H60" s="77">
        <v>5</v>
      </c>
      <c r="I60" s="78">
        <v>1</v>
      </c>
      <c r="J60" s="79">
        <v>1.5</v>
      </c>
      <c r="K60" s="80">
        <v>3</v>
      </c>
      <c r="L60" s="81">
        <v>1.72</v>
      </c>
      <c r="M60" s="82">
        <v>2.04</v>
      </c>
      <c r="N60" s="70">
        <v>2.54</v>
      </c>
      <c r="S60" s="33" t="s">
        <v>303</v>
      </c>
      <c r="T60" s="28" t="s">
        <v>304</v>
      </c>
      <c r="U60" s="86" t="s">
        <v>305</v>
      </c>
      <c r="AA60" s="104"/>
      <c r="AC60" s="104"/>
    </row>
    <row r="61" spans="1:29" ht="15.75" customHeight="1" x14ac:dyDescent="0.3">
      <c r="A61" s="77">
        <v>6</v>
      </c>
      <c r="B61" s="78">
        <v>8.1199999999999992</v>
      </c>
      <c r="C61" s="79">
        <v>9.19</v>
      </c>
      <c r="D61" s="80">
        <v>12.5</v>
      </c>
      <c r="E61" s="81">
        <v>9.8800000000000008</v>
      </c>
      <c r="F61" s="82">
        <v>10.38</v>
      </c>
      <c r="G61" s="70">
        <v>11</v>
      </c>
      <c r="H61" s="77">
        <v>6</v>
      </c>
      <c r="I61" s="78">
        <v>1.06</v>
      </c>
      <c r="J61" s="79">
        <v>1.72</v>
      </c>
      <c r="K61" s="80">
        <v>3.25</v>
      </c>
      <c r="L61" s="81">
        <v>2.06</v>
      </c>
      <c r="M61" s="82">
        <v>2.31</v>
      </c>
      <c r="N61" s="70">
        <v>2.62</v>
      </c>
      <c r="S61" s="33" t="s">
        <v>306</v>
      </c>
      <c r="T61" s="28" t="s">
        <v>307</v>
      </c>
      <c r="U61" s="86" t="s">
        <v>308</v>
      </c>
      <c r="AA61" s="104"/>
    </row>
    <row r="62" spans="1:29" ht="15.75" customHeight="1" x14ac:dyDescent="0.3">
      <c r="A62" s="77">
        <v>8</v>
      </c>
      <c r="B62" s="78">
        <v>10.25</v>
      </c>
      <c r="C62" s="79">
        <v>11.38</v>
      </c>
      <c r="D62" s="80">
        <v>15</v>
      </c>
      <c r="E62" s="81">
        <v>12.12</v>
      </c>
      <c r="F62" s="82">
        <v>13.5</v>
      </c>
      <c r="G62" s="70">
        <v>14.25</v>
      </c>
      <c r="H62" s="77">
        <v>8</v>
      </c>
      <c r="I62" s="78">
        <v>1.1299999999999999</v>
      </c>
      <c r="J62" s="79">
        <v>1.88</v>
      </c>
      <c r="K62" s="80">
        <v>3.5</v>
      </c>
      <c r="L62" s="81">
        <v>2.25</v>
      </c>
      <c r="M62" s="82">
        <v>2.94</v>
      </c>
      <c r="N62" s="70">
        <v>3.31</v>
      </c>
      <c r="S62" s="33" t="s">
        <v>309</v>
      </c>
      <c r="T62" s="28" t="s">
        <v>310</v>
      </c>
      <c r="U62" s="86" t="s">
        <v>311</v>
      </c>
      <c r="AA62" s="104"/>
    </row>
    <row r="63" spans="1:29" ht="15.75" customHeight="1" x14ac:dyDescent="0.3">
      <c r="A63" s="77">
        <v>10</v>
      </c>
      <c r="B63" s="78">
        <v>12.62</v>
      </c>
      <c r="C63" s="79">
        <v>13.44</v>
      </c>
      <c r="D63" s="80">
        <v>17.5</v>
      </c>
      <c r="E63" s="81">
        <v>14.25</v>
      </c>
      <c r="F63" s="82">
        <v>15.12</v>
      </c>
      <c r="G63" s="70">
        <v>16.25</v>
      </c>
      <c r="H63" s="77">
        <v>10</v>
      </c>
      <c r="I63" s="78">
        <v>1.31</v>
      </c>
      <c r="J63" s="79">
        <v>1.94</v>
      </c>
      <c r="K63" s="80">
        <v>3.75</v>
      </c>
      <c r="L63" s="81">
        <v>2.35</v>
      </c>
      <c r="M63" s="82">
        <v>2.78</v>
      </c>
      <c r="N63" s="70">
        <v>3.35</v>
      </c>
      <c r="S63" s="33" t="s">
        <v>312</v>
      </c>
      <c r="U63" s="86" t="s">
        <v>313</v>
      </c>
    </row>
    <row r="64" spans="1:29" ht="15.75" customHeight="1" x14ac:dyDescent="0.3">
      <c r="A64" s="77">
        <v>12</v>
      </c>
      <c r="B64" s="78">
        <v>14.75</v>
      </c>
      <c r="C64" s="79">
        <v>15.75</v>
      </c>
      <c r="D64" s="80">
        <v>20.5</v>
      </c>
      <c r="E64" s="81">
        <v>16.25</v>
      </c>
      <c r="F64" s="82">
        <v>17.38</v>
      </c>
      <c r="G64" s="70">
        <v>18.25</v>
      </c>
      <c r="H64" s="77">
        <v>12</v>
      </c>
      <c r="I64" s="78">
        <v>1.38</v>
      </c>
      <c r="J64" s="79">
        <v>2.19</v>
      </c>
      <c r="K64" s="80">
        <v>4.25</v>
      </c>
      <c r="L64" s="81">
        <v>2.44</v>
      </c>
      <c r="M64" s="82">
        <v>3</v>
      </c>
      <c r="N64" s="70">
        <v>3.44</v>
      </c>
      <c r="S64" s="33" t="s">
        <v>314</v>
      </c>
      <c r="U64" s="86" t="s">
        <v>315</v>
      </c>
    </row>
    <row r="65" spans="1:21" ht="15.75" customHeight="1" x14ac:dyDescent="0.3">
      <c r="A65" s="77">
        <v>14</v>
      </c>
      <c r="B65" s="78">
        <v>16.75</v>
      </c>
      <c r="C65" s="79">
        <v>18.25</v>
      </c>
      <c r="D65" s="80">
        <v>23</v>
      </c>
      <c r="E65" s="81">
        <v>19.38</v>
      </c>
      <c r="F65" s="82">
        <v>20.12</v>
      </c>
      <c r="G65" s="70">
        <v>22.25</v>
      </c>
      <c r="H65" s="77">
        <v>14</v>
      </c>
      <c r="I65" s="78">
        <v>1.38</v>
      </c>
      <c r="J65" s="79">
        <v>2.13</v>
      </c>
      <c r="K65" s="80">
        <v>4.5</v>
      </c>
      <c r="L65" s="81">
        <v>2.69</v>
      </c>
      <c r="M65" s="82">
        <v>3.06</v>
      </c>
      <c r="N65" s="70">
        <v>4.13</v>
      </c>
      <c r="S65" s="33" t="s">
        <v>316</v>
      </c>
      <c r="U65" s="86" t="s">
        <v>317</v>
      </c>
    </row>
    <row r="66" spans="1:21" ht="15.75" customHeight="1" x14ac:dyDescent="0.3">
      <c r="A66" s="77">
        <v>16</v>
      </c>
      <c r="B66" s="78">
        <v>19</v>
      </c>
      <c r="C66" s="79">
        <v>20.309999999999999</v>
      </c>
      <c r="D66" s="80">
        <v>25.5</v>
      </c>
      <c r="E66" s="81">
        <v>22.25</v>
      </c>
      <c r="F66" s="82">
        <v>23.25</v>
      </c>
      <c r="G66" s="70">
        <v>24.12</v>
      </c>
      <c r="H66" s="77">
        <v>16</v>
      </c>
      <c r="I66" s="78">
        <v>1.5</v>
      </c>
      <c r="J66" s="79">
        <v>2.16</v>
      </c>
      <c r="K66" s="80">
        <v>4.75</v>
      </c>
      <c r="L66" s="81">
        <v>3.12</v>
      </c>
      <c r="M66" s="82">
        <v>3.63</v>
      </c>
      <c r="N66" s="70">
        <v>4.0599999999999996</v>
      </c>
      <c r="S66" s="33" t="s">
        <v>318</v>
      </c>
      <c r="U66" s="86" t="s">
        <v>319</v>
      </c>
    </row>
    <row r="67" spans="1:21" ht="15.75" customHeight="1" x14ac:dyDescent="0.3">
      <c r="A67" s="77">
        <v>18</v>
      </c>
      <c r="B67" s="78">
        <v>21</v>
      </c>
      <c r="C67" s="79">
        <v>22.56</v>
      </c>
      <c r="D67" s="80">
        <v>28</v>
      </c>
      <c r="E67" s="81">
        <v>24.12</v>
      </c>
      <c r="F67" s="82">
        <v>25.12</v>
      </c>
      <c r="G67" s="70">
        <v>26.75</v>
      </c>
      <c r="H67" s="77">
        <v>18</v>
      </c>
      <c r="I67" s="78">
        <v>1.5</v>
      </c>
      <c r="J67" s="79">
        <v>2.2799999999999998</v>
      </c>
      <c r="K67" s="80">
        <v>5</v>
      </c>
      <c r="L67" s="81">
        <v>3.06</v>
      </c>
      <c r="M67" s="82">
        <v>3.56</v>
      </c>
      <c r="N67" s="70">
        <v>4.38</v>
      </c>
      <c r="S67" s="34" t="s">
        <v>320</v>
      </c>
      <c r="U67" s="86" t="s">
        <v>321</v>
      </c>
    </row>
    <row r="68" spans="1:21" ht="15.75" customHeight="1" x14ac:dyDescent="0.3">
      <c r="A68" s="77">
        <v>20</v>
      </c>
      <c r="B68" s="78">
        <v>23.12</v>
      </c>
      <c r="C68" s="79">
        <v>24.63</v>
      </c>
      <c r="D68" s="80">
        <v>30.5</v>
      </c>
      <c r="E68" s="81">
        <v>26.75</v>
      </c>
      <c r="F68" s="82">
        <v>27.75</v>
      </c>
      <c r="G68" s="70">
        <v>29.25</v>
      </c>
      <c r="H68" s="77">
        <v>20</v>
      </c>
      <c r="I68" s="78">
        <v>1.56</v>
      </c>
      <c r="J68" s="79">
        <v>2.3199999999999998</v>
      </c>
      <c r="K68" s="80">
        <v>5.25</v>
      </c>
      <c r="L68" s="81">
        <v>3.38</v>
      </c>
      <c r="M68" s="82">
        <v>3.88</v>
      </c>
      <c r="N68" s="70">
        <v>4.63</v>
      </c>
      <c r="S68" s="34" t="s">
        <v>322</v>
      </c>
      <c r="U68" s="86" t="s">
        <v>323</v>
      </c>
    </row>
    <row r="69" spans="1:21" ht="15.75" customHeight="1" x14ac:dyDescent="0.3">
      <c r="A69" s="77">
        <v>24</v>
      </c>
      <c r="B69" s="78">
        <v>27.62</v>
      </c>
      <c r="C69" s="79">
        <v>29.25</v>
      </c>
      <c r="D69" s="80">
        <v>36</v>
      </c>
      <c r="E69" s="81">
        <v>30.75</v>
      </c>
      <c r="F69" s="82">
        <v>32</v>
      </c>
      <c r="G69" s="70">
        <v>33.619999999999997</v>
      </c>
      <c r="H69" s="77">
        <v>24</v>
      </c>
      <c r="I69" s="78">
        <v>1.81</v>
      </c>
      <c r="J69" s="79">
        <v>2.63</v>
      </c>
      <c r="K69" s="80">
        <v>6</v>
      </c>
      <c r="L69" s="81">
        <v>3.38</v>
      </c>
      <c r="M69" s="82">
        <v>4</v>
      </c>
      <c r="N69" s="70">
        <v>4.8099999999999996</v>
      </c>
      <c r="S69" s="34" t="s">
        <v>324</v>
      </c>
      <c r="U69" s="86" t="s">
        <v>325</v>
      </c>
    </row>
    <row r="70" spans="1:21" ht="15.75" customHeight="1" x14ac:dyDescent="0.6">
      <c r="A70" s="175" t="s">
        <v>326</v>
      </c>
      <c r="B70" s="133"/>
      <c r="C70" s="133"/>
      <c r="D70" s="133"/>
      <c r="E70" s="133"/>
      <c r="F70" s="133"/>
      <c r="G70" s="133"/>
      <c r="H70" s="133"/>
      <c r="I70" s="133"/>
      <c r="J70" s="133"/>
      <c r="K70" s="133"/>
      <c r="L70" s="133"/>
      <c r="M70" s="133"/>
      <c r="N70" s="132"/>
      <c r="S70" s="34" t="s">
        <v>327</v>
      </c>
      <c r="U70" s="86" t="s">
        <v>328</v>
      </c>
    </row>
    <row r="71" spans="1:21" ht="15.75" customHeight="1" x14ac:dyDescent="0.3">
      <c r="A71" s="70"/>
      <c r="B71" s="176" t="s">
        <v>91</v>
      </c>
      <c r="C71" s="133"/>
      <c r="D71" s="133"/>
      <c r="E71" s="133"/>
      <c r="F71" s="133"/>
      <c r="G71" s="132"/>
      <c r="H71" s="70"/>
      <c r="I71" s="177" t="s">
        <v>92</v>
      </c>
      <c r="J71" s="133"/>
      <c r="K71" s="133"/>
      <c r="L71" s="133"/>
      <c r="M71" s="133"/>
      <c r="N71" s="132"/>
      <c r="S71" s="33" t="s">
        <v>329</v>
      </c>
      <c r="U71" s="86" t="s">
        <v>330</v>
      </c>
    </row>
    <row r="72" spans="1:21" ht="15.75" customHeight="1" x14ac:dyDescent="0.3">
      <c r="A72" s="77" t="s">
        <v>98</v>
      </c>
      <c r="B72" s="78" t="s">
        <v>99</v>
      </c>
      <c r="C72" s="79" t="s">
        <v>100</v>
      </c>
      <c r="D72" s="80" t="s">
        <v>101</v>
      </c>
      <c r="E72" s="81" t="s">
        <v>102</v>
      </c>
      <c r="F72" s="82" t="s">
        <v>103</v>
      </c>
      <c r="G72" s="70" t="s">
        <v>104</v>
      </c>
      <c r="H72" s="77" t="s">
        <v>98</v>
      </c>
      <c r="I72" s="78" t="s">
        <v>99</v>
      </c>
      <c r="J72" s="79" t="s">
        <v>100</v>
      </c>
      <c r="K72" s="80" t="s">
        <v>101</v>
      </c>
      <c r="L72" s="83" t="s">
        <v>102</v>
      </c>
      <c r="M72" s="84" t="s">
        <v>103</v>
      </c>
      <c r="N72" s="85" t="s">
        <v>104</v>
      </c>
      <c r="S72" s="33" t="s">
        <v>331</v>
      </c>
      <c r="U72" s="86" t="s">
        <v>332</v>
      </c>
    </row>
    <row r="73" spans="1:21" ht="15.75" customHeight="1" x14ac:dyDescent="0.3">
      <c r="A73" s="77" t="s">
        <v>108</v>
      </c>
      <c r="B73" s="78">
        <v>1.5</v>
      </c>
      <c r="C73" s="79">
        <v>1.75</v>
      </c>
      <c r="D73" s="80">
        <v>3.75</v>
      </c>
      <c r="E73" s="81" t="s">
        <v>65</v>
      </c>
      <c r="F73" s="82" t="s">
        <v>65</v>
      </c>
      <c r="G73" s="70" t="s">
        <v>65</v>
      </c>
      <c r="H73" s="77" t="s">
        <v>108</v>
      </c>
      <c r="I73" s="78">
        <v>0.5</v>
      </c>
      <c r="J73" s="79">
        <v>0.6</v>
      </c>
      <c r="K73" s="80">
        <v>1.63</v>
      </c>
      <c r="L73" s="81" t="s">
        <v>65</v>
      </c>
      <c r="M73" s="82" t="s">
        <v>65</v>
      </c>
      <c r="N73" s="70" t="s">
        <v>65</v>
      </c>
      <c r="S73" s="33" t="s">
        <v>333</v>
      </c>
      <c r="U73" s="86" t="s">
        <v>334</v>
      </c>
    </row>
    <row r="74" spans="1:21" ht="15.75" customHeight="1" x14ac:dyDescent="0.3">
      <c r="A74" s="77" t="s">
        <v>113</v>
      </c>
      <c r="B74" s="78">
        <v>1.88</v>
      </c>
      <c r="C74" s="79">
        <v>2.19</v>
      </c>
      <c r="D74" s="80">
        <v>4.62</v>
      </c>
      <c r="E74" s="81" t="s">
        <v>65</v>
      </c>
      <c r="F74" s="82" t="s">
        <v>65</v>
      </c>
      <c r="G74" s="70" t="s">
        <v>65</v>
      </c>
      <c r="H74" s="77" t="s">
        <v>113</v>
      </c>
      <c r="I74" s="78">
        <v>0.56999999999999995</v>
      </c>
      <c r="J74" s="79">
        <v>0.73</v>
      </c>
      <c r="K74" s="80">
        <v>1.94</v>
      </c>
      <c r="L74" s="81" t="s">
        <v>65</v>
      </c>
      <c r="M74" s="82" t="s">
        <v>65</v>
      </c>
      <c r="N74" s="70" t="s">
        <v>65</v>
      </c>
      <c r="S74" s="33" t="s">
        <v>335</v>
      </c>
      <c r="U74" s="86" t="s">
        <v>336</v>
      </c>
    </row>
    <row r="75" spans="1:21" ht="15.75" customHeight="1" x14ac:dyDescent="0.3">
      <c r="A75" s="77">
        <v>1</v>
      </c>
      <c r="B75" s="78">
        <v>2.12</v>
      </c>
      <c r="C75" s="79">
        <v>2.44</v>
      </c>
      <c r="D75" s="80">
        <v>4.88</v>
      </c>
      <c r="E75" s="81">
        <v>3.25</v>
      </c>
      <c r="F75" s="82">
        <v>4</v>
      </c>
      <c r="G75" s="70">
        <v>4.63</v>
      </c>
      <c r="H75" s="77">
        <v>1</v>
      </c>
      <c r="I75" s="78">
        <v>0.56000000000000005</v>
      </c>
      <c r="J75" s="79">
        <v>0.74</v>
      </c>
      <c r="K75" s="80">
        <v>1.94</v>
      </c>
      <c r="L75" s="81">
        <v>1.1499999999999999</v>
      </c>
      <c r="M75" s="82">
        <v>1.52</v>
      </c>
      <c r="N75" s="70">
        <v>1.83</v>
      </c>
      <c r="S75" s="33" t="s">
        <v>337</v>
      </c>
      <c r="U75" s="86" t="s">
        <v>338</v>
      </c>
    </row>
    <row r="76" spans="1:21" ht="15.75" customHeight="1" x14ac:dyDescent="0.3">
      <c r="A76" s="77" t="s">
        <v>122</v>
      </c>
      <c r="B76" s="78">
        <v>2.5</v>
      </c>
      <c r="C76" s="79">
        <v>2.81</v>
      </c>
      <c r="D76" s="80">
        <v>5.25</v>
      </c>
      <c r="E76" s="81" t="s">
        <v>65</v>
      </c>
      <c r="F76" s="82" t="s">
        <v>65</v>
      </c>
      <c r="G76" s="70" t="s">
        <v>65</v>
      </c>
      <c r="H76" s="77" t="s">
        <v>122</v>
      </c>
      <c r="I76" s="78">
        <v>0.63</v>
      </c>
      <c r="J76" s="79">
        <v>0.77</v>
      </c>
      <c r="K76" s="80">
        <v>2</v>
      </c>
      <c r="L76" s="81" t="s">
        <v>65</v>
      </c>
      <c r="M76" s="82" t="s">
        <v>65</v>
      </c>
      <c r="N76" s="70" t="s">
        <v>65</v>
      </c>
      <c r="S76" s="33" t="s">
        <v>339</v>
      </c>
      <c r="U76" s="86" t="s">
        <v>340</v>
      </c>
    </row>
    <row r="77" spans="1:21" ht="15.75" customHeight="1" x14ac:dyDescent="0.3">
      <c r="A77" s="77" t="s">
        <v>127</v>
      </c>
      <c r="B77" s="78">
        <v>2.75</v>
      </c>
      <c r="C77" s="79">
        <v>3.25</v>
      </c>
      <c r="D77" s="80">
        <v>6.12</v>
      </c>
      <c r="E77" s="81">
        <v>4</v>
      </c>
      <c r="F77" s="82">
        <v>4.62</v>
      </c>
      <c r="G77" s="70">
        <v>5.5</v>
      </c>
      <c r="H77" s="77" t="s">
        <v>127</v>
      </c>
      <c r="I77" s="78">
        <v>0.63</v>
      </c>
      <c r="J77" s="79">
        <v>0.88</v>
      </c>
      <c r="K77" s="80">
        <v>2.31</v>
      </c>
      <c r="L77" s="81">
        <v>1.25</v>
      </c>
      <c r="M77" s="82">
        <v>1.56</v>
      </c>
      <c r="N77" s="70">
        <v>2</v>
      </c>
      <c r="S77" s="33" t="s">
        <v>341</v>
      </c>
      <c r="U77" s="86" t="s">
        <v>342</v>
      </c>
    </row>
    <row r="78" spans="1:21" ht="15.75" customHeight="1" x14ac:dyDescent="0.3">
      <c r="A78" s="77">
        <v>2</v>
      </c>
      <c r="B78" s="78">
        <v>3.31</v>
      </c>
      <c r="C78" s="79">
        <v>3.94</v>
      </c>
      <c r="D78" s="80">
        <v>6.5</v>
      </c>
      <c r="E78" s="81">
        <v>4.62</v>
      </c>
      <c r="F78" s="82">
        <v>5.5</v>
      </c>
      <c r="G78" s="70">
        <v>6</v>
      </c>
      <c r="H78" s="77">
        <v>2</v>
      </c>
      <c r="I78" s="78">
        <v>0.66</v>
      </c>
      <c r="J78" s="79">
        <v>1</v>
      </c>
      <c r="K78" s="80">
        <v>2.25</v>
      </c>
      <c r="L78" s="81">
        <v>1.34</v>
      </c>
      <c r="M78" s="82">
        <v>1.78</v>
      </c>
      <c r="N78" s="70">
        <v>2.0299999999999998</v>
      </c>
      <c r="S78" s="33" t="s">
        <v>343</v>
      </c>
      <c r="U78" s="86" t="s">
        <v>344</v>
      </c>
    </row>
    <row r="79" spans="1:21" ht="15.75" customHeight="1" x14ac:dyDescent="0.3">
      <c r="A79" s="77" t="s">
        <v>136</v>
      </c>
      <c r="B79" s="78">
        <v>3.94</v>
      </c>
      <c r="C79" s="79">
        <v>4.62</v>
      </c>
      <c r="D79" s="80">
        <v>7.5</v>
      </c>
      <c r="E79" s="81">
        <v>5.75</v>
      </c>
      <c r="F79" s="82">
        <v>6.38</v>
      </c>
      <c r="G79" s="70">
        <v>7</v>
      </c>
      <c r="H79" s="77" t="s">
        <v>136</v>
      </c>
      <c r="I79" s="78">
        <v>0.72</v>
      </c>
      <c r="J79" s="79">
        <v>1.1499999999999999</v>
      </c>
      <c r="K79" s="80">
        <v>2.5</v>
      </c>
      <c r="L79" s="81">
        <v>1.72</v>
      </c>
      <c r="M79" s="82">
        <v>2.0299999999999998</v>
      </c>
      <c r="N79" s="70">
        <v>2.34</v>
      </c>
      <c r="S79" s="33" t="s">
        <v>345</v>
      </c>
      <c r="U79" s="86" t="s">
        <v>346</v>
      </c>
    </row>
    <row r="80" spans="1:21" ht="15.75" customHeight="1" x14ac:dyDescent="0.3">
      <c r="A80" s="77">
        <v>3</v>
      </c>
      <c r="B80" s="78">
        <v>4.62</v>
      </c>
      <c r="C80" s="79">
        <v>5.38</v>
      </c>
      <c r="D80" s="80">
        <v>8.25</v>
      </c>
      <c r="E80" s="81">
        <v>6.38</v>
      </c>
      <c r="F80" s="82">
        <v>7</v>
      </c>
      <c r="G80" s="70">
        <v>7.75</v>
      </c>
      <c r="H80" s="77">
        <v>3</v>
      </c>
      <c r="I80" s="78">
        <v>0.81</v>
      </c>
      <c r="J80" s="79">
        <v>1.24</v>
      </c>
      <c r="K80" s="80">
        <v>2.63</v>
      </c>
      <c r="L80" s="81">
        <v>1.74</v>
      </c>
      <c r="M80" s="82">
        <v>2.0499999999999998</v>
      </c>
      <c r="N80" s="70">
        <v>2.4300000000000002</v>
      </c>
      <c r="S80" s="33" t="s">
        <v>347</v>
      </c>
      <c r="U80" s="86" t="s">
        <v>348</v>
      </c>
    </row>
    <row r="81" spans="1:59" ht="15.75" customHeight="1" x14ac:dyDescent="0.3">
      <c r="A81" s="77" t="s">
        <v>145</v>
      </c>
      <c r="B81" s="78">
        <v>5.25</v>
      </c>
      <c r="C81" s="79">
        <v>5.81</v>
      </c>
      <c r="D81" s="80">
        <v>9</v>
      </c>
      <c r="E81" s="81">
        <v>7</v>
      </c>
      <c r="F81" s="82">
        <v>7.75</v>
      </c>
      <c r="G81" s="70">
        <v>8.25</v>
      </c>
      <c r="H81" s="77" t="s">
        <v>145</v>
      </c>
      <c r="I81" s="78">
        <v>0.88</v>
      </c>
      <c r="J81" s="79">
        <v>1.23</v>
      </c>
      <c r="K81" s="80">
        <v>2.75</v>
      </c>
      <c r="L81" s="81">
        <v>1.82</v>
      </c>
      <c r="M81" s="82">
        <v>2.2000000000000002</v>
      </c>
      <c r="N81" s="70">
        <v>2.4500000000000002</v>
      </c>
      <c r="S81" s="33" t="s">
        <v>349</v>
      </c>
      <c r="U81" s="86" t="s">
        <v>350</v>
      </c>
    </row>
    <row r="82" spans="1:59" ht="15.75" customHeight="1" x14ac:dyDescent="0.3">
      <c r="A82" s="77">
        <v>4</v>
      </c>
      <c r="B82" s="78">
        <v>6</v>
      </c>
      <c r="C82" s="79">
        <v>7.06</v>
      </c>
      <c r="D82" s="80">
        <v>10.75</v>
      </c>
      <c r="E82" s="81">
        <v>7.75</v>
      </c>
      <c r="F82" s="82">
        <v>8.8800000000000008</v>
      </c>
      <c r="G82" s="70">
        <v>9.8800000000000008</v>
      </c>
      <c r="H82" s="77">
        <v>4</v>
      </c>
      <c r="I82" s="78">
        <v>1</v>
      </c>
      <c r="J82" s="79">
        <v>1.62</v>
      </c>
      <c r="K82" s="80">
        <v>3.38</v>
      </c>
      <c r="L82" s="81">
        <v>1.96</v>
      </c>
      <c r="M82" s="82">
        <v>2.5299999999999998</v>
      </c>
      <c r="N82" s="70">
        <v>3.03</v>
      </c>
      <c r="S82" s="33" t="s">
        <v>351</v>
      </c>
      <c r="U82" s="86" t="s">
        <v>352</v>
      </c>
    </row>
    <row r="83" spans="1:59" ht="15.75" customHeight="1" x14ac:dyDescent="0.3">
      <c r="A83" s="77">
        <v>5</v>
      </c>
      <c r="B83" s="78">
        <v>7.5</v>
      </c>
      <c r="C83" s="79">
        <v>8.8800000000000008</v>
      </c>
      <c r="D83" s="80">
        <v>13</v>
      </c>
      <c r="E83" s="81">
        <v>9.8800000000000008</v>
      </c>
      <c r="F83" s="82">
        <v>11</v>
      </c>
      <c r="G83" s="70">
        <v>12.12</v>
      </c>
      <c r="H83" s="77">
        <v>5</v>
      </c>
      <c r="I83" s="78">
        <v>1.25</v>
      </c>
      <c r="J83" s="79">
        <v>2.04</v>
      </c>
      <c r="K83" s="80">
        <v>4</v>
      </c>
      <c r="L83" s="81">
        <v>2.54</v>
      </c>
      <c r="M83" s="82">
        <v>3.1</v>
      </c>
      <c r="N83" s="70">
        <v>3.66</v>
      </c>
      <c r="S83" s="33" t="s">
        <v>353</v>
      </c>
      <c r="U83" s="86" t="s">
        <v>354</v>
      </c>
    </row>
    <row r="84" spans="1:59" ht="15.75" customHeight="1" x14ac:dyDescent="0.3">
      <c r="A84" s="77">
        <v>6</v>
      </c>
      <c r="B84" s="78">
        <v>8.75</v>
      </c>
      <c r="C84" s="79">
        <v>9.8800000000000008</v>
      </c>
      <c r="D84" s="80">
        <v>14</v>
      </c>
      <c r="E84" s="81">
        <v>11</v>
      </c>
      <c r="F84" s="82">
        <v>12.12</v>
      </c>
      <c r="G84" s="70">
        <v>13.25</v>
      </c>
      <c r="H84" s="77">
        <v>6</v>
      </c>
      <c r="I84" s="78">
        <v>1.38</v>
      </c>
      <c r="J84" s="79">
        <v>2.06</v>
      </c>
      <c r="K84" s="80">
        <v>4</v>
      </c>
      <c r="L84" s="81">
        <v>2.62</v>
      </c>
      <c r="M84" s="82">
        <v>3.18</v>
      </c>
      <c r="N84" s="70">
        <v>3.75</v>
      </c>
      <c r="S84" s="33" t="s">
        <v>355</v>
      </c>
      <c r="U84" s="28" t="s">
        <v>356</v>
      </c>
    </row>
    <row r="85" spans="1:59" ht="15.75" customHeight="1" x14ac:dyDescent="0.3">
      <c r="A85" s="77">
        <v>8</v>
      </c>
      <c r="B85" s="78">
        <v>10.75</v>
      </c>
      <c r="C85" s="79">
        <v>11.94</v>
      </c>
      <c r="D85" s="80">
        <v>16.5</v>
      </c>
      <c r="E85" s="81">
        <v>13.25</v>
      </c>
      <c r="F85" s="82">
        <v>15.12</v>
      </c>
      <c r="G85" s="70">
        <v>16</v>
      </c>
      <c r="H85" s="77">
        <v>8</v>
      </c>
      <c r="I85" s="78">
        <v>1.38</v>
      </c>
      <c r="J85" s="79">
        <v>2.16</v>
      </c>
      <c r="K85" s="80">
        <v>4.25</v>
      </c>
      <c r="L85" s="81">
        <v>2.82</v>
      </c>
      <c r="M85" s="82">
        <v>3.75</v>
      </c>
      <c r="N85" s="70">
        <v>4.1900000000000004</v>
      </c>
      <c r="S85" s="33" t="s">
        <v>357</v>
      </c>
      <c r="U85" s="86" t="s">
        <v>358</v>
      </c>
    </row>
    <row r="86" spans="1:59" ht="15.75" customHeight="1" x14ac:dyDescent="0.3">
      <c r="A86" s="77">
        <v>10</v>
      </c>
      <c r="B86" s="78">
        <v>13.5</v>
      </c>
      <c r="C86" s="79">
        <v>15</v>
      </c>
      <c r="D86" s="80">
        <v>20</v>
      </c>
      <c r="E86" s="81">
        <v>16.25</v>
      </c>
      <c r="F86" s="82">
        <v>17.38</v>
      </c>
      <c r="G86" s="70">
        <v>18.25</v>
      </c>
      <c r="H86" s="77">
        <v>10</v>
      </c>
      <c r="I86" s="78">
        <v>1.75</v>
      </c>
      <c r="J86" s="79">
        <v>2.72</v>
      </c>
      <c r="K86" s="80">
        <v>5</v>
      </c>
      <c r="L86" s="81">
        <v>3.35</v>
      </c>
      <c r="M86" s="82">
        <v>3.91</v>
      </c>
      <c r="N86" s="70">
        <v>4.3499999999999996</v>
      </c>
      <c r="S86" s="33" t="s">
        <v>359</v>
      </c>
      <c r="U86" s="86" t="s">
        <v>360</v>
      </c>
      <c r="AB86" s="71" t="s">
        <v>97</v>
      </c>
      <c r="AC86" s="106">
        <v>0.40500000000000003</v>
      </c>
      <c r="AD86" s="96">
        <v>0.54</v>
      </c>
      <c r="AE86" s="106">
        <v>0.67500000000000004</v>
      </c>
      <c r="AF86" s="96">
        <v>0.84</v>
      </c>
      <c r="AG86" s="106">
        <v>1.5</v>
      </c>
      <c r="AH86" s="96">
        <v>1.3149999999999999</v>
      </c>
      <c r="AI86" s="106">
        <v>1.66</v>
      </c>
      <c r="AJ86" s="96">
        <v>1.9</v>
      </c>
      <c r="AK86" s="106">
        <v>2.375</v>
      </c>
      <c r="AL86" s="96">
        <v>2.875</v>
      </c>
      <c r="AM86" s="106">
        <v>3.5</v>
      </c>
      <c r="AN86" s="96">
        <v>4</v>
      </c>
      <c r="AO86" s="106">
        <v>4.5</v>
      </c>
      <c r="AP86" s="96">
        <v>5.5629999999999997</v>
      </c>
      <c r="AQ86" s="106">
        <v>6.625</v>
      </c>
      <c r="AR86" s="96">
        <v>8.625</v>
      </c>
      <c r="AS86" s="106">
        <v>10.75</v>
      </c>
      <c r="AT86" s="96">
        <v>12.75</v>
      </c>
      <c r="AU86" s="106">
        <v>14</v>
      </c>
      <c r="AV86" s="96">
        <v>16</v>
      </c>
      <c r="AW86" s="106">
        <v>18</v>
      </c>
      <c r="AX86" s="96">
        <v>20</v>
      </c>
      <c r="AY86" s="106">
        <v>22</v>
      </c>
      <c r="AZ86" s="96">
        <v>24</v>
      </c>
      <c r="BA86" s="106">
        <v>26</v>
      </c>
      <c r="BB86" s="96">
        <v>28</v>
      </c>
      <c r="BC86" s="106">
        <v>30</v>
      </c>
      <c r="BD86" s="96">
        <v>32</v>
      </c>
      <c r="BE86" s="106">
        <v>34</v>
      </c>
      <c r="BF86" s="96">
        <v>36</v>
      </c>
      <c r="BG86" s="107">
        <v>42</v>
      </c>
    </row>
    <row r="87" spans="1:59" ht="15.75" customHeight="1" x14ac:dyDescent="0.3">
      <c r="A87" s="77">
        <v>12</v>
      </c>
      <c r="B87" s="78">
        <v>15.75</v>
      </c>
      <c r="C87" s="79">
        <v>17.25</v>
      </c>
      <c r="D87" s="80">
        <v>22</v>
      </c>
      <c r="E87" s="81">
        <v>18.25</v>
      </c>
      <c r="F87" s="82">
        <v>19.38</v>
      </c>
      <c r="G87" s="70">
        <v>20.12</v>
      </c>
      <c r="H87" s="77">
        <v>12</v>
      </c>
      <c r="I87" s="78">
        <v>1.88</v>
      </c>
      <c r="J87" s="79">
        <v>2.94</v>
      </c>
      <c r="K87" s="80">
        <v>5</v>
      </c>
      <c r="L87" s="81">
        <v>3.44</v>
      </c>
      <c r="M87" s="82">
        <v>4</v>
      </c>
      <c r="N87" s="70">
        <v>4.37</v>
      </c>
      <c r="S87" s="33" t="s">
        <v>361</v>
      </c>
      <c r="U87" s="86" t="s">
        <v>362</v>
      </c>
      <c r="AB87" s="87"/>
      <c r="AC87" s="88">
        <v>0.49</v>
      </c>
      <c r="AD87" s="89">
        <v>0.65</v>
      </c>
      <c r="AE87" s="88">
        <v>0.65</v>
      </c>
      <c r="AF87" s="89">
        <v>0.65</v>
      </c>
      <c r="AG87" s="88">
        <v>0.65</v>
      </c>
      <c r="AH87" s="89">
        <v>0.65</v>
      </c>
      <c r="AI87" s="88">
        <v>0.65</v>
      </c>
      <c r="AJ87" s="89">
        <v>0.65</v>
      </c>
      <c r="AK87" s="88">
        <v>0.85</v>
      </c>
      <c r="AL87" s="89">
        <v>0.83</v>
      </c>
      <c r="AM87" s="88">
        <v>0.83</v>
      </c>
      <c r="AN87" s="89">
        <v>0.83</v>
      </c>
      <c r="AO87" s="88">
        <v>0.83</v>
      </c>
      <c r="AP87" s="89">
        <v>0.109</v>
      </c>
      <c r="AQ87" s="88">
        <v>0.109</v>
      </c>
      <c r="AR87" s="89">
        <v>0.109</v>
      </c>
      <c r="AS87" s="88">
        <v>0.13400000000000001</v>
      </c>
      <c r="AT87" s="89">
        <v>0.156</v>
      </c>
      <c r="AU87" s="88">
        <v>0.156</v>
      </c>
      <c r="AV87" s="89">
        <v>0.16500000000000001</v>
      </c>
      <c r="AW87" s="88">
        <v>0.16500000000000001</v>
      </c>
      <c r="AX87" s="89">
        <v>0.188</v>
      </c>
      <c r="AY87" s="88">
        <v>0.188</v>
      </c>
      <c r="AZ87" s="89">
        <v>0.218</v>
      </c>
      <c r="BA87" s="88">
        <v>0.312</v>
      </c>
      <c r="BB87" s="89">
        <v>0.312</v>
      </c>
      <c r="BC87" s="88">
        <v>0.25</v>
      </c>
      <c r="BD87" s="89">
        <v>0.312</v>
      </c>
      <c r="BE87" s="88">
        <v>0.312</v>
      </c>
      <c r="BF87" s="89">
        <v>0.312</v>
      </c>
      <c r="BG87" s="91">
        <v>0.375</v>
      </c>
    </row>
    <row r="88" spans="1:59" ht="15.75" customHeight="1" x14ac:dyDescent="0.3">
      <c r="A88" s="77">
        <v>14</v>
      </c>
      <c r="B88" s="78">
        <v>17</v>
      </c>
      <c r="C88" s="79">
        <v>18.559999999999999</v>
      </c>
      <c r="D88" s="80">
        <v>23.75</v>
      </c>
      <c r="E88" s="81">
        <v>19.38</v>
      </c>
      <c r="F88" s="82">
        <v>20.12</v>
      </c>
      <c r="G88" s="70">
        <v>22.25</v>
      </c>
      <c r="H88" s="77">
        <v>14</v>
      </c>
      <c r="I88" s="78">
        <v>1.5</v>
      </c>
      <c r="J88" s="79">
        <v>2.2799999999999998</v>
      </c>
      <c r="K88" s="80">
        <v>4.88</v>
      </c>
      <c r="L88" s="81">
        <v>2.69</v>
      </c>
      <c r="M88" s="82">
        <v>3.06</v>
      </c>
      <c r="N88" s="70">
        <v>4.13</v>
      </c>
      <c r="S88" s="33" t="s">
        <v>363</v>
      </c>
      <c r="U88" s="86" t="s">
        <v>364</v>
      </c>
      <c r="AB88" s="87"/>
      <c r="AC88" s="88">
        <v>0.68</v>
      </c>
      <c r="AD88" s="89">
        <v>0.88</v>
      </c>
      <c r="AE88" s="88">
        <v>0.91</v>
      </c>
      <c r="AF88" s="89">
        <v>0.83</v>
      </c>
      <c r="AG88" s="88">
        <v>0.83</v>
      </c>
      <c r="AH88" s="89">
        <v>0.109</v>
      </c>
      <c r="AI88" s="88">
        <v>0.109</v>
      </c>
      <c r="AJ88" s="89">
        <v>0.109</v>
      </c>
      <c r="AK88" s="88">
        <v>0.109</v>
      </c>
      <c r="AL88" s="89">
        <v>0.12</v>
      </c>
      <c r="AM88" s="88">
        <v>0.12</v>
      </c>
      <c r="AN88" s="89">
        <v>0.12</v>
      </c>
      <c r="AO88" s="88">
        <v>0.12</v>
      </c>
      <c r="AP88" s="89">
        <v>0.13400000000000001</v>
      </c>
      <c r="AQ88" s="88">
        <v>0.13400000000000001</v>
      </c>
      <c r="AR88" s="89">
        <v>0.14799999999999999</v>
      </c>
      <c r="AS88" s="88">
        <v>0.16500000000000001</v>
      </c>
      <c r="AT88" s="89">
        <v>0.188</v>
      </c>
      <c r="AU88" s="88">
        <v>0.188</v>
      </c>
      <c r="AV88" s="89">
        <v>0.25</v>
      </c>
      <c r="AW88" s="88">
        <v>0.25</v>
      </c>
      <c r="AX88" s="89">
        <v>0.25</v>
      </c>
      <c r="AY88" s="88">
        <v>0.25</v>
      </c>
      <c r="AZ88" s="89">
        <v>0.25</v>
      </c>
      <c r="BA88" s="88">
        <v>0.5</v>
      </c>
      <c r="BB88" s="89">
        <v>0.5</v>
      </c>
      <c r="BC88" s="88">
        <v>0.312</v>
      </c>
      <c r="BD88" s="89">
        <v>0.5</v>
      </c>
      <c r="BE88" s="88">
        <v>0.5</v>
      </c>
      <c r="BF88" s="89">
        <v>0.5</v>
      </c>
      <c r="BG88" s="91">
        <v>0.5</v>
      </c>
    </row>
    <row r="89" spans="1:59" ht="15.75" customHeight="1" x14ac:dyDescent="0.3">
      <c r="A89" s="77">
        <v>16</v>
      </c>
      <c r="B89" s="78">
        <v>19.5</v>
      </c>
      <c r="C89" s="79">
        <v>21.38</v>
      </c>
      <c r="D89" s="80">
        <v>27</v>
      </c>
      <c r="E89" s="81">
        <v>23.25</v>
      </c>
      <c r="F89" s="82">
        <v>24.12</v>
      </c>
      <c r="G89" s="70">
        <v>25</v>
      </c>
      <c r="H89" s="77">
        <v>16</v>
      </c>
      <c r="I89" s="78">
        <v>1.75</v>
      </c>
      <c r="J89" s="79">
        <v>2.69</v>
      </c>
      <c r="K89" s="80">
        <v>5.5</v>
      </c>
      <c r="L89" s="81">
        <v>3.63</v>
      </c>
      <c r="M89" s="82">
        <v>4.0599999999999996</v>
      </c>
      <c r="N89" s="70">
        <v>4.5</v>
      </c>
      <c r="S89" s="33" t="s">
        <v>365</v>
      </c>
      <c r="U89" s="86" t="s">
        <v>366</v>
      </c>
      <c r="AB89" s="87"/>
      <c r="AC89" s="88">
        <v>0.95</v>
      </c>
      <c r="AD89" s="89">
        <v>0.11899999999999999</v>
      </c>
      <c r="AE89" s="88">
        <v>0.126</v>
      </c>
      <c r="AF89" s="89">
        <v>0.109</v>
      </c>
      <c r="AG89" s="88">
        <v>0.113</v>
      </c>
      <c r="AH89" s="89">
        <v>0.13300000000000001</v>
      </c>
      <c r="AI89" s="88">
        <v>0.14000000000000001</v>
      </c>
      <c r="AJ89" s="89">
        <v>0.14499999999999999</v>
      </c>
      <c r="AK89" s="88">
        <v>0.154</v>
      </c>
      <c r="AL89" s="89">
        <v>0.20300000000000001</v>
      </c>
      <c r="AM89" s="88">
        <v>0.216</v>
      </c>
      <c r="AN89" s="89">
        <v>0.22600000000000001</v>
      </c>
      <c r="AO89" s="88">
        <v>0.23699999999999999</v>
      </c>
      <c r="AP89" s="89">
        <v>0.25800000000000001</v>
      </c>
      <c r="AQ89" s="88">
        <v>0.28000000000000003</v>
      </c>
      <c r="AR89" s="89">
        <v>0.25</v>
      </c>
      <c r="AS89" s="88">
        <v>0.25</v>
      </c>
      <c r="AT89" s="89">
        <v>0.25</v>
      </c>
      <c r="AU89" s="88">
        <v>0.312</v>
      </c>
      <c r="AV89" s="89">
        <v>0.312</v>
      </c>
      <c r="AW89" s="88">
        <v>0.312</v>
      </c>
      <c r="AX89" s="89">
        <v>0.375</v>
      </c>
      <c r="AY89" s="88">
        <v>0.375</v>
      </c>
      <c r="AZ89" s="89">
        <v>0.375</v>
      </c>
      <c r="BA89" s="88">
        <v>0.375</v>
      </c>
      <c r="BB89" s="89">
        <v>0.625</v>
      </c>
      <c r="BC89" s="88">
        <v>0.5</v>
      </c>
      <c r="BD89" s="89">
        <v>0.625</v>
      </c>
      <c r="BE89" s="88">
        <v>0.625</v>
      </c>
      <c r="BF89" s="89">
        <v>0.625</v>
      </c>
      <c r="BG89" s="91"/>
    </row>
    <row r="90" spans="1:59" ht="15.75" customHeight="1" x14ac:dyDescent="0.3">
      <c r="A90" s="77">
        <v>18</v>
      </c>
      <c r="B90" s="78">
        <v>21.5</v>
      </c>
      <c r="C90" s="79">
        <v>23.19</v>
      </c>
      <c r="D90" s="80">
        <v>29.25</v>
      </c>
      <c r="E90" s="81">
        <v>24.12</v>
      </c>
      <c r="F90" s="82">
        <v>26.25</v>
      </c>
      <c r="G90" s="70">
        <v>27.75</v>
      </c>
      <c r="H90" s="77">
        <v>18</v>
      </c>
      <c r="I90" s="78">
        <v>1.75</v>
      </c>
      <c r="J90" s="79">
        <v>2.6</v>
      </c>
      <c r="K90" s="80">
        <v>5.63</v>
      </c>
      <c r="L90" s="81">
        <v>3.06</v>
      </c>
      <c r="M90" s="82">
        <v>4.13</v>
      </c>
      <c r="N90" s="70">
        <v>4.88</v>
      </c>
      <c r="S90" s="33" t="s">
        <v>367</v>
      </c>
      <c r="U90" s="86" t="s">
        <v>368</v>
      </c>
      <c r="AB90" s="87"/>
      <c r="AC90" s="88"/>
      <c r="AD90" s="89"/>
      <c r="AE90" s="88"/>
      <c r="AF90" s="89">
        <v>0.14699999999999999</v>
      </c>
      <c r="AG90" s="88">
        <v>0.154</v>
      </c>
      <c r="AH90" s="89">
        <v>0.17899999999999999</v>
      </c>
      <c r="AI90" s="88">
        <v>0.191</v>
      </c>
      <c r="AJ90" s="89">
        <v>0.2</v>
      </c>
      <c r="AK90" s="88">
        <v>0.218</v>
      </c>
      <c r="AL90" s="89">
        <v>0.27600000000000002</v>
      </c>
      <c r="AM90" s="88">
        <v>0.3</v>
      </c>
      <c r="AN90" s="89">
        <v>0.318</v>
      </c>
      <c r="AO90" s="88">
        <v>0.33700000000000002</v>
      </c>
      <c r="AP90" s="89">
        <v>0.375</v>
      </c>
      <c r="AQ90" s="88">
        <v>0.432</v>
      </c>
      <c r="AR90" s="89">
        <v>0.27700000000000002</v>
      </c>
      <c r="AS90" s="88">
        <v>0.307</v>
      </c>
      <c r="AT90" s="89">
        <v>0.33</v>
      </c>
      <c r="AU90" s="88">
        <v>0.375</v>
      </c>
      <c r="AV90" s="89">
        <v>0.375</v>
      </c>
      <c r="AW90" s="88">
        <v>0.438</v>
      </c>
      <c r="AX90" s="89">
        <v>0.5</v>
      </c>
      <c r="AY90" s="88">
        <v>0.5</v>
      </c>
      <c r="AZ90" s="89">
        <v>0.56200000000000006</v>
      </c>
      <c r="BA90" s="88"/>
      <c r="BB90" s="89">
        <v>0.375</v>
      </c>
      <c r="BC90" s="88">
        <v>0.625</v>
      </c>
      <c r="BD90" s="89">
        <v>0.375</v>
      </c>
      <c r="BE90" s="88">
        <v>0.375</v>
      </c>
      <c r="BF90" s="89">
        <v>0.375</v>
      </c>
      <c r="BG90" s="91"/>
    </row>
    <row r="91" spans="1:59" ht="15.75" customHeight="1" x14ac:dyDescent="0.3">
      <c r="A91" s="77">
        <v>20</v>
      </c>
      <c r="B91" s="78">
        <v>24</v>
      </c>
      <c r="C91" s="79">
        <v>25.94</v>
      </c>
      <c r="D91" s="80">
        <v>32</v>
      </c>
      <c r="E91" s="81">
        <v>27.75</v>
      </c>
      <c r="F91" s="82">
        <v>29.25</v>
      </c>
      <c r="G91" s="70">
        <v>30.75</v>
      </c>
      <c r="H91" s="77">
        <v>20</v>
      </c>
      <c r="I91" s="78">
        <v>2</v>
      </c>
      <c r="J91" s="79">
        <v>2.97</v>
      </c>
      <c r="K91" s="80">
        <v>6</v>
      </c>
      <c r="L91" s="81">
        <v>3.88</v>
      </c>
      <c r="M91" s="82">
        <v>4.63</v>
      </c>
      <c r="N91" s="70">
        <v>5.38</v>
      </c>
      <c r="S91" s="33" t="s">
        <v>369</v>
      </c>
      <c r="U91" s="86" t="s">
        <v>370</v>
      </c>
      <c r="AB91" s="87"/>
      <c r="AC91" s="88"/>
      <c r="AD91" s="89"/>
      <c r="AE91" s="88"/>
      <c r="AF91" s="89">
        <v>0.188</v>
      </c>
      <c r="AG91" s="88">
        <v>0.219</v>
      </c>
      <c r="AH91" s="89">
        <v>0.25</v>
      </c>
      <c r="AI91" s="88">
        <v>0.25</v>
      </c>
      <c r="AJ91" s="89">
        <v>0.28100000000000003</v>
      </c>
      <c r="AK91" s="88">
        <v>0.34399999999999997</v>
      </c>
      <c r="AL91" s="89">
        <v>0.375</v>
      </c>
      <c r="AM91" s="88">
        <v>0.438</v>
      </c>
      <c r="AN91" s="89"/>
      <c r="AO91" s="88">
        <v>0.438</v>
      </c>
      <c r="AP91" s="89">
        <v>0.5</v>
      </c>
      <c r="AQ91" s="88">
        <v>0.56200000000000006</v>
      </c>
      <c r="AR91" s="89">
        <v>0.32200000000000001</v>
      </c>
      <c r="AS91" s="88">
        <v>0.36499999999999999</v>
      </c>
      <c r="AT91" s="89">
        <v>0.375</v>
      </c>
      <c r="AU91" s="88">
        <v>0.438</v>
      </c>
      <c r="AV91" s="89">
        <v>0.5</v>
      </c>
      <c r="AW91" s="88">
        <v>0.375</v>
      </c>
      <c r="AX91" s="89">
        <v>0.375</v>
      </c>
      <c r="AY91" s="88">
        <v>0.875</v>
      </c>
      <c r="AZ91" s="89">
        <v>0.375</v>
      </c>
      <c r="BA91" s="88"/>
      <c r="BB91" s="89"/>
      <c r="BC91" s="88">
        <v>0.375</v>
      </c>
      <c r="BD91" s="89">
        <v>0.68799999999999994</v>
      </c>
      <c r="BE91" s="88">
        <v>0.68799999999999994</v>
      </c>
      <c r="BF91" s="89">
        <v>0.75</v>
      </c>
      <c r="BG91" s="91"/>
    </row>
    <row r="92" spans="1:59" ht="15.75" customHeight="1" x14ac:dyDescent="0.3">
      <c r="A92" s="77">
        <v>24</v>
      </c>
      <c r="B92" s="78">
        <v>28.25</v>
      </c>
      <c r="C92" s="79">
        <v>30.06</v>
      </c>
      <c r="D92" s="80">
        <v>37</v>
      </c>
      <c r="E92" s="81">
        <v>30.75</v>
      </c>
      <c r="F92" s="82">
        <v>32</v>
      </c>
      <c r="G92" s="70">
        <v>33.619999999999997</v>
      </c>
      <c r="H92" s="77">
        <v>24</v>
      </c>
      <c r="I92" s="78">
        <v>2.13</v>
      </c>
      <c r="J92" s="79">
        <v>3.03</v>
      </c>
      <c r="K92" s="80">
        <v>6.5</v>
      </c>
      <c r="L92" s="81">
        <v>3.38</v>
      </c>
      <c r="M92" s="82">
        <v>4</v>
      </c>
      <c r="N92" s="70">
        <v>4.8099999999999996</v>
      </c>
      <c r="S92" s="33" t="s">
        <v>371</v>
      </c>
      <c r="U92" s="86" t="s">
        <v>372</v>
      </c>
      <c r="AB92" s="87"/>
      <c r="AC92" s="88"/>
      <c r="AD92" s="89"/>
      <c r="AE92" s="88"/>
      <c r="AF92" s="89">
        <v>0.29399999999999998</v>
      </c>
      <c r="AG92" s="88">
        <v>0.308</v>
      </c>
      <c r="AH92" s="89">
        <v>0.35799999999999998</v>
      </c>
      <c r="AI92" s="88">
        <v>0.38200000000000001</v>
      </c>
      <c r="AJ92" s="89">
        <v>0.4</v>
      </c>
      <c r="AK92" s="88">
        <v>0.436</v>
      </c>
      <c r="AL92" s="89">
        <v>0.55200000000000005</v>
      </c>
      <c r="AM92" s="88">
        <v>0.6</v>
      </c>
      <c r="AN92" s="89"/>
      <c r="AO92" s="88">
        <v>0.53100000000000003</v>
      </c>
      <c r="AP92" s="89">
        <v>0.625</v>
      </c>
      <c r="AQ92" s="88">
        <v>0.71899999999999997</v>
      </c>
      <c r="AR92" s="89">
        <v>0.40600000000000003</v>
      </c>
      <c r="AS92" s="88">
        <v>0.5</v>
      </c>
      <c r="AT92" s="89">
        <v>0.40600000000000003</v>
      </c>
      <c r="AU92" s="88">
        <v>0.59399999999999997</v>
      </c>
      <c r="AV92" s="89">
        <v>0.65600000000000003</v>
      </c>
      <c r="AW92" s="88">
        <v>0.56200000000000006</v>
      </c>
      <c r="AX92" s="89">
        <v>0.59399999999999997</v>
      </c>
      <c r="AY92" s="88">
        <v>1.125</v>
      </c>
      <c r="AZ92" s="89">
        <v>0.68799999999999994</v>
      </c>
      <c r="BA92" s="88"/>
      <c r="BB92" s="89"/>
      <c r="BC92" s="88"/>
      <c r="BD92" s="89">
        <v>0.5</v>
      </c>
      <c r="BE92" s="88">
        <v>0.5</v>
      </c>
      <c r="BF92" s="89">
        <v>0.5</v>
      </c>
      <c r="BG92" s="91"/>
    </row>
    <row r="93" spans="1:59" ht="15.75" customHeight="1" x14ac:dyDescent="0.6">
      <c r="A93" s="175" t="s">
        <v>373</v>
      </c>
      <c r="B93" s="133"/>
      <c r="C93" s="133"/>
      <c r="D93" s="133"/>
      <c r="E93" s="133"/>
      <c r="F93" s="133"/>
      <c r="G93" s="133"/>
      <c r="H93" s="133"/>
      <c r="I93" s="133"/>
      <c r="J93" s="133"/>
      <c r="K93" s="133"/>
      <c r="L93" s="133"/>
      <c r="M93" s="133"/>
      <c r="N93" s="132"/>
      <c r="S93" s="33" t="s">
        <v>374</v>
      </c>
      <c r="U93" s="86" t="s">
        <v>375</v>
      </c>
      <c r="AB93" s="87"/>
      <c r="AC93" s="88"/>
      <c r="AD93" s="89"/>
      <c r="AE93" s="88"/>
      <c r="AF93" s="89"/>
      <c r="AG93" s="88"/>
      <c r="AH93" s="89"/>
      <c r="AI93" s="88"/>
      <c r="AJ93" s="89"/>
      <c r="AK93" s="88"/>
      <c r="AL93" s="89"/>
      <c r="AM93" s="88"/>
      <c r="AN93" s="89"/>
      <c r="AO93" s="88">
        <v>0.67400000000000004</v>
      </c>
      <c r="AP93" s="89">
        <v>0.75</v>
      </c>
      <c r="AQ93" s="88">
        <v>0.86399999999999999</v>
      </c>
      <c r="AR93" s="89">
        <v>0.5</v>
      </c>
      <c r="AS93" s="88">
        <v>0.59399999999999997</v>
      </c>
      <c r="AT93" s="89">
        <v>0.5</v>
      </c>
      <c r="AU93" s="88">
        <v>0.5</v>
      </c>
      <c r="AV93" s="89">
        <v>0.84399999999999997</v>
      </c>
      <c r="AW93" s="88">
        <v>0.75</v>
      </c>
      <c r="AX93" s="89">
        <v>0.81200000000000006</v>
      </c>
      <c r="AY93" s="88">
        <v>1.375</v>
      </c>
      <c r="AZ93" s="89">
        <v>0.96899999999999997</v>
      </c>
      <c r="BA93" s="88"/>
      <c r="BB93" s="89"/>
      <c r="BC93" s="88"/>
      <c r="BD93" s="89"/>
      <c r="BE93" s="88"/>
      <c r="BF93" s="89"/>
      <c r="BG93" s="91"/>
    </row>
    <row r="94" spans="1:59" ht="15.75" customHeight="1" x14ac:dyDescent="0.3">
      <c r="A94" s="70"/>
      <c r="B94" s="176" t="s">
        <v>91</v>
      </c>
      <c r="C94" s="133"/>
      <c r="D94" s="133"/>
      <c r="E94" s="133"/>
      <c r="F94" s="133"/>
      <c r="G94" s="132"/>
      <c r="H94" s="70"/>
      <c r="I94" s="177" t="s">
        <v>92</v>
      </c>
      <c r="J94" s="133"/>
      <c r="K94" s="133"/>
      <c r="L94" s="133"/>
      <c r="M94" s="133"/>
      <c r="N94" s="132"/>
      <c r="S94" s="33" t="s">
        <v>376</v>
      </c>
      <c r="U94" s="86" t="s">
        <v>377</v>
      </c>
      <c r="AB94" s="87"/>
      <c r="AC94" s="88"/>
      <c r="AD94" s="89"/>
      <c r="AE94" s="88"/>
      <c r="AF94" s="89"/>
      <c r="AG94" s="88"/>
      <c r="AH94" s="89"/>
      <c r="AI94" s="88"/>
      <c r="AJ94" s="89"/>
      <c r="AK94" s="88"/>
      <c r="AL94" s="89"/>
      <c r="AM94" s="88"/>
      <c r="AN94" s="89"/>
      <c r="AO94" s="88"/>
      <c r="AP94" s="89"/>
      <c r="AQ94" s="88"/>
      <c r="AR94" s="89">
        <v>0.59399999999999997</v>
      </c>
      <c r="AS94" s="88">
        <v>0.71899999999999997</v>
      </c>
      <c r="AT94" s="89">
        <v>0.56200000000000006</v>
      </c>
      <c r="AU94" s="88">
        <v>0.75</v>
      </c>
      <c r="AV94" s="89">
        <v>1.0309999999999999</v>
      </c>
      <c r="AW94" s="88">
        <v>0.5</v>
      </c>
      <c r="AX94" s="89">
        <v>1.31</v>
      </c>
      <c r="AY94" s="88">
        <v>1.625</v>
      </c>
      <c r="AZ94" s="89">
        <v>0.5</v>
      </c>
      <c r="BA94" s="88"/>
      <c r="BB94" s="89"/>
      <c r="BC94" s="88"/>
      <c r="BD94" s="89"/>
      <c r="BE94" s="88"/>
      <c r="BF94" s="89"/>
      <c r="BG94" s="91"/>
    </row>
    <row r="95" spans="1:59" ht="15.75" customHeight="1" x14ac:dyDescent="0.3">
      <c r="A95" s="77" t="s">
        <v>98</v>
      </c>
      <c r="B95" s="78" t="s">
        <v>99</v>
      </c>
      <c r="C95" s="79" t="s">
        <v>100</v>
      </c>
      <c r="D95" s="80" t="s">
        <v>101</v>
      </c>
      <c r="E95" s="81" t="s">
        <v>102</v>
      </c>
      <c r="F95" s="82" t="s">
        <v>103</v>
      </c>
      <c r="G95" s="70" t="s">
        <v>104</v>
      </c>
      <c r="H95" s="77" t="s">
        <v>98</v>
      </c>
      <c r="I95" s="78" t="s">
        <v>99</v>
      </c>
      <c r="J95" s="79" t="s">
        <v>100</v>
      </c>
      <c r="K95" s="80" t="s">
        <v>101</v>
      </c>
      <c r="L95" s="83" t="s">
        <v>102</v>
      </c>
      <c r="M95" s="84" t="s">
        <v>103</v>
      </c>
      <c r="N95" s="85" t="s">
        <v>104</v>
      </c>
      <c r="S95" s="33" t="s">
        <v>378</v>
      </c>
      <c r="U95" s="86" t="s">
        <v>379</v>
      </c>
      <c r="AB95" s="87"/>
      <c r="AC95" s="88"/>
      <c r="AD95" s="89"/>
      <c r="AE95" s="88"/>
      <c r="AF95" s="89"/>
      <c r="AG95" s="88"/>
      <c r="AH95" s="89"/>
      <c r="AI95" s="88"/>
      <c r="AJ95" s="89"/>
      <c r="AK95" s="88"/>
      <c r="AL95" s="89"/>
      <c r="AM95" s="88"/>
      <c r="AN95" s="89"/>
      <c r="AO95" s="88"/>
      <c r="AP95" s="89"/>
      <c r="AQ95" s="88"/>
      <c r="AR95" s="89">
        <v>0.71899999999999997</v>
      </c>
      <c r="AS95" s="88">
        <v>0.84399999999999997</v>
      </c>
      <c r="AT95" s="89">
        <v>0.68799999999999994</v>
      </c>
      <c r="AU95" s="88">
        <v>0.93799999999999994</v>
      </c>
      <c r="AV95" s="89">
        <v>1.2190000000000001</v>
      </c>
      <c r="AW95" s="88">
        <v>0.93799999999999994</v>
      </c>
      <c r="AX95" s="89">
        <v>1.2809999999999999</v>
      </c>
      <c r="AY95" s="88">
        <v>1.875</v>
      </c>
      <c r="AZ95" s="89">
        <v>1.218</v>
      </c>
      <c r="BA95" s="88"/>
      <c r="BB95" s="89"/>
      <c r="BC95" s="88"/>
      <c r="BD95" s="89"/>
      <c r="BE95" s="88"/>
      <c r="BF95" s="89"/>
      <c r="BG95" s="91"/>
    </row>
    <row r="96" spans="1:59" ht="15.75" customHeight="1" x14ac:dyDescent="0.3">
      <c r="A96" s="77" t="s">
        <v>108</v>
      </c>
      <c r="B96" s="78">
        <v>1.56</v>
      </c>
      <c r="C96" s="79">
        <v>2</v>
      </c>
      <c r="D96" s="80">
        <v>4.75</v>
      </c>
      <c r="E96" s="81" t="s">
        <v>65</v>
      </c>
      <c r="F96" s="82" t="s">
        <v>65</v>
      </c>
      <c r="G96" s="70" t="s">
        <v>65</v>
      </c>
      <c r="H96" s="77" t="s">
        <v>108</v>
      </c>
      <c r="I96" s="78">
        <v>0.53</v>
      </c>
      <c r="J96" s="79">
        <v>0.73</v>
      </c>
      <c r="K96" s="80">
        <v>2.13</v>
      </c>
      <c r="L96" s="81" t="s">
        <v>65</v>
      </c>
      <c r="M96" s="82" t="s">
        <v>65</v>
      </c>
      <c r="N96" s="70" t="s">
        <v>65</v>
      </c>
      <c r="S96" s="33" t="s">
        <v>380</v>
      </c>
      <c r="U96" s="86" t="s">
        <v>381</v>
      </c>
      <c r="AB96" s="87"/>
      <c r="AC96" s="88"/>
      <c r="AD96" s="89"/>
      <c r="AE96" s="88"/>
      <c r="AF96" s="89"/>
      <c r="AG96" s="88"/>
      <c r="AH96" s="89"/>
      <c r="AI96" s="88"/>
      <c r="AJ96" s="89"/>
      <c r="AK96" s="88"/>
      <c r="AL96" s="89"/>
      <c r="AM96" s="88"/>
      <c r="AN96" s="89"/>
      <c r="AO96" s="88"/>
      <c r="AP96" s="89"/>
      <c r="AQ96" s="88"/>
      <c r="AR96" s="89">
        <v>0.81200000000000006</v>
      </c>
      <c r="AS96" s="88">
        <v>1</v>
      </c>
      <c r="AT96" s="89">
        <v>0.84399999999999997</v>
      </c>
      <c r="AU96" s="88">
        <v>1.94</v>
      </c>
      <c r="AV96" s="89">
        <v>1.4379999999999999</v>
      </c>
      <c r="AW96" s="88">
        <v>1.1559999999999999</v>
      </c>
      <c r="AX96" s="89">
        <v>1.5</v>
      </c>
      <c r="AY96" s="88">
        <v>2.125</v>
      </c>
      <c r="AZ96" s="89">
        <v>1.5309999999999999</v>
      </c>
      <c r="BA96" s="88"/>
      <c r="BB96" s="89"/>
      <c r="BC96" s="88"/>
      <c r="BD96" s="89"/>
      <c r="BE96" s="88"/>
      <c r="BF96" s="89"/>
      <c r="BG96" s="91"/>
    </row>
    <row r="97" spans="1:59" ht="15.75" customHeight="1" x14ac:dyDescent="0.3">
      <c r="A97" s="77" t="s">
        <v>113</v>
      </c>
      <c r="B97" s="78">
        <v>1.81</v>
      </c>
      <c r="C97" s="79">
        <v>2.25</v>
      </c>
      <c r="D97" s="80">
        <v>5.12</v>
      </c>
      <c r="E97" s="81" t="s">
        <v>65</v>
      </c>
      <c r="F97" s="82" t="s">
        <v>65</v>
      </c>
      <c r="G97" s="70" t="s">
        <v>65</v>
      </c>
      <c r="H97" s="77" t="s">
        <v>113</v>
      </c>
      <c r="I97" s="78">
        <v>0.53</v>
      </c>
      <c r="J97" s="79">
        <v>0.76</v>
      </c>
      <c r="K97" s="80">
        <v>2.19</v>
      </c>
      <c r="L97" s="81" t="s">
        <v>65</v>
      </c>
      <c r="M97" s="82" t="s">
        <v>65</v>
      </c>
      <c r="N97" s="70" t="s">
        <v>65</v>
      </c>
      <c r="S97" s="33" t="s">
        <v>382</v>
      </c>
      <c r="U97" s="86" t="s">
        <v>383</v>
      </c>
      <c r="AB97" s="87"/>
      <c r="AC97" s="88"/>
      <c r="AD97" s="89"/>
      <c r="AE97" s="88"/>
      <c r="AF97" s="89"/>
      <c r="AG97" s="88"/>
      <c r="AH97" s="89"/>
      <c r="AI97" s="88"/>
      <c r="AJ97" s="89"/>
      <c r="AK97" s="88"/>
      <c r="AL97" s="89"/>
      <c r="AM97" s="88"/>
      <c r="AN97" s="89"/>
      <c r="AO97" s="88"/>
      <c r="AP97" s="89"/>
      <c r="AQ97" s="88"/>
      <c r="AR97" s="89">
        <v>0.875</v>
      </c>
      <c r="AS97" s="88">
        <v>1.125</v>
      </c>
      <c r="AT97" s="89">
        <v>1</v>
      </c>
      <c r="AU97" s="88">
        <v>1.25</v>
      </c>
      <c r="AV97" s="89">
        <v>1.5940000000000001</v>
      </c>
      <c r="AW97" s="88">
        <v>1.375</v>
      </c>
      <c r="AX97" s="89">
        <v>1.75</v>
      </c>
      <c r="AY97" s="88"/>
      <c r="AZ97" s="89">
        <v>1.8120000000000001</v>
      </c>
      <c r="BA97" s="88"/>
      <c r="BB97" s="89"/>
      <c r="BC97" s="88"/>
      <c r="BD97" s="89"/>
      <c r="BE97" s="88"/>
      <c r="BF97" s="89"/>
      <c r="BG97" s="91"/>
    </row>
    <row r="98" spans="1:59" ht="15.75" customHeight="1" x14ac:dyDescent="0.3">
      <c r="A98" s="77">
        <v>1</v>
      </c>
      <c r="B98" s="78">
        <v>2.12</v>
      </c>
      <c r="C98" s="79">
        <v>2.56</v>
      </c>
      <c r="D98" s="80">
        <v>5.88</v>
      </c>
      <c r="E98" s="81">
        <v>3.25</v>
      </c>
      <c r="F98" s="82">
        <v>4</v>
      </c>
      <c r="G98" s="70">
        <v>4.62</v>
      </c>
      <c r="H98" s="77">
        <v>1</v>
      </c>
      <c r="I98" s="78">
        <v>0.56000000000000005</v>
      </c>
      <c r="J98" s="79">
        <v>0.8</v>
      </c>
      <c r="K98" s="80">
        <v>2.44</v>
      </c>
      <c r="L98" s="81">
        <v>1.1499999999999999</v>
      </c>
      <c r="M98" s="82">
        <v>1.52</v>
      </c>
      <c r="N98" s="70">
        <v>1.83</v>
      </c>
      <c r="S98" s="33" t="s">
        <v>384</v>
      </c>
      <c r="U98" s="86" t="s">
        <v>385</v>
      </c>
      <c r="AB98" s="87"/>
      <c r="AC98" s="88"/>
      <c r="AD98" s="89"/>
      <c r="AE98" s="88"/>
      <c r="AF98" s="89"/>
      <c r="AG98" s="88"/>
      <c r="AH98" s="89"/>
      <c r="AI98" s="88"/>
      <c r="AJ98" s="89"/>
      <c r="AK98" s="88"/>
      <c r="AL98" s="89"/>
      <c r="AM98" s="88"/>
      <c r="AN98" s="89"/>
      <c r="AO98" s="88"/>
      <c r="AP98" s="89"/>
      <c r="AQ98" s="88"/>
      <c r="AR98" s="89">
        <v>0.90600000000000003</v>
      </c>
      <c r="AS98" s="88"/>
      <c r="AT98" s="89">
        <v>1.125</v>
      </c>
      <c r="AU98" s="88">
        <v>1.4059999999999999</v>
      </c>
      <c r="AV98" s="89"/>
      <c r="AW98" s="88">
        <v>1.5620000000000001</v>
      </c>
      <c r="AX98" s="89">
        <v>1.9690000000000001</v>
      </c>
      <c r="AY98" s="88"/>
      <c r="AZ98" s="89">
        <v>2.62</v>
      </c>
      <c r="BA98" s="88"/>
      <c r="BB98" s="89"/>
      <c r="BC98" s="88"/>
      <c r="BD98" s="89"/>
      <c r="BE98" s="88"/>
      <c r="BF98" s="89"/>
      <c r="BG98" s="91"/>
    </row>
    <row r="99" spans="1:59" ht="15.75" customHeight="1" x14ac:dyDescent="0.3">
      <c r="A99" s="77" t="s">
        <v>122</v>
      </c>
      <c r="B99" s="78">
        <v>2.5</v>
      </c>
      <c r="C99" s="79">
        <v>2.94</v>
      </c>
      <c r="D99" s="80">
        <v>6.25</v>
      </c>
      <c r="E99" s="81" t="s">
        <v>65</v>
      </c>
      <c r="F99" s="82" t="s">
        <v>65</v>
      </c>
      <c r="G99" s="70" t="s">
        <v>65</v>
      </c>
      <c r="H99" s="77" t="s">
        <v>122</v>
      </c>
      <c r="I99" s="78">
        <v>0.63</v>
      </c>
      <c r="J99" s="79">
        <v>0.83</v>
      </c>
      <c r="K99" s="80">
        <v>2.5</v>
      </c>
      <c r="L99" s="81" t="s">
        <v>65</v>
      </c>
      <c r="M99" s="82" t="s">
        <v>65</v>
      </c>
      <c r="N99" s="70" t="s">
        <v>65</v>
      </c>
      <c r="U99" s="86" t="s">
        <v>386</v>
      </c>
      <c r="AB99" s="92"/>
      <c r="AC99" s="93"/>
      <c r="AD99" s="94"/>
      <c r="AE99" s="93"/>
      <c r="AF99" s="94"/>
      <c r="AG99" s="93"/>
      <c r="AH99" s="94"/>
      <c r="AI99" s="93"/>
      <c r="AJ99" s="94"/>
      <c r="AK99" s="93"/>
      <c r="AL99" s="94"/>
      <c r="AM99" s="93"/>
      <c r="AN99" s="94"/>
      <c r="AO99" s="93"/>
      <c r="AP99" s="94"/>
      <c r="AQ99" s="93"/>
      <c r="AR99" s="94"/>
      <c r="AS99" s="93"/>
      <c r="AT99" s="94">
        <v>1.3120000000000001</v>
      </c>
      <c r="AU99" s="93"/>
      <c r="AV99" s="94"/>
      <c r="AW99" s="93">
        <v>1.7809999999999999</v>
      </c>
      <c r="AX99" s="94"/>
      <c r="AY99" s="93"/>
      <c r="AZ99" s="94">
        <v>2.3439999999999999</v>
      </c>
      <c r="BA99" s="93"/>
      <c r="BB99" s="94"/>
      <c r="BC99" s="93"/>
      <c r="BD99" s="94"/>
      <c r="BE99" s="93"/>
      <c r="BF99" s="94"/>
      <c r="BG99" s="95"/>
    </row>
    <row r="100" spans="1:59" ht="15.75" customHeight="1" x14ac:dyDescent="0.3">
      <c r="A100" s="77" t="s">
        <v>127</v>
      </c>
      <c r="B100" s="78">
        <v>2.75</v>
      </c>
      <c r="C100" s="79">
        <v>3.25</v>
      </c>
      <c r="D100" s="80">
        <v>7</v>
      </c>
      <c r="E100" s="81">
        <v>4</v>
      </c>
      <c r="F100" s="82">
        <v>5.5</v>
      </c>
      <c r="G100" s="70">
        <v>6</v>
      </c>
      <c r="H100" s="77" t="s">
        <v>127</v>
      </c>
      <c r="I100" s="78">
        <v>0.63</v>
      </c>
      <c r="J100" s="79">
        <v>0.88</v>
      </c>
      <c r="K100" s="80">
        <v>2.75</v>
      </c>
      <c r="L100" s="81">
        <v>1.25</v>
      </c>
      <c r="M100" s="82">
        <v>2</v>
      </c>
      <c r="N100" s="70">
        <v>2.25</v>
      </c>
      <c r="U100" s="86" t="s">
        <v>387</v>
      </c>
    </row>
    <row r="101" spans="1:59" ht="15.75" customHeight="1" x14ac:dyDescent="0.3">
      <c r="A101" s="77">
        <v>2</v>
      </c>
      <c r="B101" s="78">
        <v>4.12</v>
      </c>
      <c r="C101" s="79">
        <v>5.0599999999999996</v>
      </c>
      <c r="D101" s="80">
        <v>8.5</v>
      </c>
      <c r="E101" s="81">
        <v>5.5</v>
      </c>
      <c r="F101" s="82">
        <v>6</v>
      </c>
      <c r="G101" s="70">
        <v>7</v>
      </c>
      <c r="H101" s="77">
        <v>2</v>
      </c>
      <c r="I101" s="78">
        <v>1.06</v>
      </c>
      <c r="J101" s="79">
        <v>1.56</v>
      </c>
      <c r="K101" s="80">
        <v>3.25</v>
      </c>
      <c r="L101" s="81">
        <v>1.78</v>
      </c>
      <c r="M101" s="82">
        <v>2.0299999999999998</v>
      </c>
      <c r="N101" s="70">
        <v>2.5299999999999998</v>
      </c>
      <c r="U101" s="86" t="s">
        <v>388</v>
      </c>
    </row>
    <row r="102" spans="1:59" ht="15.75" customHeight="1" x14ac:dyDescent="0.3">
      <c r="A102" s="77" t="s">
        <v>136</v>
      </c>
      <c r="B102" s="78">
        <v>4.88</v>
      </c>
      <c r="C102" s="79">
        <v>5.88</v>
      </c>
      <c r="D102" s="80">
        <v>9.6199999999999992</v>
      </c>
      <c r="E102" s="81">
        <v>6.38</v>
      </c>
      <c r="F102" s="82">
        <v>7</v>
      </c>
      <c r="G102" s="70">
        <v>8.25</v>
      </c>
      <c r="H102" s="77" t="s">
        <v>136</v>
      </c>
      <c r="I102" s="78">
        <v>1.19</v>
      </c>
      <c r="J102" s="79">
        <v>1.78</v>
      </c>
      <c r="K102" s="80">
        <v>3.56</v>
      </c>
      <c r="L102" s="81">
        <v>2.0299999999999998</v>
      </c>
      <c r="M102" s="82">
        <v>2.34</v>
      </c>
      <c r="N102" s="70">
        <v>2.97</v>
      </c>
      <c r="U102" s="86" t="s">
        <v>389</v>
      </c>
    </row>
    <row r="103" spans="1:59" ht="15.75" customHeight="1" x14ac:dyDescent="0.3">
      <c r="A103" s="77">
        <v>3</v>
      </c>
      <c r="B103" s="78">
        <v>5</v>
      </c>
      <c r="C103" s="79">
        <v>6.06</v>
      </c>
      <c r="D103" s="80">
        <v>9.5</v>
      </c>
      <c r="E103" s="81">
        <v>7</v>
      </c>
      <c r="F103" s="82">
        <v>7.75</v>
      </c>
      <c r="G103" s="70">
        <v>8.25</v>
      </c>
      <c r="H103" s="77">
        <v>3</v>
      </c>
      <c r="I103" s="78">
        <v>1</v>
      </c>
      <c r="J103" s="79">
        <v>1.58</v>
      </c>
      <c r="K103" s="80">
        <v>3.25</v>
      </c>
      <c r="L103" s="81">
        <v>2.0499999999999998</v>
      </c>
      <c r="M103" s="82">
        <v>2.4300000000000002</v>
      </c>
      <c r="N103" s="70">
        <v>2.68</v>
      </c>
      <c r="U103" s="86" t="s">
        <v>390</v>
      </c>
    </row>
    <row r="104" spans="1:59" ht="15.75" customHeight="1" x14ac:dyDescent="0.3">
      <c r="A104" s="77">
        <v>4</v>
      </c>
      <c r="B104" s="78">
        <v>6.25</v>
      </c>
      <c r="C104" s="79">
        <v>7.44</v>
      </c>
      <c r="D104" s="80">
        <v>11.5</v>
      </c>
      <c r="E104" s="81">
        <v>8.8800000000000008</v>
      </c>
      <c r="F104" s="82">
        <v>9.8800000000000008</v>
      </c>
      <c r="G104" s="70">
        <v>10.38</v>
      </c>
      <c r="H104" s="77">
        <v>4</v>
      </c>
      <c r="I104" s="78">
        <v>1.1299999999999999</v>
      </c>
      <c r="J104" s="79">
        <v>1.81</v>
      </c>
      <c r="K104" s="80">
        <v>3.75</v>
      </c>
      <c r="L104" s="81">
        <v>2.5299999999999998</v>
      </c>
      <c r="M104" s="82">
        <v>3.03</v>
      </c>
      <c r="N104" s="70">
        <v>3.28</v>
      </c>
      <c r="U104" s="86" t="s">
        <v>391</v>
      </c>
    </row>
    <row r="105" spans="1:59" ht="15.75" customHeight="1" x14ac:dyDescent="0.3">
      <c r="A105" s="77">
        <v>5</v>
      </c>
      <c r="B105" s="78">
        <v>7.5</v>
      </c>
      <c r="C105" s="79">
        <v>9</v>
      </c>
      <c r="D105" s="80">
        <v>13.75</v>
      </c>
      <c r="E105" s="81">
        <v>10.38</v>
      </c>
      <c r="F105" s="82">
        <v>11</v>
      </c>
      <c r="G105" s="70">
        <v>12.12</v>
      </c>
      <c r="H105" s="77">
        <v>5</v>
      </c>
      <c r="I105" s="78">
        <v>1.25</v>
      </c>
      <c r="J105" s="79">
        <v>2.1</v>
      </c>
      <c r="K105" s="80">
        <v>4.38</v>
      </c>
      <c r="L105" s="81">
        <v>2.79</v>
      </c>
      <c r="M105" s="82">
        <v>3.1</v>
      </c>
      <c r="N105" s="70">
        <v>3.66</v>
      </c>
      <c r="U105" s="86" t="s">
        <v>392</v>
      </c>
    </row>
    <row r="106" spans="1:59" ht="15.75" customHeight="1" x14ac:dyDescent="0.3">
      <c r="A106" s="77">
        <v>6</v>
      </c>
      <c r="B106" s="78">
        <v>9.25</v>
      </c>
      <c r="C106" s="79">
        <v>10.69</v>
      </c>
      <c r="D106" s="80">
        <v>15</v>
      </c>
      <c r="E106" s="81">
        <v>11</v>
      </c>
      <c r="F106" s="82">
        <v>12.12</v>
      </c>
      <c r="G106" s="70">
        <v>13.5</v>
      </c>
      <c r="H106" s="77">
        <v>6</v>
      </c>
      <c r="I106" s="78">
        <v>1.63</v>
      </c>
      <c r="J106" s="79">
        <v>2.4700000000000002</v>
      </c>
      <c r="K106" s="80">
        <v>4.5</v>
      </c>
      <c r="L106" s="81">
        <v>2.62</v>
      </c>
      <c r="M106" s="82">
        <v>3.18</v>
      </c>
      <c r="N106" s="70">
        <v>3.87</v>
      </c>
      <c r="U106" s="86" t="s">
        <v>393</v>
      </c>
    </row>
    <row r="107" spans="1:59" ht="15.75" customHeight="1" x14ac:dyDescent="0.3">
      <c r="A107" s="77">
        <v>8</v>
      </c>
      <c r="B107" s="78">
        <v>11.75</v>
      </c>
      <c r="C107" s="79">
        <v>13.31</v>
      </c>
      <c r="D107" s="80">
        <v>18.5</v>
      </c>
      <c r="E107" s="81">
        <v>15.12</v>
      </c>
      <c r="F107" s="82">
        <v>16.25</v>
      </c>
      <c r="G107" s="70">
        <v>17.38</v>
      </c>
      <c r="H107" s="77">
        <v>8</v>
      </c>
      <c r="I107" s="78">
        <v>1.88</v>
      </c>
      <c r="J107" s="79">
        <v>2.85</v>
      </c>
      <c r="K107" s="80">
        <v>5.25</v>
      </c>
      <c r="L107" s="81">
        <v>3.75</v>
      </c>
      <c r="M107" s="82">
        <v>4.32</v>
      </c>
      <c r="N107" s="70">
        <v>4.88</v>
      </c>
      <c r="U107" s="86" t="s">
        <v>394</v>
      </c>
    </row>
    <row r="108" spans="1:59" ht="15.75" customHeight="1" x14ac:dyDescent="0.3">
      <c r="A108" s="77">
        <v>10</v>
      </c>
      <c r="B108" s="78">
        <v>14.5</v>
      </c>
      <c r="C108" s="79">
        <v>16.309999999999999</v>
      </c>
      <c r="D108" s="80">
        <v>21.5</v>
      </c>
      <c r="E108" s="81">
        <v>17.38</v>
      </c>
      <c r="F108" s="82">
        <v>18.25</v>
      </c>
      <c r="G108" s="70">
        <v>20.12</v>
      </c>
      <c r="H108" s="77">
        <v>10</v>
      </c>
      <c r="I108" s="78">
        <v>2.25</v>
      </c>
      <c r="J108" s="79">
        <v>3.38</v>
      </c>
      <c r="K108" s="80">
        <v>5.75</v>
      </c>
      <c r="L108" s="81">
        <v>3.91</v>
      </c>
      <c r="M108" s="82">
        <v>4.3499999999999996</v>
      </c>
      <c r="N108" s="70">
        <v>5.28</v>
      </c>
      <c r="U108" s="86" t="s">
        <v>395</v>
      </c>
    </row>
    <row r="109" spans="1:59" ht="15.75" customHeight="1" x14ac:dyDescent="0.3">
      <c r="A109" s="77">
        <v>12</v>
      </c>
      <c r="B109" s="78">
        <v>16.5</v>
      </c>
      <c r="C109" s="79">
        <v>18.809999999999999</v>
      </c>
      <c r="D109" s="80">
        <v>24</v>
      </c>
      <c r="E109" s="81">
        <v>20.12</v>
      </c>
      <c r="F109" s="82">
        <v>22.25</v>
      </c>
      <c r="G109" s="70">
        <v>23.25</v>
      </c>
      <c r="H109" s="77">
        <v>12</v>
      </c>
      <c r="I109" s="78">
        <v>2.25</v>
      </c>
      <c r="J109" s="79">
        <v>3.72</v>
      </c>
      <c r="K109" s="80">
        <v>6</v>
      </c>
      <c r="L109" s="81">
        <v>4.37</v>
      </c>
      <c r="M109" s="82">
        <v>5.44</v>
      </c>
      <c r="N109" s="70">
        <v>5.94</v>
      </c>
      <c r="U109" s="86" t="s">
        <v>396</v>
      </c>
    </row>
    <row r="110" spans="1:59" ht="15.75" customHeight="1" x14ac:dyDescent="0.3">
      <c r="A110" s="77">
        <v>14</v>
      </c>
      <c r="B110" s="78">
        <v>17.75</v>
      </c>
      <c r="C110" s="79">
        <v>19.62</v>
      </c>
      <c r="D110" s="80">
        <v>25.25</v>
      </c>
      <c r="E110" s="81">
        <v>22.25</v>
      </c>
      <c r="F110" s="82">
        <v>23.25</v>
      </c>
      <c r="G110" s="70">
        <v>24.12</v>
      </c>
      <c r="H110" s="77">
        <v>14</v>
      </c>
      <c r="I110" s="78">
        <v>1.88</v>
      </c>
      <c r="J110" s="79">
        <v>2.81</v>
      </c>
      <c r="K110" s="80">
        <v>5.63</v>
      </c>
      <c r="L110" s="81">
        <v>4.13</v>
      </c>
      <c r="M110" s="82">
        <v>4.63</v>
      </c>
      <c r="N110" s="70">
        <v>5.0599999999999996</v>
      </c>
      <c r="U110" s="86" t="s">
        <v>397</v>
      </c>
    </row>
    <row r="111" spans="1:59" ht="15.75" customHeight="1" x14ac:dyDescent="0.3">
      <c r="A111" s="77">
        <v>16</v>
      </c>
      <c r="B111" s="78">
        <v>20</v>
      </c>
      <c r="C111" s="79">
        <v>21.69</v>
      </c>
      <c r="D111" s="80">
        <v>27.75</v>
      </c>
      <c r="E111" s="81">
        <v>23.25</v>
      </c>
      <c r="F111" s="82">
        <v>25</v>
      </c>
      <c r="G111" s="70">
        <v>26.5</v>
      </c>
      <c r="H111" s="77">
        <v>16</v>
      </c>
      <c r="I111" s="78">
        <v>2</v>
      </c>
      <c r="J111" s="79">
        <v>2.85</v>
      </c>
      <c r="K111" s="80">
        <v>5.88</v>
      </c>
      <c r="L111" s="81">
        <v>3.63</v>
      </c>
      <c r="M111" s="82">
        <v>4.5</v>
      </c>
      <c r="N111" s="70">
        <v>5.25</v>
      </c>
      <c r="U111" s="86" t="s">
        <v>398</v>
      </c>
    </row>
    <row r="112" spans="1:59" ht="15.75" customHeight="1" x14ac:dyDescent="0.3">
      <c r="A112" s="77">
        <v>18</v>
      </c>
      <c r="B112" s="78">
        <v>22.25</v>
      </c>
      <c r="C112" s="79">
        <v>24.06</v>
      </c>
      <c r="D112" s="80">
        <v>31</v>
      </c>
      <c r="E112" s="81">
        <v>26</v>
      </c>
      <c r="F112" s="82">
        <v>27.75</v>
      </c>
      <c r="G112" s="70">
        <v>29.25</v>
      </c>
      <c r="H112" s="77">
        <v>18</v>
      </c>
      <c r="I112" s="78">
        <v>2.13</v>
      </c>
      <c r="J112" s="79">
        <v>3.03</v>
      </c>
      <c r="K112" s="80">
        <v>6.5</v>
      </c>
      <c r="L112" s="81">
        <v>4</v>
      </c>
      <c r="M112" s="82">
        <v>4.88</v>
      </c>
      <c r="N112" s="70">
        <v>5.62</v>
      </c>
      <c r="U112" s="86" t="s">
        <v>399</v>
      </c>
    </row>
    <row r="113" spans="1:51" ht="15.75" customHeight="1" x14ac:dyDescent="0.3">
      <c r="A113" s="77">
        <v>20</v>
      </c>
      <c r="B113" s="78">
        <v>24.5</v>
      </c>
      <c r="C113" s="79">
        <v>26.38</v>
      </c>
      <c r="D113" s="80">
        <v>33.75</v>
      </c>
      <c r="E113" s="81">
        <v>27.75</v>
      </c>
      <c r="F113" s="82">
        <v>30.75</v>
      </c>
      <c r="G113" s="70">
        <v>32</v>
      </c>
      <c r="H113" s="77">
        <v>20</v>
      </c>
      <c r="I113" s="78">
        <v>2.25</v>
      </c>
      <c r="J113" s="79">
        <v>3.19</v>
      </c>
      <c r="K113" s="80">
        <v>6.88</v>
      </c>
      <c r="L113" s="81">
        <v>3.88</v>
      </c>
      <c r="M113" s="82">
        <v>5.38</v>
      </c>
      <c r="N113" s="70">
        <v>6</v>
      </c>
      <c r="U113" s="86" t="s">
        <v>400</v>
      </c>
    </row>
    <row r="114" spans="1:51" ht="15.75" customHeight="1" x14ac:dyDescent="0.3">
      <c r="A114" s="77">
        <v>24</v>
      </c>
      <c r="B114" s="78">
        <v>29.5</v>
      </c>
      <c r="C114" s="79">
        <v>31.62</v>
      </c>
      <c r="D114" s="80">
        <v>41</v>
      </c>
      <c r="E114" s="81">
        <v>33.619999999999997</v>
      </c>
      <c r="F114" s="82">
        <v>35</v>
      </c>
      <c r="G114" s="70">
        <v>36</v>
      </c>
      <c r="H114" s="77">
        <v>24</v>
      </c>
      <c r="I114" s="78">
        <v>2.75</v>
      </c>
      <c r="J114" s="79">
        <v>3.81</v>
      </c>
      <c r="K114" s="80">
        <v>8.5</v>
      </c>
      <c r="L114" s="81">
        <v>4.8099999999999996</v>
      </c>
      <c r="M114" s="82">
        <v>5.5</v>
      </c>
      <c r="N114" s="70">
        <v>6</v>
      </c>
      <c r="U114" s="86" t="s">
        <v>401</v>
      </c>
    </row>
    <row r="115" spans="1:51" ht="15.75" customHeight="1" x14ac:dyDescent="0.6">
      <c r="A115" s="175" t="s">
        <v>402</v>
      </c>
      <c r="B115" s="133"/>
      <c r="C115" s="133"/>
      <c r="D115" s="133"/>
      <c r="E115" s="133"/>
      <c r="F115" s="133"/>
      <c r="G115" s="133"/>
      <c r="H115" s="133"/>
      <c r="I115" s="133"/>
      <c r="J115" s="133"/>
      <c r="K115" s="133"/>
      <c r="L115" s="133"/>
      <c r="M115" s="133"/>
      <c r="N115" s="132"/>
      <c r="U115" s="86" t="s">
        <v>403</v>
      </c>
    </row>
    <row r="116" spans="1:51" ht="15.75" customHeight="1" x14ac:dyDescent="0.3">
      <c r="A116" s="70"/>
      <c r="B116" s="176" t="s">
        <v>91</v>
      </c>
      <c r="C116" s="133"/>
      <c r="D116" s="133"/>
      <c r="E116" s="133"/>
      <c r="F116" s="133"/>
      <c r="G116" s="132"/>
      <c r="H116" s="70"/>
      <c r="I116" s="177" t="s">
        <v>92</v>
      </c>
      <c r="J116" s="133"/>
      <c r="K116" s="133"/>
      <c r="L116" s="133"/>
      <c r="M116" s="133"/>
      <c r="N116" s="132"/>
      <c r="U116" s="86" t="s">
        <v>404</v>
      </c>
    </row>
    <row r="117" spans="1:51" ht="15.75" customHeight="1" x14ac:dyDescent="0.3">
      <c r="A117" s="77" t="s">
        <v>98</v>
      </c>
      <c r="B117" s="78" t="s">
        <v>99</v>
      </c>
      <c r="C117" s="79" t="s">
        <v>100</v>
      </c>
      <c r="D117" s="80" t="s">
        <v>101</v>
      </c>
      <c r="E117" s="81" t="s">
        <v>102</v>
      </c>
      <c r="F117" s="82" t="s">
        <v>103</v>
      </c>
      <c r="G117" s="70" t="s">
        <v>104</v>
      </c>
      <c r="H117" s="77" t="s">
        <v>98</v>
      </c>
      <c r="I117" s="78" t="s">
        <v>99</v>
      </c>
      <c r="J117" s="79" t="s">
        <v>100</v>
      </c>
      <c r="K117" s="80" t="s">
        <v>101</v>
      </c>
      <c r="L117" s="83" t="s">
        <v>102</v>
      </c>
      <c r="M117" s="84" t="s">
        <v>103</v>
      </c>
      <c r="N117" s="85" t="s">
        <v>104</v>
      </c>
      <c r="U117" s="86" t="s">
        <v>405</v>
      </c>
    </row>
    <row r="118" spans="1:51" ht="15.75" customHeight="1" x14ac:dyDescent="0.3">
      <c r="A118" s="77" t="s">
        <v>108</v>
      </c>
      <c r="B118" s="78">
        <v>1.56</v>
      </c>
      <c r="C118" s="79">
        <v>2</v>
      </c>
      <c r="D118" s="80">
        <v>4.75</v>
      </c>
      <c r="E118" s="81" t="s">
        <v>65</v>
      </c>
      <c r="F118" s="82" t="s">
        <v>65</v>
      </c>
      <c r="G118" s="70" t="s">
        <v>65</v>
      </c>
      <c r="H118" s="77" t="s">
        <v>108</v>
      </c>
      <c r="I118" s="78">
        <v>0.53</v>
      </c>
      <c r="J118" s="79">
        <v>0.73</v>
      </c>
      <c r="K118" s="80">
        <v>2.13</v>
      </c>
      <c r="L118" s="81" t="s">
        <v>65</v>
      </c>
      <c r="M118" s="82" t="s">
        <v>65</v>
      </c>
      <c r="N118" s="70" t="s">
        <v>65</v>
      </c>
      <c r="U118" s="86" t="s">
        <v>406</v>
      </c>
    </row>
    <row r="119" spans="1:51" ht="15.75" customHeight="1" x14ac:dyDescent="0.3">
      <c r="A119" s="77" t="s">
        <v>113</v>
      </c>
      <c r="B119" s="78">
        <v>1.81</v>
      </c>
      <c r="C119" s="79">
        <v>2.25</v>
      </c>
      <c r="D119" s="80">
        <v>5.12</v>
      </c>
      <c r="E119" s="81" t="s">
        <v>65</v>
      </c>
      <c r="F119" s="82" t="s">
        <v>65</v>
      </c>
      <c r="G119" s="70" t="s">
        <v>65</v>
      </c>
      <c r="H119" s="77" t="s">
        <v>113</v>
      </c>
      <c r="I119" s="78">
        <v>0.53</v>
      </c>
      <c r="J119" s="79">
        <v>0.76</v>
      </c>
      <c r="K119" s="80">
        <v>2.19</v>
      </c>
      <c r="L119" s="81" t="s">
        <v>65</v>
      </c>
      <c r="M119" s="82" t="s">
        <v>65</v>
      </c>
      <c r="N119" s="70" t="s">
        <v>65</v>
      </c>
      <c r="U119" s="86" t="s">
        <v>407</v>
      </c>
    </row>
    <row r="120" spans="1:51" ht="15.75" customHeight="1" x14ac:dyDescent="0.3">
      <c r="A120" s="77">
        <v>1</v>
      </c>
      <c r="B120" s="78">
        <v>2.12</v>
      </c>
      <c r="C120" s="79">
        <v>2.56</v>
      </c>
      <c r="D120" s="80">
        <v>5.88</v>
      </c>
      <c r="E120" s="81">
        <v>5.88</v>
      </c>
      <c r="F120" s="82">
        <v>1.1200000000000001</v>
      </c>
      <c r="G120" s="70">
        <v>2</v>
      </c>
      <c r="H120" s="77">
        <v>1</v>
      </c>
      <c r="I120" s="78">
        <v>0.56000000000000005</v>
      </c>
      <c r="J120" s="79">
        <v>0.8</v>
      </c>
      <c r="K120" s="80">
        <v>2.44</v>
      </c>
      <c r="L120" s="81">
        <v>1.1499999999999999</v>
      </c>
      <c r="M120" s="82">
        <v>1.52</v>
      </c>
      <c r="N120" s="70">
        <v>1.83</v>
      </c>
      <c r="U120" s="86" t="s">
        <v>408</v>
      </c>
    </row>
    <row r="121" spans="1:51" ht="15.75" customHeight="1" x14ac:dyDescent="0.3">
      <c r="A121" s="77" t="s">
        <v>122</v>
      </c>
      <c r="B121" s="78">
        <v>2.5</v>
      </c>
      <c r="C121" s="79">
        <v>2.94</v>
      </c>
      <c r="D121" s="80">
        <v>6.25</v>
      </c>
      <c r="E121" s="81" t="s">
        <v>65</v>
      </c>
      <c r="F121" s="82" t="s">
        <v>65</v>
      </c>
      <c r="G121" s="70" t="s">
        <v>65</v>
      </c>
      <c r="H121" s="77" t="s">
        <v>122</v>
      </c>
      <c r="I121" s="78">
        <v>0.63</v>
      </c>
      <c r="J121" s="79">
        <v>0.83</v>
      </c>
      <c r="K121" s="80">
        <v>2.5</v>
      </c>
      <c r="L121" s="81" t="s">
        <v>65</v>
      </c>
      <c r="M121" s="82" t="s">
        <v>65</v>
      </c>
      <c r="N121" s="70" t="s">
        <v>65</v>
      </c>
      <c r="U121" s="86" t="s">
        <v>409</v>
      </c>
    </row>
    <row r="122" spans="1:51" ht="15.75" customHeight="1" x14ac:dyDescent="0.3">
      <c r="A122" s="77" t="s">
        <v>127</v>
      </c>
      <c r="B122" s="78">
        <v>2.75</v>
      </c>
      <c r="C122" s="79">
        <v>3.25</v>
      </c>
      <c r="D122" s="80">
        <v>7</v>
      </c>
      <c r="E122" s="81">
        <v>7</v>
      </c>
      <c r="F122" s="82">
        <v>1.25</v>
      </c>
      <c r="G122" s="70">
        <v>2.88</v>
      </c>
      <c r="H122" s="77" t="s">
        <v>127</v>
      </c>
      <c r="I122" s="78">
        <v>0.63</v>
      </c>
      <c r="J122" s="79">
        <v>0.88</v>
      </c>
      <c r="K122" s="80">
        <v>2.75</v>
      </c>
      <c r="L122" s="81">
        <v>1.56</v>
      </c>
      <c r="M122" s="82">
        <v>2</v>
      </c>
      <c r="N122" s="70">
        <v>2.25</v>
      </c>
      <c r="U122" s="86" t="s">
        <v>410</v>
      </c>
    </row>
    <row r="123" spans="1:51" ht="15.75" customHeight="1" x14ac:dyDescent="0.3">
      <c r="A123" s="77">
        <v>2</v>
      </c>
      <c r="B123" s="78">
        <v>4.12</v>
      </c>
      <c r="C123" s="79">
        <v>5.0599999999999996</v>
      </c>
      <c r="D123" s="80">
        <v>8.5</v>
      </c>
      <c r="E123" s="81">
        <v>8.5</v>
      </c>
      <c r="F123" s="82">
        <v>1.5</v>
      </c>
      <c r="G123" s="70">
        <v>3.62</v>
      </c>
      <c r="H123" s="77">
        <v>2</v>
      </c>
      <c r="I123" s="78">
        <v>1.06</v>
      </c>
      <c r="J123" s="79">
        <v>1.56</v>
      </c>
      <c r="K123" s="80">
        <v>3.25</v>
      </c>
      <c r="L123" s="81">
        <v>1.78</v>
      </c>
      <c r="M123" s="82">
        <v>2.0299999999999998</v>
      </c>
      <c r="N123" s="70">
        <v>2.5299999999999998</v>
      </c>
      <c r="U123" s="86" t="s">
        <v>411</v>
      </c>
    </row>
    <row r="124" spans="1:51" ht="15.75" customHeight="1" x14ac:dyDescent="0.3">
      <c r="A124" s="77" t="s">
        <v>136</v>
      </c>
      <c r="B124" s="78">
        <v>4.88</v>
      </c>
      <c r="C124" s="79">
        <v>5.88</v>
      </c>
      <c r="D124" s="80">
        <v>9.6199999999999992</v>
      </c>
      <c r="E124" s="81">
        <v>9.6199999999999992</v>
      </c>
      <c r="F124" s="82">
        <v>1.62</v>
      </c>
      <c r="G124" s="70">
        <v>4.12</v>
      </c>
      <c r="H124" s="77" t="s">
        <v>136</v>
      </c>
      <c r="I124" s="78">
        <v>1.19</v>
      </c>
      <c r="J124" s="79">
        <v>1.78</v>
      </c>
      <c r="K124" s="80">
        <v>3.56</v>
      </c>
      <c r="L124" s="81">
        <v>2.0299999999999998</v>
      </c>
      <c r="M124" s="82">
        <v>2.34</v>
      </c>
      <c r="N124" s="70">
        <v>2.97</v>
      </c>
      <c r="U124" s="86" t="s">
        <v>412</v>
      </c>
    </row>
    <row r="125" spans="1:51" ht="15.75" customHeight="1" x14ac:dyDescent="0.3">
      <c r="A125" s="77">
        <v>3</v>
      </c>
      <c r="B125" s="78">
        <v>5.25</v>
      </c>
      <c r="C125" s="79">
        <v>6.19</v>
      </c>
      <c r="D125" s="80">
        <v>10.5</v>
      </c>
      <c r="E125" s="81">
        <v>10.5</v>
      </c>
      <c r="F125" s="82">
        <v>1.88</v>
      </c>
      <c r="G125" s="70">
        <v>5</v>
      </c>
      <c r="H125" s="77">
        <v>3</v>
      </c>
      <c r="I125" s="78">
        <v>1.1299999999999999</v>
      </c>
      <c r="J125" s="79">
        <v>1.65</v>
      </c>
      <c r="K125" s="80">
        <v>3.75</v>
      </c>
      <c r="L125" s="81">
        <v>2.0499999999999998</v>
      </c>
      <c r="M125" s="82">
        <v>2.4300000000000002</v>
      </c>
      <c r="N125" s="70">
        <v>2.99</v>
      </c>
      <c r="U125" s="86" t="s">
        <v>413</v>
      </c>
      <c r="AT125" s="86" t="s">
        <v>57</v>
      </c>
      <c r="AU125" s="86">
        <v>0.40500000000000003</v>
      </c>
      <c r="AV125" s="86">
        <v>0.307</v>
      </c>
      <c r="AW125" s="86" t="s">
        <v>414</v>
      </c>
      <c r="AX125" s="86">
        <v>4.9000000000000002E-2</v>
      </c>
      <c r="AY125" s="86">
        <v>0.18629999999999999</v>
      </c>
    </row>
    <row r="126" spans="1:51" ht="15.75" customHeight="1" x14ac:dyDescent="0.3">
      <c r="A126" s="77">
        <v>4</v>
      </c>
      <c r="B126" s="78">
        <v>6.38</v>
      </c>
      <c r="C126" s="79">
        <v>7.5</v>
      </c>
      <c r="D126" s="80">
        <v>12.25</v>
      </c>
      <c r="E126" s="81">
        <v>12.25</v>
      </c>
      <c r="F126" s="82">
        <v>2.12</v>
      </c>
      <c r="G126" s="70">
        <v>6.19</v>
      </c>
      <c r="H126" s="77">
        <v>4</v>
      </c>
      <c r="I126" s="78">
        <v>1.19</v>
      </c>
      <c r="J126" s="79">
        <v>1.84</v>
      </c>
      <c r="K126" s="80">
        <v>4.13</v>
      </c>
      <c r="L126" s="81">
        <v>2.5299999999999998</v>
      </c>
      <c r="M126" s="82">
        <v>3.03</v>
      </c>
      <c r="N126" s="70">
        <v>3.59</v>
      </c>
      <c r="U126" s="86" t="s">
        <v>415</v>
      </c>
      <c r="AV126" s="86">
        <v>0.26900000000000002</v>
      </c>
      <c r="AW126" s="86" t="s">
        <v>416</v>
      </c>
      <c r="AX126" s="86">
        <v>6.8000000000000005E-2</v>
      </c>
      <c r="AY126" s="86">
        <v>0.2447</v>
      </c>
    </row>
    <row r="127" spans="1:51" ht="15.75" customHeight="1" x14ac:dyDescent="0.3">
      <c r="A127" s="77">
        <v>5</v>
      </c>
      <c r="B127" s="78">
        <v>7.75</v>
      </c>
      <c r="C127" s="79">
        <v>9.1199999999999992</v>
      </c>
      <c r="D127" s="80">
        <v>14.75</v>
      </c>
      <c r="E127" s="81">
        <v>14.75</v>
      </c>
      <c r="F127" s="82">
        <v>2.88</v>
      </c>
      <c r="G127" s="70">
        <v>7.31</v>
      </c>
      <c r="H127" s="77">
        <v>5</v>
      </c>
      <c r="I127" s="78">
        <v>1.38</v>
      </c>
      <c r="J127" s="79">
        <v>2.16</v>
      </c>
      <c r="K127" s="80">
        <v>4.88</v>
      </c>
      <c r="L127" s="81">
        <v>2.79</v>
      </c>
      <c r="M127" s="82">
        <v>3.66</v>
      </c>
      <c r="N127" s="70">
        <v>4.34</v>
      </c>
      <c r="U127" s="86" t="s">
        <v>417</v>
      </c>
      <c r="AV127" s="86">
        <v>0.215</v>
      </c>
      <c r="AW127" s="86" t="s">
        <v>418</v>
      </c>
      <c r="AX127" s="86">
        <v>9.5000000000000001E-2</v>
      </c>
      <c r="AY127" s="86">
        <v>0.3145</v>
      </c>
    </row>
    <row r="128" spans="1:51" ht="15.75" customHeight="1" x14ac:dyDescent="0.3">
      <c r="A128" s="77">
        <v>6</v>
      </c>
      <c r="B128" s="78">
        <v>9</v>
      </c>
      <c r="C128" s="79">
        <v>10.31</v>
      </c>
      <c r="D128" s="80">
        <v>15.5</v>
      </c>
      <c r="E128" s="81">
        <v>15.5</v>
      </c>
      <c r="F128" s="82">
        <v>3.25</v>
      </c>
      <c r="G128" s="70">
        <v>8.5</v>
      </c>
      <c r="H128" s="77">
        <v>6</v>
      </c>
      <c r="I128" s="78">
        <v>1.5</v>
      </c>
      <c r="J128" s="79">
        <v>2.2799999999999998</v>
      </c>
      <c r="K128" s="80">
        <v>4.75</v>
      </c>
      <c r="L128" s="81">
        <v>3.18</v>
      </c>
      <c r="M128" s="82">
        <v>3.87</v>
      </c>
      <c r="N128" s="70">
        <v>4.25</v>
      </c>
      <c r="U128" s="86" t="s">
        <v>419</v>
      </c>
      <c r="AT128" s="86" t="s">
        <v>58</v>
      </c>
      <c r="AU128" s="86">
        <v>0.54</v>
      </c>
      <c r="AV128" s="86">
        <v>0.41</v>
      </c>
      <c r="AW128" s="86" t="s">
        <v>414</v>
      </c>
      <c r="AX128" s="86">
        <v>6.5000000000000002E-2</v>
      </c>
      <c r="AY128" s="86">
        <v>0.32969999999999999</v>
      </c>
    </row>
    <row r="129" spans="1:51" ht="15.75" customHeight="1" x14ac:dyDescent="0.3">
      <c r="A129" s="77">
        <v>8</v>
      </c>
      <c r="B129" s="78">
        <v>11.5</v>
      </c>
      <c r="C129" s="79">
        <v>12.94</v>
      </c>
      <c r="D129" s="80">
        <v>19</v>
      </c>
      <c r="E129" s="81">
        <v>19</v>
      </c>
      <c r="F129" s="82">
        <v>3.62</v>
      </c>
      <c r="G129" s="70">
        <v>10.62</v>
      </c>
      <c r="H129" s="77">
        <v>8</v>
      </c>
      <c r="I129" s="78">
        <v>1.75</v>
      </c>
      <c r="J129" s="79">
        <v>2.66</v>
      </c>
      <c r="K129" s="80">
        <v>5.5</v>
      </c>
      <c r="L129" s="81">
        <v>3.75</v>
      </c>
      <c r="M129" s="82">
        <v>4.32</v>
      </c>
      <c r="N129" s="70">
        <v>4.88</v>
      </c>
      <c r="U129" s="86" t="s">
        <v>420</v>
      </c>
      <c r="AV129" s="86">
        <v>0.36399999999999999</v>
      </c>
      <c r="AW129" s="86" t="s">
        <v>416</v>
      </c>
      <c r="AX129" s="86">
        <v>8.7999999999999995E-2</v>
      </c>
      <c r="AY129" s="86">
        <v>0.42480000000000001</v>
      </c>
    </row>
    <row r="130" spans="1:51" ht="15.75" customHeight="1" x14ac:dyDescent="0.3">
      <c r="A130" s="77">
        <v>10</v>
      </c>
      <c r="B130" s="78">
        <v>14.5</v>
      </c>
      <c r="C130" s="79">
        <v>16.059999999999999</v>
      </c>
      <c r="D130" s="80">
        <v>23</v>
      </c>
      <c r="E130" s="81">
        <v>23</v>
      </c>
      <c r="F130" s="82">
        <v>4.25</v>
      </c>
      <c r="G130" s="70">
        <v>12.75</v>
      </c>
      <c r="H130" s="77">
        <v>10</v>
      </c>
      <c r="I130" s="78">
        <v>2.25</v>
      </c>
      <c r="J130" s="79">
        <v>3.25</v>
      </c>
      <c r="K130" s="80">
        <v>6.5</v>
      </c>
      <c r="L130" s="81">
        <v>3.91</v>
      </c>
      <c r="M130" s="82">
        <v>5.28</v>
      </c>
      <c r="N130" s="70">
        <v>6.35</v>
      </c>
      <c r="U130" s="86" t="s">
        <v>421</v>
      </c>
      <c r="AV130" s="86">
        <v>0.30199999999999999</v>
      </c>
      <c r="AW130" s="86" t="s">
        <v>418</v>
      </c>
      <c r="AX130" s="86">
        <v>0.11899999999999999</v>
      </c>
      <c r="AY130" s="86">
        <v>0.53510000000000002</v>
      </c>
    </row>
    <row r="131" spans="1:51" ht="15.75" customHeight="1" x14ac:dyDescent="0.3">
      <c r="A131" s="77">
        <v>12</v>
      </c>
      <c r="B131" s="78">
        <v>17.75</v>
      </c>
      <c r="C131" s="79">
        <v>19.38</v>
      </c>
      <c r="D131" s="80">
        <v>26.5</v>
      </c>
      <c r="E131" s="81">
        <v>26.5</v>
      </c>
      <c r="F131" s="82">
        <v>4.88</v>
      </c>
      <c r="G131" s="70">
        <v>15</v>
      </c>
      <c r="H131" s="77">
        <v>12</v>
      </c>
      <c r="I131" s="78">
        <v>2.88</v>
      </c>
      <c r="J131" s="79">
        <v>4</v>
      </c>
      <c r="K131" s="80">
        <v>7.25</v>
      </c>
      <c r="L131" s="81">
        <v>5.44</v>
      </c>
      <c r="M131" s="82">
        <v>5.94</v>
      </c>
      <c r="N131" s="70">
        <v>6.37</v>
      </c>
      <c r="U131" s="86" t="s">
        <v>422</v>
      </c>
      <c r="AT131" s="86" t="s">
        <v>59</v>
      </c>
      <c r="AU131" s="86">
        <v>0.67500000000000004</v>
      </c>
      <c r="AV131" s="86">
        <v>0.54500000000000004</v>
      </c>
      <c r="AW131" s="86" t="s">
        <v>414</v>
      </c>
      <c r="AX131" s="86">
        <v>6.5000000000000002E-2</v>
      </c>
      <c r="AY131" s="86">
        <v>0.42349999999999999</v>
      </c>
    </row>
    <row r="132" spans="1:51" ht="15.75" customHeight="1" x14ac:dyDescent="0.3">
      <c r="A132" s="77">
        <v>14</v>
      </c>
      <c r="B132" s="78">
        <v>19.5</v>
      </c>
      <c r="C132" s="79">
        <v>21.5</v>
      </c>
      <c r="D132" s="80">
        <v>29.5</v>
      </c>
      <c r="E132" s="81">
        <v>29.5</v>
      </c>
      <c r="F132" s="82">
        <v>5.25</v>
      </c>
      <c r="G132" s="70">
        <v>16.25</v>
      </c>
      <c r="H132" s="77">
        <v>14</v>
      </c>
      <c r="I132" s="78">
        <v>2.75</v>
      </c>
      <c r="J132" s="79">
        <v>3.75</v>
      </c>
      <c r="K132" s="80">
        <v>7.75</v>
      </c>
      <c r="L132" s="81">
        <v>4.63</v>
      </c>
      <c r="M132" s="82">
        <v>5.5</v>
      </c>
      <c r="N132" s="70">
        <v>6.88</v>
      </c>
      <c r="U132" s="86" t="s">
        <v>423</v>
      </c>
      <c r="AV132" s="86">
        <v>0.49299999999999999</v>
      </c>
      <c r="AW132" s="86" t="s">
        <v>416</v>
      </c>
      <c r="AX132" s="86">
        <v>9.0999999999999998E-2</v>
      </c>
      <c r="AY132" s="86">
        <v>0.56759999999999999</v>
      </c>
    </row>
    <row r="133" spans="1:51" ht="15.75" customHeight="1" x14ac:dyDescent="0.3">
      <c r="A133" s="77">
        <v>16</v>
      </c>
      <c r="B133" s="78">
        <v>21.75</v>
      </c>
      <c r="C133" s="79">
        <v>23.88</v>
      </c>
      <c r="D133" s="80">
        <v>32.5</v>
      </c>
      <c r="E133" s="81">
        <v>32.5</v>
      </c>
      <c r="F133" s="82">
        <v>5.75</v>
      </c>
      <c r="G133" s="70">
        <v>18.5</v>
      </c>
      <c r="H133" s="77">
        <v>16</v>
      </c>
      <c r="I133" s="78">
        <v>2.88</v>
      </c>
      <c r="J133" s="79">
        <v>3.94</v>
      </c>
      <c r="K133" s="80">
        <v>8.25</v>
      </c>
      <c r="L133" s="81">
        <v>5.13</v>
      </c>
      <c r="M133" s="82">
        <v>6.63</v>
      </c>
      <c r="N133" s="70">
        <v>7.38</v>
      </c>
      <c r="U133" s="86" t="s">
        <v>424</v>
      </c>
      <c r="AV133" s="86">
        <v>0.42299999999999999</v>
      </c>
      <c r="AW133" s="86" t="s">
        <v>418</v>
      </c>
      <c r="AX133" s="86">
        <v>0.126</v>
      </c>
      <c r="AY133" s="86">
        <v>0.73880000000000001</v>
      </c>
    </row>
    <row r="134" spans="1:51" ht="15.75" customHeight="1" x14ac:dyDescent="0.3">
      <c r="A134" s="77">
        <v>18</v>
      </c>
      <c r="B134" s="78">
        <v>23.5</v>
      </c>
      <c r="C134" s="79">
        <v>26.25</v>
      </c>
      <c r="D134" s="80">
        <v>36</v>
      </c>
      <c r="E134" s="81">
        <v>36</v>
      </c>
      <c r="F134" s="82">
        <v>6.38</v>
      </c>
      <c r="G134" s="70">
        <v>21</v>
      </c>
      <c r="H134" s="77">
        <v>18</v>
      </c>
      <c r="I134" s="78">
        <v>2.75</v>
      </c>
      <c r="J134" s="79">
        <v>4.13</v>
      </c>
      <c r="K134" s="80">
        <v>9</v>
      </c>
      <c r="L134" s="81">
        <v>4.88</v>
      </c>
      <c r="M134" s="82">
        <v>6.38</v>
      </c>
      <c r="N134" s="70">
        <v>7.81</v>
      </c>
      <c r="U134" s="86" t="s">
        <v>425</v>
      </c>
      <c r="AT134" s="86" t="s">
        <v>60</v>
      </c>
      <c r="AU134" s="86">
        <v>0.84</v>
      </c>
      <c r="AV134" s="86">
        <v>0.67400000000000004</v>
      </c>
      <c r="AW134" s="86" t="s">
        <v>414</v>
      </c>
      <c r="AX134" s="86">
        <v>8.3000000000000004E-2</v>
      </c>
      <c r="AY134" s="86">
        <v>0.67100000000000004</v>
      </c>
    </row>
    <row r="135" spans="1:51" ht="15.75" customHeight="1" x14ac:dyDescent="0.3">
      <c r="A135" s="77">
        <v>20</v>
      </c>
      <c r="B135" s="78">
        <v>25.25</v>
      </c>
      <c r="C135" s="79">
        <v>28.12</v>
      </c>
      <c r="D135" s="80">
        <v>38.75</v>
      </c>
      <c r="E135" s="81">
        <v>38.75</v>
      </c>
      <c r="F135" s="82">
        <v>7</v>
      </c>
      <c r="G135" s="70">
        <v>23</v>
      </c>
      <c r="H135" s="77">
        <v>20</v>
      </c>
      <c r="I135" s="78">
        <v>2.63</v>
      </c>
      <c r="J135" s="79">
        <v>4.0599999999999996</v>
      </c>
      <c r="K135" s="80">
        <v>9.3800000000000008</v>
      </c>
      <c r="L135" s="81">
        <v>5.38</v>
      </c>
      <c r="M135" s="82">
        <v>6.5</v>
      </c>
      <c r="N135" s="70">
        <v>8</v>
      </c>
      <c r="U135" s="86" t="s">
        <v>426</v>
      </c>
      <c r="AV135" s="86">
        <v>0.622</v>
      </c>
      <c r="AW135" s="86" t="s">
        <v>416</v>
      </c>
      <c r="AX135" s="86">
        <v>0.109</v>
      </c>
      <c r="AY135" s="86">
        <v>0.85099999999999998</v>
      </c>
    </row>
    <row r="136" spans="1:51" ht="15.75" customHeight="1" x14ac:dyDescent="0.3">
      <c r="A136" s="77">
        <v>24</v>
      </c>
      <c r="B136" s="78">
        <v>30</v>
      </c>
      <c r="C136" s="79">
        <v>33.619999999999997</v>
      </c>
      <c r="D136" s="80">
        <v>46</v>
      </c>
      <c r="E136" s="81">
        <v>46</v>
      </c>
      <c r="F136" s="82">
        <v>8</v>
      </c>
      <c r="G136" s="70">
        <v>27.25</v>
      </c>
      <c r="H136" s="77">
        <v>24</v>
      </c>
      <c r="I136" s="78">
        <v>3</v>
      </c>
      <c r="J136" s="79">
        <v>4.8099999999999996</v>
      </c>
      <c r="K136" s="80">
        <v>11</v>
      </c>
      <c r="L136" s="81">
        <v>6</v>
      </c>
      <c r="M136" s="82">
        <v>6.75</v>
      </c>
      <c r="N136" s="70">
        <v>8.25</v>
      </c>
      <c r="U136" s="86" t="s">
        <v>427</v>
      </c>
      <c r="AV136" s="86">
        <v>0.54600000000000004</v>
      </c>
      <c r="AW136" s="86" t="s">
        <v>418</v>
      </c>
      <c r="AX136" s="86">
        <v>0.14699999999999999</v>
      </c>
      <c r="AY136" s="86">
        <v>1.0880000000000001</v>
      </c>
    </row>
    <row r="137" spans="1:51" ht="15.75" customHeight="1" x14ac:dyDescent="0.6">
      <c r="A137" s="175" t="s">
        <v>428</v>
      </c>
      <c r="B137" s="133"/>
      <c r="C137" s="133"/>
      <c r="D137" s="133"/>
      <c r="E137" s="133"/>
      <c r="F137" s="133"/>
      <c r="G137" s="133"/>
      <c r="H137" s="133"/>
      <c r="I137" s="133"/>
      <c r="J137" s="133"/>
      <c r="K137" s="133"/>
      <c r="L137" s="133"/>
      <c r="M137" s="133"/>
      <c r="N137" s="132"/>
      <c r="U137" s="86" t="s">
        <v>429</v>
      </c>
      <c r="AV137" s="86">
        <v>0.46600000000000003</v>
      </c>
      <c r="AW137" s="86">
        <v>160</v>
      </c>
      <c r="AX137" s="86">
        <v>0.187</v>
      </c>
      <c r="AY137" s="86">
        <v>1.304</v>
      </c>
    </row>
    <row r="138" spans="1:51" ht="15.75" customHeight="1" x14ac:dyDescent="0.3">
      <c r="A138" s="70"/>
      <c r="B138" s="176" t="s">
        <v>91</v>
      </c>
      <c r="C138" s="133"/>
      <c r="D138" s="133"/>
      <c r="E138" s="133"/>
      <c r="F138" s="133"/>
      <c r="G138" s="132"/>
      <c r="H138" s="70"/>
      <c r="I138" s="177" t="s">
        <v>92</v>
      </c>
      <c r="J138" s="133"/>
      <c r="K138" s="133"/>
      <c r="L138" s="133"/>
      <c r="M138" s="133"/>
      <c r="N138" s="132"/>
      <c r="U138" s="86" t="s">
        <v>430</v>
      </c>
      <c r="AV138" s="86">
        <v>0.252</v>
      </c>
      <c r="AW138" s="86" t="s">
        <v>431</v>
      </c>
      <c r="AX138" s="86">
        <v>0.29399999999999998</v>
      </c>
      <c r="AY138" s="86">
        <v>1.714</v>
      </c>
    </row>
    <row r="139" spans="1:51" ht="15.75" customHeight="1" x14ac:dyDescent="0.3">
      <c r="A139" s="77" t="s">
        <v>98</v>
      </c>
      <c r="B139" s="78" t="s">
        <v>99</v>
      </c>
      <c r="C139" s="79" t="s">
        <v>100</v>
      </c>
      <c r="D139" s="80" t="s">
        <v>101</v>
      </c>
      <c r="E139" s="81" t="s">
        <v>102</v>
      </c>
      <c r="F139" s="82" t="s">
        <v>103</v>
      </c>
      <c r="G139" s="70" t="s">
        <v>104</v>
      </c>
      <c r="H139" s="77" t="s">
        <v>98</v>
      </c>
      <c r="I139" s="78" t="s">
        <v>99</v>
      </c>
      <c r="J139" s="79" t="s">
        <v>100</v>
      </c>
      <c r="K139" s="80" t="s">
        <v>101</v>
      </c>
      <c r="L139" s="83" t="s">
        <v>102</v>
      </c>
      <c r="M139" s="84" t="s">
        <v>103</v>
      </c>
      <c r="N139" s="85" t="s">
        <v>104</v>
      </c>
      <c r="U139" s="86" t="s">
        <v>432</v>
      </c>
      <c r="AT139" s="86" t="s">
        <v>61</v>
      </c>
      <c r="AU139" s="86">
        <v>1.05</v>
      </c>
      <c r="AV139" s="86">
        <v>0.88400000000000001</v>
      </c>
      <c r="AW139" s="86" t="s">
        <v>414</v>
      </c>
      <c r="AX139" s="86">
        <v>8.3000000000000004E-2</v>
      </c>
      <c r="AY139" s="86">
        <v>0.85719999999999996</v>
      </c>
    </row>
    <row r="140" spans="1:51" ht="15.75" customHeight="1" x14ac:dyDescent="0.3">
      <c r="A140" s="77" t="s">
        <v>108</v>
      </c>
      <c r="B140" s="78">
        <v>1.81</v>
      </c>
      <c r="C140" s="79">
        <v>2.25</v>
      </c>
      <c r="D140" s="80">
        <v>5.25</v>
      </c>
      <c r="E140" s="81" t="s">
        <v>65</v>
      </c>
      <c r="F140" s="82" t="s">
        <v>65</v>
      </c>
      <c r="G140" s="70" t="s">
        <v>65</v>
      </c>
      <c r="H140" s="77" t="s">
        <v>108</v>
      </c>
      <c r="I140" s="78">
        <v>0.66</v>
      </c>
      <c r="J140" s="79">
        <v>0.85</v>
      </c>
      <c r="K140" s="80">
        <v>2.38</v>
      </c>
      <c r="L140" s="81" t="s">
        <v>65</v>
      </c>
      <c r="M140" s="82" t="s">
        <v>65</v>
      </c>
      <c r="N140" s="70" t="s">
        <v>65</v>
      </c>
      <c r="U140" s="86" t="s">
        <v>433</v>
      </c>
      <c r="AV140" s="86">
        <v>0.82399999999999995</v>
      </c>
      <c r="AW140" s="86" t="s">
        <v>416</v>
      </c>
      <c r="AX140" s="86">
        <v>0.113</v>
      </c>
      <c r="AY140" s="86">
        <v>1.131</v>
      </c>
    </row>
    <row r="141" spans="1:51" ht="15.75" customHeight="1" x14ac:dyDescent="0.3">
      <c r="A141" s="77" t="s">
        <v>113</v>
      </c>
      <c r="B141" s="78">
        <v>2.06</v>
      </c>
      <c r="C141" s="79">
        <v>2.5</v>
      </c>
      <c r="D141" s="80">
        <v>5.5</v>
      </c>
      <c r="E141" s="81" t="s">
        <v>65</v>
      </c>
      <c r="F141" s="82" t="s">
        <v>65</v>
      </c>
      <c r="G141" s="70" t="s">
        <v>65</v>
      </c>
      <c r="H141" s="77" t="s">
        <v>113</v>
      </c>
      <c r="I141" s="78">
        <v>0.66</v>
      </c>
      <c r="J141" s="79">
        <v>0.88</v>
      </c>
      <c r="K141" s="80">
        <v>2.38</v>
      </c>
      <c r="L141" s="81" t="s">
        <v>65</v>
      </c>
      <c r="M141" s="82" t="s">
        <v>65</v>
      </c>
      <c r="N141" s="70" t="s">
        <v>65</v>
      </c>
      <c r="U141" s="86" t="s">
        <v>434</v>
      </c>
      <c r="AV141" s="86">
        <v>0.74199999999999999</v>
      </c>
      <c r="AW141" s="86" t="s">
        <v>418</v>
      </c>
      <c r="AX141" s="86">
        <v>0.154</v>
      </c>
      <c r="AY141" s="86">
        <v>1.474</v>
      </c>
    </row>
    <row r="142" spans="1:51" ht="15.75" customHeight="1" x14ac:dyDescent="0.3">
      <c r="A142" s="77">
        <v>1</v>
      </c>
      <c r="B142" s="78">
        <v>2.25</v>
      </c>
      <c r="C142" s="79">
        <v>2.81</v>
      </c>
      <c r="D142" s="80">
        <v>6.25</v>
      </c>
      <c r="E142" s="81">
        <v>4</v>
      </c>
      <c r="F142" s="82">
        <v>4.62</v>
      </c>
      <c r="G142" s="70">
        <v>5.5</v>
      </c>
      <c r="H142" s="77">
        <v>1</v>
      </c>
      <c r="I142" s="78">
        <v>0.63</v>
      </c>
      <c r="J142" s="79">
        <v>0.93</v>
      </c>
      <c r="K142" s="80">
        <v>2.63</v>
      </c>
      <c r="L142" s="81">
        <v>1.52</v>
      </c>
      <c r="M142" s="82">
        <v>1.83</v>
      </c>
      <c r="N142" s="70">
        <v>2.27</v>
      </c>
      <c r="U142" s="86" t="s">
        <v>435</v>
      </c>
      <c r="AV142" s="86">
        <v>0.61399999999999999</v>
      </c>
      <c r="AW142" s="86">
        <v>160</v>
      </c>
      <c r="AX142" s="86">
        <v>0.218</v>
      </c>
      <c r="AY142" s="86">
        <v>1.9370000000000001</v>
      </c>
    </row>
    <row r="143" spans="1:51" ht="15.75" customHeight="1" x14ac:dyDescent="0.3">
      <c r="A143" s="77" t="s">
        <v>122</v>
      </c>
      <c r="B143" s="78">
        <v>2.88</v>
      </c>
      <c r="C143" s="79">
        <v>3.5</v>
      </c>
      <c r="D143" s="80">
        <v>7.25</v>
      </c>
      <c r="E143" s="81" t="s">
        <v>65</v>
      </c>
      <c r="F143" s="82" t="s">
        <v>65</v>
      </c>
      <c r="G143" s="70" t="s">
        <v>65</v>
      </c>
      <c r="H143" s="77" t="s">
        <v>122</v>
      </c>
      <c r="I143" s="78">
        <v>0.82</v>
      </c>
      <c r="J143" s="79">
        <v>1.1100000000000001</v>
      </c>
      <c r="K143" s="80">
        <v>3</v>
      </c>
      <c r="L143" s="81" t="s">
        <v>65</v>
      </c>
      <c r="M143" s="82" t="s">
        <v>65</v>
      </c>
      <c r="N143" s="70" t="s">
        <v>65</v>
      </c>
      <c r="U143" s="86" t="s">
        <v>436</v>
      </c>
      <c r="AV143" s="86">
        <v>0.434</v>
      </c>
      <c r="AW143" s="86" t="s">
        <v>431</v>
      </c>
      <c r="AX143" s="86">
        <v>0.308</v>
      </c>
      <c r="AY143" s="86">
        <v>2.4409999999999998</v>
      </c>
    </row>
    <row r="144" spans="1:51" ht="15.75" customHeight="1" x14ac:dyDescent="0.3">
      <c r="A144" s="77" t="s">
        <v>127</v>
      </c>
      <c r="B144" s="78">
        <v>3.12</v>
      </c>
      <c r="C144" s="79">
        <v>3.94</v>
      </c>
      <c r="D144" s="80">
        <v>8</v>
      </c>
      <c r="E144" s="81">
        <v>5.5</v>
      </c>
      <c r="F144" s="82">
        <v>6</v>
      </c>
      <c r="G144" s="70">
        <v>7</v>
      </c>
      <c r="H144" s="77" t="s">
        <v>127</v>
      </c>
      <c r="I144" s="78">
        <v>0.81</v>
      </c>
      <c r="J144" s="79">
        <v>1.22</v>
      </c>
      <c r="K144" s="80">
        <v>3.25</v>
      </c>
      <c r="L144" s="81">
        <v>2</v>
      </c>
      <c r="M144" s="82">
        <v>2.25</v>
      </c>
      <c r="N144" s="70">
        <v>2.75</v>
      </c>
      <c r="U144" s="86" t="s">
        <v>437</v>
      </c>
      <c r="AT144" s="86" t="s">
        <v>62</v>
      </c>
      <c r="AU144" s="86">
        <v>1.3149999999999999</v>
      </c>
      <c r="AV144" s="86">
        <v>1.097</v>
      </c>
      <c r="AW144" s="86" t="s">
        <v>414</v>
      </c>
      <c r="AX144" s="86">
        <v>0.109</v>
      </c>
      <c r="AY144" s="86">
        <v>1.4039999999999999</v>
      </c>
    </row>
    <row r="145" spans="1:51" ht="15.75" customHeight="1" x14ac:dyDescent="0.3">
      <c r="A145" s="77">
        <v>2</v>
      </c>
      <c r="B145" s="78">
        <v>3.75</v>
      </c>
      <c r="C145" s="79">
        <v>5.12</v>
      </c>
      <c r="D145" s="80">
        <v>9.25</v>
      </c>
      <c r="E145" s="81">
        <v>6</v>
      </c>
      <c r="F145" s="82">
        <v>7</v>
      </c>
      <c r="G145" s="70">
        <v>8</v>
      </c>
      <c r="H145" s="77">
        <v>2</v>
      </c>
      <c r="I145" s="78">
        <v>0.88</v>
      </c>
      <c r="J145" s="79">
        <v>1.59</v>
      </c>
      <c r="K145" s="80">
        <v>3.63</v>
      </c>
      <c r="L145" s="81">
        <v>2.0299999999999998</v>
      </c>
      <c r="M145" s="82">
        <v>2.5299999999999998</v>
      </c>
      <c r="N145" s="70">
        <v>3.03</v>
      </c>
      <c r="U145" s="86" t="s">
        <v>438</v>
      </c>
      <c r="AV145" s="86">
        <v>1.0489999999999999</v>
      </c>
      <c r="AW145" s="86" t="s">
        <v>416</v>
      </c>
      <c r="AX145" s="86">
        <v>0.13300000000000001</v>
      </c>
      <c r="AY145" s="86">
        <v>1.679</v>
      </c>
    </row>
    <row r="146" spans="1:51" ht="15.75" customHeight="1" x14ac:dyDescent="0.3">
      <c r="A146" s="77" t="s">
        <v>136</v>
      </c>
      <c r="B146" s="78">
        <v>4.5</v>
      </c>
      <c r="C146" s="79">
        <v>5.94</v>
      </c>
      <c r="D146" s="80">
        <v>10.5</v>
      </c>
      <c r="E146" s="81">
        <v>7</v>
      </c>
      <c r="F146" s="82">
        <v>7.75</v>
      </c>
      <c r="G146" s="70">
        <v>8.8800000000000008</v>
      </c>
      <c r="H146" s="77" t="s">
        <v>136</v>
      </c>
      <c r="I146" s="78">
        <v>1</v>
      </c>
      <c r="J146" s="79">
        <v>1.81</v>
      </c>
      <c r="K146" s="80">
        <v>4</v>
      </c>
      <c r="L146" s="81">
        <v>2.34</v>
      </c>
      <c r="M146" s="82">
        <v>2.72</v>
      </c>
      <c r="N146" s="70">
        <v>3.28</v>
      </c>
      <c r="U146" s="86" t="s">
        <v>439</v>
      </c>
      <c r="AV146" s="86">
        <v>0.95699999999999996</v>
      </c>
      <c r="AW146" s="86" t="s">
        <v>418</v>
      </c>
      <c r="AX146" s="86">
        <v>0.17899999999999999</v>
      </c>
      <c r="AY146" s="86">
        <v>2.1720000000000002</v>
      </c>
    </row>
    <row r="147" spans="1:51" ht="15.75" customHeight="1" x14ac:dyDescent="0.3">
      <c r="A147" s="77">
        <v>3</v>
      </c>
      <c r="B147" s="78">
        <v>5.25</v>
      </c>
      <c r="C147" s="79">
        <v>7</v>
      </c>
      <c r="D147" s="80">
        <v>12</v>
      </c>
      <c r="E147" s="81">
        <v>8.25</v>
      </c>
      <c r="F147" s="82">
        <v>9.8800000000000008</v>
      </c>
      <c r="G147" s="70">
        <v>11</v>
      </c>
      <c r="H147" s="77">
        <v>3</v>
      </c>
      <c r="I147" s="78">
        <v>1.1299999999999999</v>
      </c>
      <c r="J147" s="79">
        <v>2.0499999999999998</v>
      </c>
      <c r="K147" s="80">
        <v>4.5</v>
      </c>
      <c r="L147" s="81">
        <v>2.68</v>
      </c>
      <c r="M147" s="82">
        <v>3.49</v>
      </c>
      <c r="N147" s="70">
        <v>4.05</v>
      </c>
      <c r="U147" s="86" t="s">
        <v>440</v>
      </c>
      <c r="AV147" s="86">
        <v>0.81499999999999995</v>
      </c>
      <c r="AW147" s="86">
        <v>160</v>
      </c>
      <c r="AX147" s="86">
        <v>0.25</v>
      </c>
      <c r="AY147" s="86">
        <v>2.8439999999999999</v>
      </c>
    </row>
    <row r="148" spans="1:51" ht="15.75" customHeight="1" x14ac:dyDescent="0.3">
      <c r="A148" s="77">
        <v>4</v>
      </c>
      <c r="B148" s="78">
        <v>6.5</v>
      </c>
      <c r="C148" s="79">
        <v>8.3800000000000008</v>
      </c>
      <c r="D148" s="80">
        <v>14</v>
      </c>
      <c r="E148" s="81">
        <v>9.8800000000000008</v>
      </c>
      <c r="F148" s="82">
        <v>11</v>
      </c>
      <c r="G148" s="70">
        <v>12.12</v>
      </c>
      <c r="H148" s="77">
        <v>4</v>
      </c>
      <c r="I148" s="78">
        <v>1.25</v>
      </c>
      <c r="J148" s="79">
        <v>2.2799999999999998</v>
      </c>
      <c r="K148" s="80">
        <v>5</v>
      </c>
      <c r="L148" s="81">
        <v>3.03</v>
      </c>
      <c r="M148" s="82">
        <v>3.59</v>
      </c>
      <c r="N148" s="70">
        <v>4.1500000000000004</v>
      </c>
      <c r="U148" s="86" t="s">
        <v>441</v>
      </c>
      <c r="AV148" s="86">
        <v>0.59899999999999998</v>
      </c>
      <c r="AW148" s="86" t="s">
        <v>431</v>
      </c>
      <c r="AX148" s="86">
        <v>0.35799999999999998</v>
      </c>
      <c r="AY148" s="86">
        <v>3.6589999999999998</v>
      </c>
    </row>
    <row r="149" spans="1:51" ht="15.75" customHeight="1" x14ac:dyDescent="0.3">
      <c r="A149" s="77">
        <v>5</v>
      </c>
      <c r="B149" s="78">
        <v>8</v>
      </c>
      <c r="C149" s="79">
        <v>10</v>
      </c>
      <c r="D149" s="80">
        <v>16.5</v>
      </c>
      <c r="E149" s="81">
        <v>11</v>
      </c>
      <c r="F149" s="82">
        <v>13.5</v>
      </c>
      <c r="G149" s="70">
        <v>15.25</v>
      </c>
      <c r="H149" s="77">
        <v>5</v>
      </c>
      <c r="I149" s="78">
        <v>1.5</v>
      </c>
      <c r="J149" s="79">
        <v>2.6</v>
      </c>
      <c r="K149" s="80">
        <v>5.75</v>
      </c>
      <c r="L149" s="81">
        <v>3.1</v>
      </c>
      <c r="M149" s="82">
        <v>4.3499999999999996</v>
      </c>
      <c r="N149" s="70">
        <v>5.22</v>
      </c>
      <c r="U149" s="86" t="s">
        <v>442</v>
      </c>
      <c r="AT149" s="86" t="s">
        <v>443</v>
      </c>
      <c r="AU149" s="86">
        <v>1.66</v>
      </c>
      <c r="AV149" s="86">
        <v>1.4419999999999999</v>
      </c>
      <c r="AW149" s="86" t="s">
        <v>414</v>
      </c>
      <c r="AX149" s="86">
        <v>0.109</v>
      </c>
      <c r="AY149" s="86">
        <v>1.806</v>
      </c>
    </row>
    <row r="150" spans="1:51" ht="15.75" customHeight="1" x14ac:dyDescent="0.3">
      <c r="A150" s="77">
        <v>6</v>
      </c>
      <c r="B150" s="78">
        <v>9.25</v>
      </c>
      <c r="C150" s="79">
        <v>11.38</v>
      </c>
      <c r="D150" s="80">
        <v>19</v>
      </c>
      <c r="E150" s="81">
        <v>13.5</v>
      </c>
      <c r="F150" s="82">
        <v>15.12</v>
      </c>
      <c r="G150" s="70">
        <v>17.38</v>
      </c>
      <c r="H150" s="77">
        <v>6</v>
      </c>
      <c r="I150" s="78">
        <v>1.63</v>
      </c>
      <c r="J150" s="79">
        <v>2.81</v>
      </c>
      <c r="K150" s="80">
        <v>6.5</v>
      </c>
      <c r="L150" s="81">
        <v>3.87</v>
      </c>
      <c r="M150" s="82">
        <v>4.68</v>
      </c>
      <c r="N150" s="70">
        <v>5.81</v>
      </c>
      <c r="U150" s="86" t="s">
        <v>444</v>
      </c>
      <c r="AV150" s="86">
        <v>1.38</v>
      </c>
      <c r="AW150" s="86" t="s">
        <v>416</v>
      </c>
      <c r="AX150" s="86">
        <v>0.14000000000000001</v>
      </c>
      <c r="AY150" s="86">
        <v>2.2730000000000001</v>
      </c>
    </row>
    <row r="151" spans="1:51" ht="15.75" customHeight="1" x14ac:dyDescent="0.3">
      <c r="A151" s="77">
        <v>8</v>
      </c>
      <c r="B151" s="78">
        <v>12</v>
      </c>
      <c r="C151" s="79">
        <v>14.12</v>
      </c>
      <c r="D151" s="80">
        <v>21.75</v>
      </c>
      <c r="E151" s="81">
        <v>15.12</v>
      </c>
      <c r="F151" s="82">
        <v>18.25</v>
      </c>
      <c r="G151" s="70">
        <v>20.12</v>
      </c>
      <c r="H151" s="77">
        <v>8</v>
      </c>
      <c r="I151" s="78">
        <v>2</v>
      </c>
      <c r="J151" s="79">
        <v>3.25</v>
      </c>
      <c r="K151" s="80">
        <v>6.88</v>
      </c>
      <c r="L151" s="81">
        <v>3.75</v>
      </c>
      <c r="M151" s="82">
        <v>5.32</v>
      </c>
      <c r="N151" s="70">
        <v>6.25</v>
      </c>
      <c r="U151" s="86" t="s">
        <v>445</v>
      </c>
      <c r="AV151" s="86">
        <v>1.278</v>
      </c>
      <c r="AW151" s="86" t="s">
        <v>418</v>
      </c>
      <c r="AX151" s="86">
        <v>0.191</v>
      </c>
      <c r="AY151" s="86">
        <v>2.9969999999999999</v>
      </c>
    </row>
    <row r="152" spans="1:51" ht="15.75" customHeight="1" x14ac:dyDescent="0.3">
      <c r="A152" s="77">
        <v>10</v>
      </c>
      <c r="B152" s="78">
        <v>14.75</v>
      </c>
      <c r="C152" s="79">
        <v>17.38</v>
      </c>
      <c r="D152" s="80">
        <v>26.5</v>
      </c>
      <c r="E152" s="81">
        <v>20.12</v>
      </c>
      <c r="F152" s="82">
        <v>22.25</v>
      </c>
      <c r="G152" s="70">
        <v>24.12</v>
      </c>
      <c r="H152" s="77">
        <v>10</v>
      </c>
      <c r="I152" s="78">
        <v>2.38</v>
      </c>
      <c r="J152" s="79">
        <v>3.91</v>
      </c>
      <c r="K152" s="80">
        <v>8.25</v>
      </c>
      <c r="L152" s="81">
        <v>5.28</v>
      </c>
      <c r="M152" s="82">
        <v>6.35</v>
      </c>
      <c r="N152" s="70">
        <v>7.28</v>
      </c>
      <c r="U152" s="86" t="s">
        <v>446</v>
      </c>
      <c r="AV152" s="86">
        <v>1.1599999999999999</v>
      </c>
      <c r="AW152" s="86">
        <v>160</v>
      </c>
      <c r="AX152" s="86">
        <v>0.25</v>
      </c>
      <c r="AY152" s="86">
        <v>3.7650000000000001</v>
      </c>
    </row>
    <row r="153" spans="1:51" ht="15.75" customHeight="1" x14ac:dyDescent="0.3">
      <c r="A153" s="77">
        <v>12</v>
      </c>
      <c r="B153" s="78">
        <v>17.38</v>
      </c>
      <c r="C153" s="79">
        <v>20.12</v>
      </c>
      <c r="D153" s="80">
        <v>30</v>
      </c>
      <c r="E153" s="81">
        <v>22.25</v>
      </c>
      <c r="F153" s="82">
        <v>25</v>
      </c>
      <c r="G153" s="70">
        <v>27.75</v>
      </c>
      <c r="H153" s="77">
        <v>12</v>
      </c>
      <c r="I153" s="78">
        <v>2.69</v>
      </c>
      <c r="J153" s="79">
        <v>4.37</v>
      </c>
      <c r="K153" s="80">
        <v>9</v>
      </c>
      <c r="L153" s="81">
        <v>5.44</v>
      </c>
      <c r="M153" s="82">
        <v>6.81</v>
      </c>
      <c r="N153" s="70">
        <v>8.19</v>
      </c>
      <c r="U153" s="86" t="s">
        <v>447</v>
      </c>
      <c r="AV153" s="86">
        <v>0.89600000000000002</v>
      </c>
      <c r="AW153" s="86" t="s">
        <v>431</v>
      </c>
      <c r="AX153" s="86">
        <v>0.38200000000000001</v>
      </c>
      <c r="AY153" s="86">
        <v>5.2140000000000004</v>
      </c>
    </row>
    <row r="154" spans="1:51" ht="15.75" customHeight="1" x14ac:dyDescent="0.3">
      <c r="A154" s="28"/>
      <c r="U154" s="86" t="s">
        <v>448</v>
      </c>
      <c r="AT154" s="86" t="s">
        <v>449</v>
      </c>
      <c r="AU154" s="86">
        <v>1.9</v>
      </c>
      <c r="AV154" s="86">
        <v>1.6819999999999999</v>
      </c>
      <c r="AW154" s="86" t="s">
        <v>414</v>
      </c>
      <c r="AX154" s="86">
        <v>0.109</v>
      </c>
      <c r="AY154" s="86">
        <v>2.085</v>
      </c>
    </row>
    <row r="155" spans="1:51" ht="15.75" hidden="1" customHeight="1" x14ac:dyDescent="0.3">
      <c r="A155" s="28"/>
      <c r="U155" s="86" t="s">
        <v>450</v>
      </c>
      <c r="AV155" s="86">
        <v>1.61</v>
      </c>
      <c r="AW155" s="86" t="s">
        <v>416</v>
      </c>
      <c r="AX155" s="86">
        <v>0.14499999999999999</v>
      </c>
      <c r="AY155" s="86">
        <v>2.718</v>
      </c>
    </row>
    <row r="156" spans="1:51" ht="15.75" hidden="1" customHeight="1" x14ac:dyDescent="0.3">
      <c r="A156" s="28"/>
      <c r="U156" s="86" t="s">
        <v>451</v>
      </c>
      <c r="AV156" s="86">
        <v>1.5</v>
      </c>
      <c r="AW156" s="86" t="s">
        <v>418</v>
      </c>
      <c r="AX156" s="86">
        <v>0.2</v>
      </c>
      <c r="AY156" s="86">
        <v>3.6309999999999998</v>
      </c>
    </row>
    <row r="157" spans="1:51" ht="15.75" hidden="1" customHeight="1" x14ac:dyDescent="0.3">
      <c r="A157" s="28"/>
      <c r="U157" s="86" t="s">
        <v>452</v>
      </c>
      <c r="AV157" s="86">
        <v>1.337</v>
      </c>
      <c r="AW157" s="86">
        <v>160</v>
      </c>
      <c r="AX157" s="86">
        <v>0.28100000000000003</v>
      </c>
      <c r="AY157" s="86">
        <v>4.859</v>
      </c>
    </row>
    <row r="158" spans="1:51" ht="15.75" hidden="1" customHeight="1" x14ac:dyDescent="0.3">
      <c r="A158" s="28"/>
      <c r="U158" s="86" t="s">
        <v>453</v>
      </c>
      <c r="AV158" s="86">
        <v>1.1000000000000001</v>
      </c>
      <c r="AW158" s="86" t="s">
        <v>431</v>
      </c>
      <c r="AX158" s="86">
        <v>0.4</v>
      </c>
      <c r="AY158" s="86">
        <v>6.4080000000000004</v>
      </c>
    </row>
    <row r="159" spans="1:51" ht="15.75" hidden="1" customHeight="1" x14ac:dyDescent="0.3">
      <c r="A159" s="28"/>
      <c r="U159" s="86" t="s">
        <v>454</v>
      </c>
      <c r="AT159" s="86" t="s">
        <v>66</v>
      </c>
      <c r="AU159" s="86">
        <v>2.375</v>
      </c>
      <c r="AV159" s="86">
        <v>2.157</v>
      </c>
      <c r="AW159" s="86" t="s">
        <v>414</v>
      </c>
      <c r="AX159" s="86">
        <v>0.109</v>
      </c>
      <c r="AY159" s="86">
        <v>2.6379999999999999</v>
      </c>
    </row>
    <row r="160" spans="1:51" ht="15.75" hidden="1" customHeight="1" x14ac:dyDescent="0.3">
      <c r="A160" s="28"/>
      <c r="U160" s="86" t="s">
        <v>455</v>
      </c>
      <c r="AV160" s="86">
        <v>2.0670000000000002</v>
      </c>
      <c r="AW160" s="86" t="s">
        <v>416</v>
      </c>
      <c r="AX160" s="86">
        <v>0.154</v>
      </c>
      <c r="AY160" s="86">
        <v>3.8530000000000002</v>
      </c>
    </row>
    <row r="161" spans="1:51" ht="15.75" hidden="1" customHeight="1" x14ac:dyDescent="0.3">
      <c r="A161" s="28"/>
      <c r="U161" s="86" t="s">
        <v>456</v>
      </c>
      <c r="AV161" s="86">
        <v>1.9390000000000001</v>
      </c>
      <c r="AW161" s="86" t="s">
        <v>418</v>
      </c>
      <c r="AX161" s="86">
        <v>0.218</v>
      </c>
      <c r="AY161" s="86">
        <v>5.0220000000000002</v>
      </c>
    </row>
    <row r="162" spans="1:51" ht="15.75" hidden="1" customHeight="1" x14ac:dyDescent="0.3">
      <c r="A162" s="28"/>
      <c r="U162" s="86" t="s">
        <v>457</v>
      </c>
      <c r="AV162" s="86">
        <v>1.6870000000000001</v>
      </c>
      <c r="AW162" s="86">
        <v>160</v>
      </c>
      <c r="AX162" s="86">
        <v>0.34399999999999997</v>
      </c>
      <c r="AY162" s="86">
        <v>7.4619999999999997</v>
      </c>
    </row>
    <row r="163" spans="1:51" ht="15.75" hidden="1" customHeight="1" x14ac:dyDescent="0.3">
      <c r="A163" s="28"/>
      <c r="U163" s="86" t="s">
        <v>458</v>
      </c>
      <c r="AV163" s="86">
        <v>1.5029999999999999</v>
      </c>
      <c r="AW163" s="86" t="s">
        <v>431</v>
      </c>
      <c r="AX163" s="86">
        <v>0.436</v>
      </c>
      <c r="AY163" s="86">
        <v>9.0289999999999999</v>
      </c>
    </row>
    <row r="164" spans="1:51" ht="15.75" hidden="1" customHeight="1" x14ac:dyDescent="0.3">
      <c r="A164" s="28"/>
      <c r="U164" s="28" t="s">
        <v>459</v>
      </c>
      <c r="AT164" s="86" t="s">
        <v>460</v>
      </c>
      <c r="AU164" s="86">
        <v>2.875</v>
      </c>
      <c r="AV164" s="86">
        <v>2.6349999999999998</v>
      </c>
      <c r="AW164" s="86" t="s">
        <v>414</v>
      </c>
      <c r="AX164" s="86">
        <v>0.12</v>
      </c>
      <c r="AY164" s="86">
        <v>3.5310000000000001</v>
      </c>
    </row>
    <row r="165" spans="1:51" ht="15.75" hidden="1" customHeight="1" x14ac:dyDescent="0.3">
      <c r="A165" s="28"/>
      <c r="U165" s="86" t="s">
        <v>461</v>
      </c>
      <c r="AV165" s="86">
        <v>2.4689999999999999</v>
      </c>
      <c r="AW165" s="86" t="s">
        <v>416</v>
      </c>
      <c r="AX165" s="86">
        <v>0.20300000000000001</v>
      </c>
      <c r="AY165" s="86">
        <v>5.7930000000000001</v>
      </c>
    </row>
    <row r="166" spans="1:51" ht="15.75" hidden="1" customHeight="1" x14ac:dyDescent="0.3">
      <c r="A166" s="28"/>
      <c r="U166" s="86" t="s">
        <v>462</v>
      </c>
      <c r="AV166" s="86">
        <v>2.323</v>
      </c>
      <c r="AW166" s="86" t="s">
        <v>418</v>
      </c>
      <c r="AX166" s="86">
        <v>0.27600000000000002</v>
      </c>
      <c r="AY166" s="86">
        <v>7.6509999999999998</v>
      </c>
    </row>
    <row r="167" spans="1:51" ht="15.75" hidden="1" customHeight="1" x14ac:dyDescent="0.3">
      <c r="A167" s="28"/>
      <c r="U167" s="86" t="s">
        <v>463</v>
      </c>
      <c r="AV167" s="86">
        <v>2.125</v>
      </c>
      <c r="AW167" s="86">
        <v>160</v>
      </c>
      <c r="AX167" s="86">
        <v>0.375</v>
      </c>
      <c r="AY167" s="86">
        <v>10.01</v>
      </c>
    </row>
    <row r="168" spans="1:51" ht="15.75" hidden="1" customHeight="1" x14ac:dyDescent="0.3">
      <c r="A168" s="28"/>
      <c r="U168" s="86" t="s">
        <v>464</v>
      </c>
      <c r="AV168" s="86">
        <v>1.7709999999999999</v>
      </c>
      <c r="AW168" s="86" t="s">
        <v>431</v>
      </c>
      <c r="AX168" s="86">
        <v>0.55200000000000005</v>
      </c>
      <c r="AY168" s="86">
        <v>13.7</v>
      </c>
    </row>
    <row r="169" spans="1:51" ht="15.75" hidden="1" customHeight="1" x14ac:dyDescent="0.3">
      <c r="A169" s="28"/>
      <c r="U169" s="86" t="s">
        <v>465</v>
      </c>
      <c r="AT169" s="86" t="s">
        <v>68</v>
      </c>
      <c r="AU169" s="86">
        <v>3.5</v>
      </c>
      <c r="AV169" s="86">
        <v>3.26</v>
      </c>
      <c r="AW169" s="86" t="s">
        <v>414</v>
      </c>
      <c r="AX169" s="86">
        <v>0.12</v>
      </c>
      <c r="AY169" s="86">
        <v>4.3319999999999999</v>
      </c>
    </row>
    <row r="170" spans="1:51" ht="15.75" hidden="1" customHeight="1" x14ac:dyDescent="0.3">
      <c r="A170" s="28"/>
      <c r="U170" s="86" t="s">
        <v>466</v>
      </c>
      <c r="AV170" s="86">
        <v>3.0680000000000001</v>
      </c>
      <c r="AW170" s="86" t="s">
        <v>416</v>
      </c>
      <c r="AX170" s="86">
        <v>0.216</v>
      </c>
      <c r="AY170" s="86">
        <v>7.5759999999999996</v>
      </c>
    </row>
    <row r="171" spans="1:51" ht="15.75" hidden="1" customHeight="1" x14ac:dyDescent="0.3">
      <c r="A171" s="28"/>
      <c r="U171" s="86" t="s">
        <v>467</v>
      </c>
      <c r="AV171" s="86">
        <v>2.9</v>
      </c>
      <c r="AW171" s="86" t="s">
        <v>418</v>
      </c>
      <c r="AX171" s="86">
        <v>0.3</v>
      </c>
      <c r="AY171" s="86">
        <v>10.25</v>
      </c>
    </row>
    <row r="172" spans="1:51" ht="15.75" hidden="1" customHeight="1" x14ac:dyDescent="0.3">
      <c r="A172" s="28"/>
      <c r="U172" s="86" t="s">
        <v>468</v>
      </c>
      <c r="AV172" s="86">
        <v>2.6240000000000001</v>
      </c>
      <c r="AW172" s="86">
        <v>160</v>
      </c>
      <c r="AX172" s="86">
        <v>0.438</v>
      </c>
      <c r="AY172" s="86">
        <v>14.32</v>
      </c>
    </row>
    <row r="173" spans="1:51" ht="15.75" hidden="1" customHeight="1" x14ac:dyDescent="0.3">
      <c r="A173" s="28"/>
      <c r="U173" s="86" t="s">
        <v>469</v>
      </c>
      <c r="AV173" s="86">
        <v>2.2999999999999998</v>
      </c>
      <c r="AW173" s="86" t="s">
        <v>431</v>
      </c>
      <c r="AX173" s="86">
        <v>0.6</v>
      </c>
      <c r="AY173" s="86">
        <v>18.579999999999998</v>
      </c>
    </row>
    <row r="174" spans="1:51" ht="15.75" hidden="1" customHeight="1" x14ac:dyDescent="0.3">
      <c r="A174" s="28"/>
      <c r="U174" s="86" t="s">
        <v>470</v>
      </c>
      <c r="AT174" s="86" t="s">
        <v>471</v>
      </c>
      <c r="AU174" s="86">
        <v>4</v>
      </c>
      <c r="AV174" s="86">
        <v>3.76</v>
      </c>
      <c r="AW174" s="86" t="s">
        <v>414</v>
      </c>
      <c r="AX174" s="86">
        <v>0.12</v>
      </c>
      <c r="AY174" s="86">
        <v>4.9370000000000003</v>
      </c>
    </row>
    <row r="175" spans="1:51" ht="15.75" hidden="1" customHeight="1" x14ac:dyDescent="0.3">
      <c r="A175" s="28"/>
      <c r="U175" s="86" t="s">
        <v>472</v>
      </c>
      <c r="AV175" s="86">
        <v>3.548</v>
      </c>
      <c r="AW175" s="86" t="s">
        <v>416</v>
      </c>
      <c r="AX175" s="86">
        <v>0.22600000000000001</v>
      </c>
      <c r="AY175" s="86">
        <v>9.109</v>
      </c>
    </row>
    <row r="176" spans="1:51" ht="15.75" hidden="1" customHeight="1" x14ac:dyDescent="0.3">
      <c r="A176" s="28"/>
      <c r="U176" s="86" t="s">
        <v>473</v>
      </c>
      <c r="AV176" s="86">
        <v>3.3639999999999999</v>
      </c>
      <c r="AW176" s="86" t="s">
        <v>418</v>
      </c>
      <c r="AX176" s="86">
        <v>0.318</v>
      </c>
      <c r="AY176" s="86">
        <v>12.51</v>
      </c>
    </row>
    <row r="177" spans="1:51" ht="15.75" hidden="1" customHeight="1" x14ac:dyDescent="0.3">
      <c r="A177" s="28"/>
      <c r="U177" s="86" t="s">
        <v>474</v>
      </c>
      <c r="AV177" s="86">
        <v>2.7280000000000002</v>
      </c>
      <c r="AW177" s="86" t="s">
        <v>431</v>
      </c>
      <c r="AX177" s="86">
        <v>0.63600000000000001</v>
      </c>
      <c r="AY177" s="86">
        <v>22.85</v>
      </c>
    </row>
    <row r="178" spans="1:51" ht="15.75" hidden="1" customHeight="1" x14ac:dyDescent="0.3">
      <c r="A178" s="28"/>
      <c r="U178" s="86" t="s">
        <v>475</v>
      </c>
      <c r="AT178" s="86" t="s">
        <v>70</v>
      </c>
      <c r="AU178" s="86">
        <v>4.5</v>
      </c>
      <c r="AV178" s="86">
        <v>4.26</v>
      </c>
      <c r="AW178" s="86" t="s">
        <v>414</v>
      </c>
      <c r="AX178" s="86">
        <v>0.12</v>
      </c>
      <c r="AY178" s="86">
        <v>5.6130000000000004</v>
      </c>
    </row>
    <row r="179" spans="1:51" ht="15.75" hidden="1" customHeight="1" x14ac:dyDescent="0.3">
      <c r="A179" s="28"/>
      <c r="U179" s="86" t="s">
        <v>476</v>
      </c>
      <c r="AV179" s="86">
        <v>4.0259999999999998</v>
      </c>
      <c r="AW179" s="86" t="s">
        <v>416</v>
      </c>
      <c r="AX179" s="86">
        <v>0.23699999999999999</v>
      </c>
      <c r="AY179" s="86">
        <v>10.79</v>
      </c>
    </row>
    <row r="180" spans="1:51" ht="15.75" hidden="1" customHeight="1" x14ac:dyDescent="0.3">
      <c r="A180" s="28"/>
      <c r="U180" s="86" t="s">
        <v>477</v>
      </c>
      <c r="AV180" s="86">
        <v>3.8260000000000001</v>
      </c>
      <c r="AW180" s="86" t="s">
        <v>418</v>
      </c>
      <c r="AX180" s="86">
        <v>0.33700000000000002</v>
      </c>
      <c r="AY180" s="86">
        <v>14.98</v>
      </c>
    </row>
    <row r="181" spans="1:51" ht="15.75" hidden="1" customHeight="1" x14ac:dyDescent="0.3">
      <c r="A181" s="28"/>
      <c r="U181" s="86" t="s">
        <v>478</v>
      </c>
      <c r="AV181" s="86">
        <v>3.6240000000000001</v>
      </c>
      <c r="AW181" s="86">
        <v>120</v>
      </c>
      <c r="AX181" s="86">
        <v>0.438</v>
      </c>
      <c r="AY181" s="86">
        <v>19</v>
      </c>
    </row>
    <row r="182" spans="1:51" ht="15.75" hidden="1" customHeight="1" x14ac:dyDescent="0.3">
      <c r="A182" s="28"/>
      <c r="U182" s="86" t="s">
        <v>479</v>
      </c>
      <c r="AV182" s="86">
        <v>3.4380000000000002</v>
      </c>
      <c r="AW182" s="86">
        <v>160</v>
      </c>
      <c r="AX182" s="86">
        <v>0.53100000000000003</v>
      </c>
      <c r="AY182" s="86">
        <v>22.51</v>
      </c>
    </row>
    <row r="183" spans="1:51" ht="15.75" hidden="1" customHeight="1" x14ac:dyDescent="0.3">
      <c r="A183" s="28"/>
      <c r="U183" s="86" t="s">
        <v>480</v>
      </c>
      <c r="AV183" s="86">
        <v>3.1520000000000001</v>
      </c>
      <c r="AW183" s="86" t="s">
        <v>431</v>
      </c>
      <c r="AX183" s="86">
        <v>0.67400000000000004</v>
      </c>
      <c r="AY183" s="86">
        <v>27.54</v>
      </c>
    </row>
    <row r="184" spans="1:51" ht="15.75" hidden="1" customHeight="1" x14ac:dyDescent="0.3">
      <c r="A184" s="28"/>
      <c r="U184" s="86" t="s">
        <v>481</v>
      </c>
      <c r="AT184" s="86" t="s">
        <v>482</v>
      </c>
      <c r="AU184" s="86">
        <v>5</v>
      </c>
      <c r="AV184" s="86">
        <v>4.5060000000000002</v>
      </c>
      <c r="AW184" s="86" t="s">
        <v>483</v>
      </c>
      <c r="AX184" s="86">
        <v>0.247</v>
      </c>
      <c r="AY184" s="86">
        <v>12.54</v>
      </c>
    </row>
    <row r="185" spans="1:51" ht="15.75" hidden="1" customHeight="1" x14ac:dyDescent="0.3">
      <c r="A185" s="28"/>
      <c r="U185" s="86" t="s">
        <v>484</v>
      </c>
      <c r="AV185" s="86">
        <v>4.29</v>
      </c>
      <c r="AW185" s="86" t="s">
        <v>485</v>
      </c>
      <c r="AX185" s="86">
        <v>0.35499999999999998</v>
      </c>
      <c r="AY185" s="86">
        <v>17.61</v>
      </c>
    </row>
    <row r="186" spans="1:51" ht="15.75" hidden="1" customHeight="1" x14ac:dyDescent="0.3">
      <c r="A186" s="28"/>
      <c r="U186" s="86" t="s">
        <v>486</v>
      </c>
      <c r="AT186" s="86" t="s">
        <v>71</v>
      </c>
      <c r="AU186" s="86">
        <v>5.5629999999999997</v>
      </c>
      <c r="AV186" s="86">
        <v>5.2949999999999999</v>
      </c>
      <c r="AW186" s="86" t="s">
        <v>414</v>
      </c>
      <c r="AX186" s="86">
        <v>0.13400000000000001</v>
      </c>
      <c r="AY186" s="86">
        <v>7.77</v>
      </c>
    </row>
    <row r="187" spans="1:51" ht="15.75" hidden="1" customHeight="1" x14ac:dyDescent="0.3">
      <c r="A187" s="28"/>
      <c r="U187" s="86" t="s">
        <v>487</v>
      </c>
      <c r="AV187" s="86">
        <v>5.0469999999999997</v>
      </c>
      <c r="AW187" s="86" t="s">
        <v>416</v>
      </c>
      <c r="AX187" s="86">
        <v>0.25800000000000001</v>
      </c>
      <c r="AY187" s="86">
        <v>14.62</v>
      </c>
    </row>
    <row r="188" spans="1:51" ht="15.75" hidden="1" customHeight="1" x14ac:dyDescent="0.3">
      <c r="A188" s="28"/>
      <c r="U188" s="86" t="s">
        <v>488</v>
      </c>
      <c r="AV188" s="86">
        <v>4.8129999999999997</v>
      </c>
      <c r="AW188" s="86" t="s">
        <v>418</v>
      </c>
      <c r="AX188" s="86">
        <v>0.375</v>
      </c>
      <c r="AY188" s="86">
        <v>20.78</v>
      </c>
    </row>
    <row r="189" spans="1:51" ht="15.75" hidden="1" customHeight="1" x14ac:dyDescent="0.3">
      <c r="A189" s="28"/>
      <c r="U189" s="86" t="s">
        <v>489</v>
      </c>
      <c r="AV189" s="86">
        <v>4.5629999999999997</v>
      </c>
      <c r="AW189" s="86">
        <v>120</v>
      </c>
      <c r="AX189" s="86">
        <v>0.5</v>
      </c>
      <c r="AY189" s="86">
        <v>27.04</v>
      </c>
    </row>
    <row r="190" spans="1:51" ht="15.75" hidden="1" customHeight="1" x14ac:dyDescent="0.3">
      <c r="A190" s="28"/>
      <c r="U190" s="86" t="s">
        <v>490</v>
      </c>
      <c r="AV190" s="86">
        <v>4.3129999999999997</v>
      </c>
      <c r="AW190" s="86">
        <v>160</v>
      </c>
      <c r="AX190" s="86">
        <v>0.625</v>
      </c>
      <c r="AY190" s="86">
        <v>32.96</v>
      </c>
    </row>
    <row r="191" spans="1:51" ht="15.75" hidden="1" customHeight="1" x14ac:dyDescent="0.3">
      <c r="A191" s="28"/>
      <c r="U191" s="86" t="s">
        <v>491</v>
      </c>
      <c r="AV191" s="86">
        <v>4.0629999999999997</v>
      </c>
      <c r="AW191" s="86" t="s">
        <v>431</v>
      </c>
      <c r="AX191" s="86">
        <v>0.75</v>
      </c>
      <c r="AY191" s="86">
        <v>38.549999999999997</v>
      </c>
    </row>
    <row r="192" spans="1:51" ht="15.75" hidden="1" customHeight="1" x14ac:dyDescent="0.3">
      <c r="A192" s="28"/>
      <c r="U192" s="86" t="s">
        <v>492</v>
      </c>
      <c r="AT192" s="86" t="s">
        <v>72</v>
      </c>
      <c r="AU192" s="86">
        <v>6.625</v>
      </c>
      <c r="AV192" s="86">
        <v>6.3570000000000002</v>
      </c>
      <c r="AW192" s="86" t="s">
        <v>414</v>
      </c>
      <c r="AX192" s="86">
        <v>0.13400000000000001</v>
      </c>
      <c r="AY192" s="86">
        <v>9.2899999999999991</v>
      </c>
    </row>
    <row r="193" spans="1:51" ht="15.75" hidden="1" customHeight="1" x14ac:dyDescent="0.3">
      <c r="A193" s="28"/>
      <c r="U193" s="86" t="s">
        <v>493</v>
      </c>
      <c r="AV193" s="86">
        <v>6.0650000000000004</v>
      </c>
      <c r="AW193" s="86" t="s">
        <v>416</v>
      </c>
      <c r="AX193" s="86">
        <v>0.28000000000000003</v>
      </c>
      <c r="AY193" s="86">
        <v>18.97</v>
      </c>
    </row>
    <row r="194" spans="1:51" ht="15.75" hidden="1" customHeight="1" x14ac:dyDescent="0.3">
      <c r="A194" s="28"/>
      <c r="U194" s="86" t="s">
        <v>494</v>
      </c>
      <c r="AV194" s="86">
        <v>5.7610000000000001</v>
      </c>
      <c r="AW194" s="86" t="s">
        <v>418</v>
      </c>
      <c r="AX194" s="86">
        <v>0.432</v>
      </c>
      <c r="AY194" s="86">
        <v>28.57</v>
      </c>
    </row>
    <row r="195" spans="1:51" ht="15.75" hidden="1" customHeight="1" x14ac:dyDescent="0.3">
      <c r="A195" s="28"/>
      <c r="U195" s="86" t="s">
        <v>495</v>
      </c>
      <c r="AV195" s="86">
        <v>5.5010000000000003</v>
      </c>
      <c r="AW195" s="86">
        <v>120</v>
      </c>
      <c r="AX195" s="86">
        <v>0.56200000000000006</v>
      </c>
      <c r="AY195" s="86">
        <v>35.39</v>
      </c>
    </row>
    <row r="196" spans="1:51" ht="15.75" hidden="1" customHeight="1" x14ac:dyDescent="0.3">
      <c r="A196" s="28"/>
      <c r="U196" s="86" t="s">
        <v>496</v>
      </c>
      <c r="AV196" s="86">
        <v>5.1890000000000001</v>
      </c>
      <c r="AW196" s="86">
        <v>160</v>
      </c>
      <c r="AX196" s="86">
        <v>0.71899999999999997</v>
      </c>
      <c r="AY196" s="86">
        <v>43.35</v>
      </c>
    </row>
    <row r="197" spans="1:51" ht="15.75" hidden="1" customHeight="1" x14ac:dyDescent="0.3">
      <c r="A197" s="28"/>
      <c r="U197" s="86" t="s">
        <v>497</v>
      </c>
      <c r="AV197" s="86">
        <v>4.8970000000000002</v>
      </c>
      <c r="AW197" s="86" t="s">
        <v>431</v>
      </c>
      <c r="AX197" s="86">
        <v>0.86399999999999999</v>
      </c>
      <c r="AY197" s="86">
        <v>53.16</v>
      </c>
    </row>
    <row r="198" spans="1:51" ht="15.75" hidden="1" customHeight="1" x14ac:dyDescent="0.3">
      <c r="A198" s="28"/>
      <c r="U198" s="86" t="s">
        <v>498</v>
      </c>
      <c r="AT198" s="86" t="s">
        <v>73</v>
      </c>
      <c r="AU198" s="86">
        <v>8.625</v>
      </c>
      <c r="AV198" s="86">
        <v>8.3290000000000006</v>
      </c>
      <c r="AW198" s="86" t="s">
        <v>414</v>
      </c>
      <c r="AX198" s="86">
        <v>0.14799999999999999</v>
      </c>
      <c r="AY198" s="86">
        <v>13.4</v>
      </c>
    </row>
    <row r="199" spans="1:51" ht="15.75" hidden="1" customHeight="1" x14ac:dyDescent="0.3">
      <c r="A199" s="28"/>
      <c r="U199" s="86" t="s">
        <v>499</v>
      </c>
      <c r="AV199" s="86">
        <v>8.125</v>
      </c>
      <c r="AW199" s="86">
        <v>20</v>
      </c>
      <c r="AX199" s="86">
        <v>0.25</v>
      </c>
      <c r="AY199" s="86">
        <v>22.36</v>
      </c>
    </row>
    <row r="200" spans="1:51" ht="15.75" hidden="1" customHeight="1" x14ac:dyDescent="0.3">
      <c r="A200" s="28"/>
      <c r="U200" s="86" t="s">
        <v>500</v>
      </c>
      <c r="AV200" s="86">
        <v>8.0709999999999997</v>
      </c>
      <c r="AW200" s="86">
        <v>30</v>
      </c>
      <c r="AX200" s="86">
        <v>0.27700000000000002</v>
      </c>
      <c r="AY200" s="86">
        <v>24.7</v>
      </c>
    </row>
    <row r="201" spans="1:51" ht="15.75" hidden="1" customHeight="1" x14ac:dyDescent="0.3">
      <c r="A201" s="28"/>
      <c r="U201" s="86" t="s">
        <v>501</v>
      </c>
      <c r="AV201" s="86">
        <v>7.9809999999999999</v>
      </c>
      <c r="AW201" s="86" t="s">
        <v>416</v>
      </c>
      <c r="AX201" s="86">
        <v>0.32200000000000001</v>
      </c>
      <c r="AY201" s="86">
        <v>28.55</v>
      </c>
    </row>
    <row r="202" spans="1:51" ht="15.75" hidden="1" customHeight="1" x14ac:dyDescent="0.3">
      <c r="A202" s="28"/>
      <c r="U202" s="86" t="s">
        <v>502</v>
      </c>
      <c r="AV202" s="86">
        <v>7.8129999999999997</v>
      </c>
      <c r="AW202" s="86">
        <v>60</v>
      </c>
      <c r="AX202" s="86">
        <v>0.40600000000000003</v>
      </c>
      <c r="AY202" s="86">
        <v>35.64</v>
      </c>
    </row>
    <row r="203" spans="1:51" ht="15.75" hidden="1" customHeight="1" x14ac:dyDescent="0.3">
      <c r="A203" s="28"/>
      <c r="U203" s="86" t="s">
        <v>503</v>
      </c>
      <c r="AV203" s="86">
        <v>7.625</v>
      </c>
      <c r="AW203" s="86" t="s">
        <v>418</v>
      </c>
      <c r="AX203" s="86">
        <v>0.5</v>
      </c>
      <c r="AY203" s="86">
        <v>43.39</v>
      </c>
    </row>
    <row r="204" spans="1:51" ht="15.75" hidden="1" customHeight="1" x14ac:dyDescent="0.3">
      <c r="A204" s="28"/>
      <c r="U204" s="86" t="s">
        <v>504</v>
      </c>
      <c r="AV204" s="86">
        <v>7.4390000000000001</v>
      </c>
      <c r="AW204" s="86">
        <v>100</v>
      </c>
      <c r="AX204" s="86">
        <v>0.59399999999999997</v>
      </c>
      <c r="AY204" s="86">
        <v>50.95</v>
      </c>
    </row>
    <row r="205" spans="1:51" ht="15.75" hidden="1" customHeight="1" x14ac:dyDescent="0.3">
      <c r="A205" s="28"/>
      <c r="U205" s="86" t="s">
        <v>505</v>
      </c>
      <c r="AV205" s="86">
        <v>7.1890000000000001</v>
      </c>
      <c r="AW205" s="86">
        <v>120</v>
      </c>
      <c r="AX205" s="86">
        <v>0.71899999999999997</v>
      </c>
      <c r="AY205" s="86">
        <v>61.71</v>
      </c>
    </row>
    <row r="206" spans="1:51" ht="15.75" hidden="1" customHeight="1" x14ac:dyDescent="0.3">
      <c r="A206" s="28"/>
      <c r="U206" s="86" t="s">
        <v>506</v>
      </c>
      <c r="AV206" s="86">
        <v>7.0010000000000003</v>
      </c>
      <c r="AW206" s="86">
        <v>140</v>
      </c>
      <c r="AX206" s="86">
        <v>0.81200000000000006</v>
      </c>
      <c r="AY206" s="86">
        <v>67.760000000000005</v>
      </c>
    </row>
    <row r="207" spans="1:51" ht="15.75" hidden="1" customHeight="1" x14ac:dyDescent="0.3">
      <c r="A207" s="28"/>
      <c r="U207" s="86" t="s">
        <v>507</v>
      </c>
      <c r="AV207" s="86">
        <v>6.8129999999999997</v>
      </c>
      <c r="AW207" s="86">
        <v>160</v>
      </c>
      <c r="AX207" s="86">
        <v>0.90600000000000003</v>
      </c>
      <c r="AY207" s="86">
        <v>74.790000000000006</v>
      </c>
    </row>
    <row r="208" spans="1:51" ht="15.75" hidden="1" customHeight="1" x14ac:dyDescent="0.3">
      <c r="A208" s="28"/>
      <c r="U208" s="86" t="s">
        <v>508</v>
      </c>
      <c r="AV208" s="86">
        <v>6.875</v>
      </c>
      <c r="AW208" s="86" t="s">
        <v>431</v>
      </c>
      <c r="AX208" s="86">
        <v>0.875</v>
      </c>
      <c r="AY208" s="86">
        <v>72.42</v>
      </c>
    </row>
    <row r="209" spans="1:51" ht="15.75" hidden="1" customHeight="1" x14ac:dyDescent="0.3">
      <c r="A209" s="28"/>
      <c r="U209" s="86" t="s">
        <v>509</v>
      </c>
      <c r="AT209" s="86" t="s">
        <v>75</v>
      </c>
      <c r="AU209" s="86">
        <v>10.75</v>
      </c>
      <c r="AV209" s="86">
        <v>10.42</v>
      </c>
      <c r="AW209" s="86" t="s">
        <v>414</v>
      </c>
      <c r="AX209" s="86">
        <v>0.16500000000000001</v>
      </c>
      <c r="AY209" s="86">
        <v>18.649999999999999</v>
      </c>
    </row>
    <row r="210" spans="1:51" ht="15.75" hidden="1" customHeight="1" x14ac:dyDescent="0.3">
      <c r="A210" s="28"/>
      <c r="U210" s="86" t="s">
        <v>510</v>
      </c>
      <c r="AV210" s="86">
        <v>10.25</v>
      </c>
      <c r="AW210" s="86">
        <v>20</v>
      </c>
      <c r="AX210" s="86">
        <v>0.25</v>
      </c>
      <c r="AY210" s="86">
        <v>28.04</v>
      </c>
    </row>
    <row r="211" spans="1:51" ht="15.75" hidden="1" customHeight="1" x14ac:dyDescent="0.3">
      <c r="A211" s="28"/>
      <c r="U211" s="86" t="s">
        <v>511</v>
      </c>
      <c r="AV211" s="86">
        <v>10.135999999999999</v>
      </c>
      <c r="AW211" s="86">
        <v>30</v>
      </c>
      <c r="AX211" s="86">
        <v>0.307</v>
      </c>
      <c r="AY211" s="86">
        <v>34.24</v>
      </c>
    </row>
    <row r="212" spans="1:51" ht="15.75" hidden="1" customHeight="1" x14ac:dyDescent="0.3">
      <c r="A212" s="28"/>
      <c r="U212" s="86" t="s">
        <v>512</v>
      </c>
      <c r="AV212" s="86">
        <v>10.02</v>
      </c>
      <c r="AW212" s="86" t="s">
        <v>416</v>
      </c>
      <c r="AX212" s="86">
        <v>0.36499999999999999</v>
      </c>
      <c r="AY212" s="86">
        <v>40.479999999999997</v>
      </c>
    </row>
    <row r="213" spans="1:51" ht="15.75" hidden="1" customHeight="1" x14ac:dyDescent="0.3">
      <c r="A213" s="28"/>
      <c r="U213" s="86" t="s">
        <v>513</v>
      </c>
      <c r="AV213" s="86">
        <v>9.75</v>
      </c>
      <c r="AW213" s="86" t="s">
        <v>514</v>
      </c>
      <c r="AX213" s="86">
        <v>0.5</v>
      </c>
      <c r="AY213" s="86">
        <v>54.74</v>
      </c>
    </row>
    <row r="214" spans="1:51" ht="15.75" hidden="1" customHeight="1" x14ac:dyDescent="0.3">
      <c r="A214" s="28"/>
      <c r="U214" s="86" t="s">
        <v>515</v>
      </c>
      <c r="AV214" s="86">
        <v>9.5640000000000001</v>
      </c>
      <c r="AW214" s="86">
        <v>80</v>
      </c>
      <c r="AX214" s="86">
        <v>0.59399999999999997</v>
      </c>
      <c r="AY214" s="86">
        <v>64.430000000000007</v>
      </c>
    </row>
    <row r="215" spans="1:51" ht="15.75" hidden="1" customHeight="1" x14ac:dyDescent="0.3">
      <c r="A215" s="28"/>
      <c r="U215" s="86" t="s">
        <v>516</v>
      </c>
      <c r="AV215" s="86">
        <v>9.3140000000000001</v>
      </c>
      <c r="AW215" s="86">
        <v>100</v>
      </c>
      <c r="AX215" s="86">
        <v>0.71899999999999997</v>
      </c>
      <c r="AY215" s="86">
        <v>77.03</v>
      </c>
    </row>
    <row r="216" spans="1:51" ht="15.75" hidden="1" customHeight="1" x14ac:dyDescent="0.3">
      <c r="A216" s="28"/>
      <c r="U216" s="86" t="s">
        <v>517</v>
      </c>
      <c r="AV216" s="86">
        <v>9.0640000000000001</v>
      </c>
      <c r="AW216" s="86">
        <v>120</v>
      </c>
      <c r="AX216" s="86">
        <v>0.84399999999999997</v>
      </c>
      <c r="AY216" s="86">
        <v>82.29</v>
      </c>
    </row>
    <row r="217" spans="1:51" ht="15.75" hidden="1" customHeight="1" x14ac:dyDescent="0.3">
      <c r="A217" s="28"/>
      <c r="U217" s="86" t="s">
        <v>518</v>
      </c>
      <c r="AV217" s="86">
        <v>8.75</v>
      </c>
      <c r="AW217" s="86" t="s">
        <v>519</v>
      </c>
      <c r="AX217" s="86">
        <v>1</v>
      </c>
      <c r="AY217" s="86">
        <v>104.1</v>
      </c>
    </row>
    <row r="218" spans="1:51" ht="15.75" hidden="1" customHeight="1" x14ac:dyDescent="0.3">
      <c r="A218" s="28"/>
      <c r="U218" s="86" t="s">
        <v>520</v>
      </c>
      <c r="AV218" s="86">
        <v>8.5</v>
      </c>
      <c r="AW218" s="86">
        <v>160</v>
      </c>
      <c r="AX218" s="86">
        <v>1.125</v>
      </c>
      <c r="AY218" s="86">
        <v>115.6</v>
      </c>
    </row>
    <row r="219" spans="1:51" ht="15.75" hidden="1" customHeight="1" x14ac:dyDescent="0.3">
      <c r="A219" s="28"/>
      <c r="U219" s="86" t="s">
        <v>521</v>
      </c>
      <c r="AT219" s="86" t="s">
        <v>76</v>
      </c>
      <c r="AU219" s="86">
        <v>12.75</v>
      </c>
      <c r="AV219" s="86">
        <v>12.39</v>
      </c>
      <c r="AW219" s="86" t="s">
        <v>414</v>
      </c>
      <c r="AX219" s="86">
        <v>0.18</v>
      </c>
      <c r="AY219" s="86">
        <v>24.16</v>
      </c>
    </row>
    <row r="220" spans="1:51" ht="15.75" hidden="1" customHeight="1" x14ac:dyDescent="0.3">
      <c r="A220" s="28"/>
      <c r="U220" s="86" t="s">
        <v>522</v>
      </c>
      <c r="AV220" s="86">
        <v>12.25</v>
      </c>
      <c r="AW220" s="86">
        <v>20</v>
      </c>
      <c r="AX220" s="86">
        <v>0.25</v>
      </c>
      <c r="AY220" s="86">
        <v>33.380000000000003</v>
      </c>
    </row>
    <row r="221" spans="1:51" ht="15.75" hidden="1" customHeight="1" x14ac:dyDescent="0.3">
      <c r="A221" s="28"/>
      <c r="U221" s="86" t="s">
        <v>523</v>
      </c>
      <c r="AV221" s="86">
        <v>12.09</v>
      </c>
      <c r="AW221" s="86">
        <v>30</v>
      </c>
      <c r="AX221" s="86">
        <v>0.33</v>
      </c>
      <c r="AY221" s="86">
        <v>43.77</v>
      </c>
    </row>
    <row r="222" spans="1:51" ht="15.75" hidden="1" customHeight="1" x14ac:dyDescent="0.3">
      <c r="A222" s="28"/>
      <c r="U222" s="86" t="s">
        <v>524</v>
      </c>
      <c r="AV222" s="86">
        <v>12</v>
      </c>
      <c r="AW222" s="86" t="s">
        <v>483</v>
      </c>
      <c r="AX222" s="86">
        <v>0.375</v>
      </c>
      <c r="AY222" s="86">
        <v>49.56</v>
      </c>
    </row>
    <row r="223" spans="1:51" ht="15.75" hidden="1" customHeight="1" x14ac:dyDescent="0.3">
      <c r="A223" s="28"/>
      <c r="U223" s="86" t="s">
        <v>525</v>
      </c>
      <c r="AV223" s="86">
        <v>11.938000000000001</v>
      </c>
      <c r="AW223" s="86">
        <v>40</v>
      </c>
      <c r="AX223" s="86">
        <v>0.40600000000000003</v>
      </c>
      <c r="AY223" s="86">
        <v>53.52</v>
      </c>
    </row>
    <row r="224" spans="1:51" ht="15.75" hidden="1" customHeight="1" x14ac:dyDescent="0.3">
      <c r="A224" s="28"/>
      <c r="U224" s="86" t="s">
        <v>526</v>
      </c>
      <c r="AV224" s="86">
        <v>11.75</v>
      </c>
      <c r="AW224" s="86" t="s">
        <v>485</v>
      </c>
      <c r="AX224" s="86">
        <v>0.5</v>
      </c>
      <c r="AY224" s="86">
        <v>65.42</v>
      </c>
    </row>
    <row r="225" spans="1:51" ht="15.75" hidden="1" customHeight="1" x14ac:dyDescent="0.3">
      <c r="A225" s="28"/>
      <c r="U225" s="86" t="s">
        <v>527</v>
      </c>
      <c r="AV225" s="86">
        <v>11.625999999999999</v>
      </c>
      <c r="AW225" s="86">
        <v>60</v>
      </c>
      <c r="AX225" s="86">
        <v>0.56200000000000006</v>
      </c>
      <c r="AY225" s="86">
        <v>73.150000000000006</v>
      </c>
    </row>
    <row r="226" spans="1:51" ht="15.75" hidden="1" customHeight="1" x14ac:dyDescent="0.3">
      <c r="A226" s="28"/>
      <c r="U226" s="86" t="s">
        <v>528</v>
      </c>
      <c r="AV226" s="86">
        <v>11.375999999999999</v>
      </c>
      <c r="AW226" s="86">
        <v>80</v>
      </c>
      <c r="AX226" s="86">
        <v>0.68799999999999994</v>
      </c>
      <c r="AY226" s="86">
        <v>88.63</v>
      </c>
    </row>
    <row r="227" spans="1:51" ht="15.75" hidden="1" customHeight="1" x14ac:dyDescent="0.3">
      <c r="A227" s="28"/>
      <c r="U227" s="86" t="s">
        <v>529</v>
      </c>
      <c r="AV227" s="86">
        <v>11.064</v>
      </c>
      <c r="AW227" s="86">
        <v>100</v>
      </c>
      <c r="AX227" s="86">
        <v>0.84399999999999997</v>
      </c>
      <c r="AY227" s="86">
        <v>107.9</v>
      </c>
    </row>
    <row r="228" spans="1:51" ht="15.75" hidden="1" customHeight="1" x14ac:dyDescent="0.3">
      <c r="A228" s="28"/>
      <c r="U228" s="86" t="s">
        <v>530</v>
      </c>
      <c r="AV228" s="86">
        <v>10.75</v>
      </c>
      <c r="AW228" s="86" t="s">
        <v>531</v>
      </c>
      <c r="AX228" s="86">
        <v>1</v>
      </c>
      <c r="AY228" s="86">
        <v>125.5</v>
      </c>
    </row>
    <row r="229" spans="1:51" ht="15.75" hidden="1" customHeight="1" x14ac:dyDescent="0.3">
      <c r="A229" s="28"/>
      <c r="U229" s="86" t="s">
        <v>532</v>
      </c>
      <c r="AV229" s="86">
        <v>10.5</v>
      </c>
      <c r="AW229" s="86">
        <v>140</v>
      </c>
      <c r="AX229" s="86">
        <v>1.125</v>
      </c>
      <c r="AY229" s="86">
        <v>136.69999999999999</v>
      </c>
    </row>
    <row r="230" spans="1:51" ht="15.75" hidden="1" customHeight="1" x14ac:dyDescent="0.3">
      <c r="A230" s="28"/>
      <c r="U230" s="86" t="s">
        <v>533</v>
      </c>
      <c r="AV230" s="86">
        <v>10.125999999999999</v>
      </c>
      <c r="AW230" s="86">
        <v>160</v>
      </c>
      <c r="AX230" s="86">
        <v>1.3120000000000001</v>
      </c>
      <c r="AY230" s="86">
        <v>150.30000000000001</v>
      </c>
    </row>
    <row r="231" spans="1:51" ht="15.75" hidden="1" customHeight="1" x14ac:dyDescent="0.3">
      <c r="A231" s="28"/>
      <c r="U231" s="86" t="s">
        <v>534</v>
      </c>
      <c r="AT231" s="86" t="s">
        <v>77</v>
      </c>
      <c r="AU231" s="86">
        <v>14</v>
      </c>
      <c r="AV231" s="86">
        <v>13.624000000000001</v>
      </c>
      <c r="AW231" s="86" t="s">
        <v>535</v>
      </c>
      <c r="AX231" s="86">
        <v>0.188</v>
      </c>
      <c r="AY231" s="86">
        <v>27.73</v>
      </c>
    </row>
    <row r="232" spans="1:51" ht="15.75" hidden="1" customHeight="1" x14ac:dyDescent="0.3">
      <c r="A232" s="28"/>
      <c r="U232" s="86" t="s">
        <v>536</v>
      </c>
      <c r="AV232" s="86">
        <v>13.5</v>
      </c>
      <c r="AW232" s="86">
        <v>10</v>
      </c>
      <c r="AX232" s="86">
        <v>0.25</v>
      </c>
      <c r="AY232" s="86">
        <v>36.71</v>
      </c>
    </row>
    <row r="233" spans="1:51" ht="15.75" hidden="1" customHeight="1" x14ac:dyDescent="0.3">
      <c r="A233" s="28"/>
      <c r="U233" s="86" t="s">
        <v>537</v>
      </c>
      <c r="AV233" s="86">
        <v>13.375</v>
      </c>
      <c r="AW233" s="86">
        <v>20</v>
      </c>
      <c r="AX233" s="86">
        <v>0.312</v>
      </c>
      <c r="AY233" s="86">
        <v>45.61</v>
      </c>
    </row>
    <row r="234" spans="1:51" ht="15.75" hidden="1" customHeight="1" x14ac:dyDescent="0.3">
      <c r="A234" s="28"/>
      <c r="U234" s="86" t="s">
        <v>538</v>
      </c>
      <c r="AV234" s="86">
        <v>13.25</v>
      </c>
      <c r="AW234" s="86" t="s">
        <v>539</v>
      </c>
      <c r="AX234" s="86">
        <v>0.375</v>
      </c>
      <c r="AY234" s="86">
        <v>54.57</v>
      </c>
    </row>
    <row r="235" spans="1:51" ht="15.75" hidden="1" customHeight="1" x14ac:dyDescent="0.3">
      <c r="A235" s="28"/>
      <c r="U235" s="86" t="s">
        <v>540</v>
      </c>
      <c r="AV235" s="86">
        <v>13.124000000000001</v>
      </c>
      <c r="AW235" s="86">
        <v>40</v>
      </c>
      <c r="AX235" s="86">
        <v>0.438</v>
      </c>
      <c r="AY235" s="86">
        <v>63.44</v>
      </c>
    </row>
    <row r="236" spans="1:51" ht="15.75" hidden="1" customHeight="1" x14ac:dyDescent="0.3">
      <c r="A236" s="28"/>
      <c r="U236" s="86" t="s">
        <v>541</v>
      </c>
      <c r="AV236" s="86">
        <v>13</v>
      </c>
      <c r="AW236" s="86" t="s">
        <v>485</v>
      </c>
      <c r="AX236" s="86">
        <v>0.5</v>
      </c>
      <c r="AY236" s="86">
        <v>72.09</v>
      </c>
    </row>
    <row r="237" spans="1:51" ht="15.75" hidden="1" customHeight="1" x14ac:dyDescent="0.3">
      <c r="A237" s="28"/>
      <c r="U237" s="86" t="s">
        <v>542</v>
      </c>
      <c r="AV237" s="86">
        <v>12.814</v>
      </c>
      <c r="AW237" s="86">
        <v>60</v>
      </c>
      <c r="AX237" s="86">
        <v>0.59399999999999997</v>
      </c>
      <c r="AY237" s="86">
        <v>85.05</v>
      </c>
    </row>
    <row r="238" spans="1:51" ht="15.75" hidden="1" customHeight="1" x14ac:dyDescent="0.3">
      <c r="A238" s="28"/>
      <c r="U238" s="86" t="s">
        <v>543</v>
      </c>
      <c r="AV238" s="86">
        <v>12.5</v>
      </c>
      <c r="AW238" s="86">
        <v>80</v>
      </c>
      <c r="AX238" s="86">
        <v>0.75</v>
      </c>
      <c r="AY238" s="86">
        <v>106.1</v>
      </c>
    </row>
    <row r="239" spans="1:51" ht="15.75" hidden="1" customHeight="1" x14ac:dyDescent="0.3">
      <c r="A239" s="28"/>
      <c r="U239" s="86" t="s">
        <v>544</v>
      </c>
      <c r="AV239" s="86">
        <v>12.124000000000001</v>
      </c>
      <c r="AW239" s="86">
        <v>100</v>
      </c>
      <c r="AX239" s="86">
        <v>0.93799999999999994</v>
      </c>
      <c r="AY239" s="86">
        <v>130.9</v>
      </c>
    </row>
    <row r="240" spans="1:51" ht="15.75" hidden="1" customHeight="1" x14ac:dyDescent="0.3">
      <c r="A240" s="28"/>
      <c r="U240" s="86" t="s">
        <v>545</v>
      </c>
      <c r="AV240" s="86">
        <v>11.814</v>
      </c>
      <c r="AW240" s="86">
        <v>120</v>
      </c>
      <c r="AX240" s="86">
        <v>1.0900000000000001</v>
      </c>
      <c r="AY240" s="86">
        <v>150.80000000000001</v>
      </c>
    </row>
    <row r="241" spans="1:51" ht="15.75" hidden="1" customHeight="1" x14ac:dyDescent="0.3">
      <c r="A241" s="28"/>
      <c r="U241" s="86" t="s">
        <v>546</v>
      </c>
      <c r="AV241" s="86">
        <v>11.5</v>
      </c>
      <c r="AW241" s="86">
        <v>140</v>
      </c>
      <c r="AX241" s="86">
        <v>1.25</v>
      </c>
      <c r="AY241" s="86">
        <v>170.2</v>
      </c>
    </row>
    <row r="242" spans="1:51" ht="15.75" hidden="1" customHeight="1" x14ac:dyDescent="0.3">
      <c r="A242" s="28"/>
      <c r="U242" s="86" t="s">
        <v>547</v>
      </c>
      <c r="AV242" s="86">
        <v>11.188000000000001</v>
      </c>
      <c r="AW242" s="86">
        <v>160</v>
      </c>
      <c r="AX242" s="86">
        <v>1.4059999999999999</v>
      </c>
      <c r="AY242" s="86">
        <v>189.1</v>
      </c>
    </row>
    <row r="243" spans="1:51" ht="15.75" hidden="1" customHeight="1" x14ac:dyDescent="0.3">
      <c r="A243" s="28"/>
      <c r="U243" s="86" t="s">
        <v>548</v>
      </c>
      <c r="AT243" s="86" t="s">
        <v>78</v>
      </c>
      <c r="AU243" s="86">
        <v>16</v>
      </c>
      <c r="AV243" s="86">
        <v>15.624000000000001</v>
      </c>
      <c r="AW243" s="86" t="s">
        <v>535</v>
      </c>
      <c r="AX243" s="86">
        <v>0.188</v>
      </c>
      <c r="AY243" s="86">
        <v>31.75</v>
      </c>
    </row>
    <row r="244" spans="1:51" ht="15.75" hidden="1" customHeight="1" x14ac:dyDescent="0.3">
      <c r="A244" s="28"/>
      <c r="AV244" s="86">
        <v>15.5</v>
      </c>
      <c r="AW244" s="86">
        <v>10</v>
      </c>
      <c r="AX244" s="86">
        <v>0.25</v>
      </c>
      <c r="AY244" s="86">
        <v>42.05</v>
      </c>
    </row>
    <row r="245" spans="1:51" ht="15.75" hidden="1" customHeight="1" x14ac:dyDescent="0.3">
      <c r="A245" s="28"/>
      <c r="AV245" s="86">
        <v>15.375</v>
      </c>
      <c r="AW245" s="86">
        <v>20</v>
      </c>
      <c r="AX245" s="86">
        <v>0.312</v>
      </c>
      <c r="AY245" s="86">
        <v>52.27</v>
      </c>
    </row>
    <row r="246" spans="1:51" ht="15.75" hidden="1" customHeight="1" x14ac:dyDescent="0.3">
      <c r="A246" s="28"/>
      <c r="AV246" s="86">
        <v>15.25</v>
      </c>
      <c r="AW246" s="86" t="s">
        <v>539</v>
      </c>
      <c r="AX246" s="86">
        <v>0.375</v>
      </c>
      <c r="AY246" s="86">
        <v>62.58</v>
      </c>
    </row>
    <row r="247" spans="1:51" ht="15.75" hidden="1" customHeight="1" x14ac:dyDescent="0.3">
      <c r="A247" s="28"/>
      <c r="AV247" s="86">
        <v>15</v>
      </c>
      <c r="AW247" s="86" t="s">
        <v>549</v>
      </c>
      <c r="AX247" s="86">
        <v>0.5</v>
      </c>
      <c r="AY247" s="86">
        <v>82.77</v>
      </c>
    </row>
    <row r="248" spans="1:51" ht="15.75" hidden="1" customHeight="1" x14ac:dyDescent="0.3">
      <c r="A248" s="28"/>
      <c r="AV248" s="86">
        <v>14.688000000000001</v>
      </c>
      <c r="AW248" s="86">
        <v>60</v>
      </c>
      <c r="AX248" s="86">
        <v>0.65600000000000003</v>
      </c>
      <c r="AY248" s="86">
        <v>107.5</v>
      </c>
    </row>
    <row r="249" spans="1:51" ht="15.75" hidden="1" customHeight="1" x14ac:dyDescent="0.3">
      <c r="A249" s="28"/>
      <c r="AV249" s="86">
        <v>14.314</v>
      </c>
      <c r="AW249" s="86">
        <v>80</v>
      </c>
      <c r="AX249" s="86">
        <v>0.84399999999999997</v>
      </c>
      <c r="AY249" s="86">
        <v>136.6</v>
      </c>
    </row>
    <row r="250" spans="1:51" ht="15.75" hidden="1" customHeight="1" x14ac:dyDescent="0.3">
      <c r="A250" s="28"/>
      <c r="AV250" s="86">
        <v>13.938000000000001</v>
      </c>
      <c r="AW250" s="86">
        <v>100</v>
      </c>
      <c r="AX250" s="86">
        <v>1.0309999999999999</v>
      </c>
      <c r="AY250" s="86">
        <v>164.8</v>
      </c>
    </row>
    <row r="251" spans="1:51" ht="15.75" hidden="1" customHeight="1" x14ac:dyDescent="0.3">
      <c r="A251" s="28"/>
      <c r="AV251" s="86">
        <v>13.564</v>
      </c>
      <c r="AW251" s="86">
        <v>120</v>
      </c>
      <c r="AX251" s="86">
        <v>1.22</v>
      </c>
      <c r="AY251" s="86">
        <v>192.4</v>
      </c>
    </row>
    <row r="252" spans="1:51" ht="15.75" hidden="1" customHeight="1" x14ac:dyDescent="0.3">
      <c r="A252" s="28"/>
      <c r="AV252" s="86">
        <v>13.124000000000001</v>
      </c>
      <c r="AW252" s="86">
        <v>140</v>
      </c>
      <c r="AX252" s="86">
        <v>1.4379999999999999</v>
      </c>
      <c r="AY252" s="86">
        <v>223.6</v>
      </c>
    </row>
    <row r="253" spans="1:51" ht="15.75" hidden="1" customHeight="1" x14ac:dyDescent="0.3">
      <c r="A253" s="28"/>
      <c r="AV253" s="86">
        <v>12.814</v>
      </c>
      <c r="AW253" s="86">
        <v>160</v>
      </c>
      <c r="AX253" s="86">
        <v>1.5940000000000001</v>
      </c>
      <c r="AY253" s="86">
        <v>245.3</v>
      </c>
    </row>
    <row r="254" spans="1:51" ht="15.75" hidden="1" customHeight="1" x14ac:dyDescent="0.3">
      <c r="A254" s="28"/>
      <c r="AT254" s="86" t="s">
        <v>79</v>
      </c>
      <c r="AU254" s="86">
        <v>18</v>
      </c>
      <c r="AV254" s="86">
        <v>17.623999999999999</v>
      </c>
      <c r="AW254" s="86" t="s">
        <v>535</v>
      </c>
      <c r="AX254" s="86">
        <v>0.188</v>
      </c>
      <c r="AY254" s="86">
        <v>35.76</v>
      </c>
    </row>
    <row r="255" spans="1:51" ht="15.75" hidden="1" customHeight="1" x14ac:dyDescent="0.3">
      <c r="A255" s="28"/>
      <c r="AV255" s="86">
        <v>17.5</v>
      </c>
      <c r="AW255" s="86">
        <v>10</v>
      </c>
      <c r="AX255" s="86">
        <v>0.25</v>
      </c>
      <c r="AY255" s="86">
        <v>47.99</v>
      </c>
    </row>
    <row r="256" spans="1:51" ht="15.75" hidden="1" customHeight="1" x14ac:dyDescent="0.3">
      <c r="A256" s="28"/>
      <c r="AV256" s="86">
        <v>17.375</v>
      </c>
      <c r="AW256" s="86">
        <v>20</v>
      </c>
      <c r="AX256" s="86">
        <v>0.312</v>
      </c>
      <c r="AY256" s="86">
        <v>58.94</v>
      </c>
    </row>
    <row r="257" spans="1:51" ht="15.75" hidden="1" customHeight="1" x14ac:dyDescent="0.3">
      <c r="A257" s="28"/>
      <c r="AV257" s="86">
        <v>17.25</v>
      </c>
      <c r="AW257" s="86" t="s">
        <v>483</v>
      </c>
      <c r="AX257" s="86">
        <v>0.375</v>
      </c>
      <c r="AY257" s="86">
        <v>70.59</v>
      </c>
    </row>
    <row r="258" spans="1:51" ht="15.75" hidden="1" customHeight="1" x14ac:dyDescent="0.3">
      <c r="A258" s="28"/>
      <c r="AV258" s="86">
        <v>17.123999999999999</v>
      </c>
      <c r="AW258" s="86">
        <v>30</v>
      </c>
      <c r="AX258" s="86">
        <v>0.438</v>
      </c>
      <c r="AY258" s="86">
        <v>82.15</v>
      </c>
    </row>
    <row r="259" spans="1:51" ht="15.75" hidden="1" customHeight="1" x14ac:dyDescent="0.3">
      <c r="A259" s="28"/>
      <c r="AV259" s="86">
        <v>17</v>
      </c>
      <c r="AW259" s="86" t="s">
        <v>485</v>
      </c>
      <c r="AX259" s="86">
        <v>0.5</v>
      </c>
      <c r="AY259" s="86">
        <v>93.45</v>
      </c>
    </row>
    <row r="260" spans="1:51" ht="15.75" hidden="1" customHeight="1" x14ac:dyDescent="0.3">
      <c r="A260" s="28"/>
      <c r="AV260" s="86">
        <v>16.876000000000001</v>
      </c>
      <c r="AW260" s="86">
        <v>40</v>
      </c>
      <c r="AX260" s="86">
        <v>0.56200000000000006</v>
      </c>
      <c r="AY260" s="86">
        <v>104.7</v>
      </c>
    </row>
    <row r="261" spans="1:51" ht="15.75" hidden="1" customHeight="1" x14ac:dyDescent="0.3">
      <c r="A261" s="28"/>
      <c r="AV261" s="86">
        <v>16.5</v>
      </c>
      <c r="AW261" s="86">
        <v>60</v>
      </c>
      <c r="AX261" s="86">
        <v>0.75</v>
      </c>
      <c r="AY261" s="86">
        <v>138.19999999999999</v>
      </c>
    </row>
    <row r="262" spans="1:51" ht="15.75" hidden="1" customHeight="1" x14ac:dyDescent="0.3">
      <c r="A262" s="28"/>
      <c r="AV262" s="86">
        <v>16.126000000000001</v>
      </c>
      <c r="AW262" s="86">
        <v>80</v>
      </c>
      <c r="AX262" s="86">
        <v>0.93799999999999994</v>
      </c>
      <c r="AY262" s="86">
        <v>170.9</v>
      </c>
    </row>
    <row r="263" spans="1:51" ht="15.75" hidden="1" customHeight="1" x14ac:dyDescent="0.3">
      <c r="A263" s="28"/>
      <c r="AV263" s="86">
        <v>15.688000000000001</v>
      </c>
      <c r="AW263" s="86">
        <v>100</v>
      </c>
      <c r="AX263" s="86">
        <v>1.1559999999999999</v>
      </c>
      <c r="AY263" s="86">
        <v>208</v>
      </c>
    </row>
    <row r="264" spans="1:51" ht="15.75" hidden="1" customHeight="1" x14ac:dyDescent="0.3">
      <c r="A264" s="28"/>
      <c r="AV264" s="86">
        <v>15.25</v>
      </c>
      <c r="AW264" s="86">
        <v>120</v>
      </c>
      <c r="AX264" s="86">
        <v>1.38</v>
      </c>
      <c r="AY264" s="86">
        <v>244.1</v>
      </c>
    </row>
    <row r="265" spans="1:51" ht="15.75" hidden="1" customHeight="1" x14ac:dyDescent="0.3">
      <c r="A265" s="28"/>
      <c r="AV265" s="86">
        <v>14.875999999999999</v>
      </c>
      <c r="AW265" s="86">
        <v>140</v>
      </c>
      <c r="AX265" s="86">
        <v>1.5620000000000001</v>
      </c>
      <c r="AY265" s="86">
        <v>274.2</v>
      </c>
    </row>
    <row r="266" spans="1:51" ht="15.75" hidden="1" customHeight="1" x14ac:dyDescent="0.3">
      <c r="A266" s="28"/>
      <c r="AV266" s="86">
        <v>14.438000000000001</v>
      </c>
      <c r="AW266" s="86">
        <v>160</v>
      </c>
      <c r="AX266" s="86">
        <v>1.7809999999999999</v>
      </c>
      <c r="AY266" s="86">
        <v>308.5</v>
      </c>
    </row>
    <row r="267" spans="1:51" ht="15.75" hidden="1" customHeight="1" x14ac:dyDescent="0.3">
      <c r="A267" s="28"/>
      <c r="AT267" s="86" t="s">
        <v>80</v>
      </c>
      <c r="AU267" s="86">
        <v>20</v>
      </c>
      <c r="AV267" s="86">
        <v>19.564</v>
      </c>
      <c r="AW267" s="86" t="s">
        <v>535</v>
      </c>
      <c r="AX267" s="86">
        <v>0.218</v>
      </c>
      <c r="AY267" s="86">
        <v>48.05</v>
      </c>
    </row>
    <row r="268" spans="1:51" ht="15.75" hidden="1" customHeight="1" x14ac:dyDescent="0.3">
      <c r="A268" s="28"/>
      <c r="AV268" s="86">
        <v>19.5</v>
      </c>
      <c r="AW268" s="86">
        <v>10</v>
      </c>
      <c r="AX268" s="86">
        <v>0.25</v>
      </c>
      <c r="AY268" s="86">
        <v>52.73</v>
      </c>
    </row>
    <row r="269" spans="1:51" ht="15.75" hidden="1" customHeight="1" x14ac:dyDescent="0.3">
      <c r="A269" s="28"/>
      <c r="AV269" s="86">
        <v>19.25</v>
      </c>
      <c r="AW269" s="86" t="s">
        <v>550</v>
      </c>
      <c r="AX269" s="86">
        <v>0.375</v>
      </c>
      <c r="AY269" s="86">
        <v>78.599999999999994</v>
      </c>
    </row>
    <row r="270" spans="1:51" ht="15.75" hidden="1" customHeight="1" x14ac:dyDescent="0.3">
      <c r="A270" s="28"/>
      <c r="AV270" s="86">
        <v>19</v>
      </c>
      <c r="AW270" s="86" t="s">
        <v>551</v>
      </c>
      <c r="AX270" s="86">
        <v>0.5</v>
      </c>
      <c r="AY270" s="86">
        <v>104.1</v>
      </c>
    </row>
    <row r="271" spans="1:51" ht="15.75" hidden="1" customHeight="1" x14ac:dyDescent="0.3">
      <c r="A271" s="28"/>
      <c r="AV271" s="86">
        <v>18.812000000000001</v>
      </c>
      <c r="AW271" s="86">
        <v>40</v>
      </c>
      <c r="AX271" s="86">
        <v>0.59399999999999997</v>
      </c>
      <c r="AY271" s="86">
        <v>123.1</v>
      </c>
    </row>
    <row r="272" spans="1:51" ht="15.75" hidden="1" customHeight="1" x14ac:dyDescent="0.3">
      <c r="A272" s="28"/>
      <c r="AV272" s="86">
        <v>18.376000000000001</v>
      </c>
      <c r="AW272" s="86">
        <v>60</v>
      </c>
      <c r="AX272" s="86">
        <v>0.81200000000000006</v>
      </c>
      <c r="AY272" s="86">
        <v>155.4</v>
      </c>
    </row>
    <row r="273" spans="1:51" ht="15.75" hidden="1" customHeight="1" x14ac:dyDescent="0.3">
      <c r="A273" s="28"/>
      <c r="AV273" s="86">
        <v>17.937999999999999</v>
      </c>
      <c r="AW273" s="86">
        <v>80</v>
      </c>
      <c r="AX273" s="86">
        <v>1.0309999999999999</v>
      </c>
      <c r="AY273" s="86">
        <v>208.9</v>
      </c>
    </row>
    <row r="274" spans="1:51" ht="15.75" hidden="1" customHeight="1" x14ac:dyDescent="0.3">
      <c r="A274" s="28"/>
      <c r="AV274" s="86">
        <v>17.437999999999999</v>
      </c>
      <c r="AW274" s="86">
        <v>100</v>
      </c>
      <c r="AX274" s="86">
        <v>1.2809999999999999</v>
      </c>
      <c r="AY274" s="86">
        <v>256.10000000000002</v>
      </c>
    </row>
    <row r="275" spans="1:51" ht="15.75" hidden="1" customHeight="1" x14ac:dyDescent="0.3">
      <c r="A275" s="28"/>
      <c r="AV275" s="86">
        <v>17</v>
      </c>
      <c r="AW275" s="86">
        <v>120</v>
      </c>
      <c r="AX275" s="86">
        <v>1.5</v>
      </c>
      <c r="AY275" s="86">
        <v>296.39999999999998</v>
      </c>
    </row>
    <row r="276" spans="1:51" ht="15.75" hidden="1" customHeight="1" x14ac:dyDescent="0.3">
      <c r="A276" s="28"/>
      <c r="AV276" s="86">
        <v>16.5</v>
      </c>
      <c r="AW276" s="86">
        <v>140</v>
      </c>
      <c r="AX276" s="86">
        <v>1.75</v>
      </c>
      <c r="AY276" s="86">
        <v>341.1</v>
      </c>
    </row>
    <row r="277" spans="1:51" ht="15.75" hidden="1" customHeight="1" x14ac:dyDescent="0.3">
      <c r="A277" s="28"/>
      <c r="AV277" s="86">
        <v>16.064</v>
      </c>
      <c r="AW277" s="86">
        <v>160</v>
      </c>
      <c r="AX277" s="86">
        <v>1.9690000000000001</v>
      </c>
      <c r="AY277" s="86">
        <v>379.2</v>
      </c>
    </row>
    <row r="278" spans="1:51" ht="15.75" hidden="1" customHeight="1" x14ac:dyDescent="0.3">
      <c r="A278" s="28"/>
      <c r="AT278" s="86" t="s">
        <v>82</v>
      </c>
      <c r="AU278" s="86">
        <v>24</v>
      </c>
      <c r="AV278" s="86">
        <v>23.5</v>
      </c>
      <c r="AW278" s="86" t="s">
        <v>414</v>
      </c>
      <c r="AX278" s="86">
        <v>0.25</v>
      </c>
      <c r="AY278" s="86">
        <v>63.41</v>
      </c>
    </row>
    <row r="279" spans="1:51" ht="15.75" hidden="1" customHeight="1" x14ac:dyDescent="0.3">
      <c r="A279" s="28"/>
      <c r="AV279" s="86">
        <v>23.25</v>
      </c>
      <c r="AW279" s="86" t="s">
        <v>550</v>
      </c>
      <c r="AX279" s="86">
        <v>0.375</v>
      </c>
      <c r="AY279" s="86">
        <v>96.42</v>
      </c>
    </row>
    <row r="280" spans="1:51" ht="15.75" hidden="1" customHeight="1" x14ac:dyDescent="0.3">
      <c r="A280" s="28"/>
      <c r="AV280" s="86">
        <v>23</v>
      </c>
      <c r="AW280" s="86" t="s">
        <v>485</v>
      </c>
      <c r="AX280" s="86">
        <v>0.5</v>
      </c>
      <c r="AY280" s="86">
        <v>125.5</v>
      </c>
    </row>
    <row r="281" spans="1:51" ht="15.75" hidden="1" customHeight="1" x14ac:dyDescent="0.3">
      <c r="A281" s="28"/>
      <c r="AV281" s="86">
        <v>22.876000000000001</v>
      </c>
      <c r="AW281" s="86">
        <v>30</v>
      </c>
      <c r="AX281" s="86">
        <v>0.56200000000000006</v>
      </c>
      <c r="AY281" s="86">
        <v>140.69999999999999</v>
      </c>
    </row>
    <row r="282" spans="1:51" ht="15.75" hidden="1" customHeight="1" x14ac:dyDescent="0.3">
      <c r="A282" s="28"/>
      <c r="AV282" s="86">
        <v>22.626000000000001</v>
      </c>
      <c r="AW282" s="86">
        <v>40</v>
      </c>
      <c r="AX282" s="86">
        <v>0.68799999999999994</v>
      </c>
      <c r="AY282" s="86">
        <v>171.3</v>
      </c>
    </row>
    <row r="283" spans="1:51" ht="15.75" hidden="1" customHeight="1" x14ac:dyDescent="0.3">
      <c r="A283" s="28"/>
      <c r="AV283" s="86">
        <v>22.064</v>
      </c>
      <c r="AW283" s="86">
        <v>60</v>
      </c>
      <c r="AX283" s="86">
        <v>0.96899999999999997</v>
      </c>
      <c r="AY283" s="86">
        <v>238.4</v>
      </c>
    </row>
    <row r="284" spans="1:51" ht="15.75" hidden="1" customHeight="1" x14ac:dyDescent="0.3">
      <c r="A284" s="28"/>
      <c r="AV284" s="86">
        <v>21.564</v>
      </c>
      <c r="AW284" s="86">
        <v>80</v>
      </c>
      <c r="AX284" s="86">
        <v>1.2190000000000001</v>
      </c>
      <c r="AY284" s="86">
        <v>296.8</v>
      </c>
    </row>
    <row r="285" spans="1:51" ht="15.75" hidden="1" customHeight="1" x14ac:dyDescent="0.3">
      <c r="A285" s="28"/>
      <c r="AV285" s="86">
        <v>20.937999999999999</v>
      </c>
      <c r="AW285" s="86">
        <v>100</v>
      </c>
      <c r="AX285" s="86">
        <v>1.5309999999999999</v>
      </c>
      <c r="AY285" s="86">
        <v>357.4</v>
      </c>
    </row>
    <row r="286" spans="1:51" ht="15.75" hidden="1" customHeight="1" x14ac:dyDescent="0.3">
      <c r="A286" s="28"/>
      <c r="AV286" s="86">
        <v>20.376000000000001</v>
      </c>
      <c r="AW286" s="86">
        <v>120</v>
      </c>
      <c r="AX286" s="86">
        <v>1.8120000000000001</v>
      </c>
      <c r="AY286" s="86">
        <v>429.4</v>
      </c>
    </row>
    <row r="287" spans="1:51" ht="15.75" hidden="1" customHeight="1" x14ac:dyDescent="0.3">
      <c r="A287" s="28"/>
      <c r="AV287" s="86">
        <v>19.876000000000001</v>
      </c>
      <c r="AW287" s="86">
        <v>140</v>
      </c>
      <c r="AX287" s="86">
        <v>2.0619999999999998</v>
      </c>
      <c r="AY287" s="86">
        <v>483.1</v>
      </c>
    </row>
    <row r="288" spans="1:51" ht="15.75" hidden="1" customHeight="1" x14ac:dyDescent="0.3">
      <c r="A288" s="28"/>
      <c r="AV288" s="86">
        <v>19.314</v>
      </c>
      <c r="AW288" s="86">
        <v>160</v>
      </c>
      <c r="AX288" s="86">
        <v>2.3439999999999999</v>
      </c>
      <c r="AY288" s="86">
        <v>542.1</v>
      </c>
    </row>
    <row r="289" spans="1:51" ht="15.75" hidden="1" customHeight="1" x14ac:dyDescent="0.3">
      <c r="A289" s="28"/>
      <c r="AT289" s="86" t="s">
        <v>85</v>
      </c>
      <c r="AU289" s="86">
        <v>30</v>
      </c>
      <c r="AV289" s="86">
        <v>29.376000000000001</v>
      </c>
      <c r="AW289" s="86" t="s">
        <v>414</v>
      </c>
      <c r="AX289" s="86">
        <v>0.312</v>
      </c>
      <c r="AY289" s="86">
        <v>98.93</v>
      </c>
    </row>
    <row r="290" spans="1:51" ht="15.75" hidden="1" customHeight="1" x14ac:dyDescent="0.3">
      <c r="A290" s="28"/>
      <c r="AV290" s="86">
        <v>29.25</v>
      </c>
      <c r="AW290" s="86" t="s">
        <v>483</v>
      </c>
      <c r="AX290" s="86">
        <v>0.375</v>
      </c>
      <c r="AY290" s="86">
        <v>118.65</v>
      </c>
    </row>
    <row r="291" spans="1:51" ht="15.75" hidden="1" customHeight="1" x14ac:dyDescent="0.3">
      <c r="A291" s="28"/>
      <c r="AV291" s="86">
        <v>29</v>
      </c>
      <c r="AW291" s="86" t="s">
        <v>552</v>
      </c>
      <c r="AX291" s="86">
        <v>0.5</v>
      </c>
      <c r="AY291" s="86">
        <v>157.53</v>
      </c>
    </row>
    <row r="292" spans="1:51" ht="15.75" hidden="1" customHeight="1" x14ac:dyDescent="0.3">
      <c r="A292" s="28"/>
      <c r="AV292" s="86">
        <v>28.75</v>
      </c>
      <c r="AW292" s="86">
        <v>30</v>
      </c>
      <c r="AX292" s="86">
        <v>0.625</v>
      </c>
      <c r="AY292" s="86">
        <v>196.06</v>
      </c>
    </row>
    <row r="293" spans="1:51" ht="15.75" hidden="1" customHeight="1" x14ac:dyDescent="0.3">
      <c r="A293" s="28"/>
      <c r="AT293" s="86" t="s">
        <v>88</v>
      </c>
      <c r="AU293" s="86">
        <v>36</v>
      </c>
      <c r="AV293" s="86">
        <v>35.375999999999998</v>
      </c>
      <c r="AW293" s="86">
        <v>10</v>
      </c>
      <c r="AX293" s="86">
        <v>0.312</v>
      </c>
      <c r="AY293" s="86">
        <v>118.92</v>
      </c>
    </row>
    <row r="294" spans="1:51" ht="15.75" hidden="1" customHeight="1" x14ac:dyDescent="0.3">
      <c r="A294" s="28"/>
      <c r="AV294" s="86">
        <v>35.25</v>
      </c>
      <c r="AW294" s="86" t="s">
        <v>483</v>
      </c>
      <c r="AX294" s="86">
        <v>0.375</v>
      </c>
      <c r="AY294" s="86">
        <v>142.68</v>
      </c>
    </row>
    <row r="295" spans="1:51" ht="15.75" hidden="1" customHeight="1" x14ac:dyDescent="0.3">
      <c r="A295" s="28"/>
      <c r="AV295" s="86">
        <v>35</v>
      </c>
      <c r="AW295" s="86" t="s">
        <v>485</v>
      </c>
      <c r="AX295" s="86">
        <v>0.5</v>
      </c>
      <c r="AY295" s="86">
        <v>189.57</v>
      </c>
    </row>
    <row r="296" spans="1:51" ht="15.75" hidden="1" customHeight="1" x14ac:dyDescent="0.3">
      <c r="A296" s="28"/>
      <c r="AV296" s="86">
        <v>34.75</v>
      </c>
      <c r="AW296" s="86">
        <v>30</v>
      </c>
      <c r="AX296" s="86">
        <v>0.625</v>
      </c>
      <c r="AY296" s="86">
        <v>235.13</v>
      </c>
    </row>
    <row r="297" spans="1:51" ht="15.75" hidden="1" customHeight="1" x14ac:dyDescent="0.3">
      <c r="A297" s="28"/>
      <c r="AT297" s="86" t="s">
        <v>553</v>
      </c>
      <c r="AU297" s="86">
        <v>48</v>
      </c>
      <c r="AV297" s="86">
        <v>47.25</v>
      </c>
      <c r="AW297" s="86" t="s">
        <v>483</v>
      </c>
      <c r="AX297" s="86">
        <v>0.375</v>
      </c>
      <c r="AY297" s="86">
        <v>190.74</v>
      </c>
    </row>
    <row r="298" spans="1:51" ht="15.75" hidden="1" customHeight="1" x14ac:dyDescent="0.3">
      <c r="A298" s="28"/>
      <c r="AV298" s="86">
        <v>47</v>
      </c>
      <c r="AW298" s="86" t="s">
        <v>485</v>
      </c>
      <c r="AX298" s="86">
        <v>0.5</v>
      </c>
      <c r="AY298" s="86">
        <v>253.65</v>
      </c>
    </row>
    <row r="299" spans="1:51" ht="15.75" customHeight="1" x14ac:dyDescent="0.3">
      <c r="A299" s="28"/>
    </row>
    <row r="300" spans="1:51" ht="15.75" customHeight="1" x14ac:dyDescent="0.3">
      <c r="A300" s="28"/>
    </row>
    <row r="301" spans="1:51" ht="15.75" customHeight="1" x14ac:dyDescent="0.3">
      <c r="A301" s="28"/>
    </row>
    <row r="302" spans="1:51" ht="15.75" customHeight="1" x14ac:dyDescent="0.3">
      <c r="A302" s="28"/>
    </row>
    <row r="303" spans="1:51" ht="15.75" customHeight="1" x14ac:dyDescent="0.3">
      <c r="A303" s="28"/>
    </row>
    <row r="304" spans="1:51" ht="15.75" customHeight="1" x14ac:dyDescent="0.3">
      <c r="A304" s="28"/>
    </row>
    <row r="305" spans="1:1" ht="15.75" customHeight="1" x14ac:dyDescent="0.3">
      <c r="A305" s="28"/>
    </row>
    <row r="306" spans="1:1" ht="15.75" customHeight="1" x14ac:dyDescent="0.3">
      <c r="A306" s="28"/>
    </row>
    <row r="307" spans="1:1" ht="15.75" customHeight="1" x14ac:dyDescent="0.3">
      <c r="A307" s="28"/>
    </row>
    <row r="308" spans="1:1" ht="15.75" customHeight="1" x14ac:dyDescent="0.3">
      <c r="A308" s="28"/>
    </row>
    <row r="309" spans="1:1" ht="15.75" customHeight="1" x14ac:dyDescent="0.3">
      <c r="A309" s="28"/>
    </row>
    <row r="310" spans="1:1" ht="15.75" customHeight="1" x14ac:dyDescent="0.3">
      <c r="A310" s="28"/>
    </row>
    <row r="311" spans="1:1" ht="15.75" customHeight="1" x14ac:dyDescent="0.3">
      <c r="A311" s="28"/>
    </row>
    <row r="312" spans="1:1" ht="15.75" customHeight="1" x14ac:dyDescent="0.3">
      <c r="A312" s="28"/>
    </row>
    <row r="313" spans="1:1" ht="15.75" customHeight="1" x14ac:dyDescent="0.3">
      <c r="A313" s="28"/>
    </row>
    <row r="314" spans="1:1" ht="15.75" customHeight="1" x14ac:dyDescent="0.3">
      <c r="A314" s="28"/>
    </row>
    <row r="315" spans="1:1" ht="15.75" customHeight="1" x14ac:dyDescent="0.3">
      <c r="A315" s="28"/>
    </row>
    <row r="316" spans="1:1" ht="15.75" customHeight="1" x14ac:dyDescent="0.3">
      <c r="A316" s="28"/>
    </row>
    <row r="317" spans="1:1" ht="15.75" customHeight="1" x14ac:dyDescent="0.3">
      <c r="A317" s="28"/>
    </row>
    <row r="318" spans="1:1" ht="15.75" customHeight="1" x14ac:dyDescent="0.3">
      <c r="A318" s="28"/>
    </row>
    <row r="319" spans="1:1" ht="15.75" customHeight="1" x14ac:dyDescent="0.3">
      <c r="A319" s="28"/>
    </row>
    <row r="320" spans="1:1" ht="15.75" customHeight="1" x14ac:dyDescent="0.3">
      <c r="A320" s="28"/>
    </row>
    <row r="321" spans="1:1" ht="15.75" customHeight="1" x14ac:dyDescent="0.3">
      <c r="A321" s="28"/>
    </row>
    <row r="322" spans="1:1" ht="15.75" customHeight="1" x14ac:dyDescent="0.3">
      <c r="A322" s="28"/>
    </row>
    <row r="323" spans="1:1" ht="15.75" customHeight="1" x14ac:dyDescent="0.3">
      <c r="A323" s="28"/>
    </row>
    <row r="324" spans="1:1" ht="15.75" customHeight="1" x14ac:dyDescent="0.3">
      <c r="A324" s="28"/>
    </row>
    <row r="325" spans="1:1" ht="15.75" customHeight="1" x14ac:dyDescent="0.3">
      <c r="A325" s="28"/>
    </row>
    <row r="326" spans="1:1" ht="15.75" customHeight="1" x14ac:dyDescent="0.3">
      <c r="A326" s="28"/>
    </row>
    <row r="327" spans="1:1" ht="15.75" customHeight="1" x14ac:dyDescent="0.3">
      <c r="A327" s="28"/>
    </row>
    <row r="328" spans="1:1" ht="15.75" customHeight="1" x14ac:dyDescent="0.3">
      <c r="A328" s="28"/>
    </row>
    <row r="329" spans="1:1" ht="15.75" customHeight="1" x14ac:dyDescent="0.3">
      <c r="A329" s="28"/>
    </row>
    <row r="330" spans="1:1" ht="15.75" customHeight="1" x14ac:dyDescent="0.3">
      <c r="A330" s="28"/>
    </row>
    <row r="331" spans="1:1" ht="15.75" customHeight="1" x14ac:dyDescent="0.3">
      <c r="A331" s="28"/>
    </row>
    <row r="332" spans="1:1" ht="15.75" customHeight="1" x14ac:dyDescent="0.3">
      <c r="A332" s="28"/>
    </row>
    <row r="333" spans="1:1" ht="15.75" customHeight="1" x14ac:dyDescent="0.3">
      <c r="A333" s="28"/>
    </row>
    <row r="334" spans="1:1" ht="15.75" customHeight="1" x14ac:dyDescent="0.3">
      <c r="A334" s="28"/>
    </row>
    <row r="335" spans="1:1" ht="15.75" customHeight="1" x14ac:dyDescent="0.3">
      <c r="A335" s="28"/>
    </row>
    <row r="336" spans="1:1" ht="15.75" customHeight="1" x14ac:dyDescent="0.3">
      <c r="A336" s="28"/>
    </row>
    <row r="337" spans="1:1" ht="15.75" customHeight="1" x14ac:dyDescent="0.3">
      <c r="A337" s="28"/>
    </row>
    <row r="338" spans="1:1" ht="15.75" customHeight="1" x14ac:dyDescent="0.3">
      <c r="A338" s="28"/>
    </row>
    <row r="339" spans="1:1" ht="15.75" customHeight="1" x14ac:dyDescent="0.3">
      <c r="A339" s="28"/>
    </row>
    <row r="340" spans="1:1" ht="15.75" customHeight="1" x14ac:dyDescent="0.3">
      <c r="A340" s="28"/>
    </row>
    <row r="341" spans="1:1" ht="15.75" customHeight="1" x14ac:dyDescent="0.3">
      <c r="A341" s="28"/>
    </row>
    <row r="342" spans="1:1" ht="15.75" customHeight="1" x14ac:dyDescent="0.3">
      <c r="A342" s="28"/>
    </row>
    <row r="343" spans="1:1" ht="15.75" customHeight="1" x14ac:dyDescent="0.3">
      <c r="A343" s="28"/>
    </row>
    <row r="344" spans="1:1" ht="15.75" customHeight="1" x14ac:dyDescent="0.3">
      <c r="A344" s="28"/>
    </row>
    <row r="345" spans="1:1" ht="15.75" customHeight="1" x14ac:dyDescent="0.3">
      <c r="A345" s="28"/>
    </row>
    <row r="346" spans="1:1" ht="15.75" customHeight="1" x14ac:dyDescent="0.3">
      <c r="A346" s="28"/>
    </row>
    <row r="347" spans="1:1" ht="15.75" customHeight="1" x14ac:dyDescent="0.3">
      <c r="A347" s="28"/>
    </row>
    <row r="348" spans="1:1" ht="15.75" customHeight="1" x14ac:dyDescent="0.3">
      <c r="A348" s="28"/>
    </row>
    <row r="349" spans="1:1" ht="15.75" customHeight="1" x14ac:dyDescent="0.3">
      <c r="A349" s="28"/>
    </row>
    <row r="350" spans="1:1" ht="15.75" customHeight="1" x14ac:dyDescent="0.3">
      <c r="A350" s="28"/>
    </row>
    <row r="351" spans="1:1" ht="15.75" customHeight="1" x14ac:dyDescent="0.3">
      <c r="A351" s="28"/>
    </row>
    <row r="352" spans="1:1" ht="15.75" customHeight="1" x14ac:dyDescent="0.3">
      <c r="A352" s="28"/>
    </row>
    <row r="353" spans="1:1" ht="15.75" customHeight="1" x14ac:dyDescent="0.3">
      <c r="A353" s="28"/>
    </row>
    <row r="354" spans="1:1" ht="15.75" customHeight="1" x14ac:dyDescent="0.3">
      <c r="A354" s="28"/>
    </row>
    <row r="355" spans="1:1" ht="15.75" customHeight="1" x14ac:dyDescent="0.3">
      <c r="A355" s="28"/>
    </row>
    <row r="356" spans="1:1" ht="15.75" customHeight="1" x14ac:dyDescent="0.3">
      <c r="A356" s="28"/>
    </row>
    <row r="357" spans="1:1" ht="15.75" customHeight="1" x14ac:dyDescent="0.3">
      <c r="A357" s="28"/>
    </row>
    <row r="358" spans="1:1" ht="15.75" customHeight="1" x14ac:dyDescent="0.3">
      <c r="A358" s="28"/>
    </row>
    <row r="359" spans="1:1" ht="15.75" customHeight="1" x14ac:dyDescent="0.3">
      <c r="A359" s="28"/>
    </row>
    <row r="360" spans="1:1" ht="15.75" customHeight="1" x14ac:dyDescent="0.3">
      <c r="A360" s="28"/>
    </row>
    <row r="361" spans="1:1" ht="15.75" customHeight="1" x14ac:dyDescent="0.3">
      <c r="A361" s="28"/>
    </row>
    <row r="362" spans="1:1" ht="15.75" customHeight="1" x14ac:dyDescent="0.3">
      <c r="A362" s="28"/>
    </row>
    <row r="363" spans="1:1" ht="15.75" customHeight="1" x14ac:dyDescent="0.3">
      <c r="A363" s="28"/>
    </row>
    <row r="364" spans="1:1" ht="15.75" customHeight="1" x14ac:dyDescent="0.3">
      <c r="A364" s="28"/>
    </row>
    <row r="365" spans="1:1" ht="15.75" customHeight="1" x14ac:dyDescent="0.3">
      <c r="A365" s="28"/>
    </row>
    <row r="366" spans="1:1" ht="15.75" customHeight="1" x14ac:dyDescent="0.3">
      <c r="A366" s="28"/>
    </row>
    <row r="367" spans="1:1" ht="15.75" customHeight="1" x14ac:dyDescent="0.3">
      <c r="A367" s="28"/>
    </row>
    <row r="368" spans="1:1" ht="15.75" customHeight="1" x14ac:dyDescent="0.3">
      <c r="A368" s="28"/>
    </row>
    <row r="369" spans="1:1" ht="15.75" customHeight="1" x14ac:dyDescent="0.3">
      <c r="A369" s="28"/>
    </row>
    <row r="370" spans="1:1" ht="15.75" customHeight="1" x14ac:dyDescent="0.3">
      <c r="A370" s="28"/>
    </row>
    <row r="371" spans="1:1" ht="15.75" customHeight="1" x14ac:dyDescent="0.3">
      <c r="A371" s="28"/>
    </row>
    <row r="372" spans="1:1" ht="15.75" customHeight="1" x14ac:dyDescent="0.3">
      <c r="A372" s="28"/>
    </row>
    <row r="373" spans="1:1" ht="15.75" customHeight="1" x14ac:dyDescent="0.3">
      <c r="A373" s="28"/>
    </row>
    <row r="374" spans="1:1" ht="15.75" customHeight="1" x14ac:dyDescent="0.3">
      <c r="A374" s="28"/>
    </row>
    <row r="375" spans="1:1" ht="15.75" customHeight="1" x14ac:dyDescent="0.3">
      <c r="A375" s="28"/>
    </row>
    <row r="376" spans="1:1" ht="15.75" customHeight="1" x14ac:dyDescent="0.3">
      <c r="A376" s="28"/>
    </row>
    <row r="377" spans="1:1" ht="15.75" customHeight="1" x14ac:dyDescent="0.3">
      <c r="A377" s="28"/>
    </row>
    <row r="378" spans="1:1" ht="15.75" customHeight="1" x14ac:dyDescent="0.3">
      <c r="A378" s="28"/>
    </row>
    <row r="379" spans="1:1" ht="15.75" customHeight="1" x14ac:dyDescent="0.3">
      <c r="A379" s="28"/>
    </row>
    <row r="380" spans="1:1" ht="15.75" customHeight="1" x14ac:dyDescent="0.3">
      <c r="A380" s="28"/>
    </row>
    <row r="381" spans="1:1" ht="15.75" customHeight="1" x14ac:dyDescent="0.3">
      <c r="A381" s="28"/>
    </row>
    <row r="382" spans="1:1" ht="15.75" customHeight="1" x14ac:dyDescent="0.3">
      <c r="A382" s="28"/>
    </row>
    <row r="383" spans="1:1" ht="15.75" customHeight="1" x14ac:dyDescent="0.3">
      <c r="A383" s="28"/>
    </row>
    <row r="384" spans="1:1" ht="15.75" customHeight="1" x14ac:dyDescent="0.3">
      <c r="A384" s="28"/>
    </row>
    <row r="385" spans="1:1" ht="15.75" customHeight="1" x14ac:dyDescent="0.3">
      <c r="A385" s="28"/>
    </row>
    <row r="386" spans="1:1" ht="15.75" customHeight="1" x14ac:dyDescent="0.3">
      <c r="A386" s="28"/>
    </row>
    <row r="387" spans="1:1" ht="15.75" customHeight="1" x14ac:dyDescent="0.3">
      <c r="A387" s="28"/>
    </row>
    <row r="388" spans="1:1" ht="15.75" customHeight="1" x14ac:dyDescent="0.3">
      <c r="A388" s="28"/>
    </row>
    <row r="389" spans="1:1" ht="15.75" customHeight="1" x14ac:dyDescent="0.3">
      <c r="A389" s="28"/>
    </row>
    <row r="390" spans="1:1" ht="15.75" customHeight="1" x14ac:dyDescent="0.3">
      <c r="A390" s="28"/>
    </row>
    <row r="391" spans="1:1" ht="15.75" customHeight="1" x14ac:dyDescent="0.3">
      <c r="A391" s="28"/>
    </row>
    <row r="392" spans="1:1" ht="15.75" customHeight="1" x14ac:dyDescent="0.3">
      <c r="A392" s="28"/>
    </row>
    <row r="393" spans="1:1" ht="15.75" customHeight="1" x14ac:dyDescent="0.3">
      <c r="A393" s="28"/>
    </row>
    <row r="394" spans="1:1" ht="15.75" customHeight="1" x14ac:dyDescent="0.3">
      <c r="A394" s="28"/>
    </row>
    <row r="395" spans="1:1" ht="15.75" customHeight="1" x14ac:dyDescent="0.3">
      <c r="A395" s="28"/>
    </row>
    <row r="396" spans="1:1" ht="15.75" customHeight="1" x14ac:dyDescent="0.3">
      <c r="A396" s="28"/>
    </row>
    <row r="397" spans="1:1" ht="15.75" customHeight="1" x14ac:dyDescent="0.3">
      <c r="A397" s="28"/>
    </row>
    <row r="398" spans="1:1" ht="15.75" customHeight="1" x14ac:dyDescent="0.3">
      <c r="A398" s="28"/>
    </row>
    <row r="399" spans="1:1" ht="15.75" customHeight="1" x14ac:dyDescent="0.3">
      <c r="A399" s="28"/>
    </row>
    <row r="400" spans="1:1" ht="15.75" customHeight="1" x14ac:dyDescent="0.3">
      <c r="A400" s="28"/>
    </row>
    <row r="401" spans="1:1" ht="15.75" customHeight="1" x14ac:dyDescent="0.3">
      <c r="A401" s="28"/>
    </row>
    <row r="402" spans="1:1" ht="15.75" customHeight="1" x14ac:dyDescent="0.3">
      <c r="A402" s="28"/>
    </row>
    <row r="403" spans="1:1" ht="15.75" customHeight="1" x14ac:dyDescent="0.3">
      <c r="A403" s="28"/>
    </row>
    <row r="404" spans="1:1" ht="15.75" customHeight="1" x14ac:dyDescent="0.3">
      <c r="A404" s="28"/>
    </row>
    <row r="405" spans="1:1" ht="15.75" customHeight="1" x14ac:dyDescent="0.3">
      <c r="A405" s="28"/>
    </row>
    <row r="406" spans="1:1" ht="15.75" customHeight="1" x14ac:dyDescent="0.3">
      <c r="A406" s="28"/>
    </row>
    <row r="407" spans="1:1" ht="15.75" customHeight="1" x14ac:dyDescent="0.3">
      <c r="A407" s="28"/>
    </row>
    <row r="408" spans="1:1" ht="15.75" customHeight="1" x14ac:dyDescent="0.3">
      <c r="A408" s="28"/>
    </row>
    <row r="409" spans="1:1" ht="15.75" customHeight="1" x14ac:dyDescent="0.3">
      <c r="A409" s="28"/>
    </row>
    <row r="410" spans="1:1" ht="15.75" customHeight="1" x14ac:dyDescent="0.3">
      <c r="A410" s="28"/>
    </row>
    <row r="411" spans="1:1" ht="15.75" customHeight="1" x14ac:dyDescent="0.3">
      <c r="A411" s="28"/>
    </row>
    <row r="412" spans="1:1" ht="15.75" customHeight="1" x14ac:dyDescent="0.3">
      <c r="A412" s="28"/>
    </row>
    <row r="413" spans="1:1" ht="15.75" customHeight="1" x14ac:dyDescent="0.3">
      <c r="A413" s="28"/>
    </row>
    <row r="414" spans="1:1" ht="15.75" customHeight="1" x14ac:dyDescent="0.3">
      <c r="A414" s="28"/>
    </row>
    <row r="415" spans="1:1" ht="15.75" customHeight="1" x14ac:dyDescent="0.3">
      <c r="A415" s="28"/>
    </row>
    <row r="416" spans="1:1" ht="15.75" customHeight="1" x14ac:dyDescent="0.3">
      <c r="A416" s="28"/>
    </row>
    <row r="417" spans="1:1" ht="15.75" customHeight="1" x14ac:dyDescent="0.3">
      <c r="A417" s="28"/>
    </row>
    <row r="418" spans="1:1" ht="15.75" customHeight="1" x14ac:dyDescent="0.3">
      <c r="A418" s="28"/>
    </row>
    <row r="419" spans="1:1" ht="15.75" customHeight="1" x14ac:dyDescent="0.3">
      <c r="A419" s="28"/>
    </row>
    <row r="420" spans="1:1" ht="15.75" customHeight="1" x14ac:dyDescent="0.3">
      <c r="A420" s="28"/>
    </row>
    <row r="421" spans="1:1" ht="15.75" customHeight="1" x14ac:dyDescent="0.3">
      <c r="A421" s="28"/>
    </row>
    <row r="422" spans="1:1" ht="15.75" customHeight="1" x14ac:dyDescent="0.3">
      <c r="A422" s="28"/>
    </row>
    <row r="423" spans="1:1" ht="15.75" customHeight="1" x14ac:dyDescent="0.3">
      <c r="A423" s="28"/>
    </row>
    <row r="424" spans="1:1" ht="15.75" customHeight="1" x14ac:dyDescent="0.3">
      <c r="A424" s="28"/>
    </row>
    <row r="425" spans="1:1" ht="15.75" customHeight="1" x14ac:dyDescent="0.3">
      <c r="A425" s="28"/>
    </row>
    <row r="426" spans="1:1" ht="15.75" customHeight="1" x14ac:dyDescent="0.3">
      <c r="A426" s="28"/>
    </row>
    <row r="427" spans="1:1" ht="15.75" customHeight="1" x14ac:dyDescent="0.3">
      <c r="A427" s="28"/>
    </row>
    <row r="428" spans="1:1" ht="15.75" customHeight="1" x14ac:dyDescent="0.3">
      <c r="A428" s="28"/>
    </row>
    <row r="429" spans="1:1" ht="15.75" customHeight="1" x14ac:dyDescent="0.3">
      <c r="A429" s="28"/>
    </row>
    <row r="430" spans="1:1" ht="15.75" customHeight="1" x14ac:dyDescent="0.3">
      <c r="A430" s="28"/>
    </row>
    <row r="431" spans="1:1" ht="15.75" customHeight="1" x14ac:dyDescent="0.3">
      <c r="A431" s="28"/>
    </row>
    <row r="432" spans="1:1" ht="15.75" customHeight="1" x14ac:dyDescent="0.3">
      <c r="A432" s="28"/>
    </row>
    <row r="433" spans="1:1" ht="15.75" customHeight="1" x14ac:dyDescent="0.3">
      <c r="A433" s="28"/>
    </row>
    <row r="434" spans="1:1" ht="15.75" customHeight="1" x14ac:dyDescent="0.3">
      <c r="A434" s="28"/>
    </row>
    <row r="435" spans="1:1" ht="15.75" customHeight="1" x14ac:dyDescent="0.3">
      <c r="A435" s="28"/>
    </row>
    <row r="436" spans="1:1" ht="15.75" customHeight="1" x14ac:dyDescent="0.3">
      <c r="A436" s="28"/>
    </row>
    <row r="437" spans="1:1" ht="15.75" customHeight="1" x14ac:dyDescent="0.3">
      <c r="A437" s="28"/>
    </row>
    <row r="438" spans="1:1" ht="15.75" customHeight="1" x14ac:dyDescent="0.3">
      <c r="A438" s="28"/>
    </row>
    <row r="439" spans="1:1" ht="15.75" customHeight="1" x14ac:dyDescent="0.3">
      <c r="A439" s="28"/>
    </row>
    <row r="440" spans="1:1" ht="15.75" customHeight="1" x14ac:dyDescent="0.3">
      <c r="A440" s="28"/>
    </row>
    <row r="441" spans="1:1" ht="15.75" customHeight="1" x14ac:dyDescent="0.3">
      <c r="A441" s="28"/>
    </row>
    <row r="442" spans="1:1" ht="15.75" customHeight="1" x14ac:dyDescent="0.3">
      <c r="A442" s="28"/>
    </row>
    <row r="443" spans="1:1" ht="15.75" customHeight="1" x14ac:dyDescent="0.3">
      <c r="A443" s="28"/>
    </row>
    <row r="444" spans="1:1" ht="15.75" customHeight="1" x14ac:dyDescent="0.3">
      <c r="A444" s="28"/>
    </row>
    <row r="445" spans="1:1" ht="15.75" customHeight="1" x14ac:dyDescent="0.3">
      <c r="A445" s="28"/>
    </row>
    <row r="446" spans="1:1" ht="15.75" customHeight="1" x14ac:dyDescent="0.3">
      <c r="A446" s="28"/>
    </row>
    <row r="447" spans="1:1" ht="15.75" customHeight="1" x14ac:dyDescent="0.3">
      <c r="A447" s="28"/>
    </row>
    <row r="448" spans="1:1" ht="15.75" customHeight="1" x14ac:dyDescent="0.3">
      <c r="A448" s="28"/>
    </row>
    <row r="449" spans="1:1" ht="15.75" customHeight="1" x14ac:dyDescent="0.3">
      <c r="A449" s="28"/>
    </row>
    <row r="450" spans="1:1" ht="15.75" customHeight="1" x14ac:dyDescent="0.3">
      <c r="A450" s="28"/>
    </row>
    <row r="451" spans="1:1" ht="15.75" customHeight="1" x14ac:dyDescent="0.3">
      <c r="A451" s="28"/>
    </row>
    <row r="452" spans="1:1" ht="15.75" customHeight="1" x14ac:dyDescent="0.3">
      <c r="A452" s="28"/>
    </row>
    <row r="453" spans="1:1" ht="15.75" customHeight="1" x14ac:dyDescent="0.3">
      <c r="A453" s="28"/>
    </row>
    <row r="454" spans="1:1" ht="15.75" customHeight="1" x14ac:dyDescent="0.3">
      <c r="A454" s="28"/>
    </row>
    <row r="455" spans="1:1" ht="15.75" customHeight="1" x14ac:dyDescent="0.3">
      <c r="A455" s="28"/>
    </row>
    <row r="456" spans="1:1" ht="15.75" customHeight="1" x14ac:dyDescent="0.3">
      <c r="A456" s="28"/>
    </row>
    <row r="457" spans="1:1" ht="15.75" customHeight="1" x14ac:dyDescent="0.3">
      <c r="A457" s="28"/>
    </row>
    <row r="458" spans="1:1" ht="15.75" customHeight="1" x14ac:dyDescent="0.3">
      <c r="A458" s="28"/>
    </row>
    <row r="459" spans="1:1" ht="15.75" customHeight="1" x14ac:dyDescent="0.3">
      <c r="A459" s="28"/>
    </row>
    <row r="460" spans="1:1" ht="15.75" customHeight="1" x14ac:dyDescent="0.3">
      <c r="A460" s="28"/>
    </row>
    <row r="461" spans="1:1" ht="15.75" customHeight="1" x14ac:dyDescent="0.3">
      <c r="A461" s="28"/>
    </row>
    <row r="462" spans="1:1" ht="15.75" customHeight="1" x14ac:dyDescent="0.3">
      <c r="A462" s="28"/>
    </row>
    <row r="463" spans="1:1" ht="15.75" customHeight="1" x14ac:dyDescent="0.3">
      <c r="A463" s="28"/>
    </row>
    <row r="464" spans="1:1" ht="15.75" customHeight="1" x14ac:dyDescent="0.3">
      <c r="A464" s="28"/>
    </row>
    <row r="465" spans="1:1" ht="15.75" customHeight="1" x14ac:dyDescent="0.3">
      <c r="A465" s="28"/>
    </row>
    <row r="466" spans="1:1" ht="15.75" customHeight="1" x14ac:dyDescent="0.3">
      <c r="A466" s="28"/>
    </row>
    <row r="467" spans="1:1" ht="15.75" customHeight="1" x14ac:dyDescent="0.3">
      <c r="A467" s="28"/>
    </row>
    <row r="468" spans="1:1" ht="15.75" customHeight="1" x14ac:dyDescent="0.3">
      <c r="A468" s="28"/>
    </row>
    <row r="469" spans="1:1" ht="15.75" customHeight="1" x14ac:dyDescent="0.3">
      <c r="A469" s="28"/>
    </row>
    <row r="470" spans="1:1" ht="15.75" customHeight="1" x14ac:dyDescent="0.3">
      <c r="A470" s="28"/>
    </row>
    <row r="471" spans="1:1" ht="15.75" customHeight="1" x14ac:dyDescent="0.3">
      <c r="A471" s="28"/>
    </row>
    <row r="472" spans="1:1" ht="15.75" customHeight="1" x14ac:dyDescent="0.3">
      <c r="A472" s="28"/>
    </row>
    <row r="473" spans="1:1" ht="15.75" customHeight="1" x14ac:dyDescent="0.3">
      <c r="A473" s="28"/>
    </row>
    <row r="474" spans="1:1" ht="15.75" customHeight="1" x14ac:dyDescent="0.3">
      <c r="A474" s="28"/>
    </row>
    <row r="475" spans="1:1" ht="15.75" customHeight="1" x14ac:dyDescent="0.3">
      <c r="A475" s="28"/>
    </row>
    <row r="476" spans="1:1" ht="15.75" customHeight="1" x14ac:dyDescent="0.3">
      <c r="A476" s="28"/>
    </row>
    <row r="477" spans="1:1" ht="15.75" customHeight="1" x14ac:dyDescent="0.3">
      <c r="A477" s="28"/>
    </row>
    <row r="478" spans="1:1" ht="15.75" customHeight="1" x14ac:dyDescent="0.3">
      <c r="A478" s="28"/>
    </row>
    <row r="479" spans="1:1" ht="15.75" customHeight="1" x14ac:dyDescent="0.3">
      <c r="A479" s="28"/>
    </row>
    <row r="480" spans="1:1" ht="15.75" customHeight="1" x14ac:dyDescent="0.3">
      <c r="A480" s="28"/>
    </row>
    <row r="481" spans="1:1" ht="15.75" customHeight="1" x14ac:dyDescent="0.3">
      <c r="A481" s="28"/>
    </row>
    <row r="482" spans="1:1" ht="15.75" customHeight="1" x14ac:dyDescent="0.3">
      <c r="A482" s="28"/>
    </row>
    <row r="483" spans="1:1" ht="15.75" customHeight="1" x14ac:dyDescent="0.3">
      <c r="A483" s="28"/>
    </row>
    <row r="484" spans="1:1" ht="15.75" customHeight="1" x14ac:dyDescent="0.3">
      <c r="A484" s="28"/>
    </row>
    <row r="485" spans="1:1" ht="15.75" customHeight="1" x14ac:dyDescent="0.3">
      <c r="A485" s="28"/>
    </row>
    <row r="486" spans="1:1" ht="15.75" customHeight="1" x14ac:dyDescent="0.3">
      <c r="A486" s="28"/>
    </row>
    <row r="487" spans="1:1" ht="15.75" customHeight="1" x14ac:dyDescent="0.3">
      <c r="A487" s="28"/>
    </row>
    <row r="488" spans="1:1" ht="15.75" customHeight="1" x14ac:dyDescent="0.3">
      <c r="A488" s="28"/>
    </row>
    <row r="489" spans="1:1" ht="15.75" customHeight="1" x14ac:dyDescent="0.3">
      <c r="A489" s="28"/>
    </row>
    <row r="490" spans="1:1" ht="15.75" customHeight="1" x14ac:dyDescent="0.3">
      <c r="A490" s="28"/>
    </row>
    <row r="491" spans="1:1" ht="15.75" customHeight="1" x14ac:dyDescent="0.3">
      <c r="A491" s="28"/>
    </row>
    <row r="492" spans="1:1" ht="15.75" customHeight="1" x14ac:dyDescent="0.3">
      <c r="A492" s="28"/>
    </row>
    <row r="493" spans="1:1" ht="15.75" customHeight="1" x14ac:dyDescent="0.3">
      <c r="A493" s="28"/>
    </row>
    <row r="494" spans="1:1" ht="15.75" customHeight="1" x14ac:dyDescent="0.3">
      <c r="A494" s="28"/>
    </row>
    <row r="495" spans="1:1" ht="15.75" customHeight="1" x14ac:dyDescent="0.3">
      <c r="A495" s="28"/>
    </row>
    <row r="496" spans="1:1" ht="15.75" customHeight="1" x14ac:dyDescent="0.3">
      <c r="A496" s="28"/>
    </row>
    <row r="497" spans="1:1" ht="15.75" customHeight="1" x14ac:dyDescent="0.3">
      <c r="A497" s="28"/>
    </row>
    <row r="498" spans="1:1" ht="15.75" customHeight="1" x14ac:dyDescent="0.3">
      <c r="A498" s="28"/>
    </row>
    <row r="499" spans="1:1" ht="15.75" customHeight="1" x14ac:dyDescent="0.3">
      <c r="A499" s="28"/>
    </row>
    <row r="500" spans="1:1" ht="15.75" customHeight="1" x14ac:dyDescent="0.3">
      <c r="A500" s="28"/>
    </row>
    <row r="501" spans="1:1" ht="15.75" customHeight="1" x14ac:dyDescent="0.3">
      <c r="A501" s="28"/>
    </row>
    <row r="502" spans="1:1" ht="15.75" customHeight="1" x14ac:dyDescent="0.3">
      <c r="A502" s="28"/>
    </row>
    <row r="503" spans="1:1" ht="15.75" customHeight="1" x14ac:dyDescent="0.3">
      <c r="A503" s="28"/>
    </row>
    <row r="504" spans="1:1" ht="15.75" customHeight="1" x14ac:dyDescent="0.3">
      <c r="A504" s="28"/>
    </row>
    <row r="505" spans="1:1" ht="15.75" customHeight="1" x14ac:dyDescent="0.3">
      <c r="A505" s="28"/>
    </row>
    <row r="506" spans="1:1" ht="15.75" customHeight="1" x14ac:dyDescent="0.3">
      <c r="A506" s="28"/>
    </row>
    <row r="507" spans="1:1" ht="15.75" customHeight="1" x14ac:dyDescent="0.3">
      <c r="A507" s="28"/>
    </row>
    <row r="508" spans="1:1" ht="15.75" customHeight="1" x14ac:dyDescent="0.3">
      <c r="A508" s="28"/>
    </row>
    <row r="509" spans="1:1" ht="15.75" customHeight="1" x14ac:dyDescent="0.3">
      <c r="A509" s="28"/>
    </row>
    <row r="510" spans="1:1" ht="15.75" customHeight="1" x14ac:dyDescent="0.3">
      <c r="A510" s="28"/>
    </row>
    <row r="511" spans="1:1" ht="15.75" customHeight="1" x14ac:dyDescent="0.3">
      <c r="A511" s="28"/>
    </row>
    <row r="512" spans="1:1" ht="15.75" customHeight="1" x14ac:dyDescent="0.3">
      <c r="A512" s="28"/>
    </row>
    <row r="513" spans="1:1" ht="15.75" customHeight="1" x14ac:dyDescent="0.3">
      <c r="A513" s="28"/>
    </row>
    <row r="514" spans="1:1" ht="15.75" customHeight="1" x14ac:dyDescent="0.3">
      <c r="A514" s="28"/>
    </row>
    <row r="515" spans="1:1" ht="15.75" customHeight="1" x14ac:dyDescent="0.3">
      <c r="A515" s="28"/>
    </row>
    <row r="516" spans="1:1" ht="15.75" customHeight="1" x14ac:dyDescent="0.3">
      <c r="A516" s="28"/>
    </row>
    <row r="517" spans="1:1" ht="15.75" customHeight="1" x14ac:dyDescent="0.3">
      <c r="A517" s="28"/>
    </row>
    <row r="518" spans="1:1" ht="15.75" customHeight="1" x14ac:dyDescent="0.3">
      <c r="A518" s="28"/>
    </row>
    <row r="519" spans="1:1" ht="15.75" customHeight="1" x14ac:dyDescent="0.3">
      <c r="A519" s="28"/>
    </row>
    <row r="520" spans="1:1" ht="15.75" customHeight="1" x14ac:dyDescent="0.3">
      <c r="A520" s="28"/>
    </row>
    <row r="521" spans="1:1" ht="15.75" customHeight="1" x14ac:dyDescent="0.3">
      <c r="A521" s="28"/>
    </row>
    <row r="522" spans="1:1" ht="15.75" customHeight="1" x14ac:dyDescent="0.3">
      <c r="A522" s="28"/>
    </row>
    <row r="523" spans="1:1" ht="15.75" customHeight="1" x14ac:dyDescent="0.3">
      <c r="A523" s="28"/>
    </row>
    <row r="524" spans="1:1" ht="15.75" customHeight="1" x14ac:dyDescent="0.3">
      <c r="A524" s="28"/>
    </row>
    <row r="525" spans="1:1" ht="15.75" customHeight="1" x14ac:dyDescent="0.3">
      <c r="A525" s="28"/>
    </row>
    <row r="526" spans="1:1" ht="15.75" customHeight="1" x14ac:dyDescent="0.3">
      <c r="A526" s="28"/>
    </row>
    <row r="527" spans="1:1" ht="15.75" customHeight="1" x14ac:dyDescent="0.3">
      <c r="A527" s="28"/>
    </row>
    <row r="528" spans="1:1" ht="15.75" customHeight="1" x14ac:dyDescent="0.3">
      <c r="A528" s="28"/>
    </row>
    <row r="529" spans="1:1" ht="15.75" customHeight="1" x14ac:dyDescent="0.3">
      <c r="A529" s="28"/>
    </row>
    <row r="530" spans="1:1" ht="15.75" customHeight="1" x14ac:dyDescent="0.3">
      <c r="A530" s="28"/>
    </row>
    <row r="531" spans="1:1" ht="15.75" customHeight="1" x14ac:dyDescent="0.3">
      <c r="A531" s="28"/>
    </row>
    <row r="532" spans="1:1" ht="15.75" customHeight="1" x14ac:dyDescent="0.3">
      <c r="A532" s="28"/>
    </row>
    <row r="533" spans="1:1" ht="15.75" customHeight="1" x14ac:dyDescent="0.3">
      <c r="A533" s="28"/>
    </row>
    <row r="534" spans="1:1" ht="15.75" customHeight="1" x14ac:dyDescent="0.3">
      <c r="A534" s="28"/>
    </row>
    <row r="535" spans="1:1" ht="15.75" customHeight="1" x14ac:dyDescent="0.3">
      <c r="A535" s="28"/>
    </row>
    <row r="536" spans="1:1" ht="15.75" customHeight="1" x14ac:dyDescent="0.3">
      <c r="A536" s="28"/>
    </row>
    <row r="537" spans="1:1" ht="15.75" customHeight="1" x14ac:dyDescent="0.3">
      <c r="A537" s="28"/>
    </row>
    <row r="538" spans="1:1" ht="15.75" customHeight="1" x14ac:dyDescent="0.3">
      <c r="A538" s="28"/>
    </row>
    <row r="539" spans="1:1" ht="15.75" customHeight="1" x14ac:dyDescent="0.3">
      <c r="A539" s="28"/>
    </row>
    <row r="540" spans="1:1" ht="15.75" customHeight="1" x14ac:dyDescent="0.3">
      <c r="A540" s="28"/>
    </row>
    <row r="541" spans="1:1" ht="15.75" customHeight="1" x14ac:dyDescent="0.3">
      <c r="A541" s="28"/>
    </row>
    <row r="542" spans="1:1" ht="15.75" customHeight="1" x14ac:dyDescent="0.3">
      <c r="A542" s="28"/>
    </row>
    <row r="543" spans="1:1" ht="15.75" customHeight="1" x14ac:dyDescent="0.3">
      <c r="A543" s="28"/>
    </row>
    <row r="544" spans="1:1" ht="15.75" customHeight="1" x14ac:dyDescent="0.3">
      <c r="A544" s="28"/>
    </row>
    <row r="545" spans="1:1" ht="15.75" customHeight="1" x14ac:dyDescent="0.3">
      <c r="A545" s="28"/>
    </row>
    <row r="546" spans="1:1" ht="15.75" customHeight="1" x14ac:dyDescent="0.3">
      <c r="A546" s="28"/>
    </row>
    <row r="547" spans="1:1" ht="15.75" customHeight="1" x14ac:dyDescent="0.3">
      <c r="A547" s="28"/>
    </row>
    <row r="548" spans="1:1" ht="15.75" customHeight="1" x14ac:dyDescent="0.3">
      <c r="A548" s="28"/>
    </row>
    <row r="549" spans="1:1" ht="15.75" customHeight="1" x14ac:dyDescent="0.3">
      <c r="A549" s="28"/>
    </row>
    <row r="550" spans="1:1" ht="15.75" customHeight="1" x14ac:dyDescent="0.3">
      <c r="A550" s="28"/>
    </row>
    <row r="551" spans="1:1" ht="15.75" customHeight="1" x14ac:dyDescent="0.3">
      <c r="A551" s="28"/>
    </row>
    <row r="552" spans="1:1" ht="15.75" customHeight="1" x14ac:dyDescent="0.3">
      <c r="A552" s="28"/>
    </row>
    <row r="553" spans="1:1" ht="15.75" customHeight="1" x14ac:dyDescent="0.3">
      <c r="A553" s="28"/>
    </row>
    <row r="554" spans="1:1" ht="15.75" customHeight="1" x14ac:dyDescent="0.3">
      <c r="A554" s="28"/>
    </row>
    <row r="555" spans="1:1" ht="15.75" customHeight="1" x14ac:dyDescent="0.3">
      <c r="A555" s="28"/>
    </row>
    <row r="556" spans="1:1" ht="15.75" customHeight="1" x14ac:dyDescent="0.3">
      <c r="A556" s="28"/>
    </row>
    <row r="557" spans="1:1" ht="15.75" customHeight="1" x14ac:dyDescent="0.3">
      <c r="A557" s="28"/>
    </row>
    <row r="558" spans="1:1" ht="15.75" customHeight="1" x14ac:dyDescent="0.3">
      <c r="A558" s="28"/>
    </row>
    <row r="559" spans="1:1" ht="15.75" customHeight="1" x14ac:dyDescent="0.3">
      <c r="A559" s="28"/>
    </row>
    <row r="560" spans="1:1" ht="15.75" customHeight="1" x14ac:dyDescent="0.3">
      <c r="A560" s="28"/>
    </row>
    <row r="561" spans="1:1" ht="15.75" customHeight="1" x14ac:dyDescent="0.3">
      <c r="A561" s="28"/>
    </row>
    <row r="562" spans="1:1" ht="15.75" customHeight="1" x14ac:dyDescent="0.3">
      <c r="A562" s="28"/>
    </row>
    <row r="563" spans="1:1" ht="15.75" customHeight="1" x14ac:dyDescent="0.3">
      <c r="A563" s="28"/>
    </row>
    <row r="564" spans="1:1" ht="15.75" customHeight="1" x14ac:dyDescent="0.3">
      <c r="A564" s="28"/>
    </row>
    <row r="565" spans="1:1" ht="15.75" customHeight="1" x14ac:dyDescent="0.3">
      <c r="A565" s="28"/>
    </row>
    <row r="566" spans="1:1" ht="15.75" customHeight="1" x14ac:dyDescent="0.3">
      <c r="A566" s="28"/>
    </row>
    <row r="567" spans="1:1" ht="15.75" customHeight="1" x14ac:dyDescent="0.3">
      <c r="A567" s="28"/>
    </row>
    <row r="568" spans="1:1" ht="15.75" customHeight="1" x14ac:dyDescent="0.3">
      <c r="A568" s="28"/>
    </row>
    <row r="569" spans="1:1" ht="15.75" customHeight="1" x14ac:dyDescent="0.3">
      <c r="A569" s="28"/>
    </row>
    <row r="570" spans="1:1" ht="15.75" customHeight="1" x14ac:dyDescent="0.3">
      <c r="A570" s="28"/>
    </row>
    <row r="571" spans="1:1" ht="15.75" customHeight="1" x14ac:dyDescent="0.3">
      <c r="A571" s="28"/>
    </row>
    <row r="572" spans="1:1" ht="15.75" customHeight="1" x14ac:dyDescent="0.3">
      <c r="A572" s="28"/>
    </row>
    <row r="573" spans="1:1" ht="15.75" customHeight="1" x14ac:dyDescent="0.3">
      <c r="A573" s="28"/>
    </row>
    <row r="574" spans="1:1" ht="15.75" customHeight="1" x14ac:dyDescent="0.3">
      <c r="A574" s="28"/>
    </row>
    <row r="575" spans="1:1" ht="15.75" customHeight="1" x14ac:dyDescent="0.3">
      <c r="A575" s="28"/>
    </row>
    <row r="576" spans="1:1" ht="15.75" customHeight="1" x14ac:dyDescent="0.3">
      <c r="A576" s="28"/>
    </row>
    <row r="577" spans="1:1" ht="15.75" customHeight="1" x14ac:dyDescent="0.3">
      <c r="A577" s="28"/>
    </row>
    <row r="578" spans="1:1" ht="15.75" customHeight="1" x14ac:dyDescent="0.3">
      <c r="A578" s="28"/>
    </row>
    <row r="579" spans="1:1" ht="15.75" customHeight="1" x14ac:dyDescent="0.3">
      <c r="A579" s="28"/>
    </row>
    <row r="580" spans="1:1" ht="15.75" customHeight="1" x14ac:dyDescent="0.3">
      <c r="A580" s="28"/>
    </row>
    <row r="581" spans="1:1" ht="15.75" customHeight="1" x14ac:dyDescent="0.3">
      <c r="A581" s="28"/>
    </row>
    <row r="582" spans="1:1" ht="15.75" customHeight="1" x14ac:dyDescent="0.3">
      <c r="A582" s="28"/>
    </row>
    <row r="583" spans="1:1" ht="15.75" customHeight="1" x14ac:dyDescent="0.3">
      <c r="A583" s="28"/>
    </row>
    <row r="584" spans="1:1" ht="15.75" customHeight="1" x14ac:dyDescent="0.3">
      <c r="A584" s="28"/>
    </row>
    <row r="585" spans="1:1" ht="15.75" customHeight="1" x14ac:dyDescent="0.3">
      <c r="A585" s="28"/>
    </row>
    <row r="586" spans="1:1" ht="15.75" customHeight="1" x14ac:dyDescent="0.3">
      <c r="A586" s="28"/>
    </row>
    <row r="587" spans="1:1" ht="15.75" customHeight="1" x14ac:dyDescent="0.3">
      <c r="A587" s="28"/>
    </row>
    <row r="588" spans="1:1" ht="15.75" customHeight="1" x14ac:dyDescent="0.3">
      <c r="A588" s="28"/>
    </row>
    <row r="589" spans="1:1" ht="15.75" customHeight="1" x14ac:dyDescent="0.3">
      <c r="A589" s="28"/>
    </row>
    <row r="590" spans="1:1" ht="15.75" customHeight="1" x14ac:dyDescent="0.3">
      <c r="A590" s="28"/>
    </row>
    <row r="591" spans="1:1" ht="15.75" customHeight="1" x14ac:dyDescent="0.3">
      <c r="A591" s="28"/>
    </row>
    <row r="592" spans="1:1" ht="15.75" customHeight="1" x14ac:dyDescent="0.3">
      <c r="A592" s="28"/>
    </row>
    <row r="593" spans="1:1" ht="15.75" customHeight="1" x14ac:dyDescent="0.3">
      <c r="A593" s="28"/>
    </row>
    <row r="594" spans="1:1" ht="15.75" customHeight="1" x14ac:dyDescent="0.3">
      <c r="A594" s="28"/>
    </row>
    <row r="595" spans="1:1" ht="15.75" customHeight="1" x14ac:dyDescent="0.3">
      <c r="A595" s="28"/>
    </row>
    <row r="596" spans="1:1" ht="15.75" customHeight="1" x14ac:dyDescent="0.3">
      <c r="A596" s="28"/>
    </row>
    <row r="597" spans="1:1" ht="15.75" customHeight="1" x14ac:dyDescent="0.3">
      <c r="A597" s="28"/>
    </row>
    <row r="598" spans="1:1" ht="15.75" customHeight="1" x14ac:dyDescent="0.3">
      <c r="A598" s="28"/>
    </row>
    <row r="599" spans="1:1" ht="15.75" customHeight="1" x14ac:dyDescent="0.3">
      <c r="A599" s="28"/>
    </row>
    <row r="600" spans="1:1" ht="15.75" customHeight="1" x14ac:dyDescent="0.3">
      <c r="A600" s="28"/>
    </row>
    <row r="601" spans="1:1" ht="15.75" customHeight="1" x14ac:dyDescent="0.3">
      <c r="A601" s="28"/>
    </row>
    <row r="602" spans="1:1" ht="15.75" customHeight="1" x14ac:dyDescent="0.3">
      <c r="A602" s="28"/>
    </row>
    <row r="603" spans="1:1" ht="15.75" customHeight="1" x14ac:dyDescent="0.3">
      <c r="A603" s="28"/>
    </row>
    <row r="604" spans="1:1" ht="15.75" customHeight="1" x14ac:dyDescent="0.3">
      <c r="A604" s="28"/>
    </row>
    <row r="605" spans="1:1" ht="15.75" customHeight="1" x14ac:dyDescent="0.3">
      <c r="A605" s="28"/>
    </row>
    <row r="606" spans="1:1" ht="15.75" customHeight="1" x14ac:dyDescent="0.3">
      <c r="A606" s="28"/>
    </row>
    <row r="607" spans="1:1" ht="15.75" customHeight="1" x14ac:dyDescent="0.3">
      <c r="A607" s="28"/>
    </row>
    <row r="608" spans="1:1" ht="15.75" customHeight="1" x14ac:dyDescent="0.3">
      <c r="A608" s="28"/>
    </row>
    <row r="609" spans="1:1" ht="15.75" customHeight="1" x14ac:dyDescent="0.3">
      <c r="A609" s="28"/>
    </row>
    <row r="610" spans="1:1" ht="15.75" customHeight="1" x14ac:dyDescent="0.3">
      <c r="A610" s="28"/>
    </row>
    <row r="611" spans="1:1" ht="15.75" customHeight="1" x14ac:dyDescent="0.3">
      <c r="A611" s="28"/>
    </row>
    <row r="612" spans="1:1" ht="15.75" customHeight="1" x14ac:dyDescent="0.3">
      <c r="A612" s="28"/>
    </row>
    <row r="613" spans="1:1" ht="15.75" customHeight="1" x14ac:dyDescent="0.3">
      <c r="A613" s="28"/>
    </row>
    <row r="614" spans="1:1" ht="15.75" customHeight="1" x14ac:dyDescent="0.3">
      <c r="A614" s="28"/>
    </row>
    <row r="615" spans="1:1" ht="15.75" customHeight="1" x14ac:dyDescent="0.3">
      <c r="A615" s="28"/>
    </row>
    <row r="616" spans="1:1" ht="15.75" customHeight="1" x14ac:dyDescent="0.3">
      <c r="A616" s="28"/>
    </row>
    <row r="617" spans="1:1" ht="15.75" customHeight="1" x14ac:dyDescent="0.3">
      <c r="A617" s="28"/>
    </row>
    <row r="618" spans="1:1" ht="15.75" customHeight="1" x14ac:dyDescent="0.3">
      <c r="A618" s="28"/>
    </row>
    <row r="619" spans="1:1" ht="15.75" customHeight="1" x14ac:dyDescent="0.3">
      <c r="A619" s="28"/>
    </row>
    <row r="620" spans="1:1" ht="15.75" customHeight="1" x14ac:dyDescent="0.3">
      <c r="A620" s="28"/>
    </row>
    <row r="621" spans="1:1" ht="15.75" customHeight="1" x14ac:dyDescent="0.3">
      <c r="A621" s="28"/>
    </row>
    <row r="622" spans="1:1" ht="15.75" customHeight="1" x14ac:dyDescent="0.3">
      <c r="A622" s="28"/>
    </row>
    <row r="623" spans="1:1" ht="15.75" customHeight="1" x14ac:dyDescent="0.3">
      <c r="A623" s="28"/>
    </row>
    <row r="624" spans="1:1" ht="15.75" customHeight="1" x14ac:dyDescent="0.3">
      <c r="A624" s="28"/>
    </row>
    <row r="625" spans="1:1" ht="15.75" customHeight="1" x14ac:dyDescent="0.3">
      <c r="A625" s="28"/>
    </row>
    <row r="626" spans="1:1" ht="15.75" customHeight="1" x14ac:dyDescent="0.3">
      <c r="A626" s="28"/>
    </row>
    <row r="627" spans="1:1" ht="15.75" customHeight="1" x14ac:dyDescent="0.3">
      <c r="A627" s="28"/>
    </row>
    <row r="628" spans="1:1" ht="15.75" customHeight="1" x14ac:dyDescent="0.3">
      <c r="A628" s="28"/>
    </row>
    <row r="629" spans="1:1" ht="15.75" customHeight="1" x14ac:dyDescent="0.3">
      <c r="A629" s="28"/>
    </row>
    <row r="630" spans="1:1" ht="15.75" customHeight="1" x14ac:dyDescent="0.3">
      <c r="A630" s="28"/>
    </row>
    <row r="631" spans="1:1" ht="15.75" customHeight="1" x14ac:dyDescent="0.3">
      <c r="A631" s="28"/>
    </row>
    <row r="632" spans="1:1" ht="15.75" customHeight="1" x14ac:dyDescent="0.3">
      <c r="A632" s="28"/>
    </row>
    <row r="633" spans="1:1" ht="15.75" customHeight="1" x14ac:dyDescent="0.3">
      <c r="A633" s="28"/>
    </row>
    <row r="634" spans="1:1" ht="15.75" customHeight="1" x14ac:dyDescent="0.3">
      <c r="A634" s="28"/>
    </row>
    <row r="635" spans="1:1" ht="15.75" customHeight="1" x14ac:dyDescent="0.3">
      <c r="A635" s="28"/>
    </row>
    <row r="636" spans="1:1" ht="15.75" customHeight="1" x14ac:dyDescent="0.3">
      <c r="A636" s="28"/>
    </row>
    <row r="637" spans="1:1" ht="15.75" customHeight="1" x14ac:dyDescent="0.3">
      <c r="A637" s="28"/>
    </row>
    <row r="638" spans="1:1" ht="15.75" customHeight="1" x14ac:dyDescent="0.3">
      <c r="A638" s="28"/>
    </row>
    <row r="639" spans="1:1" ht="15.75" customHeight="1" x14ac:dyDescent="0.3">
      <c r="A639" s="28"/>
    </row>
    <row r="640" spans="1:1" ht="15.75" customHeight="1" x14ac:dyDescent="0.3">
      <c r="A640" s="28"/>
    </row>
    <row r="641" spans="1:1" ht="15.75" customHeight="1" x14ac:dyDescent="0.3">
      <c r="A641" s="28"/>
    </row>
    <row r="642" spans="1:1" ht="15.75" customHeight="1" x14ac:dyDescent="0.3">
      <c r="A642" s="28"/>
    </row>
    <row r="643" spans="1:1" ht="15.75" customHeight="1" x14ac:dyDescent="0.3">
      <c r="A643" s="28"/>
    </row>
    <row r="644" spans="1:1" ht="15.75" customHeight="1" x14ac:dyDescent="0.3">
      <c r="A644" s="28"/>
    </row>
    <row r="645" spans="1:1" ht="15.75" customHeight="1" x14ac:dyDescent="0.3">
      <c r="A645" s="28"/>
    </row>
    <row r="646" spans="1:1" ht="15.75" customHeight="1" x14ac:dyDescent="0.3">
      <c r="A646" s="28"/>
    </row>
    <row r="647" spans="1:1" ht="15.75" customHeight="1" x14ac:dyDescent="0.3">
      <c r="A647" s="28"/>
    </row>
    <row r="648" spans="1:1" ht="15.75" customHeight="1" x14ac:dyDescent="0.3">
      <c r="A648" s="28"/>
    </row>
    <row r="649" spans="1:1" ht="15.75" customHeight="1" x14ac:dyDescent="0.3">
      <c r="A649" s="28"/>
    </row>
    <row r="650" spans="1:1" ht="15.75" customHeight="1" x14ac:dyDescent="0.3">
      <c r="A650" s="28"/>
    </row>
    <row r="651" spans="1:1" ht="15.75" customHeight="1" x14ac:dyDescent="0.3">
      <c r="A651" s="28"/>
    </row>
    <row r="652" spans="1:1" ht="15.75" customHeight="1" x14ac:dyDescent="0.3">
      <c r="A652" s="28"/>
    </row>
    <row r="653" spans="1:1" ht="15.75" customHeight="1" x14ac:dyDescent="0.3">
      <c r="A653" s="28"/>
    </row>
    <row r="654" spans="1:1" ht="15.75" customHeight="1" x14ac:dyDescent="0.3">
      <c r="A654" s="28"/>
    </row>
    <row r="655" spans="1:1" ht="15.75" customHeight="1" x14ac:dyDescent="0.3">
      <c r="A655" s="28"/>
    </row>
    <row r="656" spans="1:1" ht="15.75" customHeight="1" x14ac:dyDescent="0.3">
      <c r="A656" s="28"/>
    </row>
    <row r="657" spans="1:1" ht="15.75" customHeight="1" x14ac:dyDescent="0.3">
      <c r="A657" s="28"/>
    </row>
    <row r="658" spans="1:1" ht="15.75" customHeight="1" x14ac:dyDescent="0.3">
      <c r="A658" s="28"/>
    </row>
    <row r="659" spans="1:1" ht="15.75" customHeight="1" x14ac:dyDescent="0.3">
      <c r="A659" s="28"/>
    </row>
    <row r="660" spans="1:1" ht="15.75" customHeight="1" x14ac:dyDescent="0.3">
      <c r="A660" s="28"/>
    </row>
    <row r="661" spans="1:1" ht="15.75" customHeight="1" x14ac:dyDescent="0.3">
      <c r="A661" s="28"/>
    </row>
    <row r="662" spans="1:1" ht="15.75" customHeight="1" x14ac:dyDescent="0.3">
      <c r="A662" s="28"/>
    </row>
    <row r="663" spans="1:1" ht="15.75" customHeight="1" x14ac:dyDescent="0.3">
      <c r="A663" s="28"/>
    </row>
    <row r="664" spans="1:1" ht="15.75" customHeight="1" x14ac:dyDescent="0.3">
      <c r="A664" s="28"/>
    </row>
    <row r="665" spans="1:1" ht="15.75" customHeight="1" x14ac:dyDescent="0.3">
      <c r="A665" s="28"/>
    </row>
    <row r="666" spans="1:1" ht="15.75" customHeight="1" x14ac:dyDescent="0.3">
      <c r="A666" s="28"/>
    </row>
    <row r="667" spans="1:1" ht="15.75" customHeight="1" x14ac:dyDescent="0.3">
      <c r="A667" s="28"/>
    </row>
    <row r="668" spans="1:1" ht="15.75" customHeight="1" x14ac:dyDescent="0.3">
      <c r="A668" s="28"/>
    </row>
    <row r="669" spans="1:1" ht="15.75" customHeight="1" x14ac:dyDescent="0.3">
      <c r="A669" s="28"/>
    </row>
    <row r="670" spans="1:1" ht="15.75" customHeight="1" x14ac:dyDescent="0.3">
      <c r="A670" s="28"/>
    </row>
    <row r="671" spans="1:1" ht="15.75" customHeight="1" x14ac:dyDescent="0.3">
      <c r="A671" s="28"/>
    </row>
    <row r="672" spans="1:1" ht="15.75" customHeight="1" x14ac:dyDescent="0.3">
      <c r="A672" s="28"/>
    </row>
    <row r="673" spans="1:1" ht="15.75" customHeight="1" x14ac:dyDescent="0.3">
      <c r="A673" s="28"/>
    </row>
    <row r="674" spans="1:1" ht="15.75" customHeight="1" x14ac:dyDescent="0.3">
      <c r="A674" s="28"/>
    </row>
    <row r="675" spans="1:1" ht="15.75" customHeight="1" x14ac:dyDescent="0.3">
      <c r="A675" s="28"/>
    </row>
    <row r="676" spans="1:1" ht="15.75" customHeight="1" x14ac:dyDescent="0.3">
      <c r="A676" s="28"/>
    </row>
    <row r="677" spans="1:1" ht="15.75" customHeight="1" x14ac:dyDescent="0.3">
      <c r="A677" s="28"/>
    </row>
    <row r="678" spans="1:1" ht="15.75" customHeight="1" x14ac:dyDescent="0.3">
      <c r="A678" s="28"/>
    </row>
    <row r="679" spans="1:1" ht="15.75" customHeight="1" x14ac:dyDescent="0.3">
      <c r="A679" s="28"/>
    </row>
    <row r="680" spans="1:1" ht="15.75" customHeight="1" x14ac:dyDescent="0.3">
      <c r="A680" s="28"/>
    </row>
    <row r="681" spans="1:1" ht="15.75" customHeight="1" x14ac:dyDescent="0.3">
      <c r="A681" s="28"/>
    </row>
    <row r="682" spans="1:1" ht="15.75" customHeight="1" x14ac:dyDescent="0.3">
      <c r="A682" s="28"/>
    </row>
    <row r="683" spans="1:1" ht="15.75" customHeight="1" x14ac:dyDescent="0.3">
      <c r="A683" s="28"/>
    </row>
    <row r="684" spans="1:1" ht="15.75" customHeight="1" x14ac:dyDescent="0.3">
      <c r="A684" s="28"/>
    </row>
    <row r="685" spans="1:1" ht="15.75" customHeight="1" x14ac:dyDescent="0.3">
      <c r="A685" s="28"/>
    </row>
    <row r="686" spans="1:1" ht="15.75" customHeight="1" x14ac:dyDescent="0.3">
      <c r="A686" s="28"/>
    </row>
    <row r="687" spans="1:1" ht="15.75" customHeight="1" x14ac:dyDescent="0.3">
      <c r="A687" s="28"/>
    </row>
    <row r="688" spans="1:1" ht="15.75" customHeight="1" x14ac:dyDescent="0.3">
      <c r="A688" s="28"/>
    </row>
    <row r="689" spans="1:1" ht="15.75" customHeight="1" x14ac:dyDescent="0.3">
      <c r="A689" s="28"/>
    </row>
    <row r="690" spans="1:1" ht="15.75" customHeight="1" x14ac:dyDescent="0.3">
      <c r="A690" s="28"/>
    </row>
    <row r="691" spans="1:1" ht="15.75" customHeight="1" x14ac:dyDescent="0.3">
      <c r="A691" s="28"/>
    </row>
    <row r="692" spans="1:1" ht="15.75" customHeight="1" x14ac:dyDescent="0.3">
      <c r="A692" s="28"/>
    </row>
    <row r="693" spans="1:1" ht="15.75" customHeight="1" x14ac:dyDescent="0.3">
      <c r="A693" s="28"/>
    </row>
    <row r="694" spans="1:1" ht="15.75" customHeight="1" x14ac:dyDescent="0.3">
      <c r="A694" s="28"/>
    </row>
    <row r="695" spans="1:1" ht="15.75" customHeight="1" x14ac:dyDescent="0.3">
      <c r="A695" s="28"/>
    </row>
    <row r="696" spans="1:1" ht="15.75" customHeight="1" x14ac:dyDescent="0.3">
      <c r="A696" s="28"/>
    </row>
    <row r="697" spans="1:1" ht="15.75" customHeight="1" x14ac:dyDescent="0.3">
      <c r="A697" s="28"/>
    </row>
    <row r="698" spans="1:1" ht="15.75" customHeight="1" x14ac:dyDescent="0.3">
      <c r="A698" s="28"/>
    </row>
    <row r="699" spans="1:1" ht="15.75" customHeight="1" x14ac:dyDescent="0.3">
      <c r="A699" s="28"/>
    </row>
    <row r="700" spans="1:1" ht="15.75" customHeight="1" x14ac:dyDescent="0.3">
      <c r="A700" s="28"/>
    </row>
    <row r="701" spans="1:1" ht="15.75" customHeight="1" x14ac:dyDescent="0.3">
      <c r="A701" s="28"/>
    </row>
    <row r="702" spans="1:1" ht="15.75" customHeight="1" x14ac:dyDescent="0.3">
      <c r="A702" s="28"/>
    </row>
    <row r="703" spans="1:1" ht="15.75" customHeight="1" x14ac:dyDescent="0.3">
      <c r="A703" s="28"/>
    </row>
    <row r="704" spans="1:1" ht="15.75" customHeight="1" x14ac:dyDescent="0.3">
      <c r="A704" s="28"/>
    </row>
    <row r="705" spans="1:1" ht="15.75" customHeight="1" x14ac:dyDescent="0.3">
      <c r="A705" s="28"/>
    </row>
    <row r="706" spans="1:1" ht="15.75" customHeight="1" x14ac:dyDescent="0.3">
      <c r="A706" s="28"/>
    </row>
    <row r="707" spans="1:1" ht="15.75" customHeight="1" x14ac:dyDescent="0.3">
      <c r="A707" s="28"/>
    </row>
    <row r="708" spans="1:1" ht="15.75" customHeight="1" x14ac:dyDescent="0.3">
      <c r="A708" s="28"/>
    </row>
    <row r="709" spans="1:1" ht="15.75" customHeight="1" x14ac:dyDescent="0.3">
      <c r="A709" s="28"/>
    </row>
    <row r="710" spans="1:1" ht="15.75" customHeight="1" x14ac:dyDescent="0.3">
      <c r="A710" s="28"/>
    </row>
    <row r="711" spans="1:1" ht="15.75" customHeight="1" x14ac:dyDescent="0.3">
      <c r="A711" s="28"/>
    </row>
    <row r="712" spans="1:1" ht="15.75" customHeight="1" x14ac:dyDescent="0.3">
      <c r="A712" s="28"/>
    </row>
    <row r="713" spans="1:1" ht="15.75" customHeight="1" x14ac:dyDescent="0.3">
      <c r="A713" s="28"/>
    </row>
    <row r="714" spans="1:1" ht="15.75" customHeight="1" x14ac:dyDescent="0.3">
      <c r="A714" s="28"/>
    </row>
    <row r="715" spans="1:1" ht="15.75" customHeight="1" x14ac:dyDescent="0.3">
      <c r="A715" s="28"/>
    </row>
    <row r="716" spans="1:1" ht="15.75" customHeight="1" x14ac:dyDescent="0.3">
      <c r="A716" s="28"/>
    </row>
    <row r="717" spans="1:1" ht="15.75" customHeight="1" x14ac:dyDescent="0.3">
      <c r="A717" s="28"/>
    </row>
    <row r="718" spans="1:1" ht="15.75" customHeight="1" x14ac:dyDescent="0.3">
      <c r="A718" s="28"/>
    </row>
    <row r="719" spans="1:1" ht="15.75" customHeight="1" x14ac:dyDescent="0.3">
      <c r="A719" s="28"/>
    </row>
    <row r="720" spans="1:1" ht="15.75" customHeight="1" x14ac:dyDescent="0.3">
      <c r="A720" s="28"/>
    </row>
    <row r="721" spans="1:1" ht="15.75" customHeight="1" x14ac:dyDescent="0.3">
      <c r="A721" s="28"/>
    </row>
    <row r="722" spans="1:1" ht="15.75" customHeight="1" x14ac:dyDescent="0.3">
      <c r="A722" s="28"/>
    </row>
    <row r="723" spans="1:1" ht="15.75" customHeight="1" x14ac:dyDescent="0.3">
      <c r="A723" s="28"/>
    </row>
    <row r="724" spans="1:1" ht="15.75" customHeight="1" x14ac:dyDescent="0.3">
      <c r="A724" s="28"/>
    </row>
    <row r="725" spans="1:1" ht="15.75" customHeight="1" x14ac:dyDescent="0.3">
      <c r="A725" s="28"/>
    </row>
    <row r="726" spans="1:1" ht="15.75" customHeight="1" x14ac:dyDescent="0.3">
      <c r="A726" s="28"/>
    </row>
    <row r="727" spans="1:1" ht="15.75" customHeight="1" x14ac:dyDescent="0.3">
      <c r="A727" s="28"/>
    </row>
    <row r="728" spans="1:1" ht="15.75" customHeight="1" x14ac:dyDescent="0.3">
      <c r="A728" s="28"/>
    </row>
    <row r="729" spans="1:1" ht="15.75" customHeight="1" x14ac:dyDescent="0.3">
      <c r="A729" s="28"/>
    </row>
    <row r="730" spans="1:1" ht="15.75" customHeight="1" x14ac:dyDescent="0.3">
      <c r="A730" s="28"/>
    </row>
    <row r="731" spans="1:1" ht="15.75" customHeight="1" x14ac:dyDescent="0.3">
      <c r="A731" s="28"/>
    </row>
    <row r="732" spans="1:1" ht="15.75" customHeight="1" x14ac:dyDescent="0.3">
      <c r="A732" s="28"/>
    </row>
    <row r="733" spans="1:1" ht="15.75" customHeight="1" x14ac:dyDescent="0.3">
      <c r="A733" s="28"/>
    </row>
    <row r="734" spans="1:1" ht="15.75" customHeight="1" x14ac:dyDescent="0.3">
      <c r="A734" s="28"/>
    </row>
    <row r="735" spans="1:1" ht="15.75" customHeight="1" x14ac:dyDescent="0.3">
      <c r="A735" s="28"/>
    </row>
    <row r="736" spans="1:1" ht="15.75" customHeight="1" x14ac:dyDescent="0.3">
      <c r="A736" s="28"/>
    </row>
    <row r="737" spans="1:1" ht="15.75" customHeight="1" x14ac:dyDescent="0.3">
      <c r="A737" s="28"/>
    </row>
    <row r="738" spans="1:1" ht="15.75" customHeight="1" x14ac:dyDescent="0.3">
      <c r="A738" s="28"/>
    </row>
    <row r="739" spans="1:1" ht="15.75" customHeight="1" x14ac:dyDescent="0.3">
      <c r="A739" s="28"/>
    </row>
    <row r="740" spans="1:1" ht="15.75" customHeight="1" x14ac:dyDescent="0.3">
      <c r="A740" s="28"/>
    </row>
    <row r="741" spans="1:1" ht="15.75" customHeight="1" x14ac:dyDescent="0.3">
      <c r="A741" s="28"/>
    </row>
    <row r="742" spans="1:1" ht="15.75" customHeight="1" x14ac:dyDescent="0.3">
      <c r="A742" s="28"/>
    </row>
    <row r="743" spans="1:1" ht="15.75" customHeight="1" x14ac:dyDescent="0.3">
      <c r="A743" s="28"/>
    </row>
    <row r="744" spans="1:1" ht="15.75" customHeight="1" x14ac:dyDescent="0.3">
      <c r="A744" s="28"/>
    </row>
    <row r="745" spans="1:1" ht="15.75" customHeight="1" x14ac:dyDescent="0.3">
      <c r="A745" s="28"/>
    </row>
    <row r="746" spans="1:1" ht="15.75" customHeight="1" x14ac:dyDescent="0.3">
      <c r="A746" s="28"/>
    </row>
    <row r="747" spans="1:1" ht="15.75" customHeight="1" x14ac:dyDescent="0.3">
      <c r="A747" s="28"/>
    </row>
    <row r="748" spans="1:1" ht="15.75" customHeight="1" x14ac:dyDescent="0.3">
      <c r="A748" s="28"/>
    </row>
    <row r="749" spans="1:1" ht="15.75" customHeight="1" x14ac:dyDescent="0.3">
      <c r="A749" s="28"/>
    </row>
    <row r="750" spans="1:1" ht="15.75" customHeight="1" x14ac:dyDescent="0.3">
      <c r="A750" s="28"/>
    </row>
    <row r="751" spans="1:1" ht="15.75" customHeight="1" x14ac:dyDescent="0.3">
      <c r="A751" s="28"/>
    </row>
    <row r="752" spans="1:1" ht="15.75" customHeight="1" x14ac:dyDescent="0.3">
      <c r="A752" s="28"/>
    </row>
    <row r="753" spans="1:1" ht="15.75" customHeight="1" x14ac:dyDescent="0.3">
      <c r="A753" s="28"/>
    </row>
    <row r="754" spans="1:1" ht="15.75" customHeight="1" x14ac:dyDescent="0.3">
      <c r="A754" s="28"/>
    </row>
    <row r="755" spans="1:1" ht="15.75" customHeight="1" x14ac:dyDescent="0.3">
      <c r="A755" s="28"/>
    </row>
    <row r="756" spans="1:1" ht="15.75" customHeight="1" x14ac:dyDescent="0.3">
      <c r="A756" s="28"/>
    </row>
    <row r="757" spans="1:1" ht="15.75" customHeight="1" x14ac:dyDescent="0.3">
      <c r="A757" s="28"/>
    </row>
    <row r="758" spans="1:1" ht="15.75" customHeight="1" x14ac:dyDescent="0.3">
      <c r="A758" s="28"/>
    </row>
    <row r="759" spans="1:1" ht="15.75" customHeight="1" x14ac:dyDescent="0.3">
      <c r="A759" s="28"/>
    </row>
    <row r="760" spans="1:1" ht="15.75" customHeight="1" x14ac:dyDescent="0.3">
      <c r="A760" s="28"/>
    </row>
    <row r="761" spans="1:1" ht="15.75" customHeight="1" x14ac:dyDescent="0.3">
      <c r="A761" s="28"/>
    </row>
    <row r="762" spans="1:1" ht="15.75" customHeight="1" x14ac:dyDescent="0.3">
      <c r="A762" s="28"/>
    </row>
    <row r="763" spans="1:1" ht="15.75" customHeight="1" x14ac:dyDescent="0.3">
      <c r="A763" s="28"/>
    </row>
    <row r="764" spans="1:1" ht="15.75" customHeight="1" x14ac:dyDescent="0.3">
      <c r="A764" s="28"/>
    </row>
    <row r="765" spans="1:1" ht="15.75" customHeight="1" x14ac:dyDescent="0.3">
      <c r="A765" s="28"/>
    </row>
    <row r="766" spans="1:1" ht="15.75" customHeight="1" x14ac:dyDescent="0.3">
      <c r="A766" s="28"/>
    </row>
    <row r="767" spans="1:1" ht="15.75" customHeight="1" x14ac:dyDescent="0.3">
      <c r="A767" s="28"/>
    </row>
    <row r="768" spans="1:1" ht="15.75" customHeight="1" x14ac:dyDescent="0.3">
      <c r="A768" s="28"/>
    </row>
    <row r="769" spans="1:1" ht="15.75" customHeight="1" x14ac:dyDescent="0.3">
      <c r="A769" s="28"/>
    </row>
    <row r="770" spans="1:1" ht="15.75" customHeight="1" x14ac:dyDescent="0.3">
      <c r="A770" s="28"/>
    </row>
    <row r="771" spans="1:1" ht="15.75" customHeight="1" x14ac:dyDescent="0.3">
      <c r="A771" s="28"/>
    </row>
    <row r="772" spans="1:1" ht="15.75" customHeight="1" x14ac:dyDescent="0.3">
      <c r="A772" s="28"/>
    </row>
    <row r="773" spans="1:1" ht="15.75" customHeight="1" x14ac:dyDescent="0.3">
      <c r="A773" s="28"/>
    </row>
    <row r="774" spans="1:1" ht="15.75" customHeight="1" x14ac:dyDescent="0.3">
      <c r="A774" s="28"/>
    </row>
    <row r="775" spans="1:1" ht="15.75" customHeight="1" x14ac:dyDescent="0.3">
      <c r="A775" s="28"/>
    </row>
    <row r="776" spans="1:1" ht="15.75" customHeight="1" x14ac:dyDescent="0.3">
      <c r="A776" s="28"/>
    </row>
    <row r="777" spans="1:1" ht="15.75" customHeight="1" x14ac:dyDescent="0.3">
      <c r="A777" s="28"/>
    </row>
    <row r="778" spans="1:1" ht="15.75" customHeight="1" x14ac:dyDescent="0.3">
      <c r="A778" s="28"/>
    </row>
    <row r="779" spans="1:1" ht="15.75" customHeight="1" x14ac:dyDescent="0.3">
      <c r="A779" s="28"/>
    </row>
    <row r="780" spans="1:1" ht="15.75" customHeight="1" x14ac:dyDescent="0.3">
      <c r="A780" s="28"/>
    </row>
    <row r="781" spans="1:1" ht="15.75" customHeight="1" x14ac:dyDescent="0.3">
      <c r="A781" s="28"/>
    </row>
    <row r="782" spans="1:1" ht="15.75" customHeight="1" x14ac:dyDescent="0.3">
      <c r="A782" s="28"/>
    </row>
    <row r="783" spans="1:1" ht="15.75" customHeight="1" x14ac:dyDescent="0.3">
      <c r="A783" s="28"/>
    </row>
    <row r="784" spans="1:1" ht="15.75" customHeight="1" x14ac:dyDescent="0.3">
      <c r="A784" s="28"/>
    </row>
    <row r="785" spans="1:1" ht="15.75" customHeight="1" x14ac:dyDescent="0.3">
      <c r="A785" s="28"/>
    </row>
    <row r="786" spans="1:1" ht="15.75" customHeight="1" x14ac:dyDescent="0.3">
      <c r="A786" s="28"/>
    </row>
    <row r="787" spans="1:1" ht="15.75" customHeight="1" x14ac:dyDescent="0.3">
      <c r="A787" s="28"/>
    </row>
    <row r="788" spans="1:1" ht="15.75" customHeight="1" x14ac:dyDescent="0.3">
      <c r="A788" s="28"/>
    </row>
    <row r="789" spans="1:1" ht="15.75" customHeight="1" x14ac:dyDescent="0.3">
      <c r="A789" s="28"/>
    </row>
    <row r="790" spans="1:1" ht="15.75" customHeight="1" x14ac:dyDescent="0.3">
      <c r="A790" s="28"/>
    </row>
    <row r="791" spans="1:1" ht="15.75" customHeight="1" x14ac:dyDescent="0.3">
      <c r="A791" s="28"/>
    </row>
    <row r="792" spans="1:1" ht="15.75" customHeight="1" x14ac:dyDescent="0.3">
      <c r="A792" s="28"/>
    </row>
    <row r="793" spans="1:1" ht="15.75" customHeight="1" x14ac:dyDescent="0.3">
      <c r="A793" s="28"/>
    </row>
    <row r="794" spans="1:1" ht="15.75" customHeight="1" x14ac:dyDescent="0.3">
      <c r="A794" s="28"/>
    </row>
    <row r="795" spans="1:1" ht="15.75" customHeight="1" x14ac:dyDescent="0.3">
      <c r="A795" s="28"/>
    </row>
    <row r="796" spans="1:1" ht="15.75" customHeight="1" x14ac:dyDescent="0.3">
      <c r="A796" s="28"/>
    </row>
    <row r="797" spans="1:1" ht="15.75" customHeight="1" x14ac:dyDescent="0.3">
      <c r="A797" s="28"/>
    </row>
    <row r="798" spans="1:1" ht="15.75" customHeight="1" x14ac:dyDescent="0.3">
      <c r="A798" s="28"/>
    </row>
    <row r="799" spans="1:1" ht="15.75" customHeight="1" x14ac:dyDescent="0.3">
      <c r="A799" s="28"/>
    </row>
    <row r="800" spans="1:1" ht="15.75" customHeight="1" x14ac:dyDescent="0.3">
      <c r="A800" s="28"/>
    </row>
    <row r="801" spans="1:1" ht="15.75" customHeight="1" x14ac:dyDescent="0.3">
      <c r="A801" s="28"/>
    </row>
    <row r="802" spans="1:1" ht="15.75" customHeight="1" x14ac:dyDescent="0.3">
      <c r="A802" s="28"/>
    </row>
    <row r="803" spans="1:1" ht="15.75" customHeight="1" x14ac:dyDescent="0.3">
      <c r="A803" s="28"/>
    </row>
    <row r="804" spans="1:1" ht="15.75" customHeight="1" x14ac:dyDescent="0.3">
      <c r="A804" s="28"/>
    </row>
    <row r="805" spans="1:1" ht="15.75" customHeight="1" x14ac:dyDescent="0.3">
      <c r="A805" s="28"/>
    </row>
    <row r="806" spans="1:1" ht="15.75" customHeight="1" x14ac:dyDescent="0.3">
      <c r="A806" s="28"/>
    </row>
    <row r="807" spans="1:1" ht="15.75" customHeight="1" x14ac:dyDescent="0.3">
      <c r="A807" s="28"/>
    </row>
    <row r="808" spans="1:1" ht="15.75" customHeight="1" x14ac:dyDescent="0.3">
      <c r="A808" s="28"/>
    </row>
    <row r="809" spans="1:1" ht="15.75" customHeight="1" x14ac:dyDescent="0.3">
      <c r="A809" s="28"/>
    </row>
    <row r="810" spans="1:1" ht="15.75" customHeight="1" x14ac:dyDescent="0.3">
      <c r="A810" s="28"/>
    </row>
    <row r="811" spans="1:1" ht="15.75" customHeight="1" x14ac:dyDescent="0.3">
      <c r="A811" s="28"/>
    </row>
    <row r="812" spans="1:1" ht="15.75" customHeight="1" x14ac:dyDescent="0.3">
      <c r="A812" s="28"/>
    </row>
    <row r="813" spans="1:1" ht="15.75" customHeight="1" x14ac:dyDescent="0.3">
      <c r="A813" s="28"/>
    </row>
    <row r="814" spans="1:1" ht="15.75" customHeight="1" x14ac:dyDescent="0.3">
      <c r="A814" s="28"/>
    </row>
    <row r="815" spans="1:1" ht="15.75" customHeight="1" x14ac:dyDescent="0.3">
      <c r="A815" s="28"/>
    </row>
    <row r="816" spans="1:1" ht="15.75" customHeight="1" x14ac:dyDescent="0.3">
      <c r="A816" s="28"/>
    </row>
    <row r="817" spans="1:1" ht="15.75" customHeight="1" x14ac:dyDescent="0.3">
      <c r="A817" s="28"/>
    </row>
    <row r="818" spans="1:1" ht="15.75" customHeight="1" x14ac:dyDescent="0.3">
      <c r="A818" s="28"/>
    </row>
    <row r="819" spans="1:1" ht="15.75" customHeight="1" x14ac:dyDescent="0.3">
      <c r="A819" s="28"/>
    </row>
    <row r="820" spans="1:1" ht="15.75" customHeight="1" x14ac:dyDescent="0.3">
      <c r="A820" s="28"/>
    </row>
    <row r="821" spans="1:1" ht="15.75" customHeight="1" x14ac:dyDescent="0.3">
      <c r="A821" s="28"/>
    </row>
    <row r="822" spans="1:1" ht="15.75" customHeight="1" x14ac:dyDescent="0.3">
      <c r="A822" s="28"/>
    </row>
    <row r="823" spans="1:1" ht="15.75" customHeight="1" x14ac:dyDescent="0.3">
      <c r="A823" s="28"/>
    </row>
    <row r="824" spans="1:1" ht="15.75" customHeight="1" x14ac:dyDescent="0.3">
      <c r="A824" s="28"/>
    </row>
    <row r="825" spans="1:1" ht="15.75" customHeight="1" x14ac:dyDescent="0.3">
      <c r="A825" s="28"/>
    </row>
    <row r="826" spans="1:1" ht="15.75" customHeight="1" x14ac:dyDescent="0.3">
      <c r="A826" s="28"/>
    </row>
    <row r="827" spans="1:1" ht="15.75" customHeight="1" x14ac:dyDescent="0.3">
      <c r="A827" s="28"/>
    </row>
    <row r="828" spans="1:1" ht="15.75" customHeight="1" x14ac:dyDescent="0.3">
      <c r="A828" s="28"/>
    </row>
    <row r="829" spans="1:1" ht="15.75" customHeight="1" x14ac:dyDescent="0.3">
      <c r="A829" s="28"/>
    </row>
    <row r="830" spans="1:1" ht="15.75" customHeight="1" x14ac:dyDescent="0.3">
      <c r="A830" s="28"/>
    </row>
    <row r="831" spans="1:1" ht="15.75" customHeight="1" x14ac:dyDescent="0.3">
      <c r="A831" s="28"/>
    </row>
    <row r="832" spans="1:1" ht="15.75" customHeight="1" x14ac:dyDescent="0.3">
      <c r="A832" s="28"/>
    </row>
    <row r="833" spans="1:1" ht="15.75" customHeight="1" x14ac:dyDescent="0.3">
      <c r="A833" s="28"/>
    </row>
    <row r="834" spans="1:1" ht="15.75" customHeight="1" x14ac:dyDescent="0.3">
      <c r="A834" s="28"/>
    </row>
    <row r="835" spans="1:1" ht="15.75" customHeight="1" x14ac:dyDescent="0.3">
      <c r="A835" s="28"/>
    </row>
    <row r="836" spans="1:1" ht="15.75" customHeight="1" x14ac:dyDescent="0.3">
      <c r="A836" s="28"/>
    </row>
    <row r="837" spans="1:1" ht="15.75" customHeight="1" x14ac:dyDescent="0.3">
      <c r="A837" s="28"/>
    </row>
    <row r="838" spans="1:1" ht="15.75" customHeight="1" x14ac:dyDescent="0.3">
      <c r="A838" s="28"/>
    </row>
    <row r="839" spans="1:1" ht="15.75" customHeight="1" x14ac:dyDescent="0.3">
      <c r="A839" s="28"/>
    </row>
    <row r="840" spans="1:1" ht="15.75" customHeight="1" x14ac:dyDescent="0.3">
      <c r="A840" s="28"/>
    </row>
    <row r="841" spans="1:1" ht="15.75" customHeight="1" x14ac:dyDescent="0.3">
      <c r="A841" s="28"/>
    </row>
    <row r="842" spans="1:1" ht="15.75" customHeight="1" x14ac:dyDescent="0.3">
      <c r="A842" s="28"/>
    </row>
    <row r="843" spans="1:1" ht="15.75" customHeight="1" x14ac:dyDescent="0.3">
      <c r="A843" s="28"/>
    </row>
    <row r="844" spans="1:1" ht="15.75" customHeight="1" x14ac:dyDescent="0.3">
      <c r="A844" s="28"/>
    </row>
    <row r="845" spans="1:1" ht="15.75" customHeight="1" x14ac:dyDescent="0.3">
      <c r="A845" s="28"/>
    </row>
    <row r="846" spans="1:1" ht="15.75" customHeight="1" x14ac:dyDescent="0.3">
      <c r="A846" s="28"/>
    </row>
    <row r="847" spans="1:1" ht="15.75" customHeight="1" x14ac:dyDescent="0.3">
      <c r="A847" s="28"/>
    </row>
    <row r="848" spans="1:1" ht="15.75" customHeight="1" x14ac:dyDescent="0.3">
      <c r="A848" s="28"/>
    </row>
    <row r="849" spans="1:1" ht="15.75" customHeight="1" x14ac:dyDescent="0.3">
      <c r="A849" s="28"/>
    </row>
    <row r="850" spans="1:1" ht="15.75" customHeight="1" x14ac:dyDescent="0.3">
      <c r="A850" s="28"/>
    </row>
    <row r="851" spans="1:1" ht="15.75" customHeight="1" x14ac:dyDescent="0.3">
      <c r="A851" s="28"/>
    </row>
    <row r="852" spans="1:1" ht="15.75" customHeight="1" x14ac:dyDescent="0.3">
      <c r="A852" s="28"/>
    </row>
    <row r="853" spans="1:1" ht="15.75" customHeight="1" x14ac:dyDescent="0.3">
      <c r="A853" s="28"/>
    </row>
    <row r="854" spans="1:1" ht="15.75" customHeight="1" x14ac:dyDescent="0.3">
      <c r="A854" s="28"/>
    </row>
    <row r="855" spans="1:1" ht="15.75" customHeight="1" x14ac:dyDescent="0.3">
      <c r="A855" s="28"/>
    </row>
    <row r="856" spans="1:1" ht="15.75" customHeight="1" x14ac:dyDescent="0.3">
      <c r="A856" s="28"/>
    </row>
    <row r="857" spans="1:1" ht="15.75" customHeight="1" x14ac:dyDescent="0.3">
      <c r="A857" s="28"/>
    </row>
    <row r="858" spans="1:1" ht="15.75" customHeight="1" x14ac:dyDescent="0.3">
      <c r="A858" s="28"/>
    </row>
    <row r="859" spans="1:1" ht="15.75" customHeight="1" x14ac:dyDescent="0.3">
      <c r="A859" s="28"/>
    </row>
    <row r="860" spans="1:1" ht="15.75" customHeight="1" x14ac:dyDescent="0.3">
      <c r="A860" s="28"/>
    </row>
    <row r="861" spans="1:1" ht="15.75" customHeight="1" x14ac:dyDescent="0.3">
      <c r="A861" s="28"/>
    </row>
    <row r="862" spans="1:1" ht="15.75" customHeight="1" x14ac:dyDescent="0.3">
      <c r="A862" s="28"/>
    </row>
    <row r="863" spans="1:1" ht="15.75" customHeight="1" x14ac:dyDescent="0.3">
      <c r="A863" s="28"/>
    </row>
    <row r="864" spans="1:1" ht="15.75" customHeight="1" x14ac:dyDescent="0.3">
      <c r="A864" s="28"/>
    </row>
    <row r="865" spans="1:1" ht="15.75" customHeight="1" x14ac:dyDescent="0.3">
      <c r="A865" s="28"/>
    </row>
    <row r="866" spans="1:1" ht="15.75" customHeight="1" x14ac:dyDescent="0.3">
      <c r="A866" s="28"/>
    </row>
    <row r="867" spans="1:1" ht="15.75" customHeight="1" x14ac:dyDescent="0.3">
      <c r="A867" s="28"/>
    </row>
    <row r="868" spans="1:1" ht="15.75" customHeight="1" x14ac:dyDescent="0.3">
      <c r="A868" s="28"/>
    </row>
    <row r="869" spans="1:1" ht="15.75" customHeight="1" x14ac:dyDescent="0.3">
      <c r="A869" s="28"/>
    </row>
    <row r="870" spans="1:1" ht="15.75" customHeight="1" x14ac:dyDescent="0.3">
      <c r="A870" s="28"/>
    </row>
    <row r="871" spans="1:1" ht="15.75" customHeight="1" x14ac:dyDescent="0.3">
      <c r="A871" s="28"/>
    </row>
    <row r="872" spans="1:1" ht="15.75" customHeight="1" x14ac:dyDescent="0.3">
      <c r="A872" s="28"/>
    </row>
    <row r="873" spans="1:1" ht="15.75" customHeight="1" x14ac:dyDescent="0.3">
      <c r="A873" s="28"/>
    </row>
    <row r="874" spans="1:1" ht="15.75" customHeight="1" x14ac:dyDescent="0.3">
      <c r="A874" s="28"/>
    </row>
    <row r="875" spans="1:1" ht="15.75" customHeight="1" x14ac:dyDescent="0.3">
      <c r="A875" s="28"/>
    </row>
    <row r="876" spans="1:1" ht="15.75" customHeight="1" x14ac:dyDescent="0.3">
      <c r="A876" s="28"/>
    </row>
    <row r="877" spans="1:1" ht="15.75" customHeight="1" x14ac:dyDescent="0.3">
      <c r="A877" s="28"/>
    </row>
    <row r="878" spans="1:1" ht="15.75" customHeight="1" x14ac:dyDescent="0.3">
      <c r="A878" s="28"/>
    </row>
    <row r="879" spans="1:1" ht="15.75" customHeight="1" x14ac:dyDescent="0.3">
      <c r="A879" s="28"/>
    </row>
    <row r="880" spans="1:1" ht="15.75" customHeight="1" x14ac:dyDescent="0.3">
      <c r="A880" s="28"/>
    </row>
    <row r="881" spans="1:1" ht="15.75" customHeight="1" x14ac:dyDescent="0.3">
      <c r="A881" s="28"/>
    </row>
    <row r="882" spans="1:1" ht="15.75" customHeight="1" x14ac:dyDescent="0.3">
      <c r="A882" s="28"/>
    </row>
    <row r="883" spans="1:1" ht="15.75" customHeight="1" x14ac:dyDescent="0.3">
      <c r="A883" s="28"/>
    </row>
    <row r="884" spans="1:1" ht="15.75" customHeight="1" x14ac:dyDescent="0.3">
      <c r="A884" s="28"/>
    </row>
    <row r="885" spans="1:1" ht="15.75" customHeight="1" x14ac:dyDescent="0.3">
      <c r="A885" s="28"/>
    </row>
    <row r="886" spans="1:1" ht="15.75" customHeight="1" x14ac:dyDescent="0.3">
      <c r="A886" s="28"/>
    </row>
    <row r="887" spans="1:1" ht="15.75" customHeight="1" x14ac:dyDescent="0.3">
      <c r="A887" s="28"/>
    </row>
    <row r="888" spans="1:1" ht="15.75" customHeight="1" x14ac:dyDescent="0.3">
      <c r="A888" s="28"/>
    </row>
    <row r="889" spans="1:1" ht="15.75" customHeight="1" x14ac:dyDescent="0.3">
      <c r="A889" s="28"/>
    </row>
    <row r="890" spans="1:1" ht="15.75" customHeight="1" x14ac:dyDescent="0.3">
      <c r="A890" s="28"/>
    </row>
    <row r="891" spans="1:1" ht="15.75" customHeight="1" x14ac:dyDescent="0.3">
      <c r="A891" s="28"/>
    </row>
    <row r="892" spans="1:1" ht="15.75" customHeight="1" x14ac:dyDescent="0.3">
      <c r="A892" s="28"/>
    </row>
    <row r="893" spans="1:1" ht="15.75" customHeight="1" x14ac:dyDescent="0.3">
      <c r="A893" s="28"/>
    </row>
    <row r="894" spans="1:1" ht="15.75" customHeight="1" x14ac:dyDescent="0.3">
      <c r="A894" s="28"/>
    </row>
    <row r="895" spans="1:1" ht="15.75" customHeight="1" x14ac:dyDescent="0.3">
      <c r="A895" s="28"/>
    </row>
    <row r="896" spans="1:1" ht="15.75" customHeight="1" x14ac:dyDescent="0.3">
      <c r="A896" s="28"/>
    </row>
    <row r="897" spans="1:1" ht="15.75" customHeight="1" x14ac:dyDescent="0.3">
      <c r="A897" s="28"/>
    </row>
    <row r="898" spans="1:1" ht="15.75" customHeight="1" x14ac:dyDescent="0.3">
      <c r="A898" s="28"/>
    </row>
    <row r="899" spans="1:1" ht="15.75" customHeight="1" x14ac:dyDescent="0.3">
      <c r="A899" s="28"/>
    </row>
    <row r="900" spans="1:1" ht="15.75" customHeight="1" x14ac:dyDescent="0.3">
      <c r="A900" s="28"/>
    </row>
    <row r="901" spans="1:1" ht="15.75" customHeight="1" x14ac:dyDescent="0.3">
      <c r="A901" s="28"/>
    </row>
    <row r="902" spans="1:1" ht="15.75" customHeight="1" x14ac:dyDescent="0.3">
      <c r="A902" s="28"/>
    </row>
    <row r="903" spans="1:1" ht="15.75" customHeight="1" x14ac:dyDescent="0.3">
      <c r="A903" s="28"/>
    </row>
    <row r="904" spans="1:1" ht="15.75" customHeight="1" x14ac:dyDescent="0.3">
      <c r="A904" s="28"/>
    </row>
    <row r="905" spans="1:1" ht="15.75" customHeight="1" x14ac:dyDescent="0.3">
      <c r="A905" s="28"/>
    </row>
    <row r="906" spans="1:1" ht="15.75" customHeight="1" x14ac:dyDescent="0.3">
      <c r="A906" s="28"/>
    </row>
    <row r="907" spans="1:1" ht="15.75" customHeight="1" x14ac:dyDescent="0.3">
      <c r="A907" s="28"/>
    </row>
    <row r="908" spans="1:1" ht="15.75" customHeight="1" x14ac:dyDescent="0.3">
      <c r="A908" s="28"/>
    </row>
    <row r="909" spans="1:1" ht="15.75" customHeight="1" x14ac:dyDescent="0.3">
      <c r="A909" s="28"/>
    </row>
    <row r="910" spans="1:1" ht="15.75" customHeight="1" x14ac:dyDescent="0.3">
      <c r="A910" s="28"/>
    </row>
    <row r="911" spans="1:1" ht="15.75" customHeight="1" x14ac:dyDescent="0.3">
      <c r="A911" s="28"/>
    </row>
    <row r="912" spans="1:1" ht="15.75" customHeight="1" x14ac:dyDescent="0.3">
      <c r="A912" s="28"/>
    </row>
    <row r="913" spans="1:1" ht="15.75" customHeight="1" x14ac:dyDescent="0.3">
      <c r="A913" s="28"/>
    </row>
    <row r="914" spans="1:1" ht="15.75" customHeight="1" x14ac:dyDescent="0.3">
      <c r="A914" s="28"/>
    </row>
    <row r="915" spans="1:1" ht="15.75" customHeight="1" x14ac:dyDescent="0.3">
      <c r="A915" s="28"/>
    </row>
    <row r="916" spans="1:1" ht="15.75" customHeight="1" x14ac:dyDescent="0.3">
      <c r="A916" s="28"/>
    </row>
    <row r="917" spans="1:1" ht="15.75" customHeight="1" x14ac:dyDescent="0.3">
      <c r="A917" s="28"/>
    </row>
    <row r="918" spans="1:1" ht="15.75" customHeight="1" x14ac:dyDescent="0.3">
      <c r="A918" s="28"/>
    </row>
    <row r="919" spans="1:1" ht="15.75" customHeight="1" x14ac:dyDescent="0.3">
      <c r="A919" s="28"/>
    </row>
    <row r="920" spans="1:1" ht="15.75" customHeight="1" x14ac:dyDescent="0.3">
      <c r="A920" s="28"/>
    </row>
    <row r="921" spans="1:1" ht="15.75" customHeight="1" x14ac:dyDescent="0.3">
      <c r="A921" s="28"/>
    </row>
    <row r="922" spans="1:1" ht="15.75" customHeight="1" x14ac:dyDescent="0.3">
      <c r="A922" s="28"/>
    </row>
    <row r="923" spans="1:1" ht="15.75" customHeight="1" x14ac:dyDescent="0.3">
      <c r="A923" s="28"/>
    </row>
    <row r="924" spans="1:1" ht="15.75" customHeight="1" x14ac:dyDescent="0.3">
      <c r="A924" s="28"/>
    </row>
    <row r="925" spans="1:1" ht="15.75" customHeight="1" x14ac:dyDescent="0.3">
      <c r="A925" s="28"/>
    </row>
    <row r="926" spans="1:1" ht="15.75" customHeight="1" x14ac:dyDescent="0.3">
      <c r="A926" s="28"/>
    </row>
    <row r="927" spans="1:1" ht="15.75" customHeight="1" x14ac:dyDescent="0.3">
      <c r="A927" s="28"/>
    </row>
    <row r="928" spans="1:1" ht="15.75" customHeight="1" x14ac:dyDescent="0.3">
      <c r="A928" s="28"/>
    </row>
    <row r="929" spans="1:1" ht="15.75" customHeight="1" x14ac:dyDescent="0.3">
      <c r="A929" s="28"/>
    </row>
    <row r="930" spans="1:1" ht="15.75" customHeight="1" x14ac:dyDescent="0.3">
      <c r="A930" s="28"/>
    </row>
    <row r="931" spans="1:1" ht="15.75" customHeight="1" x14ac:dyDescent="0.3">
      <c r="A931" s="28"/>
    </row>
    <row r="932" spans="1:1" ht="15.75" customHeight="1" x14ac:dyDescent="0.3">
      <c r="A932" s="28"/>
    </row>
    <row r="933" spans="1:1" ht="15.75" customHeight="1" x14ac:dyDescent="0.3">
      <c r="A933" s="28"/>
    </row>
    <row r="934" spans="1:1" ht="15.75" customHeight="1" x14ac:dyDescent="0.3">
      <c r="A934" s="28"/>
    </row>
    <row r="935" spans="1:1" ht="15.75" customHeight="1" x14ac:dyDescent="0.3">
      <c r="A935" s="28"/>
    </row>
    <row r="936" spans="1:1" ht="15.75" customHeight="1" x14ac:dyDescent="0.3">
      <c r="A936" s="28"/>
    </row>
    <row r="937" spans="1:1" ht="15.75" customHeight="1" x14ac:dyDescent="0.3">
      <c r="A937" s="28"/>
    </row>
    <row r="938" spans="1:1" ht="15.75" customHeight="1" x14ac:dyDescent="0.3">
      <c r="A938" s="28"/>
    </row>
    <row r="939" spans="1:1" ht="15.75" customHeight="1" x14ac:dyDescent="0.3">
      <c r="A939" s="28"/>
    </row>
    <row r="940" spans="1:1" ht="15.75" customHeight="1" x14ac:dyDescent="0.3">
      <c r="A940" s="28"/>
    </row>
    <row r="941" spans="1:1" ht="15.75" customHeight="1" x14ac:dyDescent="0.3">
      <c r="A941" s="28"/>
    </row>
    <row r="942" spans="1:1" ht="15.75" customHeight="1" x14ac:dyDescent="0.3">
      <c r="A942" s="28"/>
    </row>
    <row r="943" spans="1:1" ht="15.75" customHeight="1" x14ac:dyDescent="0.3">
      <c r="A943" s="28"/>
    </row>
    <row r="944" spans="1:1" ht="15.75" customHeight="1" x14ac:dyDescent="0.3">
      <c r="A944" s="28"/>
    </row>
    <row r="945" spans="1:1" ht="15.75" customHeight="1" x14ac:dyDescent="0.3">
      <c r="A945" s="28"/>
    </row>
    <row r="946" spans="1:1" ht="15.75" customHeight="1" x14ac:dyDescent="0.3">
      <c r="A946" s="28"/>
    </row>
    <row r="947" spans="1:1" ht="15.75" customHeight="1" x14ac:dyDescent="0.3">
      <c r="A947" s="28"/>
    </row>
    <row r="948" spans="1:1" ht="15.75" customHeight="1" x14ac:dyDescent="0.3">
      <c r="A948" s="28"/>
    </row>
    <row r="949" spans="1:1" ht="15.75" customHeight="1" x14ac:dyDescent="0.3">
      <c r="A949" s="28"/>
    </row>
    <row r="950" spans="1:1" ht="15.75" customHeight="1" x14ac:dyDescent="0.3">
      <c r="A950" s="28"/>
    </row>
    <row r="951" spans="1:1" ht="15.75" customHeight="1" x14ac:dyDescent="0.3">
      <c r="A951" s="28"/>
    </row>
    <row r="952" spans="1:1" ht="15.75" customHeight="1" x14ac:dyDescent="0.3">
      <c r="A952" s="28"/>
    </row>
    <row r="953" spans="1:1" ht="15.75" customHeight="1" x14ac:dyDescent="0.3">
      <c r="A953" s="28"/>
    </row>
    <row r="954" spans="1:1" ht="15.75" customHeight="1" x14ac:dyDescent="0.3">
      <c r="A954" s="28"/>
    </row>
    <row r="955" spans="1:1" ht="15.75" customHeight="1" x14ac:dyDescent="0.3">
      <c r="A955" s="28"/>
    </row>
    <row r="956" spans="1:1" ht="15.75" customHeight="1" x14ac:dyDescent="0.3">
      <c r="A956" s="28"/>
    </row>
    <row r="957" spans="1:1" ht="15.75" customHeight="1" x14ac:dyDescent="0.3">
      <c r="A957" s="28"/>
    </row>
    <row r="958" spans="1:1" ht="15.75" customHeight="1" x14ac:dyDescent="0.3">
      <c r="A958" s="28"/>
    </row>
    <row r="959" spans="1:1" ht="15.75" customHeight="1" x14ac:dyDescent="0.3">
      <c r="A959" s="28"/>
    </row>
    <row r="960" spans="1:1" ht="15.75" customHeight="1" x14ac:dyDescent="0.3">
      <c r="A960" s="28"/>
    </row>
    <row r="961" spans="1:1" ht="15.75" customHeight="1" x14ac:dyDescent="0.3">
      <c r="A961" s="28"/>
    </row>
    <row r="962" spans="1:1" ht="15.75" customHeight="1" x14ac:dyDescent="0.3">
      <c r="A962" s="28"/>
    </row>
    <row r="963" spans="1:1" ht="15.75" customHeight="1" x14ac:dyDescent="0.3">
      <c r="A963" s="28"/>
    </row>
    <row r="964" spans="1:1" ht="15.75" customHeight="1" x14ac:dyDescent="0.3">
      <c r="A964" s="28"/>
    </row>
    <row r="965" spans="1:1" ht="15.75" customHeight="1" x14ac:dyDescent="0.3">
      <c r="A965" s="28"/>
    </row>
    <row r="966" spans="1:1" ht="15.75" customHeight="1" x14ac:dyDescent="0.3">
      <c r="A966" s="28"/>
    </row>
    <row r="967" spans="1:1" ht="15.75" customHeight="1" x14ac:dyDescent="0.3">
      <c r="A967" s="28"/>
    </row>
    <row r="968" spans="1:1" ht="15.75" customHeight="1" x14ac:dyDescent="0.3">
      <c r="A968" s="28"/>
    </row>
    <row r="969" spans="1:1" ht="15.75" customHeight="1" x14ac:dyDescent="0.3">
      <c r="A969" s="28"/>
    </row>
    <row r="970" spans="1:1" ht="15.75" customHeight="1" x14ac:dyDescent="0.3">
      <c r="A970" s="28"/>
    </row>
    <row r="971" spans="1:1" ht="15.75" customHeight="1" x14ac:dyDescent="0.3">
      <c r="A971" s="28"/>
    </row>
    <row r="972" spans="1:1" ht="15.75" customHeight="1" x14ac:dyDescent="0.3">
      <c r="A972" s="28"/>
    </row>
    <row r="973" spans="1:1" ht="15.75" customHeight="1" x14ac:dyDescent="0.3">
      <c r="A973" s="28"/>
    </row>
    <row r="974" spans="1:1" ht="15.75" customHeight="1" x14ac:dyDescent="0.3">
      <c r="A974" s="28"/>
    </row>
    <row r="975" spans="1:1" ht="15.75" customHeight="1" x14ac:dyDescent="0.3">
      <c r="A975" s="28"/>
    </row>
    <row r="976" spans="1:1" ht="15.75" customHeight="1" x14ac:dyDescent="0.3">
      <c r="A976" s="28"/>
    </row>
    <row r="977" spans="1:1" ht="15.75" customHeight="1" x14ac:dyDescent="0.3">
      <c r="A977" s="28"/>
    </row>
    <row r="978" spans="1:1" ht="15.75" customHeight="1" x14ac:dyDescent="0.3">
      <c r="A978" s="28"/>
    </row>
    <row r="979" spans="1:1" ht="15.75" customHeight="1" x14ac:dyDescent="0.3">
      <c r="A979" s="28"/>
    </row>
    <row r="980" spans="1:1" ht="15.75" customHeight="1" x14ac:dyDescent="0.3">
      <c r="A980" s="28"/>
    </row>
    <row r="981" spans="1:1" ht="15.75" customHeight="1" x14ac:dyDescent="0.3">
      <c r="A981" s="28"/>
    </row>
    <row r="982" spans="1:1" ht="15.75" customHeight="1" x14ac:dyDescent="0.3">
      <c r="A982" s="28"/>
    </row>
    <row r="983" spans="1:1" ht="15.75" customHeight="1" x14ac:dyDescent="0.3">
      <c r="A983" s="28"/>
    </row>
    <row r="984" spans="1:1" ht="15.75" customHeight="1" x14ac:dyDescent="0.3">
      <c r="A984" s="28"/>
    </row>
    <row r="985" spans="1:1" ht="15.75" customHeight="1" x14ac:dyDescent="0.3">
      <c r="A985" s="28"/>
    </row>
    <row r="986" spans="1:1" ht="15.75" customHeight="1" x14ac:dyDescent="0.3">
      <c r="A986" s="28"/>
    </row>
    <row r="987" spans="1:1" ht="15.75" customHeight="1" x14ac:dyDescent="0.3">
      <c r="A987" s="28"/>
    </row>
    <row r="988" spans="1:1" ht="15.75" customHeight="1" x14ac:dyDescent="0.3">
      <c r="A988" s="28"/>
    </row>
    <row r="989" spans="1:1" ht="15.75" customHeight="1" x14ac:dyDescent="0.3">
      <c r="A989" s="28"/>
    </row>
    <row r="990" spans="1:1" ht="15.75" customHeight="1" x14ac:dyDescent="0.3">
      <c r="A990" s="28"/>
    </row>
    <row r="991" spans="1:1" ht="15.75" customHeight="1" x14ac:dyDescent="0.3">
      <c r="A991" s="28"/>
    </row>
    <row r="992" spans="1:1" ht="15.75" customHeight="1" x14ac:dyDescent="0.3">
      <c r="A992" s="28"/>
    </row>
    <row r="993" spans="1:1" ht="15.75" customHeight="1" x14ac:dyDescent="0.3">
      <c r="A993" s="28"/>
    </row>
    <row r="994" spans="1:1" ht="15.75" customHeight="1" x14ac:dyDescent="0.3">
      <c r="A994" s="28"/>
    </row>
    <row r="995" spans="1:1" ht="15.75" customHeight="1" x14ac:dyDescent="0.3">
      <c r="A995" s="28"/>
    </row>
    <row r="996" spans="1:1" ht="15.75" customHeight="1" x14ac:dyDescent="0.3">
      <c r="A996" s="28"/>
    </row>
    <row r="997" spans="1:1" ht="15.75" customHeight="1" x14ac:dyDescent="0.3">
      <c r="A997" s="28"/>
    </row>
    <row r="998" spans="1:1" ht="15.75" customHeight="1" x14ac:dyDescent="0.3">
      <c r="A998" s="28"/>
    </row>
    <row r="999" spans="1:1" ht="15.75" customHeight="1" x14ac:dyDescent="0.3">
      <c r="A999" s="28"/>
    </row>
    <row r="1000" spans="1:1" ht="15.75" customHeight="1" x14ac:dyDescent="0.3">
      <c r="A1000" s="28"/>
    </row>
  </sheetData>
  <mergeCells count="21">
    <mergeCell ref="A1:N1"/>
    <mergeCell ref="B2:G2"/>
    <mergeCell ref="I2:N2"/>
    <mergeCell ref="A24:N24"/>
    <mergeCell ref="B25:G25"/>
    <mergeCell ref="I25:N25"/>
    <mergeCell ref="A47:N47"/>
    <mergeCell ref="I94:N94"/>
    <mergeCell ref="A115:N115"/>
    <mergeCell ref="B116:G116"/>
    <mergeCell ref="I116:N116"/>
    <mergeCell ref="A137:N137"/>
    <mergeCell ref="B138:G138"/>
    <mergeCell ref="I138:N138"/>
    <mergeCell ref="B48:G48"/>
    <mergeCell ref="I48:N48"/>
    <mergeCell ref="A70:N70"/>
    <mergeCell ref="B71:G71"/>
    <mergeCell ref="I71:N71"/>
    <mergeCell ref="A93:N93"/>
    <mergeCell ref="B94:G94"/>
  </mergeCells>
  <pageMargins left="0.7" right="0.7" top="0.75" bottom="0.75" header="0" footer="0"/>
  <pageSetup orientation="landscape"/>
  <tableParts count="8">
    <tablePart r:id="rId1"/>
    <tablePart r:id="rId2"/>
    <tablePart r:id="rId3"/>
    <tablePart r:id="rId4"/>
    <tablePart r:id="rId5"/>
    <tablePart r:id="rId6"/>
    <tablePart r:id="rId7"/>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5"/>
  <sheetViews>
    <sheetView showGridLines="0" workbookViewId="0">
      <pane ySplit="5" topLeftCell="A6" activePane="bottomLeft" state="frozen"/>
      <selection pane="bottomLeft" activeCell="A6" sqref="A6:S17"/>
    </sheetView>
  </sheetViews>
  <sheetFormatPr defaultColWidth="14.44140625" defaultRowHeight="15" customHeight="1" x14ac:dyDescent="0.3"/>
  <cols>
    <col min="1" max="1" width="6.21875" customWidth="1"/>
    <col min="2" max="2" width="11.77734375" customWidth="1"/>
    <col min="3" max="3" width="13.77734375" customWidth="1"/>
    <col min="4" max="4" width="20.77734375" customWidth="1"/>
    <col min="5" max="6" width="7.77734375" customWidth="1"/>
    <col min="7" max="7" width="7.44140625" customWidth="1"/>
    <col min="8" max="8" width="9.21875" customWidth="1"/>
    <col min="9" max="9" width="11.44140625" customWidth="1"/>
    <col min="10" max="10" width="9" customWidth="1"/>
    <col min="11" max="12" width="8.21875" customWidth="1"/>
    <col min="13" max="13" width="13.77734375" customWidth="1"/>
    <col min="14" max="14" width="10.21875" customWidth="1"/>
    <col min="15" max="15" width="13.21875" customWidth="1"/>
    <col min="16" max="16" width="11.77734375" customWidth="1"/>
    <col min="17" max="17" width="9.77734375" customWidth="1"/>
    <col min="18" max="18" width="19.5546875" customWidth="1"/>
    <col min="19" max="19" width="24.77734375" customWidth="1"/>
    <col min="20" max="26" width="8.77734375" customWidth="1"/>
  </cols>
  <sheetData>
    <row r="1" spans="1:26" ht="14.4" x14ac:dyDescent="0.3">
      <c r="A1" s="108" t="s">
        <v>14</v>
      </c>
      <c r="B1" s="109" t="str">
        <f>IF(Vessels!$B$1&lt;&gt;"",Vessels!B1,Piping!B1)</f>
        <v>KINETIC MIDSTREAM</v>
      </c>
      <c r="C1" s="108" t="s">
        <v>15</v>
      </c>
      <c r="D1" s="146" t="str">
        <f>IF(Vessels!$D$1&lt;&gt;"",Vessels!D1,Piping!D1)</f>
        <v>ARTESIA NM</v>
      </c>
      <c r="E1" s="132"/>
      <c r="F1" s="108" t="s">
        <v>16</v>
      </c>
      <c r="G1" s="146" t="str">
        <f>IF(Vessels!$G$1&lt;&gt;"",Vessels!G1,Piping!G1)</f>
        <v>KINGS LANDING</v>
      </c>
      <c r="H1" s="133"/>
      <c r="I1" s="132"/>
      <c r="J1" s="108" t="s">
        <v>17</v>
      </c>
      <c r="K1" s="178">
        <f>IF(Vessels!$K$1&lt;&gt;"",Vessels!K1,Piping!K1)</f>
        <v>46072</v>
      </c>
      <c r="L1" s="133"/>
      <c r="M1" s="132"/>
      <c r="N1" s="37" t="str">
        <f>IF(Vessels!C2&lt;&gt;"","Vessels",IF(Piping!C2&lt;&gt;"","Piping",""))</f>
        <v>Piping</v>
      </c>
      <c r="O1" s="37"/>
      <c r="P1" s="37"/>
      <c r="Q1" s="110"/>
      <c r="R1" s="37"/>
      <c r="S1" s="37"/>
      <c r="T1" s="37"/>
      <c r="U1" s="37"/>
      <c r="V1" s="37"/>
      <c r="W1" s="37"/>
      <c r="X1" s="37"/>
      <c r="Y1" s="37"/>
      <c r="Z1" s="37"/>
    </row>
    <row r="2" spans="1:26" ht="14.4" x14ac:dyDescent="0.3">
      <c r="A2" s="146" t="s">
        <v>19</v>
      </c>
      <c r="B2" s="132"/>
      <c r="C2" s="179" t="str">
        <f>IF(Vessels!$C$2&lt;&gt;"",Vessels!C2,Piping!C2)</f>
        <v>Amine-034</v>
      </c>
      <c r="D2" s="133"/>
      <c r="E2" s="132"/>
      <c r="F2" s="146" t="s">
        <v>20</v>
      </c>
      <c r="G2" s="133"/>
      <c r="H2" s="132"/>
      <c r="I2" s="179" t="str">
        <f>IF(Vessels!I2&lt;&gt;"",Vessels!I2,Piping!I2)</f>
        <v>F-1202 To Open Drain</v>
      </c>
      <c r="J2" s="133"/>
      <c r="K2" s="133"/>
      <c r="L2" s="133"/>
      <c r="M2" s="132"/>
      <c r="N2" s="37"/>
      <c r="O2" s="37"/>
      <c r="P2" s="37"/>
      <c r="Q2" s="110"/>
      <c r="R2" s="37"/>
      <c r="S2" s="37"/>
      <c r="T2" s="37"/>
      <c r="U2" s="37"/>
      <c r="V2" s="37"/>
      <c r="W2" s="37"/>
      <c r="X2" s="37"/>
      <c r="Y2" s="37"/>
      <c r="Z2" s="37"/>
    </row>
    <row r="3" spans="1:26" ht="14.4" x14ac:dyDescent="0.3">
      <c r="A3" s="180" t="s">
        <v>21</v>
      </c>
      <c r="B3" s="132"/>
      <c r="C3" s="179" t="str">
        <f>IF(Vessels!$C$3&lt;&gt;"",Vessels!C3,Piping!C3)</f>
        <v>K1GP-PID-1201</v>
      </c>
      <c r="D3" s="133"/>
      <c r="E3" s="133"/>
      <c r="F3" s="133"/>
      <c r="G3" s="133"/>
      <c r="H3" s="132"/>
      <c r="I3" s="111" t="s">
        <v>22</v>
      </c>
      <c r="J3" s="179" t="str">
        <f>IF(Vessels!$J$3&lt;&gt;"",Vessels!J3,Piping!J3)</f>
        <v>Carlos Santollo</v>
      </c>
      <c r="K3" s="133"/>
      <c r="L3" s="133"/>
      <c r="M3" s="132"/>
      <c r="N3" s="37"/>
      <c r="O3" s="37"/>
      <c r="P3" s="37"/>
      <c r="Q3" s="110"/>
      <c r="R3" s="37"/>
      <c r="S3" s="37"/>
      <c r="T3" s="37"/>
      <c r="U3" s="37"/>
      <c r="V3" s="37"/>
      <c r="W3" s="37"/>
      <c r="X3" s="37"/>
      <c r="Y3" s="37"/>
      <c r="Z3" s="37"/>
    </row>
    <row r="4" spans="1:26" ht="14.4" x14ac:dyDescent="0.3">
      <c r="A4" s="179" t="s">
        <v>23</v>
      </c>
      <c r="B4" s="133"/>
      <c r="C4" s="132"/>
      <c r="D4" s="146" t="str">
        <f>IF(Vessels!$D$4&lt;&gt;"",Vessels!D4,Piping!D4)</f>
        <v>Carbon</v>
      </c>
      <c r="E4" s="133"/>
      <c r="F4" s="132"/>
      <c r="G4" s="180" t="str">
        <f>IF(N1&lt;&gt;"Piping",Vessels!G4,"")</f>
        <v/>
      </c>
      <c r="H4" s="133"/>
      <c r="I4" s="132"/>
      <c r="J4" s="179" t="str">
        <f>IF(Vessels!$J$4&lt;&gt;"",Vessels!J4,"")</f>
        <v/>
      </c>
      <c r="K4" s="133"/>
      <c r="L4" s="133"/>
      <c r="M4" s="132"/>
      <c r="N4" s="37"/>
      <c r="O4" s="37"/>
      <c r="P4" s="37"/>
      <c r="Q4" s="112"/>
      <c r="R4" s="113"/>
      <c r="S4" s="113"/>
      <c r="T4" s="37"/>
      <c r="U4" s="37"/>
      <c r="V4" s="37"/>
      <c r="W4" s="37"/>
      <c r="X4" s="37"/>
      <c r="Y4" s="37"/>
      <c r="Z4" s="37"/>
    </row>
    <row r="5" spans="1:26" ht="26.25" customHeight="1" x14ac:dyDescent="0.3">
      <c r="A5" s="114" t="s">
        <v>26</v>
      </c>
      <c r="B5" s="41" t="s">
        <v>27</v>
      </c>
      <c r="C5" s="41" t="s">
        <v>28</v>
      </c>
      <c r="D5" s="41" t="s">
        <v>29</v>
      </c>
      <c r="E5" s="41" t="s">
        <v>30</v>
      </c>
      <c r="F5" s="41" t="s">
        <v>31</v>
      </c>
      <c r="G5" s="41" t="s">
        <v>32</v>
      </c>
      <c r="H5" s="41" t="s">
        <v>33</v>
      </c>
      <c r="I5" s="41" t="s">
        <v>34</v>
      </c>
      <c r="J5" s="41" t="s">
        <v>52</v>
      </c>
      <c r="K5" s="41" t="s">
        <v>35</v>
      </c>
      <c r="L5" s="41" t="s">
        <v>36</v>
      </c>
      <c r="M5" s="115" t="s">
        <v>554</v>
      </c>
      <c r="N5" s="116" t="s">
        <v>555</v>
      </c>
      <c r="O5" s="116" t="s">
        <v>556</v>
      </c>
      <c r="P5" s="116" t="s">
        <v>557</v>
      </c>
      <c r="Q5" s="40" t="s">
        <v>44</v>
      </c>
      <c r="R5" s="40" t="s">
        <v>558</v>
      </c>
      <c r="S5" s="40" t="s">
        <v>559</v>
      </c>
      <c r="T5" s="37"/>
      <c r="U5" s="37"/>
      <c r="V5" s="37"/>
      <c r="W5" s="37"/>
      <c r="X5" s="37"/>
      <c r="Y5" s="37"/>
      <c r="Z5" s="37"/>
    </row>
    <row r="6" spans="1:26" ht="14.4" x14ac:dyDescent="0.3">
      <c r="A6" s="121">
        <f>IF($N$1="Piping", IF(ISBLANK(Piping!A6), "", Piping!A6), IF($N$1="Vessels", IF(ISBLANK(Vessels!A6), "", Vessels!A6), ""))</f>
        <v>1.01</v>
      </c>
      <c r="B6" s="21" t="str">
        <f>IF($N$1="Piping", IF(ISBLANK(Piping!B6), "", Piping!B6), IF($N$1="Vessels", IF(ISBLANK(Vessels!B6), "", Vessels!B6), ""))</f>
        <v>North</v>
      </c>
      <c r="C6" s="21" t="str">
        <f>IF($N$1="Piping", IF(ISBLANK(Piping!C6), "", Piping!C6), IF($N$1="Vessels", IF(ISBLANK(Vessels!C6), "", Vessels!C6), ""))</f>
        <v>Piping</v>
      </c>
      <c r="D6" s="21" t="str">
        <f>IF($N$1="Piping", IF(ISBLANK(Piping!D6), "", Piping!D6), IF($N$1="Vessels", IF(ISBLANK(Vessels!D6), "", Vessels!D6), ""))</f>
        <v>Elbow</v>
      </c>
      <c r="E6" s="117">
        <f>IF($N$1="Piping", IF(ISBLANK(Piping!E6), "", Piping!E6), IF($N$1="Vessels", IF(ISBLANK(Vessels!E6), "", Vessels!E6), ""))</f>
        <v>2.375</v>
      </c>
      <c r="F6" s="21">
        <f>IF($N$1="Piping", IF(ISBLANK(Piping!F6), "", Piping!F6), IF($N$1="Vessels", IF(ISBLANK(Vessels!F6), "", Vessels!F6), ""))</f>
        <v>0.218</v>
      </c>
      <c r="G6" s="21">
        <f>IF($N$1="Piping", IF(ISBLANK(Piping!G6), "", Piping!G6), IF($N$1="Vessels", IF(ISBLANK(Vessels!G6), "", Vessels!G6), ""))</f>
        <v>0</v>
      </c>
      <c r="H6" s="21" t="str">
        <f>IF($N$1="Piping", IF(ISBLANK(Piping!H6), "", Piping!H6), IF($N$1="Vessels", IF(ISBLANK(Vessels!H6), "", Vessels!H6), ""))</f>
        <v/>
      </c>
      <c r="I6" s="21" t="str">
        <f>IF($N$1="Piping", IF(ISBLANK(Piping!I6), "", Piping!I6), IF($N$1="Vessels", IF(ISBLANK(Vessels!I6), "", Vessels!I6), ""))</f>
        <v>A234</v>
      </c>
      <c r="J6" s="21" t="str">
        <f>IF($N$1="Piping", IF(ISBLANK(Piping!J6), "", Piping!J6), IF($N$1="Vessels", IF(ISBLANK(Vessels!J6), "", Vessels!J6), ""))</f>
        <v>WPB</v>
      </c>
      <c r="K6" s="21">
        <f>IF($N$1="Piping", IF(ISBLANK(Piping!K6), "", Piping!K6), IF($N$1="Vessels", IF(ISBLANK(Vessels!K6), "", Vessels!K6), ""))</f>
        <v>150</v>
      </c>
      <c r="L6" s="21">
        <f>IF($N$1="Piping", IF(ISBLANK(Piping!L6), "", Piping!L6), IF($N$1="Vessels", IF(ISBLANK(Vessels!L6), "", Vessels!L6), ""))</f>
        <v>200</v>
      </c>
      <c r="M6" s="21"/>
      <c r="N6" s="21"/>
      <c r="O6" s="21"/>
      <c r="P6" s="21"/>
      <c r="Q6" s="21">
        <f>IF($N$1="Piping", IF(ISBLANK(Piping!T6), "", Piping!T6), IF($N$1="Vessels", IF(ISBLANK(Vessels!T6), "", Vessels!T6), ""))</f>
        <v>0.26600000000000001</v>
      </c>
      <c r="R6" s="51" t="str">
        <f>IF($N$1="Piping", IF(ISBLANK(Piping!U6), "", Piping!U6), IF($N$1="Vessels", IF(ISBLANK(Vessels!U6), "", Vessels!U6), ""))</f>
        <v/>
      </c>
      <c r="S6" s="118" t="str">
        <f>IF(B6&lt;&gt;"",IF($N$1="Piping", IF(ISBLANK(Piping!$J$3), "", Piping!$J$3), IF($N$1="Vessels", IF(ISBLANK(Vessels!$J$3), "", Vessels!$J$3), "")),"")</f>
        <v>Carlos Santollo</v>
      </c>
      <c r="T6" s="37"/>
      <c r="U6" s="37"/>
      <c r="V6" s="37"/>
      <c r="W6" s="37"/>
      <c r="X6" s="37"/>
      <c r="Y6" s="37"/>
      <c r="Z6" s="37"/>
    </row>
    <row r="7" spans="1:26" ht="14.4" x14ac:dyDescent="0.3">
      <c r="A7" s="121">
        <f>IF($N$1="Piping", IF(ISBLANK(Piping!A7), "", Piping!A7), IF($N$1="Vessels", IF(ISBLANK(Vessels!A7), "", Vessels!A7), ""))</f>
        <v>1.02</v>
      </c>
      <c r="B7" s="21" t="str">
        <f>IF($N$1="Piping", IF(ISBLANK(Piping!B7), "", Piping!B7), IF($N$1="Vessels", IF(ISBLANK(Vessels!B7), "", Vessels!B7), ""))</f>
        <v>Outside Radius</v>
      </c>
      <c r="C7" s="21" t="str">
        <f>IF($N$1="Piping", IF(ISBLANK(Piping!C7), "", Piping!C7), IF($N$1="Vessels", IF(ISBLANK(Vessels!C7), "", Vessels!C7), ""))</f>
        <v>Piping</v>
      </c>
      <c r="D7" s="21" t="str">
        <f>IF($N$1="Piping", IF(ISBLANK(Piping!D7), "", Piping!D7), IF($N$1="Vessels", IF(ISBLANK(Vessels!D7), "", Vessels!D7), ""))</f>
        <v>Elbow</v>
      </c>
      <c r="E7" s="117">
        <f>IF($N$1="Piping", IF(ISBLANK(Piping!E7), "", Piping!E7), IF($N$1="Vessels", IF(ISBLANK(Vessels!E7), "", Vessels!E7), ""))</f>
        <v>2.375</v>
      </c>
      <c r="F7" s="21">
        <f>IF($N$1="Piping", IF(ISBLANK(Piping!F7), "", Piping!F7), IF($N$1="Vessels", IF(ISBLANK(Vessels!F7), "", Vessels!F7), ""))</f>
        <v>0.218</v>
      </c>
      <c r="G7" s="21">
        <f>IF($N$1="Piping", IF(ISBLANK(Piping!G7), "", Piping!G7), IF($N$1="Vessels", IF(ISBLANK(Vessels!G7), "", Vessels!G7), ""))</f>
        <v>0</v>
      </c>
      <c r="H7" s="21" t="str">
        <f>IF($N$1="Piping", IF(ISBLANK(Piping!H7), "", Piping!H7), IF($N$1="Vessels", IF(ISBLANK(Vessels!H7), "", Vessels!H7), ""))</f>
        <v/>
      </c>
      <c r="I7" s="21" t="str">
        <f>IF($N$1="Piping", IF(ISBLANK(Piping!I7), "", Piping!I7), IF($N$1="Vessels", IF(ISBLANK(Vessels!I7), "", Vessels!I7), ""))</f>
        <v>A234</v>
      </c>
      <c r="J7" s="21" t="str">
        <f>IF($N$1="Piping", IF(ISBLANK(Piping!J7), "", Piping!J7), IF($N$1="Vessels", IF(ISBLANK(Vessels!J7), "", Vessels!J7), ""))</f>
        <v>WPB</v>
      </c>
      <c r="K7" s="21">
        <f>IF($N$1="Piping", IF(ISBLANK(Piping!K7), "", Piping!K7), IF($N$1="Vessels", IF(ISBLANK(Vessels!K7), "", Vessels!K7), ""))</f>
        <v>150</v>
      </c>
      <c r="L7" s="21">
        <f>IF($N$1="Piping", IF(ISBLANK(Piping!L7), "", Piping!L7), IF($N$1="Vessels", IF(ISBLANK(Vessels!L7), "", Vessels!L7), ""))</f>
        <v>200</v>
      </c>
      <c r="M7" s="21"/>
      <c r="N7" s="21"/>
      <c r="O7" s="21"/>
      <c r="P7" s="21"/>
      <c r="Q7" s="21">
        <f>IF($N$1="Piping", IF(ISBLANK(Piping!T7), "", Piping!T7), IF($N$1="Vessels", IF(ISBLANK(Vessels!T7), "", Vessels!T7), ""))</f>
        <v>0.28499999999999998</v>
      </c>
      <c r="R7" s="51" t="str">
        <f>IF($N$1="Piping", IF(ISBLANK(Piping!U7), "", Piping!U7), IF($N$1="Vessels", IF(ISBLANK(Vessels!U7), "", Vessels!U7), ""))</f>
        <v/>
      </c>
      <c r="S7" s="118" t="str">
        <f>IF(B7&lt;&gt;"",IF($N$1="Piping", IF(ISBLANK(Piping!$J$3), "", Piping!$J$3), IF($N$1="Vessels", IF(ISBLANK(Vessels!$J$3), "", Vessels!$J$3), "")),"")</f>
        <v>Carlos Santollo</v>
      </c>
      <c r="T7" s="37"/>
      <c r="U7" s="37"/>
      <c r="V7" s="37"/>
      <c r="W7" s="37"/>
      <c r="X7" s="37"/>
      <c r="Y7" s="37"/>
      <c r="Z7" s="37"/>
    </row>
    <row r="8" spans="1:26" ht="14.4" x14ac:dyDescent="0.3">
      <c r="A8" s="121">
        <f>IF($N$1="Piping", IF(ISBLANK(Piping!A8), "", Piping!A8), IF($N$1="Vessels", IF(ISBLANK(Vessels!A8), "", Vessels!A8), ""))</f>
        <v>1.03</v>
      </c>
      <c r="B8" s="21" t="str">
        <f>IF($N$1="Piping", IF(ISBLANK(Piping!B8), "", Piping!B8), IF($N$1="Vessels", IF(ISBLANK(Vessels!B8), "", Vessels!B8), ""))</f>
        <v>South</v>
      </c>
      <c r="C8" s="21" t="str">
        <f>IF($N$1="Piping", IF(ISBLANK(Piping!C8), "", Piping!C8), IF($N$1="Vessels", IF(ISBLANK(Vessels!C8), "", Vessels!C8), ""))</f>
        <v>Piping</v>
      </c>
      <c r="D8" s="21" t="str">
        <f>IF($N$1="Piping", IF(ISBLANK(Piping!D8), "", Piping!D8), IF($N$1="Vessels", IF(ISBLANK(Vessels!D8), "", Vessels!D8), ""))</f>
        <v>Elbow</v>
      </c>
      <c r="E8" s="117">
        <f>IF($N$1="Piping", IF(ISBLANK(Piping!E8), "", Piping!E8), IF($N$1="Vessels", IF(ISBLANK(Vessels!E8), "", Vessels!E8), ""))</f>
        <v>2.375</v>
      </c>
      <c r="F8" s="21">
        <f>IF($N$1="Piping", IF(ISBLANK(Piping!F8), "", Piping!F8), IF($N$1="Vessels", IF(ISBLANK(Vessels!F8), "", Vessels!F8), ""))</f>
        <v>0.218</v>
      </c>
      <c r="G8" s="21">
        <f>IF($N$1="Piping", IF(ISBLANK(Piping!G8), "", Piping!G8), IF($N$1="Vessels", IF(ISBLANK(Vessels!G8), "", Vessels!G8), ""))</f>
        <v>0</v>
      </c>
      <c r="H8" s="21" t="str">
        <f>IF($N$1="Piping", IF(ISBLANK(Piping!H8), "", Piping!H8), IF($N$1="Vessels", IF(ISBLANK(Vessels!H8), "", Vessels!H8), ""))</f>
        <v/>
      </c>
      <c r="I8" s="21" t="str">
        <f>IF($N$1="Piping", IF(ISBLANK(Piping!I8), "", Piping!I8), IF($N$1="Vessels", IF(ISBLANK(Vessels!I8), "", Vessels!I8), ""))</f>
        <v>A234</v>
      </c>
      <c r="J8" s="21" t="str">
        <f>IF($N$1="Piping", IF(ISBLANK(Piping!J8), "", Piping!J8), IF($N$1="Vessels", IF(ISBLANK(Vessels!J8), "", Vessels!J8), ""))</f>
        <v>WPB</v>
      </c>
      <c r="K8" s="21">
        <f>IF($N$1="Piping", IF(ISBLANK(Piping!K8), "", Piping!K8), IF($N$1="Vessels", IF(ISBLANK(Vessels!K8), "", Vessels!K8), ""))</f>
        <v>150</v>
      </c>
      <c r="L8" s="21">
        <f>IF($N$1="Piping", IF(ISBLANK(Piping!L8), "", Piping!L8), IF($N$1="Vessels", IF(ISBLANK(Vessels!L8), "", Vessels!L8), ""))</f>
        <v>200</v>
      </c>
      <c r="M8" s="21"/>
      <c r="N8" s="21"/>
      <c r="O8" s="21"/>
      <c r="P8" s="21"/>
      <c r="Q8" s="21">
        <f>IF($N$1="Piping", IF(ISBLANK(Piping!T8), "", Piping!T8), IF($N$1="Vessels", IF(ISBLANK(Vessels!T8), "", Vessels!T8), ""))</f>
        <v>0.29199999999999998</v>
      </c>
      <c r="R8" s="51" t="str">
        <f>IF($N$1="Piping", IF(ISBLANK(Piping!U8), "", Piping!U8), IF($N$1="Vessels", IF(ISBLANK(Vessels!U8), "", Vessels!U8), ""))</f>
        <v/>
      </c>
      <c r="S8" s="118" t="str">
        <f>IF(B8&lt;&gt;"",IF($N$1="Piping", IF(ISBLANK(Piping!$J$3), "", Piping!$J$3), IF($N$1="Vessels", IF(ISBLANK(Vessels!$J$3), "", Vessels!$J$3), "")),"")</f>
        <v>Carlos Santollo</v>
      </c>
      <c r="T8" s="37"/>
      <c r="U8" s="37"/>
      <c r="V8" s="37"/>
      <c r="W8" s="37"/>
      <c r="X8" s="37"/>
      <c r="Y8" s="37"/>
      <c r="Z8" s="37"/>
    </row>
    <row r="9" spans="1:26" ht="14.4" x14ac:dyDescent="0.3">
      <c r="A9" s="121">
        <f>IF($N$1="Piping", IF(ISBLANK(Piping!A9), "", Piping!A9), IF($N$1="Vessels", IF(ISBLANK(Vessels!A9), "", Vessels!A9), ""))</f>
        <v>1.04</v>
      </c>
      <c r="B9" s="21" t="str">
        <f>IF($N$1="Piping", IF(ISBLANK(Piping!B9), "", Piping!B9), IF($N$1="Vessels", IF(ISBLANK(Vessels!B9), "", Vessels!B9), ""))</f>
        <v>Bottom</v>
      </c>
      <c r="C9" s="21" t="str">
        <f>IF($N$1="Piping", IF(ISBLANK(Piping!C9), "", Piping!C9), IF($N$1="Vessels", IF(ISBLANK(Vessels!C9), "", Vessels!C9), ""))</f>
        <v>Piping</v>
      </c>
      <c r="D9" s="21" t="str">
        <f>IF($N$1="Piping", IF(ISBLANK(Piping!D9), "", Piping!D9), IF($N$1="Vessels", IF(ISBLANK(Vessels!D9), "", Vessels!D9), ""))</f>
        <v>Elbow</v>
      </c>
      <c r="E9" s="117">
        <f>IF($N$1="Piping", IF(ISBLANK(Piping!E9), "", Piping!E9), IF($N$1="Vessels", IF(ISBLANK(Vessels!E9), "", Vessels!E9), ""))</f>
        <v>2.375</v>
      </c>
      <c r="F9" s="21">
        <f>IF($N$1="Piping", IF(ISBLANK(Piping!F9), "", Piping!F9), IF($N$1="Vessels", IF(ISBLANK(Vessels!F9), "", Vessels!F9), ""))</f>
        <v>0.218</v>
      </c>
      <c r="G9" s="21">
        <f>IF($N$1="Piping", IF(ISBLANK(Piping!G9), "", Piping!G9), IF($N$1="Vessels", IF(ISBLANK(Vessels!G9), "", Vessels!G9), ""))</f>
        <v>0</v>
      </c>
      <c r="H9" s="21" t="str">
        <f>IF($N$1="Piping", IF(ISBLANK(Piping!H9), "", Piping!H9), IF($N$1="Vessels", IF(ISBLANK(Vessels!H9), "", Vessels!H9), ""))</f>
        <v/>
      </c>
      <c r="I9" s="21" t="str">
        <f>IF($N$1="Piping", IF(ISBLANK(Piping!I9), "", Piping!I9), IF($N$1="Vessels", IF(ISBLANK(Vessels!I9), "", Vessels!I9), ""))</f>
        <v>A234</v>
      </c>
      <c r="J9" s="21" t="str">
        <f>IF($N$1="Piping", IF(ISBLANK(Piping!J9), "", Piping!J9), IF($N$1="Vessels", IF(ISBLANK(Vessels!J9), "", Vessels!J9), ""))</f>
        <v>WPB</v>
      </c>
      <c r="K9" s="21">
        <f>IF($N$1="Piping", IF(ISBLANK(Piping!K9), "", Piping!K9), IF($N$1="Vessels", IF(ISBLANK(Vessels!K9), "", Vessels!K9), ""))</f>
        <v>150</v>
      </c>
      <c r="L9" s="21">
        <f>IF($N$1="Piping", IF(ISBLANK(Piping!L9), "", Piping!L9), IF($N$1="Vessels", IF(ISBLANK(Vessels!L9), "", Vessels!L9), ""))</f>
        <v>200</v>
      </c>
      <c r="M9" s="21"/>
      <c r="N9" s="21"/>
      <c r="O9" s="21"/>
      <c r="P9" s="21"/>
      <c r="Q9" s="21">
        <f>IF($N$1="Piping", IF(ISBLANK(Piping!T9), "", Piping!T9), IF($N$1="Vessels", IF(ISBLANK(Vessels!T9), "", Vessels!T9), ""))</f>
        <v>0.28399999999999997</v>
      </c>
      <c r="R9" s="51" t="str">
        <f>IF($N$1="Piping", IF(ISBLANK(Piping!U9), "", Piping!U9), IF($N$1="Vessels", IF(ISBLANK(Vessels!U9), "", Vessels!U9), ""))</f>
        <v/>
      </c>
      <c r="S9" s="118" t="str">
        <f>IF(B9&lt;&gt;"",IF($N$1="Piping", IF(ISBLANK(Piping!$J$3), "", Piping!$J$3), IF($N$1="Vessels", IF(ISBLANK(Vessels!$J$3), "", Vessels!$J$3), "")),"")</f>
        <v>Carlos Santollo</v>
      </c>
      <c r="T9" s="37"/>
      <c r="U9" s="37"/>
      <c r="V9" s="37"/>
      <c r="W9" s="37"/>
      <c r="X9" s="37"/>
      <c r="Y9" s="37"/>
      <c r="Z9" s="37"/>
    </row>
    <row r="10" spans="1:26" ht="14.4" x14ac:dyDescent="0.3">
      <c r="A10" s="121">
        <f>IF($N$1="Piping", IF(ISBLANK(Piping!A10), "", Piping!A10), IF($N$1="Vessels", IF(ISBLANK(Vessels!A10), "", Vessels!A10), ""))</f>
        <v>2.0099999999999998</v>
      </c>
      <c r="B10" s="21" t="str">
        <f>IF($N$1="Piping", IF(ISBLANK(Piping!B10), "", Piping!B10), IF($N$1="Vessels", IF(ISBLANK(Vessels!B10), "", Vessels!B10), ""))</f>
        <v>East</v>
      </c>
      <c r="C10" s="21" t="str">
        <f>IF($N$1="Piping", IF(ISBLANK(Piping!C10), "", Piping!C10), IF($N$1="Vessels", IF(ISBLANK(Vessels!C10), "", Vessels!C10), ""))</f>
        <v>Piping</v>
      </c>
      <c r="D10" s="21" t="str">
        <f>IF($N$1="Piping", IF(ISBLANK(Piping!D10), "", Piping!D10), IF($N$1="Vessels", IF(ISBLANK(Vessels!D10), "", Vessels!D10), ""))</f>
        <v>Straight Pipe</v>
      </c>
      <c r="E10" s="21">
        <f>IF($N$1="Piping", IF(ISBLANK(Piping!E10), "", Piping!E10), IF($N$1="Vessels", IF(ISBLANK(Vessels!E10), "", Vessels!E10), ""))</f>
        <v>2.375</v>
      </c>
      <c r="F10" s="21">
        <f>IF($N$1="Piping", IF(ISBLANK(Piping!F10), "", Piping!F10), IF($N$1="Vessels", IF(ISBLANK(Vessels!F10), "", Vessels!F10), ""))</f>
        <v>0.218</v>
      </c>
      <c r="G10" s="21">
        <f>IF($N$1="Piping", IF(ISBLANK(Piping!G10), "", Piping!G10), IF($N$1="Vessels", IF(ISBLANK(Vessels!G10), "", Vessels!G10), ""))</f>
        <v>0</v>
      </c>
      <c r="H10" s="21" t="str">
        <f>IF($N$1="Piping", IF(ISBLANK(Piping!H10), "", Piping!H10), IF($N$1="Vessels", IF(ISBLANK(Vessels!H10), "", Vessels!H10), ""))</f>
        <v/>
      </c>
      <c r="I10" s="21" t="str">
        <f>IF($N$1="Piping", IF(ISBLANK(Piping!I10), "", Piping!I10), IF($N$1="Vessels", IF(ISBLANK(Vessels!I10), "", Vessels!I10), ""))</f>
        <v>A106</v>
      </c>
      <c r="J10" s="21" t="str">
        <f>IF($N$1="Piping", IF(ISBLANK(Piping!J10), "", Piping!J10), IF($N$1="Vessels", IF(ISBLANK(Vessels!J10), "", Vessels!J10), ""))</f>
        <v>B</v>
      </c>
      <c r="K10" s="21">
        <f>IF($N$1="Piping", IF(ISBLANK(Piping!K10), "", Piping!K10), IF($N$1="Vessels", IF(ISBLANK(Vessels!K10), "", Vessels!K10), ""))</f>
        <v>150</v>
      </c>
      <c r="L10" s="21">
        <f>IF($N$1="Piping", IF(ISBLANK(Piping!L10), "", Piping!L10), IF($N$1="Vessels", IF(ISBLANK(Vessels!L10), "", Vessels!L10), ""))</f>
        <v>200</v>
      </c>
      <c r="M10" s="21"/>
      <c r="N10" s="21"/>
      <c r="O10" s="21"/>
      <c r="P10" s="21"/>
      <c r="Q10" s="21">
        <f>IF($N$1="Piping", IF(ISBLANK(Piping!T10), "", Piping!T10), IF($N$1="Vessels", IF(ISBLANK(Vessels!T10), "", Vessels!T10), ""))</f>
        <v>0.247</v>
      </c>
      <c r="R10" s="51" t="str">
        <f>IF($N$1="Piping", IF(ISBLANK(Piping!U10), "", Piping!U10), IF($N$1="Vessels", IF(ISBLANK(Vessels!U10), "", Vessels!U10), ""))</f>
        <v/>
      </c>
      <c r="S10" s="118" t="str">
        <f>IF(B10&lt;&gt;"",IF($N$1="Piping", IF(ISBLANK(Piping!$J$3), "", Piping!$J$3), IF($N$1="Vessels", IF(ISBLANK(Vessels!$J$3), "", Vessels!$J$3), "")),"")</f>
        <v>Carlos Santollo</v>
      </c>
      <c r="T10" s="37"/>
      <c r="U10" s="37"/>
      <c r="V10" s="37"/>
      <c r="W10" s="37"/>
      <c r="X10" s="37"/>
      <c r="Y10" s="37"/>
      <c r="Z10" s="37"/>
    </row>
    <row r="11" spans="1:26" ht="14.4" x14ac:dyDescent="0.3">
      <c r="A11" s="121">
        <f>IF($N$1="Piping", IF(ISBLANK(Piping!A11), "", Piping!A11), IF($N$1="Vessels", IF(ISBLANK(Vessels!A11), "", Vessels!A11), ""))</f>
        <v>2.02</v>
      </c>
      <c r="B11" s="21" t="str">
        <f>IF($N$1="Piping", IF(ISBLANK(Piping!B11), "", Piping!B11), IF($N$1="Vessels", IF(ISBLANK(Vessels!B11), "", Vessels!B11), ""))</f>
        <v>West</v>
      </c>
      <c r="C11" s="21" t="str">
        <f>IF($N$1="Piping", IF(ISBLANK(Piping!C11), "", Piping!C11), IF($N$1="Vessels", IF(ISBLANK(Vessels!C11), "", Vessels!C11), ""))</f>
        <v>Piping</v>
      </c>
      <c r="D11" s="21" t="str">
        <f>IF($N$1="Piping", IF(ISBLANK(Piping!D11), "", Piping!D11), IF($N$1="Vessels", IF(ISBLANK(Vessels!D11), "", Vessels!D11), ""))</f>
        <v>Straight Pipe</v>
      </c>
      <c r="E11" s="21">
        <f>IF($N$1="Piping", IF(ISBLANK(Piping!E11), "", Piping!E11), IF($N$1="Vessels", IF(ISBLANK(Vessels!E11), "", Vessels!E11), ""))</f>
        <v>2.375</v>
      </c>
      <c r="F11" s="21">
        <f>IF($N$1="Piping", IF(ISBLANK(Piping!F11), "", Piping!F11), IF($N$1="Vessels", IF(ISBLANK(Vessels!F11), "", Vessels!F11), ""))</f>
        <v>0.218</v>
      </c>
      <c r="G11" s="21">
        <f>IF($N$1="Piping", IF(ISBLANK(Piping!G11), "", Piping!G11), IF($N$1="Vessels", IF(ISBLANK(Vessels!G11), "", Vessels!G11), ""))</f>
        <v>0</v>
      </c>
      <c r="H11" s="21" t="str">
        <f>IF($N$1="Piping", IF(ISBLANK(Piping!H11), "", Piping!H11), IF($N$1="Vessels", IF(ISBLANK(Vessels!H11), "", Vessels!H11), ""))</f>
        <v/>
      </c>
      <c r="I11" s="21" t="str">
        <f>IF($N$1="Piping", IF(ISBLANK(Piping!I11), "", Piping!I11), IF($N$1="Vessels", IF(ISBLANK(Vessels!I11), "", Vessels!I11), ""))</f>
        <v>A106</v>
      </c>
      <c r="J11" s="21" t="str">
        <f>IF($N$1="Piping", IF(ISBLANK(Piping!J11), "", Piping!J11), IF($N$1="Vessels", IF(ISBLANK(Vessels!J11), "", Vessels!J11), ""))</f>
        <v>B</v>
      </c>
      <c r="K11" s="21">
        <f>IF($N$1="Piping", IF(ISBLANK(Piping!K11), "", Piping!K11), IF($N$1="Vessels", IF(ISBLANK(Vessels!K11), "", Vessels!K11), ""))</f>
        <v>150</v>
      </c>
      <c r="L11" s="21">
        <f>IF($N$1="Piping", IF(ISBLANK(Piping!L11), "", Piping!L11), IF($N$1="Vessels", IF(ISBLANK(Vessels!L11), "", Vessels!L11), ""))</f>
        <v>200</v>
      </c>
      <c r="M11" s="21"/>
      <c r="N11" s="21"/>
      <c r="O11" s="21"/>
      <c r="P11" s="21"/>
      <c r="Q11" s="21">
        <f>IF($N$1="Piping", IF(ISBLANK(Piping!T11), "", Piping!T11), IF($N$1="Vessels", IF(ISBLANK(Vessels!T11), "", Vessels!T11), ""))</f>
        <v>0.249</v>
      </c>
      <c r="R11" s="51" t="str">
        <f>IF($N$1="Piping", IF(ISBLANK(Piping!U11), "", Piping!U11), IF($N$1="Vessels", IF(ISBLANK(Vessels!U11), "", Vessels!U11), ""))</f>
        <v/>
      </c>
      <c r="S11" s="118" t="str">
        <f>IF(B11&lt;&gt;"",IF($N$1="Piping", IF(ISBLANK(Piping!$J$3), "", Piping!$J$3), IF($N$1="Vessels", IF(ISBLANK(Vessels!$J$3), "", Vessels!$J$3), "")),"")</f>
        <v>Carlos Santollo</v>
      </c>
      <c r="T11" s="37"/>
      <c r="U11" s="37"/>
      <c r="V11" s="37"/>
      <c r="W11" s="37"/>
      <c r="X11" s="37"/>
      <c r="Y11" s="37"/>
      <c r="Z11" s="37"/>
    </row>
    <row r="12" spans="1:26" ht="14.4" x14ac:dyDescent="0.3">
      <c r="A12" s="121">
        <f>IF($N$1="Piping", IF(ISBLANK(Piping!A12), "", Piping!A12), IF($N$1="Vessels", IF(ISBLANK(Vessels!A12), "", Vessels!A12), ""))</f>
        <v>2.0299999999999998</v>
      </c>
      <c r="B12" s="21" t="str">
        <f>IF($N$1="Piping", IF(ISBLANK(Piping!B12), "", Piping!B12), IF($N$1="Vessels", IF(ISBLANK(Vessels!B12), "", Vessels!B12), ""))</f>
        <v>Top</v>
      </c>
      <c r="C12" s="21" t="str">
        <f>IF($N$1="Piping", IF(ISBLANK(Piping!C12), "", Piping!C12), IF($N$1="Vessels", IF(ISBLANK(Vessels!C12), "", Vessels!C12), ""))</f>
        <v>Piping</v>
      </c>
      <c r="D12" s="21" t="str">
        <f>IF($N$1="Piping", IF(ISBLANK(Piping!D12), "", Piping!D12), IF($N$1="Vessels", IF(ISBLANK(Vessels!D12), "", Vessels!D12), ""))</f>
        <v>Straight Pipe</v>
      </c>
      <c r="E12" s="21">
        <f>IF($N$1="Piping", IF(ISBLANK(Piping!E12), "", Piping!E12), IF($N$1="Vessels", IF(ISBLANK(Vessels!E12), "", Vessels!E12), ""))</f>
        <v>2.375</v>
      </c>
      <c r="F12" s="21">
        <f>IF($N$1="Piping", IF(ISBLANK(Piping!F12), "", Piping!F12), IF($N$1="Vessels", IF(ISBLANK(Vessels!F12), "", Vessels!F12), ""))</f>
        <v>0.218</v>
      </c>
      <c r="G12" s="21">
        <f>IF($N$1="Piping", IF(ISBLANK(Piping!G12), "", Piping!G12), IF($N$1="Vessels", IF(ISBLANK(Vessels!G12), "", Vessels!G12), ""))</f>
        <v>0</v>
      </c>
      <c r="H12" s="21" t="str">
        <f>IF($N$1="Piping", IF(ISBLANK(Piping!H12), "", Piping!H12), IF($N$1="Vessels", IF(ISBLANK(Vessels!H12), "", Vessels!H12), ""))</f>
        <v/>
      </c>
      <c r="I12" s="21" t="str">
        <f>IF($N$1="Piping", IF(ISBLANK(Piping!I12), "", Piping!I12), IF($N$1="Vessels", IF(ISBLANK(Vessels!I12), "", Vessels!I12), ""))</f>
        <v>A106</v>
      </c>
      <c r="J12" s="21" t="str">
        <f>IF($N$1="Piping", IF(ISBLANK(Piping!J12), "", Piping!J12), IF($N$1="Vessels", IF(ISBLANK(Vessels!J12), "", Vessels!J12), ""))</f>
        <v>B</v>
      </c>
      <c r="K12" s="21">
        <f>IF($N$1="Piping", IF(ISBLANK(Piping!K12), "", Piping!K12), IF($N$1="Vessels", IF(ISBLANK(Vessels!K12), "", Vessels!K12), ""))</f>
        <v>150</v>
      </c>
      <c r="L12" s="21">
        <f>IF($N$1="Piping", IF(ISBLANK(Piping!L12), "", Piping!L12), IF($N$1="Vessels", IF(ISBLANK(Vessels!L12), "", Vessels!L12), ""))</f>
        <v>200</v>
      </c>
      <c r="M12" s="21"/>
      <c r="N12" s="21"/>
      <c r="O12" s="21"/>
      <c r="P12" s="21"/>
      <c r="Q12" s="21">
        <f>IF($N$1="Piping", IF(ISBLANK(Piping!T12), "", Piping!T12), IF($N$1="Vessels", IF(ISBLANK(Vessels!T12), "", Vessels!T12), ""))</f>
        <v>0.25700000000000001</v>
      </c>
      <c r="R12" s="51" t="str">
        <f>IF($N$1="Piping", IF(ISBLANK(Piping!U12), "", Piping!U12), IF($N$1="Vessels", IF(ISBLANK(Vessels!U12), "", Vessels!U12), ""))</f>
        <v/>
      </c>
      <c r="S12" s="118" t="str">
        <f>IF(B12&lt;&gt;"",IF($N$1="Piping", IF(ISBLANK(Piping!$J$3), "", Piping!$J$3), IF($N$1="Vessels", IF(ISBLANK(Vessels!$J$3), "", Vessels!$J$3), "")),"")</f>
        <v>Carlos Santollo</v>
      </c>
      <c r="T12" s="37"/>
      <c r="U12" s="37"/>
      <c r="V12" s="37"/>
      <c r="W12" s="37"/>
      <c r="X12" s="37"/>
      <c r="Y12" s="37"/>
      <c r="Z12" s="37"/>
    </row>
    <row r="13" spans="1:26" ht="14.4" x14ac:dyDescent="0.3">
      <c r="A13" s="121">
        <f>IF($N$1="Piping", IF(ISBLANK(Piping!A13), "", Piping!A13), IF($N$1="Vessels", IF(ISBLANK(Vessels!A13), "", Vessels!A13), ""))</f>
        <v>2.04</v>
      </c>
      <c r="B13" s="21" t="str">
        <f>IF($N$1="Piping", IF(ISBLANK(Piping!B13), "", Piping!B13), IF($N$1="Vessels", IF(ISBLANK(Vessels!B13), "", Vessels!B13), ""))</f>
        <v>Bottom</v>
      </c>
      <c r="C13" s="21" t="str">
        <f>IF($N$1="Piping", IF(ISBLANK(Piping!C13), "", Piping!C13), IF($N$1="Vessels", IF(ISBLANK(Vessels!C13), "", Vessels!C13), ""))</f>
        <v>Piping</v>
      </c>
      <c r="D13" s="21" t="str">
        <f>IF($N$1="Piping", IF(ISBLANK(Piping!D13), "", Piping!D13), IF($N$1="Vessels", IF(ISBLANK(Vessels!D13), "", Vessels!D13), ""))</f>
        <v>Straight Pipe</v>
      </c>
      <c r="E13" s="21">
        <f>IF($N$1="Piping", IF(ISBLANK(Piping!E13), "", Piping!E13), IF($N$1="Vessels", IF(ISBLANK(Vessels!E13), "", Vessels!E13), ""))</f>
        <v>2.375</v>
      </c>
      <c r="F13" s="21">
        <f>IF($N$1="Piping", IF(ISBLANK(Piping!F13), "", Piping!F13), IF($N$1="Vessels", IF(ISBLANK(Vessels!F13), "", Vessels!F13), ""))</f>
        <v>0.218</v>
      </c>
      <c r="G13" s="21">
        <f>IF($N$1="Piping", IF(ISBLANK(Piping!G13), "", Piping!G13), IF($N$1="Vessels", IF(ISBLANK(Vessels!G13), "", Vessels!G13), ""))</f>
        <v>0</v>
      </c>
      <c r="H13" s="21" t="str">
        <f>IF($N$1="Piping", IF(ISBLANK(Piping!H13), "", Piping!H13), IF($N$1="Vessels", IF(ISBLANK(Vessels!H13), "", Vessels!H13), ""))</f>
        <v/>
      </c>
      <c r="I13" s="21" t="str">
        <f>IF($N$1="Piping", IF(ISBLANK(Piping!I13), "", Piping!I13), IF($N$1="Vessels", IF(ISBLANK(Vessels!I13), "", Vessels!I13), ""))</f>
        <v>A106</v>
      </c>
      <c r="J13" s="21" t="str">
        <f>IF($N$1="Piping", IF(ISBLANK(Piping!J13), "", Piping!J13), IF($N$1="Vessels", IF(ISBLANK(Vessels!J13), "", Vessels!J13), ""))</f>
        <v>B</v>
      </c>
      <c r="K13" s="21">
        <f>IF($N$1="Piping", IF(ISBLANK(Piping!K13), "", Piping!K13), IF($N$1="Vessels", IF(ISBLANK(Vessels!K13), "", Vessels!K13), ""))</f>
        <v>150</v>
      </c>
      <c r="L13" s="21">
        <f>IF($N$1="Piping", IF(ISBLANK(Piping!L13), "", Piping!L13), IF($N$1="Vessels", IF(ISBLANK(Vessels!L13), "", Vessels!L13), ""))</f>
        <v>200</v>
      </c>
      <c r="M13" s="21"/>
      <c r="N13" s="21"/>
      <c r="O13" s="21"/>
      <c r="P13" s="21"/>
      <c r="Q13" s="21">
        <f>IF($N$1="Piping", IF(ISBLANK(Piping!T13), "", Piping!T13), IF($N$1="Vessels", IF(ISBLANK(Vessels!T13), "", Vessels!T13), ""))</f>
        <v>0.25800000000000001</v>
      </c>
      <c r="R13" s="51" t="str">
        <f>IF($N$1="Piping", IF(ISBLANK(Piping!U13), "", Piping!U13), IF($N$1="Vessels", IF(ISBLANK(Vessels!U13), "", Vessels!U13), ""))</f>
        <v/>
      </c>
      <c r="S13" s="118" t="str">
        <f>IF(B13&lt;&gt;"",IF($N$1="Piping", IF(ISBLANK(Piping!$J$3), "", Piping!$J$3), IF($N$1="Vessels", IF(ISBLANK(Vessels!$J$3), "", Vessels!$J$3), "")),"")</f>
        <v>Carlos Santollo</v>
      </c>
      <c r="T13" s="37"/>
      <c r="U13" s="37"/>
      <c r="V13" s="37"/>
      <c r="W13" s="37"/>
      <c r="X13" s="37"/>
      <c r="Y13" s="37"/>
      <c r="Z13" s="37"/>
    </row>
    <row r="14" spans="1:26" ht="14.4" x14ac:dyDescent="0.3">
      <c r="A14" s="121">
        <f>IF($N$1="Piping", IF(ISBLANK(Piping!A14), "", Piping!A14), IF($N$1="Vessels", IF(ISBLANK(Vessels!A14), "", Vessels!A14), ""))</f>
        <v>3.01</v>
      </c>
      <c r="B14" s="21" t="str">
        <f>IF($N$1="Piping", IF(ISBLANK(Piping!B14), "", Piping!B14), IF($N$1="Vessels", IF(ISBLANK(Vessels!B14), "", Vessels!B14), ""))</f>
        <v>North</v>
      </c>
      <c r="C14" s="21" t="str">
        <f>IF($N$1="Piping", IF(ISBLANK(Piping!C14), "", Piping!C14), IF($N$1="Vessels", IF(ISBLANK(Vessels!C14), "", Vessels!C14), ""))</f>
        <v>Piping</v>
      </c>
      <c r="D14" s="21" t="str">
        <f>IF($N$1="Piping", IF(ISBLANK(Piping!D14), "", Piping!D14), IF($N$1="Vessels", IF(ISBLANK(Vessels!D14), "", Vessels!D14), ""))</f>
        <v>Cap</v>
      </c>
      <c r="E14" s="21">
        <f>IF($N$1="Piping", IF(ISBLANK(Piping!E14), "", Piping!E14), IF($N$1="Vessels", IF(ISBLANK(Vessels!E14), "", Vessels!E14), ""))</f>
        <v>1.05</v>
      </c>
      <c r="F14" s="21">
        <f>IF($N$1="Piping", IF(ISBLANK(Piping!F14), "", Piping!F14), IF($N$1="Vessels", IF(ISBLANK(Vessels!F14), "", Vessels!F14), ""))</f>
        <v>0.219</v>
      </c>
      <c r="G14" s="21">
        <f>IF($N$1="Piping", IF(ISBLANK(Piping!G14), "", Piping!G14), IF($N$1="Vessels", IF(ISBLANK(Vessels!G14), "", Vessels!G14), ""))</f>
        <v>0</v>
      </c>
      <c r="H14" s="21" t="str">
        <f>IF($N$1="Piping", IF(ISBLANK(Piping!H14), "", Piping!H14), IF($N$1="Vessels", IF(ISBLANK(Vessels!H14), "", Vessels!H14), ""))</f>
        <v/>
      </c>
      <c r="I14" s="21" t="str">
        <f>IF($N$1="Piping", IF(ISBLANK(Piping!I14), "", Piping!I14), IF($N$1="Vessels", IF(ISBLANK(Vessels!I14), "", Vessels!I14), ""))</f>
        <v>A234</v>
      </c>
      <c r="J14" s="21" t="str">
        <f>IF($N$1="Piping", IF(ISBLANK(Piping!J14), "", Piping!J14), IF($N$1="Vessels", IF(ISBLANK(Vessels!J14), "", Vessels!J14), ""))</f>
        <v>WPB</v>
      </c>
      <c r="K14" s="21">
        <f>IF($N$1="Piping", IF(ISBLANK(Piping!K14), "", Piping!K14), IF($N$1="Vessels", IF(ISBLANK(Vessels!K14), "", Vessels!K14), ""))</f>
        <v>150</v>
      </c>
      <c r="L14" s="21">
        <f>IF($N$1="Piping", IF(ISBLANK(Piping!L14), "", Piping!L14), IF($N$1="Vessels", IF(ISBLANK(Vessels!L14), "", Vessels!L14), ""))</f>
        <v>200</v>
      </c>
      <c r="M14" s="21"/>
      <c r="N14" s="21"/>
      <c r="O14" s="21"/>
      <c r="P14" s="21"/>
      <c r="Q14" s="21">
        <f>IF($N$1="Piping", IF(ISBLANK(Piping!T14), "", Piping!T14), IF($N$1="Vessels", IF(ISBLANK(Vessels!T14), "", Vessels!T14), ""))</f>
        <v>0.23400000000000001</v>
      </c>
      <c r="R14" s="51" t="str">
        <f>IF($N$1="Piping", IF(ISBLANK(Piping!U14), "", Piping!U14), IF($N$1="Vessels", IF(ISBLANK(Vessels!U14), "", Vessels!U14), ""))</f>
        <v/>
      </c>
      <c r="S14" s="118" t="str">
        <f>IF(B14&lt;&gt;"",IF($N$1="Piping", IF(ISBLANK(Piping!$J$3), "", Piping!$J$3), IF($N$1="Vessels", IF(ISBLANK(Vessels!$J$3), "", Vessels!$J$3), "")),"")</f>
        <v>Carlos Santollo</v>
      </c>
      <c r="T14" s="37"/>
      <c r="U14" s="37"/>
      <c r="V14" s="37"/>
      <c r="W14" s="37"/>
      <c r="X14" s="37"/>
      <c r="Y14" s="37"/>
      <c r="Z14" s="37"/>
    </row>
    <row r="15" spans="1:26" ht="14.4" x14ac:dyDescent="0.3">
      <c r="A15" s="121">
        <f>IF($N$1="Piping", IF(ISBLANK(Piping!A15), "", Piping!A15), IF($N$1="Vessels", IF(ISBLANK(Vessels!A15), "", Vessels!A15), ""))</f>
        <v>3.02</v>
      </c>
      <c r="B15" s="21" t="str">
        <f>IF($N$1="Piping", IF(ISBLANK(Piping!B15), "", Piping!B15), IF($N$1="Vessels", IF(ISBLANK(Vessels!B15), "", Vessels!B15), ""))</f>
        <v>South</v>
      </c>
      <c r="C15" s="21" t="str">
        <f>IF($N$1="Piping", IF(ISBLANK(Piping!C15), "", Piping!C15), IF($N$1="Vessels", IF(ISBLANK(Vessels!C15), "", Vessels!C15), ""))</f>
        <v>Piping</v>
      </c>
      <c r="D15" s="21" t="str">
        <f>IF($N$1="Piping", IF(ISBLANK(Piping!D15), "", Piping!D15), IF($N$1="Vessels", IF(ISBLANK(Vessels!D15), "", Vessels!D15), ""))</f>
        <v>Cap</v>
      </c>
      <c r="E15" s="21">
        <f>IF($N$1="Piping", IF(ISBLANK(Piping!E15), "", Piping!E15), IF($N$1="Vessels", IF(ISBLANK(Vessels!E15), "", Vessels!E15), ""))</f>
        <v>1.05</v>
      </c>
      <c r="F15" s="21">
        <f>IF($N$1="Piping", IF(ISBLANK(Piping!F15), "", Piping!F15), IF($N$1="Vessels", IF(ISBLANK(Vessels!F15), "", Vessels!F15), ""))</f>
        <v>0.219</v>
      </c>
      <c r="G15" s="21">
        <f>IF($N$1="Piping", IF(ISBLANK(Piping!G15), "", Piping!G15), IF($N$1="Vessels", IF(ISBLANK(Vessels!G15), "", Vessels!G15), ""))</f>
        <v>0</v>
      </c>
      <c r="H15" s="21" t="str">
        <f>IF($N$1="Piping", IF(ISBLANK(Piping!H15), "", Piping!H15), IF($N$1="Vessels", IF(ISBLANK(Vessels!H15), "", Vessels!H15), ""))</f>
        <v/>
      </c>
      <c r="I15" s="21" t="str">
        <f>IF($N$1="Piping", IF(ISBLANK(Piping!I15), "", Piping!I15), IF($N$1="Vessels", IF(ISBLANK(Vessels!I15), "", Vessels!I15), ""))</f>
        <v>A234</v>
      </c>
      <c r="J15" s="21" t="str">
        <f>IF($N$1="Piping", IF(ISBLANK(Piping!J15), "", Piping!J15), IF($N$1="Vessels", IF(ISBLANK(Vessels!J15), "", Vessels!J15), ""))</f>
        <v>WPB</v>
      </c>
      <c r="K15" s="21">
        <f>IF($N$1="Piping", IF(ISBLANK(Piping!K15), "", Piping!K15), IF($N$1="Vessels", IF(ISBLANK(Vessels!K15), "", Vessels!K15), ""))</f>
        <v>150</v>
      </c>
      <c r="L15" s="21">
        <f>IF($N$1="Piping", IF(ISBLANK(Piping!L15), "", Piping!L15), IF($N$1="Vessels", IF(ISBLANK(Vessels!L15), "", Vessels!L15), ""))</f>
        <v>200</v>
      </c>
      <c r="M15" s="21"/>
      <c r="N15" s="21"/>
      <c r="O15" s="21"/>
      <c r="P15" s="21"/>
      <c r="Q15" s="21">
        <f>IF($N$1="Piping", IF(ISBLANK(Piping!T15), "", Piping!T15), IF($N$1="Vessels", IF(ISBLANK(Vessels!T15), "", Vessels!T15), ""))</f>
        <v>0.23400000000000001</v>
      </c>
      <c r="R15" s="51" t="str">
        <f>IF($N$1="Piping", IF(ISBLANK(Piping!U15), "", Piping!U15), IF($N$1="Vessels", IF(ISBLANK(Vessels!U15), "", Vessels!U15), ""))</f>
        <v/>
      </c>
      <c r="S15" s="118" t="str">
        <f>IF(B15&lt;&gt;"",IF($N$1="Piping", IF(ISBLANK(Piping!$J$3), "", Piping!$J$3), IF($N$1="Vessels", IF(ISBLANK(Vessels!$J$3), "", Vessels!$J$3), "")),"")</f>
        <v>Carlos Santollo</v>
      </c>
      <c r="T15" s="37"/>
      <c r="U15" s="37"/>
      <c r="V15" s="37"/>
      <c r="W15" s="37"/>
      <c r="X15" s="37"/>
      <c r="Y15" s="37"/>
      <c r="Z15" s="37"/>
    </row>
    <row r="16" spans="1:26" ht="14.4" x14ac:dyDescent="0.3">
      <c r="A16" s="121">
        <f>IF($N$1="Piping", IF(ISBLANK(Piping!A16), "", Piping!A16), IF($N$1="Vessels", IF(ISBLANK(Vessels!A16), "", Vessels!A16), ""))</f>
        <v>3.03</v>
      </c>
      <c r="B16" s="21" t="str">
        <f>IF($N$1="Piping", IF(ISBLANK(Piping!B16), "", Piping!B16), IF($N$1="Vessels", IF(ISBLANK(Vessels!B16), "", Vessels!B16), ""))</f>
        <v>Top</v>
      </c>
      <c r="C16" s="21" t="str">
        <f>IF($N$1="Piping", IF(ISBLANK(Piping!C16), "", Piping!C16), IF($N$1="Vessels", IF(ISBLANK(Vessels!C16), "", Vessels!C16), ""))</f>
        <v>Piping</v>
      </c>
      <c r="D16" s="21" t="str">
        <f>IF($N$1="Piping", IF(ISBLANK(Piping!D16), "", Piping!D16), IF($N$1="Vessels", IF(ISBLANK(Vessels!D16), "", Vessels!D16), ""))</f>
        <v>Cap</v>
      </c>
      <c r="E16" s="21">
        <f>IF($N$1="Piping", IF(ISBLANK(Piping!E16), "", Piping!E16), IF($N$1="Vessels", IF(ISBLANK(Vessels!E16), "", Vessels!E16), ""))</f>
        <v>1.05</v>
      </c>
      <c r="F16" s="21">
        <f>IF($N$1="Piping", IF(ISBLANK(Piping!F16), "", Piping!F16), IF($N$1="Vessels", IF(ISBLANK(Vessels!F16), "", Vessels!F16), ""))</f>
        <v>0.219</v>
      </c>
      <c r="G16" s="21">
        <f>IF($N$1="Piping", IF(ISBLANK(Piping!G16), "", Piping!G16), IF($N$1="Vessels", IF(ISBLANK(Vessels!G16), "", Vessels!G16), ""))</f>
        <v>0</v>
      </c>
      <c r="H16" s="21" t="str">
        <f>IF($N$1="Piping", IF(ISBLANK(Piping!H16), "", Piping!H16), IF($N$1="Vessels", IF(ISBLANK(Vessels!H16), "", Vessels!H16), ""))</f>
        <v/>
      </c>
      <c r="I16" s="21" t="str">
        <f>IF($N$1="Piping", IF(ISBLANK(Piping!I16), "", Piping!I16), IF($N$1="Vessels", IF(ISBLANK(Vessels!I16), "", Vessels!I16), ""))</f>
        <v>A234</v>
      </c>
      <c r="J16" s="21" t="str">
        <f>IF($N$1="Piping", IF(ISBLANK(Piping!J16), "", Piping!J16), IF($N$1="Vessels", IF(ISBLANK(Vessels!J16), "", Vessels!J16), ""))</f>
        <v>WPB</v>
      </c>
      <c r="K16" s="21">
        <f>IF($N$1="Piping", IF(ISBLANK(Piping!K16), "", Piping!K16), IF($N$1="Vessels", IF(ISBLANK(Vessels!K16), "", Vessels!K16), ""))</f>
        <v>150</v>
      </c>
      <c r="L16" s="21">
        <f>IF($N$1="Piping", IF(ISBLANK(Piping!L16), "", Piping!L16), IF($N$1="Vessels", IF(ISBLANK(Vessels!L16), "", Vessels!L16), ""))</f>
        <v>200</v>
      </c>
      <c r="M16" s="21"/>
      <c r="N16" s="21"/>
      <c r="O16" s="21"/>
      <c r="P16" s="21"/>
      <c r="Q16" s="21">
        <f>IF($N$1="Piping", IF(ISBLANK(Piping!T16), "", Piping!T16), IF($N$1="Vessels", IF(ISBLANK(Vessels!T16), "", Vessels!T16), ""))</f>
        <v>0.24099999999999999</v>
      </c>
      <c r="R16" s="51" t="str">
        <f>IF($N$1="Piping", IF(ISBLANK(Piping!U16), "", Piping!U16), IF($N$1="Vessels", IF(ISBLANK(Vessels!U16), "", Vessels!U16), ""))</f>
        <v/>
      </c>
      <c r="S16" s="118" t="str">
        <f>IF(B16&lt;&gt;"",IF($N$1="Piping", IF(ISBLANK(Piping!$J$3), "", Piping!$J$3), IF($N$1="Vessels", IF(ISBLANK(Vessels!$J$3), "", Vessels!$J$3), "")),"")</f>
        <v>Carlos Santollo</v>
      </c>
      <c r="T16" s="37"/>
      <c r="U16" s="37"/>
      <c r="V16" s="37"/>
      <c r="W16" s="37"/>
      <c r="X16" s="37"/>
      <c r="Y16" s="37"/>
      <c r="Z16" s="37"/>
    </row>
    <row r="17" spans="1:26" ht="14.4" x14ac:dyDescent="0.3">
      <c r="A17" s="121">
        <f>IF($N$1="Piping", IF(ISBLANK(Piping!A17), "", Piping!A17), IF($N$1="Vessels", IF(ISBLANK(Vessels!A17), "", Vessels!A17), ""))</f>
        <v>3.04</v>
      </c>
      <c r="B17" s="21" t="str">
        <f>IF($N$1="Piping", IF(ISBLANK(Piping!B17), "", Piping!B17), IF($N$1="Vessels", IF(ISBLANK(Vessels!B17), "", Vessels!B17), ""))</f>
        <v>Bottom</v>
      </c>
      <c r="C17" s="21" t="str">
        <f>IF($N$1="Piping", IF(ISBLANK(Piping!C17), "", Piping!C17), IF($N$1="Vessels", IF(ISBLANK(Vessels!C17), "", Vessels!C17), ""))</f>
        <v>Piping</v>
      </c>
      <c r="D17" s="21" t="str">
        <f>IF($N$1="Piping", IF(ISBLANK(Piping!D17), "", Piping!D17), IF($N$1="Vessels", IF(ISBLANK(Vessels!D17), "", Vessels!D17), ""))</f>
        <v>Cap</v>
      </c>
      <c r="E17" s="21">
        <f>IF($N$1="Piping", IF(ISBLANK(Piping!E17), "", Piping!E17), IF($N$1="Vessels", IF(ISBLANK(Vessels!E17), "", Vessels!E17), ""))</f>
        <v>1.05</v>
      </c>
      <c r="F17" s="21">
        <f>IF($N$1="Piping", IF(ISBLANK(Piping!F17), "", Piping!F17), IF($N$1="Vessels", IF(ISBLANK(Vessels!F17), "", Vessels!F17), ""))</f>
        <v>0.219</v>
      </c>
      <c r="G17" s="21">
        <f>IF($N$1="Piping", IF(ISBLANK(Piping!G17), "", Piping!G17), IF($N$1="Vessels", IF(ISBLANK(Vessels!G17), "", Vessels!G17), ""))</f>
        <v>0</v>
      </c>
      <c r="H17" s="21" t="str">
        <f>IF($N$1="Piping", IF(ISBLANK(Piping!H17), "", Piping!H17), IF($N$1="Vessels", IF(ISBLANK(Vessels!H17), "", Vessels!H17), ""))</f>
        <v/>
      </c>
      <c r="I17" s="21" t="str">
        <f>IF($N$1="Piping", IF(ISBLANK(Piping!I17), "", Piping!I17), IF($N$1="Vessels", IF(ISBLANK(Vessels!I17), "", Vessels!I17), ""))</f>
        <v>A234</v>
      </c>
      <c r="J17" s="21" t="str">
        <f>IF($N$1="Piping", IF(ISBLANK(Piping!J17), "", Piping!J17), IF($N$1="Vessels", IF(ISBLANK(Vessels!J17), "", Vessels!J17), ""))</f>
        <v>WPB</v>
      </c>
      <c r="K17" s="21">
        <f>IF($N$1="Piping", IF(ISBLANK(Piping!K17), "", Piping!K17), IF($N$1="Vessels", IF(ISBLANK(Vessels!K17), "", Vessels!K17), ""))</f>
        <v>150</v>
      </c>
      <c r="L17" s="21">
        <f>IF($N$1="Piping", IF(ISBLANK(Piping!L17), "", Piping!L17), IF($N$1="Vessels", IF(ISBLANK(Vessels!L17), "", Vessels!L17), ""))</f>
        <v>200</v>
      </c>
      <c r="M17" s="21"/>
      <c r="N17" s="21"/>
      <c r="O17" s="21"/>
      <c r="P17" s="21"/>
      <c r="Q17" s="21">
        <f>IF($N$1="Piping", IF(ISBLANK(Piping!T17), "", Piping!T17), IF($N$1="Vessels", IF(ISBLANK(Vessels!T17), "", Vessels!T17), ""))</f>
        <v>0.24199999999999999</v>
      </c>
      <c r="R17" s="51" t="str">
        <f>IF($N$1="Piping", IF(ISBLANK(Piping!U17), "", Piping!U17), IF($N$1="Vessels", IF(ISBLANK(Vessels!U17), "", Vessels!U17), ""))</f>
        <v/>
      </c>
      <c r="S17" s="118" t="str">
        <f>IF(B17&lt;&gt;"",IF($N$1="Piping", IF(ISBLANK(Piping!$J$3), "", Piping!$J$3), IF($N$1="Vessels", IF(ISBLANK(Vessels!$J$3), "", Vessels!$J$3), "")),"")</f>
        <v>Carlos Santollo</v>
      </c>
      <c r="T17" s="37"/>
      <c r="U17" s="37"/>
      <c r="V17" s="37"/>
      <c r="W17" s="37"/>
      <c r="X17" s="37"/>
      <c r="Y17" s="37"/>
      <c r="Z17" s="37"/>
    </row>
    <row r="18" spans="1:26" ht="14.4" x14ac:dyDescent="0.3">
      <c r="A18" s="121">
        <f>IF($N$1="Piping", IF(ISBLANK(Piping!A18), "", Piping!A18), IF($N$1="Vessels", IF(ISBLANK(Vessels!A18), "", Vessels!A18), ""))</f>
        <v>4.01</v>
      </c>
      <c r="B18" s="21" t="str">
        <f>IF($N$1="Piping", IF(ISBLANK(Piping!B18), "", Piping!B18), IF($N$1="Vessels", IF(ISBLANK(Vessels!B18), "", Vessels!B18), ""))</f>
        <v/>
      </c>
      <c r="C18" s="21" t="str">
        <f>IF($N$1="Piping", IF(ISBLANK(Piping!C18), "", Piping!C18), IF($N$1="Vessels", IF(ISBLANK(Vessels!C18), "", Vessels!C18), ""))</f>
        <v>Piping</v>
      </c>
      <c r="D18" s="21" t="str">
        <f>IF($N$1="Piping", IF(ISBLANK(Piping!D18), "", Piping!D18), IF($N$1="Vessels", IF(ISBLANK(Vessels!D18), "", Vessels!D18), ""))</f>
        <v/>
      </c>
      <c r="E18" s="21" t="str">
        <f>IF($N$1="Piping", IF(ISBLANK(Piping!E18), "", Piping!E18), IF($N$1="Vessels", IF(ISBLANK(Vessels!E18), "", Vessels!E18), ""))</f>
        <v/>
      </c>
      <c r="F18" s="21" t="str">
        <f>IF($N$1="Piping", IF(ISBLANK(Piping!F18), "", Piping!F18), IF($N$1="Vessels", IF(ISBLANK(Vessels!F18), "", Vessels!F18), ""))</f>
        <v/>
      </c>
      <c r="G18" s="21">
        <f>IF($N$1="Piping", IF(ISBLANK(Piping!G18), "", Piping!G18), IF($N$1="Vessels", IF(ISBLANK(Vessels!G18), "", Vessels!G18), ""))</f>
        <v>0</v>
      </c>
      <c r="H18" s="21" t="str">
        <f>IF($N$1="Piping", IF(ISBLANK(Piping!H18), "", Piping!H18), IF($N$1="Vessels", IF(ISBLANK(Vessels!H18), "", Vessels!H18), ""))</f>
        <v/>
      </c>
      <c r="I18" s="21" t="str">
        <f>IF($N$1="Piping", IF(ISBLANK(Piping!I18), "", Piping!I18), IF($N$1="Vessels", IF(ISBLANK(Vessels!I18), "", Vessels!I18), ""))</f>
        <v/>
      </c>
      <c r="J18" s="21" t="str">
        <f>IF($N$1="Piping", IF(ISBLANK(Piping!J18), "", Piping!J18), IF($N$1="Vessels", IF(ISBLANK(Vessels!J18), "", Vessels!J18), ""))</f>
        <v/>
      </c>
      <c r="K18" s="21" t="str">
        <f>IF($N$1="Piping", IF(ISBLANK(Piping!K18), "", Piping!K18), IF($N$1="Vessels", IF(ISBLANK(Vessels!K18), "", Vessels!K18), ""))</f>
        <v/>
      </c>
      <c r="L18" s="21" t="str">
        <f>IF($N$1="Piping", IF(ISBLANK(Piping!L18), "", Piping!L18), IF($N$1="Vessels", IF(ISBLANK(Vessels!L18), "", Vessels!L18), ""))</f>
        <v/>
      </c>
      <c r="M18" s="21"/>
      <c r="N18" s="21"/>
      <c r="O18" s="21"/>
      <c r="P18" s="21"/>
      <c r="Q18" s="21" t="str">
        <f>IF($N$1="Piping", IF(ISBLANK(Piping!T18), "", Piping!T18), IF($N$1="Vessels", IF(ISBLANK(Vessels!T18), "", Vessels!T18), ""))</f>
        <v/>
      </c>
      <c r="R18" s="51" t="str">
        <f>IF($N$1="Piping", IF(ISBLANK(Piping!U18), "", Piping!U18), IF($N$1="Vessels", IF(ISBLANK(Vessels!U18), "", Vessels!U18), ""))</f>
        <v/>
      </c>
      <c r="S18" s="118" t="str">
        <f>IF(B18&lt;&gt;"",IF($N$1="Piping", IF(ISBLANK(Piping!$J$3), "", Piping!$J$3), IF($N$1="Vessels", IF(ISBLANK(Vessels!$J$3), "", Vessels!$J$3), "")),"")</f>
        <v/>
      </c>
      <c r="T18" s="37"/>
      <c r="U18" s="37"/>
      <c r="V18" s="37"/>
      <c r="W18" s="37"/>
      <c r="X18" s="37"/>
      <c r="Y18" s="37"/>
      <c r="Z18" s="37"/>
    </row>
    <row r="19" spans="1:26" ht="14.4" x14ac:dyDescent="0.3">
      <c r="A19" s="121">
        <f>IF($N$1="Piping", IF(ISBLANK(Piping!A19), "", Piping!A19), IF($N$1="Vessels", IF(ISBLANK(Vessels!A19), "", Vessels!A19), ""))</f>
        <v>4.0199999999999996</v>
      </c>
      <c r="B19" s="21" t="str">
        <f>IF($N$1="Piping", IF(ISBLANK(Piping!B19), "", Piping!B19), IF($N$1="Vessels", IF(ISBLANK(Vessels!B19), "", Vessels!B19), ""))</f>
        <v/>
      </c>
      <c r="C19" s="21" t="str">
        <f>IF($N$1="Piping", IF(ISBLANK(Piping!C19), "", Piping!C19), IF($N$1="Vessels", IF(ISBLANK(Vessels!C19), "", Vessels!C19), ""))</f>
        <v>Piping</v>
      </c>
      <c r="D19" s="21" t="str">
        <f>IF($N$1="Piping", IF(ISBLANK(Piping!D19), "", Piping!D19), IF($N$1="Vessels", IF(ISBLANK(Vessels!D19), "", Vessels!D19), ""))</f>
        <v/>
      </c>
      <c r="E19" s="21" t="str">
        <f>IF($N$1="Piping", IF(ISBLANK(Piping!E19), "", Piping!E19), IF($N$1="Vessels", IF(ISBLANK(Vessels!E19), "", Vessels!E19), ""))</f>
        <v/>
      </c>
      <c r="F19" s="21" t="str">
        <f>IF($N$1="Piping", IF(ISBLANK(Piping!F19), "", Piping!F19), IF($N$1="Vessels", IF(ISBLANK(Vessels!F19), "", Vessels!F19), ""))</f>
        <v/>
      </c>
      <c r="G19" s="21">
        <f>IF($N$1="Piping", IF(ISBLANK(Piping!G19), "", Piping!G19), IF($N$1="Vessels", IF(ISBLANK(Vessels!G19), "", Vessels!G19), ""))</f>
        <v>0</v>
      </c>
      <c r="H19" s="21" t="str">
        <f>IF($N$1="Piping", IF(ISBLANK(Piping!H19), "", Piping!H19), IF($N$1="Vessels", IF(ISBLANK(Vessels!H19), "", Vessels!H19), ""))</f>
        <v/>
      </c>
      <c r="I19" s="21" t="str">
        <f>IF($N$1="Piping", IF(ISBLANK(Piping!I19), "", Piping!I19), IF($N$1="Vessels", IF(ISBLANK(Vessels!I19), "", Vessels!I19), ""))</f>
        <v/>
      </c>
      <c r="J19" s="21" t="str">
        <f>IF($N$1="Piping", IF(ISBLANK(Piping!J19), "", Piping!J19), IF($N$1="Vessels", IF(ISBLANK(Vessels!J19), "", Vessels!J19), ""))</f>
        <v/>
      </c>
      <c r="K19" s="21" t="str">
        <f>IF($N$1="Piping", IF(ISBLANK(Piping!K19), "", Piping!K19), IF($N$1="Vessels", IF(ISBLANK(Vessels!K19), "", Vessels!K19), ""))</f>
        <v/>
      </c>
      <c r="L19" s="21" t="str">
        <f>IF($N$1="Piping", IF(ISBLANK(Piping!L19), "", Piping!L19), IF($N$1="Vessels", IF(ISBLANK(Vessels!L19), "", Vessels!L19), ""))</f>
        <v/>
      </c>
      <c r="M19" s="21"/>
      <c r="N19" s="21"/>
      <c r="O19" s="21"/>
      <c r="P19" s="21"/>
      <c r="Q19" s="21" t="str">
        <f>IF($N$1="Piping", IF(ISBLANK(Piping!T19), "", Piping!T19), IF($N$1="Vessels", IF(ISBLANK(Vessels!T19), "", Vessels!T19), ""))</f>
        <v/>
      </c>
      <c r="R19" s="51" t="str">
        <f>IF($N$1="Piping", IF(ISBLANK(Piping!U19), "", Piping!U19), IF($N$1="Vessels", IF(ISBLANK(Vessels!U19), "", Vessels!U19), ""))</f>
        <v/>
      </c>
      <c r="S19" s="118" t="str">
        <f>IF(B19&lt;&gt;"",IF($N$1="Piping", IF(ISBLANK(Piping!$J$3), "", Piping!$J$3), IF($N$1="Vessels", IF(ISBLANK(Vessels!$J$3), "", Vessels!$J$3), "")),"")</f>
        <v/>
      </c>
      <c r="T19" s="37"/>
      <c r="U19" s="37"/>
      <c r="V19" s="37"/>
      <c r="W19" s="37"/>
      <c r="X19" s="37"/>
      <c r="Y19" s="37"/>
      <c r="Z19" s="37"/>
    </row>
    <row r="20" spans="1:26" ht="14.4" x14ac:dyDescent="0.3">
      <c r="A20" s="121">
        <f>IF($N$1="Piping", IF(ISBLANK(Piping!A20), "", Piping!A20), IF($N$1="Vessels", IF(ISBLANK(Vessels!A20), "", Vessels!A20), ""))</f>
        <v>4.03</v>
      </c>
      <c r="B20" s="21" t="str">
        <f>IF($N$1="Piping", IF(ISBLANK(Piping!B20), "", Piping!B20), IF($N$1="Vessels", IF(ISBLANK(Vessels!B20), "", Vessels!B20), ""))</f>
        <v/>
      </c>
      <c r="C20" s="21" t="str">
        <f>IF($N$1="Piping", IF(ISBLANK(Piping!C20), "", Piping!C20), IF($N$1="Vessels", IF(ISBLANK(Vessels!C20), "", Vessels!C20), ""))</f>
        <v>Piping</v>
      </c>
      <c r="D20" s="21" t="str">
        <f>IF($N$1="Piping", IF(ISBLANK(Piping!D20), "", Piping!D20), IF($N$1="Vessels", IF(ISBLANK(Vessels!D20), "", Vessels!D20), ""))</f>
        <v/>
      </c>
      <c r="E20" s="21" t="str">
        <f>IF($N$1="Piping", IF(ISBLANK(Piping!E20), "", Piping!E20), IF($N$1="Vessels", IF(ISBLANK(Vessels!E20), "", Vessels!E20), ""))</f>
        <v/>
      </c>
      <c r="F20" s="21" t="str">
        <f>IF($N$1="Piping", IF(ISBLANK(Piping!F20), "", Piping!F20), IF($N$1="Vessels", IF(ISBLANK(Vessels!F20), "", Vessels!F20), ""))</f>
        <v/>
      </c>
      <c r="G20" s="21">
        <f>IF($N$1="Piping", IF(ISBLANK(Piping!G20), "", Piping!G20), IF($N$1="Vessels", IF(ISBLANK(Vessels!G20), "", Vessels!G20), ""))</f>
        <v>0</v>
      </c>
      <c r="H20" s="21" t="str">
        <f>IF($N$1="Piping", IF(ISBLANK(Piping!H20), "", Piping!H20), IF($N$1="Vessels", IF(ISBLANK(Vessels!H20), "", Vessels!H20), ""))</f>
        <v/>
      </c>
      <c r="I20" s="21" t="str">
        <f>IF($N$1="Piping", IF(ISBLANK(Piping!I20), "", Piping!I20), IF($N$1="Vessels", IF(ISBLANK(Vessels!I20), "", Vessels!I20), ""))</f>
        <v/>
      </c>
      <c r="J20" s="21" t="str">
        <f>IF($N$1="Piping", IF(ISBLANK(Piping!J20), "", Piping!J20), IF($N$1="Vessels", IF(ISBLANK(Vessels!J20), "", Vessels!J20), ""))</f>
        <v/>
      </c>
      <c r="K20" s="21" t="str">
        <f>IF($N$1="Piping", IF(ISBLANK(Piping!K20), "", Piping!K20), IF($N$1="Vessels", IF(ISBLANK(Vessels!K20), "", Vessels!K20), ""))</f>
        <v/>
      </c>
      <c r="L20" s="21" t="str">
        <f>IF($N$1="Piping", IF(ISBLANK(Piping!L20), "", Piping!L20), IF($N$1="Vessels", IF(ISBLANK(Vessels!L20), "", Vessels!L20), ""))</f>
        <v/>
      </c>
      <c r="M20" s="21"/>
      <c r="N20" s="21"/>
      <c r="O20" s="21"/>
      <c r="P20" s="21"/>
      <c r="Q20" s="21" t="str">
        <f>IF($N$1="Piping", IF(ISBLANK(Piping!T20), "", Piping!T20), IF($N$1="Vessels", IF(ISBLANK(Vessels!T20), "", Vessels!T20), ""))</f>
        <v/>
      </c>
      <c r="R20" s="51" t="str">
        <f>IF($N$1="Piping", IF(ISBLANK(Piping!U20), "", Piping!U20), IF($N$1="Vessels", IF(ISBLANK(Vessels!U20), "", Vessels!U20), ""))</f>
        <v/>
      </c>
      <c r="S20" s="118" t="str">
        <f>IF(B20&lt;&gt;"",IF($N$1="Piping", IF(ISBLANK(Piping!$J$3), "", Piping!$J$3), IF($N$1="Vessels", IF(ISBLANK(Vessels!$J$3), "", Vessels!$J$3), "")),"")</f>
        <v/>
      </c>
      <c r="T20" s="37"/>
      <c r="U20" s="37"/>
      <c r="V20" s="37"/>
      <c r="W20" s="37"/>
      <c r="X20" s="37"/>
      <c r="Y20" s="37"/>
      <c r="Z20" s="37"/>
    </row>
    <row r="21" spans="1:26" ht="15.75" customHeight="1" x14ac:dyDescent="0.3">
      <c r="A21" s="121">
        <f>IF($N$1="Piping", IF(ISBLANK(Piping!A21), "", Piping!A21), IF($N$1="Vessels", IF(ISBLANK(Vessels!A21), "", Vessels!A21), ""))</f>
        <v>4.04</v>
      </c>
      <c r="B21" s="21" t="str">
        <f>IF($N$1="Piping", IF(ISBLANK(Piping!B21), "", Piping!B21), IF($N$1="Vessels", IF(ISBLANK(Vessels!B21), "", Vessels!B21), ""))</f>
        <v/>
      </c>
      <c r="C21" s="21" t="str">
        <f>IF($N$1="Piping", IF(ISBLANK(Piping!C21), "", Piping!C21), IF($N$1="Vessels", IF(ISBLANK(Vessels!C21), "", Vessels!C21), ""))</f>
        <v>Piping</v>
      </c>
      <c r="D21" s="21" t="str">
        <f>IF($N$1="Piping", IF(ISBLANK(Piping!D21), "", Piping!D21), IF($N$1="Vessels", IF(ISBLANK(Vessels!D21), "", Vessels!D21), ""))</f>
        <v/>
      </c>
      <c r="E21" s="21" t="str">
        <f>IF($N$1="Piping", IF(ISBLANK(Piping!E21), "", Piping!E21), IF($N$1="Vessels", IF(ISBLANK(Vessels!E21), "", Vessels!E21), ""))</f>
        <v/>
      </c>
      <c r="F21" s="21" t="str">
        <f>IF($N$1="Piping", IF(ISBLANK(Piping!F21), "", Piping!F21), IF($N$1="Vessels", IF(ISBLANK(Vessels!F21), "", Vessels!F21), ""))</f>
        <v/>
      </c>
      <c r="G21" s="21">
        <f>IF($N$1="Piping", IF(ISBLANK(Piping!G21), "", Piping!G21), IF($N$1="Vessels", IF(ISBLANK(Vessels!G21), "", Vessels!G21), ""))</f>
        <v>0</v>
      </c>
      <c r="H21" s="21" t="str">
        <f>IF($N$1="Piping", IF(ISBLANK(Piping!H21), "", Piping!H21), IF($N$1="Vessels", IF(ISBLANK(Vessels!H21), "", Vessels!H21), ""))</f>
        <v/>
      </c>
      <c r="I21" s="21" t="str">
        <f>IF($N$1="Piping", IF(ISBLANK(Piping!I21), "", Piping!I21), IF($N$1="Vessels", IF(ISBLANK(Vessels!I21), "", Vessels!I21), ""))</f>
        <v/>
      </c>
      <c r="J21" s="21" t="str">
        <f>IF($N$1="Piping", IF(ISBLANK(Piping!J21), "", Piping!J21), IF($N$1="Vessels", IF(ISBLANK(Vessels!J21), "", Vessels!J21), ""))</f>
        <v/>
      </c>
      <c r="K21" s="21" t="str">
        <f>IF($N$1="Piping", IF(ISBLANK(Piping!K21), "", Piping!K21), IF($N$1="Vessels", IF(ISBLANK(Vessels!K21), "", Vessels!K21), ""))</f>
        <v/>
      </c>
      <c r="L21" s="21" t="str">
        <f>IF($N$1="Piping", IF(ISBLANK(Piping!L21), "", Piping!L21), IF($N$1="Vessels", IF(ISBLANK(Vessels!L21), "", Vessels!L21), ""))</f>
        <v/>
      </c>
      <c r="M21" s="21"/>
      <c r="N21" s="21"/>
      <c r="O21" s="21"/>
      <c r="P21" s="21"/>
      <c r="Q21" s="21" t="str">
        <f>IF($N$1="Piping", IF(ISBLANK(Piping!T21), "", Piping!T21), IF($N$1="Vessels", IF(ISBLANK(Vessels!T21), "", Vessels!T21), ""))</f>
        <v/>
      </c>
      <c r="R21" s="51" t="str">
        <f>IF($N$1="Piping", IF(ISBLANK(Piping!U21), "", Piping!U21), IF($N$1="Vessels", IF(ISBLANK(Vessels!U21), "", Vessels!U21), ""))</f>
        <v/>
      </c>
      <c r="S21" s="118" t="str">
        <f>IF(B21&lt;&gt;"",IF($N$1="Piping", IF(ISBLANK(Piping!$J$3), "", Piping!$J$3), IF($N$1="Vessels", IF(ISBLANK(Vessels!$J$3), "", Vessels!$J$3), "")),"")</f>
        <v/>
      </c>
      <c r="T21" s="37"/>
      <c r="U21" s="37"/>
      <c r="V21" s="37"/>
      <c r="W21" s="37"/>
      <c r="X21" s="37"/>
      <c r="Y21" s="37"/>
      <c r="Z21" s="37"/>
    </row>
    <row r="22" spans="1:26" ht="15.75" customHeight="1" x14ac:dyDescent="0.3">
      <c r="A22" s="121">
        <f>IF($N$1="Piping", IF(ISBLANK(Piping!A22), "", Piping!A22), IF($N$1="Vessels", IF(ISBLANK(Vessels!A22), "", Vessels!A22), ""))</f>
        <v>5.01</v>
      </c>
      <c r="B22" s="21" t="str">
        <f>IF($N$1="Piping", IF(ISBLANK(Piping!B22), "", Piping!B22), IF($N$1="Vessels", IF(ISBLANK(Vessels!B22), "", Vessels!B22), ""))</f>
        <v/>
      </c>
      <c r="C22" s="21" t="str">
        <f>IF($N$1="Piping", IF(ISBLANK(Piping!C22), "", Piping!C22), IF($N$1="Vessels", IF(ISBLANK(Vessels!C22), "", Vessels!C22), ""))</f>
        <v>Piping</v>
      </c>
      <c r="D22" s="21" t="str">
        <f>IF($N$1="Piping", IF(ISBLANK(Piping!D22), "", Piping!D22), IF($N$1="Vessels", IF(ISBLANK(Vessels!D22), "", Vessels!D22), ""))</f>
        <v/>
      </c>
      <c r="E22" s="21" t="str">
        <f>IF($N$1="Piping", IF(ISBLANK(Piping!E22), "", Piping!E22), IF($N$1="Vessels", IF(ISBLANK(Vessels!E22), "", Vessels!E22), ""))</f>
        <v/>
      </c>
      <c r="F22" s="21" t="str">
        <f>IF($N$1="Piping", IF(ISBLANK(Piping!F22), "", Piping!F22), IF($N$1="Vessels", IF(ISBLANK(Vessels!F22), "", Vessels!F22), ""))</f>
        <v/>
      </c>
      <c r="G22" s="21">
        <f>IF($N$1="Piping", IF(ISBLANK(Piping!G22), "", Piping!G22), IF($N$1="Vessels", IF(ISBLANK(Vessels!G22), "", Vessels!G22), ""))</f>
        <v>0</v>
      </c>
      <c r="H22" s="21" t="str">
        <f>IF($N$1="Piping", IF(ISBLANK(Piping!H22), "", Piping!H22), IF($N$1="Vessels", IF(ISBLANK(Vessels!H22), "", Vessels!H22), ""))</f>
        <v/>
      </c>
      <c r="I22" s="21" t="str">
        <f>IF($N$1="Piping", IF(ISBLANK(Piping!I22), "", Piping!I22), IF($N$1="Vessels", IF(ISBLANK(Vessels!I22), "", Vessels!I22), ""))</f>
        <v/>
      </c>
      <c r="J22" s="21" t="str">
        <f>IF($N$1="Piping", IF(ISBLANK(Piping!J22), "", Piping!J22), IF($N$1="Vessels", IF(ISBLANK(Vessels!J22), "", Vessels!J22), ""))</f>
        <v/>
      </c>
      <c r="K22" s="21" t="str">
        <f>IF($N$1="Piping", IF(ISBLANK(Piping!K22), "", Piping!K22), IF($N$1="Vessels", IF(ISBLANK(Vessels!K22), "", Vessels!K22), ""))</f>
        <v/>
      </c>
      <c r="L22" s="21" t="str">
        <f>IF($N$1="Piping", IF(ISBLANK(Piping!L22), "", Piping!L22), IF($N$1="Vessels", IF(ISBLANK(Vessels!L22), "", Vessels!L22), ""))</f>
        <v/>
      </c>
      <c r="M22" s="21"/>
      <c r="N22" s="21"/>
      <c r="O22" s="21"/>
      <c r="P22" s="21"/>
      <c r="Q22" s="21" t="str">
        <f>IF($N$1="Piping", IF(ISBLANK(Piping!T22), "", Piping!T22), IF($N$1="Vessels", IF(ISBLANK(Vessels!T22), "", Vessels!T22), ""))</f>
        <v/>
      </c>
      <c r="R22" s="51" t="str">
        <f>IF($N$1="Piping", IF(ISBLANK(Piping!U22), "", Piping!U22), IF($N$1="Vessels", IF(ISBLANK(Vessels!U22), "", Vessels!U22), ""))</f>
        <v/>
      </c>
      <c r="S22" s="118" t="str">
        <f>IF(B22&lt;&gt;"",IF($N$1="Piping", IF(ISBLANK(Piping!$J$3), "", Piping!$J$3), IF($N$1="Vessels", IF(ISBLANK(Vessels!$J$3), "", Vessels!$J$3), "")),"")</f>
        <v/>
      </c>
      <c r="T22" s="37"/>
      <c r="U22" s="37"/>
      <c r="V22" s="37"/>
      <c r="W22" s="37"/>
      <c r="X22" s="37"/>
      <c r="Y22" s="37"/>
      <c r="Z22" s="37"/>
    </row>
    <row r="23" spans="1:26" ht="15.75" customHeight="1" x14ac:dyDescent="0.3">
      <c r="A23" s="121">
        <f>IF($N$1="Piping", IF(ISBLANK(Piping!A23), "", Piping!A23), IF($N$1="Vessels", IF(ISBLANK(Vessels!A23), "", Vessels!A23), ""))</f>
        <v>5.0199999999999996</v>
      </c>
      <c r="B23" s="21" t="str">
        <f>IF($N$1="Piping", IF(ISBLANK(Piping!B23), "", Piping!B23), IF($N$1="Vessels", IF(ISBLANK(Vessels!B23), "", Vessels!B23), ""))</f>
        <v/>
      </c>
      <c r="C23" s="21" t="str">
        <f>IF($N$1="Piping", IF(ISBLANK(Piping!C23), "", Piping!C23), IF($N$1="Vessels", IF(ISBLANK(Vessels!C23), "", Vessels!C23), ""))</f>
        <v>Piping</v>
      </c>
      <c r="D23" s="21" t="str">
        <f>IF($N$1="Piping", IF(ISBLANK(Piping!D23), "", Piping!D23), IF($N$1="Vessels", IF(ISBLANK(Vessels!D23), "", Vessels!D23), ""))</f>
        <v/>
      </c>
      <c r="E23" s="21" t="str">
        <f>IF($N$1="Piping", IF(ISBLANK(Piping!E23), "", Piping!E23), IF($N$1="Vessels", IF(ISBLANK(Vessels!E23), "", Vessels!E23), ""))</f>
        <v/>
      </c>
      <c r="F23" s="21" t="str">
        <f>IF($N$1="Piping", IF(ISBLANK(Piping!F23), "", Piping!F23), IF($N$1="Vessels", IF(ISBLANK(Vessels!F23), "", Vessels!F23), ""))</f>
        <v/>
      </c>
      <c r="G23" s="21">
        <f>IF($N$1="Piping", IF(ISBLANK(Piping!G23), "", Piping!G23), IF($N$1="Vessels", IF(ISBLANK(Vessels!G23), "", Vessels!G23), ""))</f>
        <v>0</v>
      </c>
      <c r="H23" s="21" t="str">
        <f>IF($N$1="Piping", IF(ISBLANK(Piping!H23), "", Piping!H23), IF($N$1="Vessels", IF(ISBLANK(Vessels!H23), "", Vessels!H23), ""))</f>
        <v/>
      </c>
      <c r="I23" s="21" t="str">
        <f>IF($N$1="Piping", IF(ISBLANK(Piping!I23), "", Piping!I23), IF($N$1="Vessels", IF(ISBLANK(Vessels!I23), "", Vessels!I23), ""))</f>
        <v/>
      </c>
      <c r="J23" s="21" t="str">
        <f>IF($N$1="Piping", IF(ISBLANK(Piping!J23), "", Piping!J23), IF($N$1="Vessels", IF(ISBLANK(Vessels!J23), "", Vessels!J23), ""))</f>
        <v/>
      </c>
      <c r="K23" s="21" t="str">
        <f>IF($N$1="Piping", IF(ISBLANK(Piping!K23), "", Piping!K23), IF($N$1="Vessels", IF(ISBLANK(Vessels!K23), "", Vessels!K23), ""))</f>
        <v/>
      </c>
      <c r="L23" s="21" t="str">
        <f>IF($N$1="Piping", IF(ISBLANK(Piping!L23), "", Piping!L23), IF($N$1="Vessels", IF(ISBLANK(Vessels!L23), "", Vessels!L23), ""))</f>
        <v/>
      </c>
      <c r="M23" s="21"/>
      <c r="N23" s="21"/>
      <c r="O23" s="21"/>
      <c r="P23" s="21"/>
      <c r="Q23" s="21" t="str">
        <f>IF($N$1="Piping", IF(ISBLANK(Piping!T23), "", Piping!T23), IF($N$1="Vessels", IF(ISBLANK(Vessels!T23), "", Vessels!T23), ""))</f>
        <v/>
      </c>
      <c r="R23" s="51" t="str">
        <f>IF($N$1="Piping", IF(ISBLANK(Piping!U23), "", Piping!U23), IF($N$1="Vessels", IF(ISBLANK(Vessels!U23), "", Vessels!U23), ""))</f>
        <v/>
      </c>
      <c r="S23" s="118" t="str">
        <f>IF(B23&lt;&gt;"",IF($N$1="Piping", IF(ISBLANK(Piping!$J$3), "", Piping!$J$3), IF($N$1="Vessels", IF(ISBLANK(Vessels!$J$3), "", Vessels!$J$3), "")),"")</f>
        <v/>
      </c>
      <c r="T23" s="37"/>
      <c r="U23" s="37"/>
      <c r="V23" s="37"/>
      <c r="W23" s="37"/>
      <c r="X23" s="37"/>
      <c r="Y23" s="37"/>
      <c r="Z23" s="37"/>
    </row>
    <row r="24" spans="1:26" ht="15.75" customHeight="1" x14ac:dyDescent="0.3">
      <c r="A24" s="121">
        <f>IF($N$1="Piping", IF(ISBLANK(Piping!A24), "", Piping!A24), IF($N$1="Vessels", IF(ISBLANK(Vessels!A24), "", Vessels!A24), ""))</f>
        <v>5.03</v>
      </c>
      <c r="B24" s="21" t="str">
        <f>IF($N$1="Piping", IF(ISBLANK(Piping!B24), "", Piping!B24), IF($N$1="Vessels", IF(ISBLANK(Vessels!B24), "", Vessels!B24), ""))</f>
        <v/>
      </c>
      <c r="C24" s="21" t="str">
        <f>IF($N$1="Piping", IF(ISBLANK(Piping!C24), "", Piping!C24), IF($N$1="Vessels", IF(ISBLANK(Vessels!C24), "", Vessels!C24), ""))</f>
        <v>Piping</v>
      </c>
      <c r="D24" s="21" t="str">
        <f>IF($N$1="Piping", IF(ISBLANK(Piping!D24), "", Piping!D24), IF($N$1="Vessels", IF(ISBLANK(Vessels!D24), "", Vessels!D24), ""))</f>
        <v/>
      </c>
      <c r="E24" s="21" t="str">
        <f>IF($N$1="Piping", IF(ISBLANK(Piping!E24), "", Piping!E24), IF($N$1="Vessels", IF(ISBLANK(Vessels!E24), "", Vessels!E24), ""))</f>
        <v/>
      </c>
      <c r="F24" s="21" t="str">
        <f>IF($N$1="Piping", IF(ISBLANK(Piping!F24), "", Piping!F24), IF($N$1="Vessels", IF(ISBLANK(Vessels!F24), "", Vessels!F24), ""))</f>
        <v/>
      </c>
      <c r="G24" s="21">
        <f>IF($N$1="Piping", IF(ISBLANK(Piping!G24), "", Piping!G24), IF($N$1="Vessels", IF(ISBLANK(Vessels!G24), "", Vessels!G24), ""))</f>
        <v>0</v>
      </c>
      <c r="H24" s="21" t="str">
        <f>IF($N$1="Piping", IF(ISBLANK(Piping!H24), "", Piping!H24), IF($N$1="Vessels", IF(ISBLANK(Vessels!H24), "", Vessels!H24), ""))</f>
        <v/>
      </c>
      <c r="I24" s="21" t="str">
        <f>IF($N$1="Piping", IF(ISBLANK(Piping!I24), "", Piping!I24), IF($N$1="Vessels", IF(ISBLANK(Vessels!I24), "", Vessels!I24), ""))</f>
        <v/>
      </c>
      <c r="J24" s="21" t="str">
        <f>IF($N$1="Piping", IF(ISBLANK(Piping!J24), "", Piping!J24), IF($N$1="Vessels", IF(ISBLANK(Vessels!J24), "", Vessels!J24), ""))</f>
        <v/>
      </c>
      <c r="K24" s="21" t="str">
        <f>IF($N$1="Piping", IF(ISBLANK(Piping!K24), "", Piping!K24), IF($N$1="Vessels", IF(ISBLANK(Vessels!K24), "", Vessels!K24), ""))</f>
        <v/>
      </c>
      <c r="L24" s="21" t="str">
        <f>IF($N$1="Piping", IF(ISBLANK(Piping!L24), "", Piping!L24), IF($N$1="Vessels", IF(ISBLANK(Vessels!L24), "", Vessels!L24), ""))</f>
        <v/>
      </c>
      <c r="M24" s="21"/>
      <c r="N24" s="21"/>
      <c r="O24" s="21"/>
      <c r="P24" s="21"/>
      <c r="Q24" s="21" t="str">
        <f>IF($N$1="Piping", IF(ISBLANK(Piping!T24), "", Piping!T24), IF($N$1="Vessels", IF(ISBLANK(Vessels!T24), "", Vessels!T24), ""))</f>
        <v/>
      </c>
      <c r="R24" s="51" t="str">
        <f>IF($N$1="Piping", IF(ISBLANK(Piping!U24), "", Piping!U24), IF($N$1="Vessels", IF(ISBLANK(Vessels!U24), "", Vessels!U24), ""))</f>
        <v/>
      </c>
      <c r="S24" s="118" t="str">
        <f>IF(B24&lt;&gt;"",IF($N$1="Piping", IF(ISBLANK(Piping!$J$3), "", Piping!$J$3), IF($N$1="Vessels", IF(ISBLANK(Vessels!$J$3), "", Vessels!$J$3), "")),"")</f>
        <v/>
      </c>
      <c r="T24" s="37"/>
      <c r="U24" s="37"/>
      <c r="V24" s="37"/>
      <c r="W24" s="37"/>
      <c r="X24" s="37"/>
      <c r="Y24" s="37"/>
      <c r="Z24" s="37"/>
    </row>
    <row r="25" spans="1:26" ht="15.75" customHeight="1" x14ac:dyDescent="0.3">
      <c r="A25" s="121">
        <f>IF($N$1="Piping", IF(ISBLANK(Piping!A25), "", Piping!A25), IF($N$1="Vessels", IF(ISBLANK(Vessels!A25), "", Vessels!A25), ""))</f>
        <v>5.04</v>
      </c>
      <c r="B25" s="21" t="str">
        <f>IF($N$1="Piping", IF(ISBLANK(Piping!B25), "", Piping!B25), IF($N$1="Vessels", IF(ISBLANK(Vessels!B25), "", Vessels!B25), ""))</f>
        <v/>
      </c>
      <c r="C25" s="21" t="str">
        <f>IF($N$1="Piping", IF(ISBLANK(Piping!C25), "", Piping!C25), IF($N$1="Vessels", IF(ISBLANK(Vessels!C25), "", Vessels!C25), ""))</f>
        <v>Piping</v>
      </c>
      <c r="D25" s="21" t="str">
        <f>IF($N$1="Piping", IF(ISBLANK(Piping!D25), "", Piping!D25), IF($N$1="Vessels", IF(ISBLANK(Vessels!D25), "", Vessels!D25), ""))</f>
        <v/>
      </c>
      <c r="E25" s="21" t="str">
        <f>IF($N$1="Piping", IF(ISBLANK(Piping!E25), "", Piping!E25), IF($N$1="Vessels", IF(ISBLANK(Vessels!E25), "", Vessels!E25), ""))</f>
        <v/>
      </c>
      <c r="F25" s="21" t="str">
        <f>IF($N$1="Piping", IF(ISBLANK(Piping!F25), "", Piping!F25), IF($N$1="Vessels", IF(ISBLANK(Vessels!F25), "", Vessels!F25), ""))</f>
        <v/>
      </c>
      <c r="G25" s="21">
        <f>IF($N$1="Piping", IF(ISBLANK(Piping!G25), "", Piping!G25), IF($N$1="Vessels", IF(ISBLANK(Vessels!G25), "", Vessels!G25), ""))</f>
        <v>0</v>
      </c>
      <c r="H25" s="21" t="str">
        <f>IF($N$1="Piping", IF(ISBLANK(Piping!H25), "", Piping!H25), IF($N$1="Vessels", IF(ISBLANK(Vessels!H25), "", Vessels!H25), ""))</f>
        <v/>
      </c>
      <c r="I25" s="21" t="str">
        <f>IF($N$1="Piping", IF(ISBLANK(Piping!I25), "", Piping!I25), IF($N$1="Vessels", IF(ISBLANK(Vessels!I25), "", Vessels!I25), ""))</f>
        <v/>
      </c>
      <c r="J25" s="21" t="str">
        <f>IF($N$1="Piping", IF(ISBLANK(Piping!J25), "", Piping!J25), IF($N$1="Vessels", IF(ISBLANK(Vessels!J25), "", Vessels!J25), ""))</f>
        <v/>
      </c>
      <c r="K25" s="21" t="str">
        <f>IF($N$1="Piping", IF(ISBLANK(Piping!K25), "", Piping!K25), IF($N$1="Vessels", IF(ISBLANK(Vessels!K25), "", Vessels!K25), ""))</f>
        <v/>
      </c>
      <c r="L25" s="21" t="str">
        <f>IF($N$1="Piping", IF(ISBLANK(Piping!L25), "", Piping!L25), IF($N$1="Vessels", IF(ISBLANK(Vessels!L25), "", Vessels!L25), ""))</f>
        <v/>
      </c>
      <c r="M25" s="21"/>
      <c r="N25" s="21"/>
      <c r="O25" s="21"/>
      <c r="P25" s="21"/>
      <c r="Q25" s="21" t="str">
        <f>IF($N$1="Piping", IF(ISBLANK(Piping!T25), "", Piping!T25), IF($N$1="Vessels", IF(ISBLANK(Vessels!T25), "", Vessels!T25), ""))</f>
        <v/>
      </c>
      <c r="R25" s="51" t="str">
        <f>IF($N$1="Piping", IF(ISBLANK(Piping!U25), "", Piping!U25), IF($N$1="Vessels", IF(ISBLANK(Vessels!U25), "", Vessels!U25), ""))</f>
        <v/>
      </c>
      <c r="S25" s="118" t="str">
        <f>IF(B25&lt;&gt;"",IF($N$1="Piping", IF(ISBLANK(Piping!$J$3), "", Piping!$J$3), IF($N$1="Vessels", IF(ISBLANK(Vessels!$J$3), "", Vessels!$J$3), "")),"")</f>
        <v/>
      </c>
      <c r="T25" s="37"/>
      <c r="U25" s="37"/>
      <c r="V25" s="37"/>
      <c r="W25" s="37"/>
      <c r="X25" s="37"/>
      <c r="Y25" s="37"/>
      <c r="Z25" s="37"/>
    </row>
    <row r="26" spans="1:26" ht="15.75" customHeight="1" x14ac:dyDescent="0.3">
      <c r="A26" s="22">
        <f>IF($N$1="Piping", IF(ISBLANK(Piping!A26), "", Piping!A26), IF($N$1="Vessels", IF(ISBLANK(Vessels!A26), "", Vessels!A26), ""))</f>
        <v>6.01</v>
      </c>
      <c r="B26" s="21" t="str">
        <f>IF($N$1="Piping", IF(ISBLANK(Piping!B26), "", Piping!B26), IF($N$1="Vessels", IF(ISBLANK(Vessels!B26), "", Vessels!B26), ""))</f>
        <v/>
      </c>
      <c r="C26" s="21" t="str">
        <f>IF($N$1="Piping", IF(ISBLANK(Piping!C26), "", Piping!C26), IF($N$1="Vessels", IF(ISBLANK(Vessels!C26), "", Vessels!C26), ""))</f>
        <v>Piping</v>
      </c>
      <c r="D26" s="21" t="str">
        <f>IF($N$1="Piping", IF(ISBLANK(Piping!D26), "", Piping!D26), IF($N$1="Vessels", IF(ISBLANK(Vessels!D26), "", Vessels!D26), ""))</f>
        <v/>
      </c>
      <c r="E26" s="21" t="str">
        <f>IF($N$1="Piping", IF(ISBLANK(Piping!E26), "", Piping!E26), IF($N$1="Vessels", IF(ISBLANK(Vessels!E26), "", Vessels!E26), ""))</f>
        <v/>
      </c>
      <c r="F26" s="21" t="str">
        <f>IF($N$1="Piping", IF(ISBLANK(Piping!F26), "", Piping!F26), IF($N$1="Vessels", IF(ISBLANK(Vessels!F26), "", Vessels!F26), ""))</f>
        <v/>
      </c>
      <c r="G26" s="21">
        <f>IF($N$1="Piping", IF(ISBLANK(Piping!G26), "", Piping!G26), IF($N$1="Vessels", IF(ISBLANK(Vessels!G26), "", Vessels!G26), ""))</f>
        <v>0</v>
      </c>
      <c r="H26" s="21" t="str">
        <f>IF($N$1="Piping", IF(ISBLANK(Piping!H26), "", Piping!H26), IF($N$1="Vessels", IF(ISBLANK(Vessels!H26), "", Vessels!H26), ""))</f>
        <v/>
      </c>
      <c r="I26" s="21" t="str">
        <f>IF($N$1="Piping", IF(ISBLANK(Piping!I26), "", Piping!I26), IF($N$1="Vessels", IF(ISBLANK(Vessels!I26), "", Vessels!I26), ""))</f>
        <v/>
      </c>
      <c r="J26" s="21" t="str">
        <f>IF($N$1="Piping", IF(ISBLANK(Piping!J26), "", Piping!J26), IF($N$1="Vessels", IF(ISBLANK(Vessels!J26), "", Vessels!J26), ""))</f>
        <v/>
      </c>
      <c r="K26" s="21" t="str">
        <f>IF($N$1="Piping", IF(ISBLANK(Piping!K26), "", Piping!K26), IF($N$1="Vessels", IF(ISBLANK(Vessels!K26), "", Vessels!K26), ""))</f>
        <v/>
      </c>
      <c r="L26" s="21" t="str">
        <f>IF($N$1="Piping", IF(ISBLANK(Piping!L26), "", Piping!L26), IF($N$1="Vessels", IF(ISBLANK(Vessels!L26), "", Vessels!L26), ""))</f>
        <v/>
      </c>
      <c r="M26" s="21"/>
      <c r="N26" s="21"/>
      <c r="O26" s="21"/>
      <c r="P26" s="21"/>
      <c r="Q26" s="21" t="str">
        <f>IF($N$1="Piping", IF(ISBLANK(Piping!T26), "", Piping!T26), IF($N$1="Vessels", IF(ISBLANK(Vessels!T26), "", Vessels!T26), ""))</f>
        <v/>
      </c>
      <c r="R26" s="51" t="str">
        <f>IF($N$1="Piping", IF(ISBLANK(Piping!U26), "", Piping!U26), IF($N$1="Vessels", IF(ISBLANK(Vessels!U26), "", Vessels!U26), ""))</f>
        <v/>
      </c>
      <c r="S26" s="118" t="str">
        <f>IF(B26&lt;&gt;"",IF($N$1="Piping", IF(ISBLANK(Piping!$J$3), "", Piping!$J$3), IF($N$1="Vessels", IF(ISBLANK(Vessels!$J$3), "", Vessels!$J$3), "")),"")</f>
        <v/>
      </c>
      <c r="T26" s="37"/>
      <c r="U26" s="37"/>
      <c r="V26" s="37"/>
      <c r="W26" s="37"/>
      <c r="X26" s="37"/>
      <c r="Y26" s="37"/>
      <c r="Z26" s="37"/>
    </row>
    <row r="27" spans="1:26" ht="15.75" customHeight="1" x14ac:dyDescent="0.3">
      <c r="A27" s="22">
        <f>IF($N$1="Piping", IF(ISBLANK(Piping!A27), "", Piping!A27), IF($N$1="Vessels", IF(ISBLANK(Vessels!A27), "", Vessels!A27), ""))</f>
        <v>6.02</v>
      </c>
      <c r="B27" s="21" t="str">
        <f>IF($N$1="Piping", IF(ISBLANK(Piping!B27), "", Piping!B27), IF($N$1="Vessels", IF(ISBLANK(Vessels!B27), "", Vessels!B27), ""))</f>
        <v/>
      </c>
      <c r="C27" s="21" t="str">
        <f>IF($N$1="Piping", IF(ISBLANK(Piping!C27), "", Piping!C27), IF($N$1="Vessels", IF(ISBLANK(Vessels!C27), "", Vessels!C27), ""))</f>
        <v>Piping</v>
      </c>
      <c r="D27" s="21" t="str">
        <f>IF($N$1="Piping", IF(ISBLANK(Piping!D27), "", Piping!D27), IF($N$1="Vessels", IF(ISBLANK(Vessels!D27), "", Vessels!D27), ""))</f>
        <v/>
      </c>
      <c r="E27" s="21" t="str">
        <f>IF($N$1="Piping", IF(ISBLANK(Piping!E27), "", Piping!E27), IF($N$1="Vessels", IF(ISBLANK(Vessels!E27), "", Vessels!E27), ""))</f>
        <v/>
      </c>
      <c r="F27" s="21" t="str">
        <f>IF($N$1="Piping", IF(ISBLANK(Piping!F27), "", Piping!F27), IF($N$1="Vessels", IF(ISBLANK(Vessels!F27), "", Vessels!F27), ""))</f>
        <v/>
      </c>
      <c r="G27" s="21">
        <f>IF($N$1="Piping", IF(ISBLANK(Piping!G27), "", Piping!G27), IF($N$1="Vessels", IF(ISBLANK(Vessels!G27), "", Vessels!G27), ""))</f>
        <v>0</v>
      </c>
      <c r="H27" s="21" t="str">
        <f>IF($N$1="Piping", IF(ISBLANK(Piping!H27), "", Piping!H27), IF($N$1="Vessels", IF(ISBLANK(Vessels!H27), "", Vessels!H27), ""))</f>
        <v/>
      </c>
      <c r="I27" s="21" t="str">
        <f>IF($N$1="Piping", IF(ISBLANK(Piping!I27), "", Piping!I27), IF($N$1="Vessels", IF(ISBLANK(Vessels!I27), "", Vessels!I27), ""))</f>
        <v/>
      </c>
      <c r="J27" s="21" t="str">
        <f>IF($N$1="Piping", IF(ISBLANK(Piping!J27), "", Piping!J27), IF($N$1="Vessels", IF(ISBLANK(Vessels!J27), "", Vessels!J27), ""))</f>
        <v/>
      </c>
      <c r="K27" s="21" t="str">
        <f>IF($N$1="Piping", IF(ISBLANK(Piping!K27), "", Piping!K27), IF($N$1="Vessels", IF(ISBLANK(Vessels!K27), "", Vessels!K27), ""))</f>
        <v/>
      </c>
      <c r="L27" s="21" t="str">
        <f>IF($N$1="Piping", IF(ISBLANK(Piping!L27), "", Piping!L27), IF($N$1="Vessels", IF(ISBLANK(Vessels!L27), "", Vessels!L27), ""))</f>
        <v/>
      </c>
      <c r="M27" s="21"/>
      <c r="N27" s="21"/>
      <c r="O27" s="21"/>
      <c r="P27" s="21"/>
      <c r="Q27" s="21" t="str">
        <f>IF($N$1="Piping", IF(ISBLANK(Piping!T27), "", Piping!T27), IF($N$1="Vessels", IF(ISBLANK(Vessels!T27), "", Vessels!T27), ""))</f>
        <v/>
      </c>
      <c r="R27" s="51" t="str">
        <f>IF($N$1="Piping", IF(ISBLANK(Piping!U27), "", Piping!U27), IF($N$1="Vessels", IF(ISBLANK(Vessels!U27), "", Vessels!U27), ""))</f>
        <v/>
      </c>
      <c r="S27" s="118" t="str">
        <f>IF(B27&lt;&gt;"",IF($N$1="Piping", IF(ISBLANK(Piping!$J$3), "", Piping!$J$3), IF($N$1="Vessels", IF(ISBLANK(Vessels!$J$3), "", Vessels!$J$3), "")),"")</f>
        <v/>
      </c>
      <c r="T27" s="37"/>
      <c r="U27" s="37"/>
      <c r="V27" s="37"/>
      <c r="W27" s="37"/>
      <c r="X27" s="37"/>
      <c r="Y27" s="37"/>
      <c r="Z27" s="37"/>
    </row>
    <row r="28" spans="1:26" ht="15.75" customHeight="1" x14ac:dyDescent="0.3">
      <c r="A28" s="22">
        <f>IF($N$1="Piping", IF(ISBLANK(Piping!A28), "", Piping!A28), IF($N$1="Vessels", IF(ISBLANK(Vessels!A28), "", Vessels!A28), ""))</f>
        <v>6.03</v>
      </c>
      <c r="B28" s="21" t="str">
        <f>IF($N$1="Piping", IF(ISBLANK(Piping!B28), "", Piping!B28), IF($N$1="Vessels", IF(ISBLANK(Vessels!B28), "", Vessels!B28), ""))</f>
        <v/>
      </c>
      <c r="C28" s="21" t="str">
        <f>IF($N$1="Piping", IF(ISBLANK(Piping!C28), "", Piping!C28), IF($N$1="Vessels", IF(ISBLANK(Vessels!C28), "", Vessels!C28), ""))</f>
        <v>Piping</v>
      </c>
      <c r="D28" s="21" t="str">
        <f>IF($N$1="Piping", IF(ISBLANK(Piping!D28), "", Piping!D28), IF($N$1="Vessels", IF(ISBLANK(Vessels!D28), "", Vessels!D28), ""))</f>
        <v/>
      </c>
      <c r="E28" s="21" t="str">
        <f>IF($N$1="Piping", IF(ISBLANK(Piping!E28), "", Piping!E28), IF($N$1="Vessels", IF(ISBLANK(Vessels!E28), "", Vessels!E28), ""))</f>
        <v/>
      </c>
      <c r="F28" s="21" t="str">
        <f>IF($N$1="Piping", IF(ISBLANK(Piping!F28), "", Piping!F28), IF($N$1="Vessels", IF(ISBLANK(Vessels!F28), "", Vessels!F28), ""))</f>
        <v/>
      </c>
      <c r="G28" s="21">
        <f>IF($N$1="Piping", IF(ISBLANK(Piping!G28), "", Piping!G28), IF($N$1="Vessels", IF(ISBLANK(Vessels!G28), "", Vessels!G28), ""))</f>
        <v>0</v>
      </c>
      <c r="H28" s="21" t="str">
        <f>IF($N$1="Piping", IF(ISBLANK(Piping!H28), "", Piping!H28), IF($N$1="Vessels", IF(ISBLANK(Vessels!H28), "", Vessels!H28), ""))</f>
        <v/>
      </c>
      <c r="I28" s="21" t="str">
        <f>IF($N$1="Piping", IF(ISBLANK(Piping!I28), "", Piping!I28), IF($N$1="Vessels", IF(ISBLANK(Vessels!I28), "", Vessels!I28), ""))</f>
        <v/>
      </c>
      <c r="J28" s="21" t="str">
        <f>IF($N$1="Piping", IF(ISBLANK(Piping!J28), "", Piping!J28), IF($N$1="Vessels", IF(ISBLANK(Vessels!J28), "", Vessels!J28), ""))</f>
        <v/>
      </c>
      <c r="K28" s="21" t="str">
        <f>IF($N$1="Piping", IF(ISBLANK(Piping!K28), "", Piping!K28), IF($N$1="Vessels", IF(ISBLANK(Vessels!K28), "", Vessels!K28), ""))</f>
        <v/>
      </c>
      <c r="L28" s="21" t="str">
        <f>IF($N$1="Piping", IF(ISBLANK(Piping!L28), "", Piping!L28), IF($N$1="Vessels", IF(ISBLANK(Vessels!L28), "", Vessels!L28), ""))</f>
        <v/>
      </c>
      <c r="M28" s="21"/>
      <c r="N28" s="21"/>
      <c r="O28" s="21"/>
      <c r="P28" s="21"/>
      <c r="Q28" s="21" t="str">
        <f>IF($N$1="Piping", IF(ISBLANK(Piping!T28), "", Piping!T28), IF($N$1="Vessels", IF(ISBLANK(Vessels!T28), "", Vessels!T28), ""))</f>
        <v/>
      </c>
      <c r="R28" s="51" t="str">
        <f>IF($N$1="Piping", IF(ISBLANK(Piping!U28), "", Piping!U28), IF($N$1="Vessels", IF(ISBLANK(Vessels!U28), "", Vessels!U28), ""))</f>
        <v/>
      </c>
      <c r="S28" s="118" t="str">
        <f>IF(B28&lt;&gt;"",IF($N$1="Piping", IF(ISBLANK(Piping!$J$3), "", Piping!$J$3), IF($N$1="Vessels", IF(ISBLANK(Vessels!$J$3), "", Vessels!$J$3), "")),"")</f>
        <v/>
      </c>
      <c r="T28" s="37"/>
      <c r="U28" s="37"/>
      <c r="V28" s="37"/>
      <c r="W28" s="37"/>
      <c r="X28" s="37"/>
      <c r="Y28" s="37"/>
      <c r="Z28" s="37"/>
    </row>
    <row r="29" spans="1:26" ht="15.75" customHeight="1" x14ac:dyDescent="0.3">
      <c r="A29" s="22">
        <f>IF($N$1="Piping", IF(ISBLANK(Piping!A29), "", Piping!A29), IF($N$1="Vessels", IF(ISBLANK(Vessels!A29), "", Vessels!A29), ""))</f>
        <v>6.04</v>
      </c>
      <c r="B29" s="21" t="str">
        <f>IF($N$1="Piping", IF(ISBLANK(Piping!B29), "", Piping!B29), IF($N$1="Vessels", IF(ISBLANK(Vessels!B29), "", Vessels!B29), ""))</f>
        <v/>
      </c>
      <c r="C29" s="21" t="str">
        <f>IF($N$1="Piping", IF(ISBLANK(Piping!C29), "", Piping!C29), IF($N$1="Vessels", IF(ISBLANK(Vessels!C29), "", Vessels!C29), ""))</f>
        <v>Piping</v>
      </c>
      <c r="D29" s="21" t="str">
        <f>IF($N$1="Piping", IF(ISBLANK(Piping!D29), "", Piping!D29), IF($N$1="Vessels", IF(ISBLANK(Vessels!D29), "", Vessels!D29), ""))</f>
        <v/>
      </c>
      <c r="E29" s="21" t="str">
        <f>IF($N$1="Piping", IF(ISBLANK(Piping!E29), "", Piping!E29), IF($N$1="Vessels", IF(ISBLANK(Vessels!E29), "", Vessels!E29), ""))</f>
        <v/>
      </c>
      <c r="F29" s="21" t="str">
        <f>IF($N$1="Piping", IF(ISBLANK(Piping!F29), "", Piping!F29), IF($N$1="Vessels", IF(ISBLANK(Vessels!F29), "", Vessels!F29), ""))</f>
        <v/>
      </c>
      <c r="G29" s="21">
        <f>IF($N$1="Piping", IF(ISBLANK(Piping!G29), "", Piping!G29), IF($N$1="Vessels", IF(ISBLANK(Vessels!G29), "", Vessels!G29), ""))</f>
        <v>0</v>
      </c>
      <c r="H29" s="21" t="str">
        <f>IF($N$1="Piping", IF(ISBLANK(Piping!H29), "", Piping!H29), IF($N$1="Vessels", IF(ISBLANK(Vessels!H29), "", Vessels!H29), ""))</f>
        <v/>
      </c>
      <c r="I29" s="21" t="str">
        <f>IF($N$1="Piping", IF(ISBLANK(Piping!I29), "", Piping!I29), IF($N$1="Vessels", IF(ISBLANK(Vessels!I29), "", Vessels!I29), ""))</f>
        <v/>
      </c>
      <c r="J29" s="21" t="str">
        <f>IF($N$1="Piping", IF(ISBLANK(Piping!J29), "", Piping!J29), IF($N$1="Vessels", IF(ISBLANK(Vessels!J29), "", Vessels!J29), ""))</f>
        <v/>
      </c>
      <c r="K29" s="21" t="str">
        <f>IF($N$1="Piping", IF(ISBLANK(Piping!K29), "", Piping!K29), IF($N$1="Vessels", IF(ISBLANK(Vessels!K29), "", Vessels!K29), ""))</f>
        <v/>
      </c>
      <c r="L29" s="21" t="str">
        <f>IF($N$1="Piping", IF(ISBLANK(Piping!L29), "", Piping!L29), IF($N$1="Vessels", IF(ISBLANK(Vessels!L29), "", Vessels!L29), ""))</f>
        <v/>
      </c>
      <c r="M29" s="21"/>
      <c r="N29" s="21"/>
      <c r="O29" s="21"/>
      <c r="P29" s="21"/>
      <c r="Q29" s="21" t="str">
        <f>IF($N$1="Piping", IF(ISBLANK(Piping!T29), "", Piping!T29), IF($N$1="Vessels", IF(ISBLANK(Vessels!T29), "", Vessels!T29), ""))</f>
        <v/>
      </c>
      <c r="R29" s="51" t="str">
        <f>IF($N$1="Piping", IF(ISBLANK(Piping!U29), "", Piping!U29), IF($N$1="Vessels", IF(ISBLANK(Vessels!U29), "", Vessels!U29), ""))</f>
        <v/>
      </c>
      <c r="S29" s="118" t="str">
        <f>IF(B29&lt;&gt;"",IF($N$1="Piping", IF(ISBLANK(Piping!$J$3), "", Piping!$J$3), IF($N$1="Vessels", IF(ISBLANK(Vessels!$J$3), "", Vessels!$J$3), "")),"")</f>
        <v/>
      </c>
      <c r="T29" s="37"/>
      <c r="U29" s="37"/>
      <c r="V29" s="37"/>
      <c r="W29" s="37"/>
      <c r="X29" s="37"/>
      <c r="Y29" s="37"/>
      <c r="Z29" s="37"/>
    </row>
    <row r="30" spans="1:26" ht="15.75" customHeight="1" x14ac:dyDescent="0.3">
      <c r="A30" s="22">
        <f>IF($N$1="Piping", IF(ISBLANK(Piping!A30), "", Piping!A30), IF($N$1="Vessels", IF(ISBLANK(Vessels!A30), "", Vessels!A30), ""))</f>
        <v>7.01</v>
      </c>
      <c r="B30" s="21" t="str">
        <f>IF($N$1="Piping", IF(ISBLANK(Piping!B30), "", Piping!B30), IF($N$1="Vessels", IF(ISBLANK(Vessels!B30), "", Vessels!B30), ""))</f>
        <v/>
      </c>
      <c r="C30" s="21" t="str">
        <f>IF($N$1="Piping", IF(ISBLANK(Piping!C30), "", Piping!C30), IF($N$1="Vessels", IF(ISBLANK(Vessels!C30), "", Vessels!C30), ""))</f>
        <v>Piping</v>
      </c>
      <c r="D30" s="21" t="str">
        <f>IF($N$1="Piping", IF(ISBLANK(Piping!D30), "", Piping!D30), IF($N$1="Vessels", IF(ISBLANK(Vessels!D30), "", Vessels!D30), ""))</f>
        <v/>
      </c>
      <c r="E30" s="21" t="str">
        <f>IF($N$1="Piping", IF(ISBLANK(Piping!E30), "", Piping!E30), IF($N$1="Vessels", IF(ISBLANK(Vessels!E30), "", Vessels!E30), ""))</f>
        <v/>
      </c>
      <c r="F30" s="21" t="str">
        <f>IF($N$1="Piping", IF(ISBLANK(Piping!F30), "", Piping!F30), IF($N$1="Vessels", IF(ISBLANK(Vessels!F30), "", Vessels!F30), ""))</f>
        <v/>
      </c>
      <c r="G30" s="21">
        <f>IF($N$1="Piping", IF(ISBLANK(Piping!G30), "", Piping!G30), IF($N$1="Vessels", IF(ISBLANK(Vessels!G30), "", Vessels!G30), ""))</f>
        <v>0</v>
      </c>
      <c r="H30" s="21" t="str">
        <f>IF($N$1="Piping", IF(ISBLANK(Piping!H30), "", Piping!H30), IF($N$1="Vessels", IF(ISBLANK(Vessels!H30), "", Vessels!H30), ""))</f>
        <v/>
      </c>
      <c r="I30" s="21" t="str">
        <f>IF($N$1="Piping", IF(ISBLANK(Piping!I30), "", Piping!I30), IF($N$1="Vessels", IF(ISBLANK(Vessels!I30), "", Vessels!I30), ""))</f>
        <v/>
      </c>
      <c r="J30" s="21" t="str">
        <f>IF($N$1="Piping", IF(ISBLANK(Piping!J30), "", Piping!J30), IF($N$1="Vessels", IF(ISBLANK(Vessels!J30), "", Vessels!J30), ""))</f>
        <v/>
      </c>
      <c r="K30" s="21" t="str">
        <f>IF($N$1="Piping", IF(ISBLANK(Piping!K30), "", Piping!K30), IF($N$1="Vessels", IF(ISBLANK(Vessels!K30), "", Vessels!K30), ""))</f>
        <v/>
      </c>
      <c r="L30" s="21" t="str">
        <f>IF($N$1="Piping", IF(ISBLANK(Piping!L30), "", Piping!L30), IF($N$1="Vessels", IF(ISBLANK(Vessels!L30), "", Vessels!L30), ""))</f>
        <v/>
      </c>
      <c r="M30" s="21"/>
      <c r="N30" s="21"/>
      <c r="O30" s="21"/>
      <c r="P30" s="21"/>
      <c r="Q30" s="21" t="str">
        <f>IF($N$1="Piping", IF(ISBLANK(Piping!T30), "", Piping!T30), IF($N$1="Vessels", IF(ISBLANK(Vessels!T30), "", Vessels!T30), ""))</f>
        <v/>
      </c>
      <c r="R30" s="51" t="str">
        <f>IF($N$1="Piping", IF(ISBLANK(Piping!U30), "", Piping!U30), IF($N$1="Vessels", IF(ISBLANK(Vessels!U30), "", Vessels!U30), ""))</f>
        <v/>
      </c>
      <c r="S30" s="118" t="str">
        <f>IF(B30&lt;&gt;"",IF($N$1="Piping", IF(ISBLANK(Piping!$J$3), "", Piping!$J$3), IF($N$1="Vessels", IF(ISBLANK(Vessels!$J$3), "", Vessels!$J$3), "")),"")</f>
        <v/>
      </c>
      <c r="T30" s="37"/>
      <c r="U30" s="37"/>
      <c r="V30" s="37"/>
      <c r="W30" s="37"/>
      <c r="X30" s="37"/>
      <c r="Y30" s="37"/>
      <c r="Z30" s="37"/>
    </row>
    <row r="31" spans="1:26" ht="15.75" customHeight="1" x14ac:dyDescent="0.3">
      <c r="A31" s="22">
        <f>IF($N$1="Piping", IF(ISBLANK(Piping!A31), "", Piping!A31), IF($N$1="Vessels", IF(ISBLANK(Vessels!A31), "", Vessels!A31), ""))</f>
        <v>7.02</v>
      </c>
      <c r="B31" s="21" t="str">
        <f>IF($N$1="Piping", IF(ISBLANK(Piping!B31), "", Piping!B31), IF($N$1="Vessels", IF(ISBLANK(Vessels!B31), "", Vessels!B31), ""))</f>
        <v/>
      </c>
      <c r="C31" s="21" t="str">
        <f>IF($N$1="Piping", IF(ISBLANK(Piping!C31), "", Piping!C31), IF($N$1="Vessels", IF(ISBLANK(Vessels!C31), "", Vessels!C31), ""))</f>
        <v>Piping</v>
      </c>
      <c r="D31" s="21" t="str">
        <f>IF($N$1="Piping", IF(ISBLANK(Piping!D31), "", Piping!D31), IF($N$1="Vessels", IF(ISBLANK(Vessels!D31), "", Vessels!D31), ""))</f>
        <v/>
      </c>
      <c r="E31" s="21" t="str">
        <f>IF($N$1="Piping", IF(ISBLANK(Piping!E31), "", Piping!E31), IF($N$1="Vessels", IF(ISBLANK(Vessels!E31), "", Vessels!E31), ""))</f>
        <v/>
      </c>
      <c r="F31" s="21" t="str">
        <f>IF($N$1="Piping", IF(ISBLANK(Piping!F31), "", Piping!F31), IF($N$1="Vessels", IF(ISBLANK(Vessels!F31), "", Vessels!F31), ""))</f>
        <v/>
      </c>
      <c r="G31" s="21">
        <f>IF($N$1="Piping", IF(ISBLANK(Piping!G31), "", Piping!G31), IF($N$1="Vessels", IF(ISBLANK(Vessels!G31), "", Vessels!G31), ""))</f>
        <v>0</v>
      </c>
      <c r="H31" s="21" t="str">
        <f>IF($N$1="Piping", IF(ISBLANK(Piping!H31), "", Piping!H31), IF($N$1="Vessels", IF(ISBLANK(Vessels!H31), "", Vessels!H31), ""))</f>
        <v/>
      </c>
      <c r="I31" s="21" t="str">
        <f>IF($N$1="Piping", IF(ISBLANK(Piping!I31), "", Piping!I31), IF($N$1="Vessels", IF(ISBLANK(Vessels!I31), "", Vessels!I31), ""))</f>
        <v/>
      </c>
      <c r="J31" s="21" t="str">
        <f>IF($N$1="Piping", IF(ISBLANK(Piping!J31), "", Piping!J31), IF($N$1="Vessels", IF(ISBLANK(Vessels!J31), "", Vessels!J31), ""))</f>
        <v/>
      </c>
      <c r="K31" s="21" t="str">
        <f>IF($N$1="Piping", IF(ISBLANK(Piping!K31), "", Piping!K31), IF($N$1="Vessels", IF(ISBLANK(Vessels!K31), "", Vessels!K31), ""))</f>
        <v/>
      </c>
      <c r="L31" s="21" t="str">
        <f>IF($N$1="Piping", IF(ISBLANK(Piping!L31), "", Piping!L31), IF($N$1="Vessels", IF(ISBLANK(Vessels!L31), "", Vessels!L31), ""))</f>
        <v/>
      </c>
      <c r="M31" s="21"/>
      <c r="N31" s="21"/>
      <c r="O31" s="21"/>
      <c r="P31" s="21"/>
      <c r="Q31" s="21" t="str">
        <f>IF($N$1="Piping", IF(ISBLANK(Piping!T31), "", Piping!T31), IF($N$1="Vessels", IF(ISBLANK(Vessels!T31), "", Vessels!T31), ""))</f>
        <v/>
      </c>
      <c r="R31" s="51" t="str">
        <f>IF($N$1="Piping", IF(ISBLANK(Piping!U31), "", Piping!U31), IF($N$1="Vessels", IF(ISBLANK(Vessels!U31), "", Vessels!U31), ""))</f>
        <v/>
      </c>
      <c r="S31" s="118" t="str">
        <f>IF(B31&lt;&gt;"",IF($N$1="Piping", IF(ISBLANK(Piping!$J$3), "", Piping!$J$3), IF($N$1="Vessels", IF(ISBLANK(Vessels!$J$3), "", Vessels!$J$3), "")),"")</f>
        <v/>
      </c>
      <c r="T31" s="37"/>
      <c r="U31" s="37"/>
      <c r="V31" s="37"/>
      <c r="W31" s="37"/>
      <c r="X31" s="37"/>
      <c r="Y31" s="37"/>
      <c r="Z31" s="37"/>
    </row>
    <row r="32" spans="1:26" ht="15.75" customHeight="1" x14ac:dyDescent="0.3">
      <c r="A32" s="22">
        <f>IF($N$1="Piping", IF(ISBLANK(Piping!A32), "", Piping!A32), IF($N$1="Vessels", IF(ISBLANK(Vessels!A32), "", Vessels!A32), ""))</f>
        <v>7.03</v>
      </c>
      <c r="B32" s="21" t="str">
        <f>IF($N$1="Piping", IF(ISBLANK(Piping!B32), "", Piping!B32), IF($N$1="Vessels", IF(ISBLANK(Vessels!B32), "", Vessels!B32), ""))</f>
        <v/>
      </c>
      <c r="C32" s="21" t="str">
        <f>IF($N$1="Piping", IF(ISBLANK(Piping!C32), "", Piping!C32), IF($N$1="Vessels", IF(ISBLANK(Vessels!C32), "", Vessels!C32), ""))</f>
        <v>Piping</v>
      </c>
      <c r="D32" s="21" t="str">
        <f>IF($N$1="Piping", IF(ISBLANK(Piping!D32), "", Piping!D32), IF($N$1="Vessels", IF(ISBLANK(Vessels!D32), "", Vessels!D32), ""))</f>
        <v/>
      </c>
      <c r="E32" s="21" t="str">
        <f>IF($N$1="Piping", IF(ISBLANK(Piping!E32), "", Piping!E32), IF($N$1="Vessels", IF(ISBLANK(Vessels!E32), "", Vessels!E32), ""))</f>
        <v/>
      </c>
      <c r="F32" s="21" t="str">
        <f>IF($N$1="Piping", IF(ISBLANK(Piping!F32), "", Piping!F32), IF($N$1="Vessels", IF(ISBLANK(Vessels!F32), "", Vessels!F32), ""))</f>
        <v/>
      </c>
      <c r="G32" s="21">
        <f>IF($N$1="Piping", IF(ISBLANK(Piping!G32), "", Piping!G32), IF($N$1="Vessels", IF(ISBLANK(Vessels!G32), "", Vessels!G32), ""))</f>
        <v>0</v>
      </c>
      <c r="H32" s="21" t="str">
        <f>IF($N$1="Piping", IF(ISBLANK(Piping!H32), "", Piping!H32), IF($N$1="Vessels", IF(ISBLANK(Vessels!H32), "", Vessels!H32), ""))</f>
        <v/>
      </c>
      <c r="I32" s="21" t="str">
        <f>IF($N$1="Piping", IF(ISBLANK(Piping!I32), "", Piping!I32), IF($N$1="Vessels", IF(ISBLANK(Vessels!I32), "", Vessels!I32), ""))</f>
        <v/>
      </c>
      <c r="J32" s="21" t="str">
        <f>IF($N$1="Piping", IF(ISBLANK(Piping!J32), "", Piping!J32), IF($N$1="Vessels", IF(ISBLANK(Vessels!J32), "", Vessels!J32), ""))</f>
        <v/>
      </c>
      <c r="K32" s="21" t="str">
        <f>IF($N$1="Piping", IF(ISBLANK(Piping!K32), "", Piping!K32), IF($N$1="Vessels", IF(ISBLANK(Vessels!K32), "", Vessels!K32), ""))</f>
        <v/>
      </c>
      <c r="L32" s="21" t="str">
        <f>IF($N$1="Piping", IF(ISBLANK(Piping!L32), "", Piping!L32), IF($N$1="Vessels", IF(ISBLANK(Vessels!L32), "", Vessels!L32), ""))</f>
        <v/>
      </c>
      <c r="M32" s="21"/>
      <c r="N32" s="21"/>
      <c r="O32" s="21"/>
      <c r="P32" s="21"/>
      <c r="Q32" s="21" t="str">
        <f>IF($N$1="Piping", IF(ISBLANK(Piping!T32), "", Piping!T32), IF($N$1="Vessels", IF(ISBLANK(Vessels!T32), "", Vessels!T32), ""))</f>
        <v/>
      </c>
      <c r="R32" s="51" t="str">
        <f>IF($N$1="Piping", IF(ISBLANK(Piping!U32), "", Piping!U32), IF($N$1="Vessels", IF(ISBLANK(Vessels!U32), "", Vessels!U32), ""))</f>
        <v/>
      </c>
      <c r="S32" s="118" t="str">
        <f>IF(B32&lt;&gt;"",IF($N$1="Piping", IF(ISBLANK(Piping!$J$3), "", Piping!$J$3), IF($N$1="Vessels", IF(ISBLANK(Vessels!$J$3), "", Vessels!$J$3), "")),"")</f>
        <v/>
      </c>
      <c r="T32" s="37"/>
      <c r="U32" s="37"/>
      <c r="V32" s="37"/>
      <c r="W32" s="37"/>
      <c r="X32" s="37"/>
      <c r="Y32" s="37"/>
      <c r="Z32" s="37"/>
    </row>
    <row r="33" spans="1:26" ht="15.75" customHeight="1" x14ac:dyDescent="0.3">
      <c r="A33" s="22">
        <f>IF($N$1="Piping", IF(ISBLANK(Piping!A33), "", Piping!A33), IF($N$1="Vessels", IF(ISBLANK(Vessels!A33), "", Vessels!A33), ""))</f>
        <v>7.04</v>
      </c>
      <c r="B33" s="21" t="str">
        <f>IF($N$1="Piping", IF(ISBLANK(Piping!B33), "", Piping!B33), IF($N$1="Vessels", IF(ISBLANK(Vessels!B33), "", Vessels!B33), ""))</f>
        <v/>
      </c>
      <c r="C33" s="21" t="str">
        <f>IF($N$1="Piping", IF(ISBLANK(Piping!C33), "", Piping!C33), IF($N$1="Vessels", IF(ISBLANK(Vessels!C33), "", Vessels!C33), ""))</f>
        <v>Piping</v>
      </c>
      <c r="D33" s="21" t="str">
        <f>IF($N$1="Piping", IF(ISBLANK(Piping!D33), "", Piping!D33), IF($N$1="Vessels", IF(ISBLANK(Vessels!D33), "", Vessels!D33), ""))</f>
        <v/>
      </c>
      <c r="E33" s="21" t="str">
        <f>IF($N$1="Piping", IF(ISBLANK(Piping!E33), "", Piping!E33), IF($N$1="Vessels", IF(ISBLANK(Vessels!E33), "", Vessels!E33), ""))</f>
        <v/>
      </c>
      <c r="F33" s="21" t="str">
        <f>IF($N$1="Piping", IF(ISBLANK(Piping!F33), "", Piping!F33), IF($N$1="Vessels", IF(ISBLANK(Vessels!F33), "", Vessels!F33), ""))</f>
        <v/>
      </c>
      <c r="G33" s="21">
        <f>IF($N$1="Piping", IF(ISBLANK(Piping!G33), "", Piping!G33), IF($N$1="Vessels", IF(ISBLANK(Vessels!G33), "", Vessels!G33), ""))</f>
        <v>0</v>
      </c>
      <c r="H33" s="21" t="str">
        <f>IF($N$1="Piping", IF(ISBLANK(Piping!H33), "", Piping!H33), IF($N$1="Vessels", IF(ISBLANK(Vessels!H33), "", Vessels!H33), ""))</f>
        <v/>
      </c>
      <c r="I33" s="21" t="str">
        <f>IF($N$1="Piping", IF(ISBLANK(Piping!I33), "", Piping!I33), IF($N$1="Vessels", IF(ISBLANK(Vessels!I33), "", Vessels!I33), ""))</f>
        <v/>
      </c>
      <c r="J33" s="21" t="str">
        <f>IF($N$1="Piping", IF(ISBLANK(Piping!J33), "", Piping!J33), IF($N$1="Vessels", IF(ISBLANK(Vessels!J33), "", Vessels!J33), ""))</f>
        <v/>
      </c>
      <c r="K33" s="21" t="str">
        <f>IF($N$1="Piping", IF(ISBLANK(Piping!K33), "", Piping!K33), IF($N$1="Vessels", IF(ISBLANK(Vessels!K33), "", Vessels!K33), ""))</f>
        <v/>
      </c>
      <c r="L33" s="21" t="str">
        <f>IF($N$1="Piping", IF(ISBLANK(Piping!L33), "", Piping!L33), IF($N$1="Vessels", IF(ISBLANK(Vessels!L33), "", Vessels!L33), ""))</f>
        <v/>
      </c>
      <c r="M33" s="21"/>
      <c r="N33" s="21"/>
      <c r="O33" s="21"/>
      <c r="P33" s="21"/>
      <c r="Q33" s="21" t="str">
        <f>IF($N$1="Piping", IF(ISBLANK(Piping!T33), "", Piping!T33), IF($N$1="Vessels", IF(ISBLANK(Vessels!T33), "", Vessels!T33), ""))</f>
        <v/>
      </c>
      <c r="R33" s="51" t="str">
        <f>IF($N$1="Piping", IF(ISBLANK(Piping!U33), "", Piping!U33), IF($N$1="Vessels", IF(ISBLANK(Vessels!U33), "", Vessels!U33), ""))</f>
        <v/>
      </c>
      <c r="S33" s="118" t="str">
        <f>IF(B33&lt;&gt;"",IF($N$1="Piping", IF(ISBLANK(Piping!$J$3), "", Piping!$J$3), IF($N$1="Vessels", IF(ISBLANK(Vessels!$J$3), "", Vessels!$J$3), "")),"")</f>
        <v/>
      </c>
      <c r="T33" s="37"/>
      <c r="U33" s="37"/>
      <c r="V33" s="37"/>
      <c r="W33" s="37"/>
      <c r="X33" s="37"/>
      <c r="Y33" s="37"/>
      <c r="Z33" s="37"/>
    </row>
    <row r="34" spans="1:26" ht="15.75" customHeight="1" x14ac:dyDescent="0.3">
      <c r="A34" s="22">
        <f>IF($N$1="Piping", IF(ISBLANK(Piping!A34), "", Piping!A34), IF($N$1="Vessels", IF(ISBLANK(Vessels!A34), "", Vessels!A34), ""))</f>
        <v>8.01</v>
      </c>
      <c r="B34" s="21" t="str">
        <f>IF($N$1="Piping", IF(ISBLANK(Piping!B34), "", Piping!B34), IF($N$1="Vessels", IF(ISBLANK(Vessels!B34), "", Vessels!B34), ""))</f>
        <v/>
      </c>
      <c r="C34" s="21" t="str">
        <f>IF($N$1="Piping", IF(ISBLANK(Piping!C34), "", Piping!C34), IF($N$1="Vessels", IF(ISBLANK(Vessels!C34), "", Vessels!C34), ""))</f>
        <v>Piping</v>
      </c>
      <c r="D34" s="21" t="str">
        <f>IF($N$1="Piping", IF(ISBLANK(Piping!D34), "", Piping!D34), IF($N$1="Vessels", IF(ISBLANK(Vessels!D34), "", Vessels!D34), ""))</f>
        <v/>
      </c>
      <c r="E34" s="21" t="str">
        <f>IF($N$1="Piping", IF(ISBLANK(Piping!E34), "", Piping!E34), IF($N$1="Vessels", IF(ISBLANK(Vessels!E34), "", Vessels!E34), ""))</f>
        <v/>
      </c>
      <c r="F34" s="21" t="str">
        <f>IF($N$1="Piping", IF(ISBLANK(Piping!F34), "", Piping!F34), IF($N$1="Vessels", IF(ISBLANK(Vessels!F34), "", Vessels!F34), ""))</f>
        <v/>
      </c>
      <c r="G34" s="21">
        <f>IF($N$1="Piping", IF(ISBLANK(Piping!G34), "", Piping!G34), IF($N$1="Vessels", IF(ISBLANK(Vessels!G34), "", Vessels!G34), ""))</f>
        <v>0</v>
      </c>
      <c r="H34" s="21" t="str">
        <f>IF($N$1="Piping", IF(ISBLANK(Piping!H34), "", Piping!H34), IF($N$1="Vessels", IF(ISBLANK(Vessels!H34), "", Vessels!H34), ""))</f>
        <v/>
      </c>
      <c r="I34" s="21" t="str">
        <f>IF($N$1="Piping", IF(ISBLANK(Piping!I34), "", Piping!I34), IF($N$1="Vessels", IF(ISBLANK(Vessels!I34), "", Vessels!I34), ""))</f>
        <v/>
      </c>
      <c r="J34" s="21" t="str">
        <f>IF($N$1="Piping", IF(ISBLANK(Piping!J34), "", Piping!J34), IF($N$1="Vessels", IF(ISBLANK(Vessels!J34), "", Vessels!J34), ""))</f>
        <v/>
      </c>
      <c r="K34" s="21" t="str">
        <f>IF($N$1="Piping", IF(ISBLANK(Piping!K34), "", Piping!K34), IF($N$1="Vessels", IF(ISBLANK(Vessels!K34), "", Vessels!K34), ""))</f>
        <v/>
      </c>
      <c r="L34" s="21" t="str">
        <f>IF($N$1="Piping", IF(ISBLANK(Piping!L34), "", Piping!L34), IF($N$1="Vessels", IF(ISBLANK(Vessels!L34), "", Vessels!L34), ""))</f>
        <v/>
      </c>
      <c r="M34" s="21"/>
      <c r="N34" s="21"/>
      <c r="O34" s="21"/>
      <c r="P34" s="21"/>
      <c r="Q34" s="21" t="str">
        <f>IF($N$1="Piping", IF(ISBLANK(Piping!T34), "", Piping!T34), IF($N$1="Vessels", IF(ISBLANK(Vessels!T34), "", Vessels!T34), ""))</f>
        <v/>
      </c>
      <c r="R34" s="51" t="str">
        <f>IF($N$1="Piping", IF(ISBLANK(Piping!U34), "", Piping!U34), IF($N$1="Vessels", IF(ISBLANK(Vessels!U34), "", Vessels!U34), ""))</f>
        <v/>
      </c>
      <c r="S34" s="118" t="str">
        <f>IF(B34&lt;&gt;"",IF($N$1="Piping", IF(ISBLANK(Piping!$J$3), "", Piping!$J$3), IF($N$1="Vessels", IF(ISBLANK(Vessels!$J$3), "", Vessels!$J$3), "")),"")</f>
        <v/>
      </c>
      <c r="T34" s="37"/>
      <c r="U34" s="37"/>
      <c r="V34" s="37"/>
      <c r="W34" s="37"/>
      <c r="X34" s="37"/>
      <c r="Y34" s="37"/>
      <c r="Z34" s="37"/>
    </row>
    <row r="35" spans="1:26" ht="15.75" customHeight="1" x14ac:dyDescent="0.3">
      <c r="A35" s="22">
        <f>IF($N$1="Piping", IF(ISBLANK(Piping!A35), "", Piping!A35), IF($N$1="Vessels", IF(ISBLANK(Vessels!A35), "", Vessels!A35), ""))</f>
        <v>8.02</v>
      </c>
      <c r="B35" s="21" t="str">
        <f>IF($N$1="Piping", IF(ISBLANK(Piping!B35), "", Piping!B35), IF($N$1="Vessels", IF(ISBLANK(Vessels!B35), "", Vessels!B35), ""))</f>
        <v/>
      </c>
      <c r="C35" s="21" t="str">
        <f>IF($N$1="Piping", IF(ISBLANK(Piping!C35), "", Piping!C35), IF($N$1="Vessels", IF(ISBLANK(Vessels!C35), "", Vessels!C35), ""))</f>
        <v>Piping</v>
      </c>
      <c r="D35" s="21" t="str">
        <f>IF($N$1="Piping", IF(ISBLANK(Piping!D35), "", Piping!D35), IF($N$1="Vessels", IF(ISBLANK(Vessels!D35), "", Vessels!D35), ""))</f>
        <v/>
      </c>
      <c r="E35" s="21" t="str">
        <f>IF($N$1="Piping", IF(ISBLANK(Piping!E35), "", Piping!E35), IF($N$1="Vessels", IF(ISBLANK(Vessels!E35), "", Vessels!E35), ""))</f>
        <v/>
      </c>
      <c r="F35" s="21" t="str">
        <f>IF($N$1="Piping", IF(ISBLANK(Piping!F35), "", Piping!F35), IF($N$1="Vessels", IF(ISBLANK(Vessels!F35), "", Vessels!F35), ""))</f>
        <v/>
      </c>
      <c r="G35" s="21">
        <f>IF($N$1="Piping", IF(ISBLANK(Piping!G35), "", Piping!G35), IF($N$1="Vessels", IF(ISBLANK(Vessels!G35), "", Vessels!G35), ""))</f>
        <v>0</v>
      </c>
      <c r="H35" s="21" t="str">
        <f>IF($N$1="Piping", IF(ISBLANK(Piping!H35), "", Piping!H35), IF($N$1="Vessels", IF(ISBLANK(Vessels!H35), "", Vessels!H35), ""))</f>
        <v/>
      </c>
      <c r="I35" s="21" t="str">
        <f>IF($N$1="Piping", IF(ISBLANK(Piping!I35), "", Piping!I35), IF($N$1="Vessels", IF(ISBLANK(Vessels!I35), "", Vessels!I35), ""))</f>
        <v/>
      </c>
      <c r="J35" s="21" t="str">
        <f>IF($N$1="Piping", IF(ISBLANK(Piping!J35), "", Piping!J35), IF($N$1="Vessels", IF(ISBLANK(Vessels!J35), "", Vessels!J35), ""))</f>
        <v/>
      </c>
      <c r="K35" s="21" t="str">
        <f>IF($N$1="Piping", IF(ISBLANK(Piping!K35), "", Piping!K35), IF($N$1="Vessels", IF(ISBLANK(Vessels!K35), "", Vessels!K35), ""))</f>
        <v/>
      </c>
      <c r="L35" s="21" t="str">
        <f>IF($N$1="Piping", IF(ISBLANK(Piping!L35), "", Piping!L35), IF($N$1="Vessels", IF(ISBLANK(Vessels!L35), "", Vessels!L35), ""))</f>
        <v/>
      </c>
      <c r="M35" s="21"/>
      <c r="N35" s="21"/>
      <c r="O35" s="21"/>
      <c r="P35" s="21"/>
      <c r="Q35" s="21" t="str">
        <f>IF($N$1="Piping", IF(ISBLANK(Piping!T35), "", Piping!T35), IF($N$1="Vessels", IF(ISBLANK(Vessels!T35), "", Vessels!T35), ""))</f>
        <v/>
      </c>
      <c r="R35" s="51" t="str">
        <f>IF($N$1="Piping", IF(ISBLANK(Piping!U35), "", Piping!U35), IF($N$1="Vessels", IF(ISBLANK(Vessels!U35), "", Vessels!U35), ""))</f>
        <v/>
      </c>
      <c r="S35" s="118" t="str">
        <f>IF(B35&lt;&gt;"",IF($N$1="Piping", IF(ISBLANK(Piping!$J$3), "", Piping!$J$3), IF($N$1="Vessels", IF(ISBLANK(Vessels!$J$3), "", Vessels!$J$3), "")),"")</f>
        <v/>
      </c>
      <c r="T35" s="37"/>
      <c r="U35" s="37"/>
      <c r="V35" s="37"/>
      <c r="W35" s="37"/>
      <c r="X35" s="37"/>
      <c r="Y35" s="37"/>
      <c r="Z35" s="37"/>
    </row>
    <row r="36" spans="1:26" ht="15.75" customHeight="1" x14ac:dyDescent="0.3">
      <c r="A36" s="22">
        <f>IF($N$1="Piping", IF(ISBLANK(Piping!A36), "", Piping!A36), IF($N$1="Vessels", IF(ISBLANK(Vessels!A36), "", Vessels!A36), ""))</f>
        <v>8.0299999999999994</v>
      </c>
      <c r="B36" s="21" t="str">
        <f>IF($N$1="Piping", IF(ISBLANK(Piping!B36), "", Piping!B36), IF($N$1="Vessels", IF(ISBLANK(Vessels!B36), "", Vessels!B36), ""))</f>
        <v/>
      </c>
      <c r="C36" s="21" t="str">
        <f>IF($N$1="Piping", IF(ISBLANK(Piping!C36), "", Piping!C36), IF($N$1="Vessels", IF(ISBLANK(Vessels!C36), "", Vessels!C36), ""))</f>
        <v>Piping</v>
      </c>
      <c r="D36" s="21" t="str">
        <f>IF($N$1="Piping", IF(ISBLANK(Piping!D36), "", Piping!D36), IF($N$1="Vessels", IF(ISBLANK(Vessels!D36), "", Vessels!D36), ""))</f>
        <v/>
      </c>
      <c r="E36" s="21" t="str">
        <f>IF($N$1="Piping", IF(ISBLANK(Piping!E36), "", Piping!E36), IF($N$1="Vessels", IF(ISBLANK(Vessels!E36), "", Vessels!E36), ""))</f>
        <v/>
      </c>
      <c r="F36" s="21" t="str">
        <f>IF($N$1="Piping", IF(ISBLANK(Piping!F36), "", Piping!F36), IF($N$1="Vessels", IF(ISBLANK(Vessels!F36), "", Vessels!F36), ""))</f>
        <v/>
      </c>
      <c r="G36" s="21">
        <f>IF($N$1="Piping", IF(ISBLANK(Piping!G36), "", Piping!G36), IF($N$1="Vessels", IF(ISBLANK(Vessels!G36), "", Vessels!G36), ""))</f>
        <v>0</v>
      </c>
      <c r="H36" s="21" t="str">
        <f>IF($N$1="Piping", IF(ISBLANK(Piping!H36), "", Piping!H36), IF($N$1="Vessels", IF(ISBLANK(Vessels!H36), "", Vessels!H36), ""))</f>
        <v/>
      </c>
      <c r="I36" s="21" t="str">
        <f>IF($N$1="Piping", IF(ISBLANK(Piping!I36), "", Piping!I36), IF($N$1="Vessels", IF(ISBLANK(Vessels!I36), "", Vessels!I36), ""))</f>
        <v/>
      </c>
      <c r="J36" s="21" t="str">
        <f>IF($N$1="Piping", IF(ISBLANK(Piping!J36), "", Piping!J36), IF($N$1="Vessels", IF(ISBLANK(Vessels!J36), "", Vessels!J36), ""))</f>
        <v/>
      </c>
      <c r="K36" s="21" t="str">
        <f>IF($N$1="Piping", IF(ISBLANK(Piping!K36), "", Piping!K36), IF($N$1="Vessels", IF(ISBLANK(Vessels!K36), "", Vessels!K36), ""))</f>
        <v/>
      </c>
      <c r="L36" s="21" t="str">
        <f>IF($N$1="Piping", IF(ISBLANK(Piping!L36), "", Piping!L36), IF($N$1="Vessels", IF(ISBLANK(Vessels!L36), "", Vessels!L36), ""))</f>
        <v/>
      </c>
      <c r="M36" s="21"/>
      <c r="N36" s="21"/>
      <c r="O36" s="21"/>
      <c r="P36" s="21"/>
      <c r="Q36" s="21" t="str">
        <f>IF($N$1="Piping", IF(ISBLANK(Piping!T36), "", Piping!T36), IF($N$1="Vessels", IF(ISBLANK(Vessels!T36), "", Vessels!T36), ""))</f>
        <v/>
      </c>
      <c r="R36" s="51" t="str">
        <f>IF($N$1="Piping", IF(ISBLANK(Piping!U36), "", Piping!U36), IF($N$1="Vessels", IF(ISBLANK(Vessels!U36), "", Vessels!U36), ""))</f>
        <v/>
      </c>
      <c r="S36" s="118" t="str">
        <f>IF(B36&lt;&gt;"",IF($N$1="Piping", IF(ISBLANK(Piping!$J$3), "", Piping!$J$3), IF($N$1="Vessels", IF(ISBLANK(Vessels!$J$3), "", Vessels!$J$3), "")),"")</f>
        <v/>
      </c>
      <c r="T36" s="37"/>
      <c r="U36" s="37"/>
      <c r="V36" s="37"/>
      <c r="W36" s="37"/>
      <c r="X36" s="37"/>
      <c r="Y36" s="37"/>
      <c r="Z36" s="37"/>
    </row>
    <row r="37" spans="1:26" ht="15.75" customHeight="1" x14ac:dyDescent="0.3">
      <c r="A37" s="22">
        <f>IF($N$1="Piping", IF(ISBLANK(Piping!A37), "", Piping!A37), IF($N$1="Vessels", IF(ISBLANK(Vessels!A37), "", Vessels!A37), ""))</f>
        <v>8.0399999999999991</v>
      </c>
      <c r="B37" s="21" t="str">
        <f>IF($N$1="Piping", IF(ISBLANK(Piping!B37), "", Piping!B37), IF($N$1="Vessels", IF(ISBLANK(Vessels!B37), "", Vessels!B37), ""))</f>
        <v/>
      </c>
      <c r="C37" s="21" t="str">
        <f>IF($N$1="Piping", IF(ISBLANK(Piping!C37), "", Piping!C37), IF($N$1="Vessels", IF(ISBLANK(Vessels!C37), "", Vessels!C37), ""))</f>
        <v>Piping</v>
      </c>
      <c r="D37" s="21" t="str">
        <f>IF($N$1="Piping", IF(ISBLANK(Piping!D37), "", Piping!D37), IF($N$1="Vessels", IF(ISBLANK(Vessels!D37), "", Vessels!D37), ""))</f>
        <v/>
      </c>
      <c r="E37" s="21" t="str">
        <f>IF($N$1="Piping", IF(ISBLANK(Piping!E37), "", Piping!E37), IF($N$1="Vessels", IF(ISBLANK(Vessels!E37), "", Vessels!E37), ""))</f>
        <v/>
      </c>
      <c r="F37" s="21" t="str">
        <f>IF($N$1="Piping", IF(ISBLANK(Piping!F37), "", Piping!F37), IF($N$1="Vessels", IF(ISBLANK(Vessels!F37), "", Vessels!F37), ""))</f>
        <v/>
      </c>
      <c r="G37" s="21">
        <f>IF($N$1="Piping", IF(ISBLANK(Piping!G37), "", Piping!G37), IF($N$1="Vessels", IF(ISBLANK(Vessels!G37), "", Vessels!G37), ""))</f>
        <v>0</v>
      </c>
      <c r="H37" s="21" t="str">
        <f>IF($N$1="Piping", IF(ISBLANK(Piping!H37), "", Piping!H37), IF($N$1="Vessels", IF(ISBLANK(Vessels!H37), "", Vessels!H37), ""))</f>
        <v/>
      </c>
      <c r="I37" s="21" t="str">
        <f>IF($N$1="Piping", IF(ISBLANK(Piping!I37), "", Piping!I37), IF($N$1="Vessels", IF(ISBLANK(Vessels!I37), "", Vessels!I37), ""))</f>
        <v/>
      </c>
      <c r="J37" s="21" t="str">
        <f>IF($N$1="Piping", IF(ISBLANK(Piping!J37), "", Piping!J37), IF($N$1="Vessels", IF(ISBLANK(Vessels!J37), "", Vessels!J37), ""))</f>
        <v/>
      </c>
      <c r="K37" s="21" t="str">
        <f>IF($N$1="Piping", IF(ISBLANK(Piping!K37), "", Piping!K37), IF($N$1="Vessels", IF(ISBLANK(Vessels!K37), "", Vessels!K37), ""))</f>
        <v/>
      </c>
      <c r="L37" s="21" t="str">
        <f>IF($N$1="Piping", IF(ISBLANK(Piping!L37), "", Piping!L37), IF($N$1="Vessels", IF(ISBLANK(Vessels!L37), "", Vessels!L37), ""))</f>
        <v/>
      </c>
      <c r="M37" s="21"/>
      <c r="N37" s="21"/>
      <c r="O37" s="21"/>
      <c r="P37" s="21"/>
      <c r="Q37" s="21" t="str">
        <f>IF($N$1="Piping", IF(ISBLANK(Piping!T37), "", Piping!T37), IF($N$1="Vessels", IF(ISBLANK(Vessels!T37), "", Vessels!T37), ""))</f>
        <v/>
      </c>
      <c r="R37" s="51" t="str">
        <f>IF($N$1="Piping", IF(ISBLANK(Piping!U37), "", Piping!U37), IF($N$1="Vessels", IF(ISBLANK(Vessels!U37), "", Vessels!U37), ""))</f>
        <v/>
      </c>
      <c r="S37" s="118" t="str">
        <f>IF(B37&lt;&gt;"",IF($N$1="Piping", IF(ISBLANK(Piping!$J$3), "", Piping!$J$3), IF($N$1="Vessels", IF(ISBLANK(Vessels!$J$3), "", Vessels!$J$3), "")),"")</f>
        <v/>
      </c>
      <c r="T37" s="37"/>
      <c r="U37" s="37"/>
      <c r="V37" s="37"/>
      <c r="W37" s="37"/>
      <c r="X37" s="37"/>
      <c r="Y37" s="37"/>
      <c r="Z37" s="37"/>
    </row>
    <row r="38" spans="1:26" ht="15.75" customHeight="1" x14ac:dyDescent="0.3">
      <c r="A38" s="22">
        <f>IF($N$1="Piping", IF(ISBLANK(Piping!A38), "", Piping!A38), IF($N$1="Vessels", IF(ISBLANK(Vessels!A38), "", Vessels!A38), ""))</f>
        <v>9.01</v>
      </c>
      <c r="B38" s="21" t="str">
        <f>IF($N$1="Piping", IF(ISBLANK(Piping!B38), "", Piping!B38), IF($N$1="Vessels", IF(ISBLANK(Vessels!B38), "", Vessels!B38), ""))</f>
        <v/>
      </c>
      <c r="C38" s="21" t="str">
        <f>IF($N$1="Piping", IF(ISBLANK(Piping!C38), "", Piping!C38), IF($N$1="Vessels", IF(ISBLANK(Vessels!C38), "", Vessels!C38), ""))</f>
        <v>Piping</v>
      </c>
      <c r="D38" s="21" t="str">
        <f>IF($N$1="Piping", IF(ISBLANK(Piping!D38), "", Piping!D38), IF($N$1="Vessels", IF(ISBLANK(Vessels!D38), "", Vessels!D38), ""))</f>
        <v/>
      </c>
      <c r="E38" s="21" t="str">
        <f>IF($N$1="Piping", IF(ISBLANK(Piping!E38), "", Piping!E38), IF($N$1="Vessels", IF(ISBLANK(Vessels!E38), "", Vessels!E38), ""))</f>
        <v/>
      </c>
      <c r="F38" s="21" t="str">
        <f>IF($N$1="Piping", IF(ISBLANK(Piping!F38), "", Piping!F38), IF($N$1="Vessels", IF(ISBLANK(Vessels!F38), "", Vessels!F38), ""))</f>
        <v/>
      </c>
      <c r="G38" s="21">
        <f>IF($N$1="Piping", IF(ISBLANK(Piping!G38), "", Piping!G38), IF($N$1="Vessels", IF(ISBLANK(Vessels!G38), "", Vessels!G38), ""))</f>
        <v>0</v>
      </c>
      <c r="H38" s="21" t="str">
        <f>IF($N$1="Piping", IF(ISBLANK(Piping!H38), "", Piping!H38), IF($N$1="Vessels", IF(ISBLANK(Vessels!H38), "", Vessels!H38), ""))</f>
        <v/>
      </c>
      <c r="I38" s="21" t="str">
        <f>IF($N$1="Piping", IF(ISBLANK(Piping!I38), "", Piping!I38), IF($N$1="Vessels", IF(ISBLANK(Vessels!I38), "", Vessels!I38), ""))</f>
        <v/>
      </c>
      <c r="J38" s="21" t="str">
        <f>IF($N$1="Piping", IF(ISBLANK(Piping!J38), "", Piping!J38), IF($N$1="Vessels", IF(ISBLANK(Vessels!J38), "", Vessels!J38), ""))</f>
        <v/>
      </c>
      <c r="K38" s="21" t="str">
        <f>IF($N$1="Piping", IF(ISBLANK(Piping!K38), "", Piping!K38), IF($N$1="Vessels", IF(ISBLANK(Vessels!K38), "", Vessels!K38), ""))</f>
        <v/>
      </c>
      <c r="L38" s="21" t="str">
        <f>IF($N$1="Piping", IF(ISBLANK(Piping!L38), "", Piping!L38), IF($N$1="Vessels", IF(ISBLANK(Vessels!L38), "", Vessels!L38), ""))</f>
        <v/>
      </c>
      <c r="M38" s="21"/>
      <c r="N38" s="21"/>
      <c r="O38" s="21"/>
      <c r="P38" s="21"/>
      <c r="Q38" s="21" t="str">
        <f>IF($N$1="Piping", IF(ISBLANK(Piping!T38), "", Piping!T38), IF($N$1="Vessels", IF(ISBLANK(Vessels!T38), "", Vessels!T38), ""))</f>
        <v/>
      </c>
      <c r="R38" s="51" t="str">
        <f>IF($N$1="Piping", IF(ISBLANK(Piping!U38), "", Piping!U38), IF($N$1="Vessels", IF(ISBLANK(Vessels!U38), "", Vessels!U38), ""))</f>
        <v/>
      </c>
      <c r="S38" s="118" t="str">
        <f>IF(B38&lt;&gt;"",IF($N$1="Piping", IF(ISBLANK(Piping!$J$3), "", Piping!$J$3), IF($N$1="Vessels", IF(ISBLANK(Vessels!$J$3), "", Vessels!$J$3), "")),"")</f>
        <v/>
      </c>
      <c r="T38" s="37"/>
      <c r="U38" s="37"/>
      <c r="V38" s="37"/>
      <c r="W38" s="37"/>
      <c r="X38" s="37"/>
      <c r="Y38" s="37"/>
      <c r="Z38" s="37"/>
    </row>
    <row r="39" spans="1:26" ht="15.75" customHeight="1" x14ac:dyDescent="0.3">
      <c r="A39" s="22">
        <f>IF($N$1="Piping", IF(ISBLANK(Piping!A39), "", Piping!A39), IF($N$1="Vessels", IF(ISBLANK(Vessels!A39), "", Vessels!A39), ""))</f>
        <v>9.02</v>
      </c>
      <c r="B39" s="21" t="str">
        <f>IF($N$1="Piping", IF(ISBLANK(Piping!B39), "", Piping!B39), IF($N$1="Vessels", IF(ISBLANK(Vessels!B39), "", Vessels!B39), ""))</f>
        <v/>
      </c>
      <c r="C39" s="21" t="str">
        <f>IF($N$1="Piping", IF(ISBLANK(Piping!C39), "", Piping!C39), IF($N$1="Vessels", IF(ISBLANK(Vessels!C39), "", Vessels!C39), ""))</f>
        <v>Piping</v>
      </c>
      <c r="D39" s="21" t="str">
        <f>IF($N$1="Piping", IF(ISBLANK(Piping!D39), "", Piping!D39), IF($N$1="Vessels", IF(ISBLANK(Vessels!D39), "", Vessels!D39), ""))</f>
        <v/>
      </c>
      <c r="E39" s="21" t="str">
        <f>IF($N$1="Piping", IF(ISBLANK(Piping!E39), "", Piping!E39), IF($N$1="Vessels", IF(ISBLANK(Vessels!E39), "", Vessels!E39), ""))</f>
        <v/>
      </c>
      <c r="F39" s="21" t="str">
        <f>IF($N$1="Piping", IF(ISBLANK(Piping!F39), "", Piping!F39), IF($N$1="Vessels", IF(ISBLANK(Vessels!F39), "", Vessels!F39), ""))</f>
        <v/>
      </c>
      <c r="G39" s="21">
        <f>IF($N$1="Piping", IF(ISBLANK(Piping!G39), "", Piping!G39), IF($N$1="Vessels", IF(ISBLANK(Vessels!G39), "", Vessels!G39), ""))</f>
        <v>0</v>
      </c>
      <c r="H39" s="21" t="str">
        <f>IF($N$1="Piping", IF(ISBLANK(Piping!H39), "", Piping!H39), IF($N$1="Vessels", IF(ISBLANK(Vessels!H39), "", Vessels!H39), ""))</f>
        <v/>
      </c>
      <c r="I39" s="21" t="str">
        <f>IF($N$1="Piping", IF(ISBLANK(Piping!I39), "", Piping!I39), IF($N$1="Vessels", IF(ISBLANK(Vessels!I39), "", Vessels!I39), ""))</f>
        <v/>
      </c>
      <c r="J39" s="21" t="str">
        <f>IF($N$1="Piping", IF(ISBLANK(Piping!J39), "", Piping!J39), IF($N$1="Vessels", IF(ISBLANK(Vessels!J39), "", Vessels!J39), ""))</f>
        <v/>
      </c>
      <c r="K39" s="21" t="str">
        <f>IF($N$1="Piping", IF(ISBLANK(Piping!K39), "", Piping!K39), IF($N$1="Vessels", IF(ISBLANK(Vessels!K39), "", Vessels!K39), ""))</f>
        <v/>
      </c>
      <c r="L39" s="21" t="str">
        <f>IF($N$1="Piping", IF(ISBLANK(Piping!L39), "", Piping!L39), IF($N$1="Vessels", IF(ISBLANK(Vessels!L39), "", Vessels!L39), ""))</f>
        <v/>
      </c>
      <c r="M39" s="21"/>
      <c r="N39" s="21"/>
      <c r="O39" s="21"/>
      <c r="P39" s="21"/>
      <c r="Q39" s="21" t="str">
        <f>IF($N$1="Piping", IF(ISBLANK(Piping!T39), "", Piping!T39), IF($N$1="Vessels", IF(ISBLANK(Vessels!T39), "", Vessels!T39), ""))</f>
        <v/>
      </c>
      <c r="R39" s="51" t="str">
        <f>IF($N$1="Piping", IF(ISBLANK(Piping!U39), "", Piping!U39), IF($N$1="Vessels", IF(ISBLANK(Vessels!U39), "", Vessels!U39), ""))</f>
        <v/>
      </c>
      <c r="S39" s="118" t="str">
        <f>IF(B39&lt;&gt;"",IF($N$1="Piping", IF(ISBLANK(Piping!$J$3), "", Piping!$J$3), IF($N$1="Vessels", IF(ISBLANK(Vessels!$J$3), "", Vessels!$J$3), "")),"")</f>
        <v/>
      </c>
      <c r="T39" s="37"/>
      <c r="U39" s="37"/>
      <c r="V39" s="37"/>
      <c r="W39" s="37"/>
      <c r="X39" s="37"/>
      <c r="Y39" s="37"/>
      <c r="Z39" s="37"/>
    </row>
    <row r="40" spans="1:26" ht="15.75" customHeight="1" x14ac:dyDescent="0.3">
      <c r="A40" s="22">
        <f>IF($N$1="Piping", IF(ISBLANK(Piping!A40), "", Piping!A40), IF($N$1="Vessels", IF(ISBLANK(Vessels!A40), "", Vessels!A40), ""))</f>
        <v>9.0299999999999994</v>
      </c>
      <c r="B40" s="21" t="str">
        <f>IF($N$1="Piping", IF(ISBLANK(Piping!B40), "", Piping!B40), IF($N$1="Vessels", IF(ISBLANK(Vessels!B40), "", Vessels!B40), ""))</f>
        <v/>
      </c>
      <c r="C40" s="21" t="str">
        <f>IF($N$1="Piping", IF(ISBLANK(Piping!C40), "", Piping!C40), IF($N$1="Vessels", IF(ISBLANK(Vessels!C40), "", Vessels!C40), ""))</f>
        <v>Piping</v>
      </c>
      <c r="D40" s="21" t="str">
        <f>IF($N$1="Piping", IF(ISBLANK(Piping!D40), "", Piping!D40), IF($N$1="Vessels", IF(ISBLANK(Vessels!D40), "", Vessels!D40), ""))</f>
        <v/>
      </c>
      <c r="E40" s="21" t="str">
        <f>IF($N$1="Piping", IF(ISBLANK(Piping!E40), "", Piping!E40), IF($N$1="Vessels", IF(ISBLANK(Vessels!E40), "", Vessels!E40), ""))</f>
        <v/>
      </c>
      <c r="F40" s="21" t="str">
        <f>IF($N$1="Piping", IF(ISBLANK(Piping!F40), "", Piping!F40), IF($N$1="Vessels", IF(ISBLANK(Vessels!F40), "", Vessels!F40), ""))</f>
        <v/>
      </c>
      <c r="G40" s="21">
        <f>IF($N$1="Piping", IF(ISBLANK(Piping!G40), "", Piping!G40), IF($N$1="Vessels", IF(ISBLANK(Vessels!G40), "", Vessels!G40), ""))</f>
        <v>0</v>
      </c>
      <c r="H40" s="21" t="str">
        <f>IF($N$1="Piping", IF(ISBLANK(Piping!H40), "", Piping!H40), IF($N$1="Vessels", IF(ISBLANK(Vessels!H40), "", Vessels!H40), ""))</f>
        <v/>
      </c>
      <c r="I40" s="21" t="str">
        <f>IF($N$1="Piping", IF(ISBLANK(Piping!I40), "", Piping!I40), IF($N$1="Vessels", IF(ISBLANK(Vessels!I40), "", Vessels!I40), ""))</f>
        <v/>
      </c>
      <c r="J40" s="21" t="str">
        <f>IF($N$1="Piping", IF(ISBLANK(Piping!J40), "", Piping!J40), IF($N$1="Vessels", IF(ISBLANK(Vessels!J40), "", Vessels!J40), ""))</f>
        <v/>
      </c>
      <c r="K40" s="21" t="str">
        <f>IF($N$1="Piping", IF(ISBLANK(Piping!K40), "", Piping!K40), IF($N$1="Vessels", IF(ISBLANK(Vessels!K40), "", Vessels!K40), ""))</f>
        <v/>
      </c>
      <c r="L40" s="21" t="str">
        <f>IF($N$1="Piping", IF(ISBLANK(Piping!L40), "", Piping!L40), IF($N$1="Vessels", IF(ISBLANK(Vessels!L40), "", Vessels!L40), ""))</f>
        <v/>
      </c>
      <c r="M40" s="21"/>
      <c r="N40" s="21"/>
      <c r="O40" s="21"/>
      <c r="P40" s="21"/>
      <c r="Q40" s="21" t="str">
        <f>IF($N$1="Piping", IF(ISBLANK(Piping!T40), "", Piping!T40), IF($N$1="Vessels", IF(ISBLANK(Vessels!T40), "", Vessels!T40), ""))</f>
        <v/>
      </c>
      <c r="R40" s="51" t="str">
        <f>IF($N$1="Piping", IF(ISBLANK(Piping!U40), "", Piping!U40), IF($N$1="Vessels", IF(ISBLANK(Vessels!U40), "", Vessels!U40), ""))</f>
        <v/>
      </c>
      <c r="S40" s="118" t="str">
        <f>IF(B40&lt;&gt;"",IF($N$1="Piping", IF(ISBLANK(Piping!$J$3), "", Piping!$J$3), IF($N$1="Vessels", IF(ISBLANK(Vessels!$J$3), "", Vessels!$J$3), "")),"")</f>
        <v/>
      </c>
      <c r="T40" s="37"/>
      <c r="U40" s="37"/>
      <c r="V40" s="37"/>
      <c r="W40" s="37"/>
      <c r="X40" s="37"/>
      <c r="Y40" s="37"/>
      <c r="Z40" s="37"/>
    </row>
    <row r="41" spans="1:26" ht="15.75" customHeight="1" x14ac:dyDescent="0.3">
      <c r="A41" s="22">
        <f>IF($N$1="Piping", IF(ISBLANK(Piping!A41), "", Piping!A41), IF($N$1="Vessels", IF(ISBLANK(Vessels!A41), "", Vessels!A41), ""))</f>
        <v>9.0399999999999991</v>
      </c>
      <c r="B41" s="21" t="str">
        <f>IF($N$1="Piping", IF(ISBLANK(Piping!B41), "", Piping!B41), IF($N$1="Vessels", IF(ISBLANK(Vessels!B41), "", Vessels!B41), ""))</f>
        <v/>
      </c>
      <c r="C41" s="21" t="str">
        <f>IF($N$1="Piping", IF(ISBLANK(Piping!C41), "", Piping!C41), IF($N$1="Vessels", IF(ISBLANK(Vessels!C41), "", Vessels!C41), ""))</f>
        <v>Piping</v>
      </c>
      <c r="D41" s="21" t="str">
        <f>IF($N$1="Piping", IF(ISBLANK(Piping!D41), "", Piping!D41), IF($N$1="Vessels", IF(ISBLANK(Vessels!D41), "", Vessels!D41), ""))</f>
        <v/>
      </c>
      <c r="E41" s="21" t="str">
        <f>IF($N$1="Piping", IF(ISBLANK(Piping!E41), "", Piping!E41), IF($N$1="Vessels", IF(ISBLANK(Vessels!E41), "", Vessels!E41), ""))</f>
        <v/>
      </c>
      <c r="F41" s="21" t="str">
        <f>IF($N$1="Piping", IF(ISBLANK(Piping!F41), "", Piping!F41), IF($N$1="Vessels", IF(ISBLANK(Vessels!F41), "", Vessels!F41), ""))</f>
        <v/>
      </c>
      <c r="G41" s="21">
        <f>IF($N$1="Piping", IF(ISBLANK(Piping!G41), "", Piping!G41), IF($N$1="Vessels", IF(ISBLANK(Vessels!G41), "", Vessels!G41), ""))</f>
        <v>0</v>
      </c>
      <c r="H41" s="21" t="str">
        <f>IF($N$1="Piping", IF(ISBLANK(Piping!H41), "", Piping!H41), IF($N$1="Vessels", IF(ISBLANK(Vessels!H41), "", Vessels!H41), ""))</f>
        <v/>
      </c>
      <c r="I41" s="21" t="str">
        <f>IF($N$1="Piping", IF(ISBLANK(Piping!I41), "", Piping!I41), IF($N$1="Vessels", IF(ISBLANK(Vessels!I41), "", Vessels!I41), ""))</f>
        <v/>
      </c>
      <c r="J41" s="21" t="str">
        <f>IF($N$1="Piping", IF(ISBLANK(Piping!J41), "", Piping!J41), IF($N$1="Vessels", IF(ISBLANK(Vessels!J41), "", Vessels!J41), ""))</f>
        <v/>
      </c>
      <c r="K41" s="21" t="str">
        <f>IF($N$1="Piping", IF(ISBLANK(Piping!K41), "", Piping!K41), IF($N$1="Vessels", IF(ISBLANK(Vessels!K41), "", Vessels!K41), ""))</f>
        <v/>
      </c>
      <c r="L41" s="21" t="str">
        <f>IF($N$1="Piping", IF(ISBLANK(Piping!L41), "", Piping!L41), IF($N$1="Vessels", IF(ISBLANK(Vessels!L41), "", Vessels!L41), ""))</f>
        <v/>
      </c>
      <c r="M41" s="21"/>
      <c r="N41" s="21"/>
      <c r="O41" s="21"/>
      <c r="P41" s="21"/>
      <c r="Q41" s="21" t="str">
        <f>IF($N$1="Piping", IF(ISBLANK(Piping!T41), "", Piping!T41), IF($N$1="Vessels", IF(ISBLANK(Vessels!T41), "", Vessels!T41), ""))</f>
        <v/>
      </c>
      <c r="R41" s="51" t="str">
        <f>IF($N$1="Piping", IF(ISBLANK(Piping!U41), "", Piping!U41), IF($N$1="Vessels", IF(ISBLANK(Vessels!U41), "", Vessels!U41), ""))</f>
        <v/>
      </c>
      <c r="S41" s="118" t="str">
        <f>IF(B41&lt;&gt;"",IF($N$1="Piping", IF(ISBLANK(Piping!$J$3), "", Piping!$J$3), IF($N$1="Vessels", IF(ISBLANK(Vessels!$J$3), "", Vessels!$J$3), "")),"")</f>
        <v/>
      </c>
      <c r="T41" s="37"/>
      <c r="U41" s="37"/>
      <c r="V41" s="37"/>
      <c r="W41" s="37"/>
      <c r="X41" s="37"/>
      <c r="Y41" s="37"/>
      <c r="Z41" s="37"/>
    </row>
    <row r="42" spans="1:26" ht="15.75" customHeight="1" x14ac:dyDescent="0.3">
      <c r="A42" s="22">
        <f>IF($N$1="Piping", IF(ISBLANK(Piping!A42), "", Piping!A42), IF($N$1="Vessels", IF(ISBLANK(Vessels!A42), "", Vessels!A42), ""))</f>
        <v>10.01</v>
      </c>
      <c r="B42" s="21" t="str">
        <f>IF($N$1="Piping", IF(ISBLANK(Piping!B42), "", Piping!B42), IF($N$1="Vessels", IF(ISBLANK(Vessels!B42), "", Vessels!B42), ""))</f>
        <v/>
      </c>
      <c r="C42" s="21" t="str">
        <f>IF($N$1="Piping", IF(ISBLANK(Piping!C42), "", Piping!C42), IF($N$1="Vessels", IF(ISBLANK(Vessels!C42), "", Vessels!C42), ""))</f>
        <v>Piping</v>
      </c>
      <c r="D42" s="21" t="str">
        <f>IF($N$1="Piping", IF(ISBLANK(Piping!D42), "", Piping!D42), IF($N$1="Vessels", IF(ISBLANK(Vessels!D42), "", Vessels!D42), ""))</f>
        <v/>
      </c>
      <c r="E42" s="21" t="str">
        <f>IF($N$1="Piping", IF(ISBLANK(Piping!E42), "", Piping!E42), IF($N$1="Vessels", IF(ISBLANK(Vessels!E42), "", Vessels!E42), ""))</f>
        <v/>
      </c>
      <c r="F42" s="21" t="str">
        <f>IF($N$1="Piping", IF(ISBLANK(Piping!F42), "", Piping!F42), IF($N$1="Vessels", IF(ISBLANK(Vessels!F42), "", Vessels!F42), ""))</f>
        <v/>
      </c>
      <c r="G42" s="21">
        <f>IF($N$1="Piping", IF(ISBLANK(Piping!G42), "", Piping!G42), IF($N$1="Vessels", IF(ISBLANK(Vessels!G42), "", Vessels!G42), ""))</f>
        <v>0</v>
      </c>
      <c r="H42" s="21" t="str">
        <f>IF($N$1="Piping", IF(ISBLANK(Piping!H42), "", Piping!H42), IF($N$1="Vessels", IF(ISBLANK(Vessels!H42), "", Vessels!H42), ""))</f>
        <v/>
      </c>
      <c r="I42" s="21" t="str">
        <f>IF($N$1="Piping", IF(ISBLANK(Piping!I42), "", Piping!I42), IF($N$1="Vessels", IF(ISBLANK(Vessels!I42), "", Vessels!I42), ""))</f>
        <v/>
      </c>
      <c r="J42" s="21" t="str">
        <f>IF($N$1="Piping", IF(ISBLANK(Piping!J42), "", Piping!J42), IF($N$1="Vessels", IF(ISBLANK(Vessels!J42), "", Vessels!J42), ""))</f>
        <v/>
      </c>
      <c r="K42" s="21" t="str">
        <f>IF($N$1="Piping", IF(ISBLANK(Piping!K42), "", Piping!K42), IF($N$1="Vessels", IF(ISBLANK(Vessels!K42), "", Vessels!K42), ""))</f>
        <v/>
      </c>
      <c r="L42" s="21" t="str">
        <f>IF($N$1="Piping", IF(ISBLANK(Piping!L42), "", Piping!L42), IF($N$1="Vessels", IF(ISBLANK(Vessels!L42), "", Vessels!L42), ""))</f>
        <v/>
      </c>
      <c r="M42" s="21"/>
      <c r="N42" s="21"/>
      <c r="O42" s="21"/>
      <c r="P42" s="21"/>
      <c r="Q42" s="21" t="str">
        <f>IF($N$1="Piping", IF(ISBLANK(Piping!T42), "", Piping!T42), IF($N$1="Vessels", IF(ISBLANK(Vessels!T42), "", Vessels!T42), ""))</f>
        <v/>
      </c>
      <c r="R42" s="51" t="str">
        <f>IF($N$1="Piping", IF(ISBLANK(Piping!U42), "", Piping!U42), IF($N$1="Vessels", IF(ISBLANK(Vessels!U42), "", Vessels!U42), ""))</f>
        <v/>
      </c>
      <c r="S42" s="118" t="str">
        <f>IF(B42&lt;&gt;"",IF($N$1="Piping", IF(ISBLANK(Piping!$J$3), "", Piping!$J$3), IF($N$1="Vessels", IF(ISBLANK(Vessels!$J$3), "", Vessels!$J$3), "")),"")</f>
        <v/>
      </c>
      <c r="T42" s="37"/>
      <c r="U42" s="37"/>
      <c r="V42" s="37"/>
      <c r="W42" s="37"/>
      <c r="X42" s="37"/>
      <c r="Y42" s="37"/>
      <c r="Z42" s="37"/>
    </row>
    <row r="43" spans="1:26" ht="15.75" customHeight="1" x14ac:dyDescent="0.3">
      <c r="A43" s="22">
        <f>IF($N$1="Piping", IF(ISBLANK(Piping!A43), "", Piping!A43), IF($N$1="Vessels", IF(ISBLANK(Vessels!A43), "", Vessels!A43), ""))</f>
        <v>10.02</v>
      </c>
      <c r="B43" s="21" t="str">
        <f>IF($N$1="Piping", IF(ISBLANK(Piping!B43), "", Piping!B43), IF($N$1="Vessels", IF(ISBLANK(Vessels!B43), "", Vessels!B43), ""))</f>
        <v/>
      </c>
      <c r="C43" s="21" t="str">
        <f>IF($N$1="Piping", IF(ISBLANK(Piping!C43), "", Piping!C43), IF($N$1="Vessels", IF(ISBLANK(Vessels!C43), "", Vessels!C43), ""))</f>
        <v>Piping</v>
      </c>
      <c r="D43" s="21" t="str">
        <f>IF($N$1="Piping", IF(ISBLANK(Piping!D43), "", Piping!D43), IF($N$1="Vessels", IF(ISBLANK(Vessels!D43), "", Vessels!D43), ""))</f>
        <v/>
      </c>
      <c r="E43" s="21" t="str">
        <f>IF($N$1="Piping", IF(ISBLANK(Piping!E43), "", Piping!E43), IF($N$1="Vessels", IF(ISBLANK(Vessels!E43), "", Vessels!E43), ""))</f>
        <v/>
      </c>
      <c r="F43" s="21" t="str">
        <f>IF($N$1="Piping", IF(ISBLANK(Piping!F43), "", Piping!F43), IF($N$1="Vessels", IF(ISBLANK(Vessels!F43), "", Vessels!F43), ""))</f>
        <v/>
      </c>
      <c r="G43" s="21">
        <f>IF($N$1="Piping", IF(ISBLANK(Piping!G43), "", Piping!G43), IF($N$1="Vessels", IF(ISBLANK(Vessels!G43), "", Vessels!G43), ""))</f>
        <v>0</v>
      </c>
      <c r="H43" s="21" t="str">
        <f>IF($N$1="Piping", IF(ISBLANK(Piping!H43), "", Piping!H43), IF($N$1="Vessels", IF(ISBLANK(Vessels!H43), "", Vessels!H43), ""))</f>
        <v/>
      </c>
      <c r="I43" s="21" t="str">
        <f>IF($N$1="Piping", IF(ISBLANK(Piping!I43), "", Piping!I43), IF($N$1="Vessels", IF(ISBLANK(Vessels!I43), "", Vessels!I43), ""))</f>
        <v/>
      </c>
      <c r="J43" s="21" t="str">
        <f>IF($N$1="Piping", IF(ISBLANK(Piping!J43), "", Piping!J43), IF($N$1="Vessels", IF(ISBLANK(Vessels!J43), "", Vessels!J43), ""))</f>
        <v/>
      </c>
      <c r="K43" s="21" t="str">
        <f>IF($N$1="Piping", IF(ISBLANK(Piping!K43), "", Piping!K43), IF($N$1="Vessels", IF(ISBLANK(Vessels!K43), "", Vessels!K43), ""))</f>
        <v/>
      </c>
      <c r="L43" s="21" t="str">
        <f>IF($N$1="Piping", IF(ISBLANK(Piping!L43), "", Piping!L43), IF($N$1="Vessels", IF(ISBLANK(Vessels!L43), "", Vessels!L43), ""))</f>
        <v/>
      </c>
      <c r="M43" s="21"/>
      <c r="N43" s="21"/>
      <c r="O43" s="21"/>
      <c r="P43" s="21"/>
      <c r="Q43" s="21" t="str">
        <f>IF($N$1="Piping", IF(ISBLANK(Piping!T43), "", Piping!T43), IF($N$1="Vessels", IF(ISBLANK(Vessels!T43), "", Vessels!T43), ""))</f>
        <v/>
      </c>
      <c r="R43" s="51" t="str">
        <f>IF($N$1="Piping", IF(ISBLANK(Piping!U43), "", Piping!U43), IF($N$1="Vessels", IF(ISBLANK(Vessels!U43), "", Vessels!U43), ""))</f>
        <v/>
      </c>
      <c r="S43" s="118" t="str">
        <f>IF(B43&lt;&gt;"",IF($N$1="Piping", IF(ISBLANK(Piping!$J$3), "", Piping!$J$3), IF($N$1="Vessels", IF(ISBLANK(Vessels!$J$3), "", Vessels!$J$3), "")),"")</f>
        <v/>
      </c>
      <c r="T43" s="37"/>
      <c r="U43" s="37"/>
      <c r="V43" s="37"/>
      <c r="W43" s="37"/>
      <c r="X43" s="37"/>
      <c r="Y43" s="37"/>
      <c r="Z43" s="37"/>
    </row>
    <row r="44" spans="1:26" ht="15.75" customHeight="1" x14ac:dyDescent="0.3">
      <c r="A44" s="22">
        <f>IF($N$1="Piping", IF(ISBLANK(Piping!A44), "", Piping!A44), IF($N$1="Vessels", IF(ISBLANK(Vessels!A44), "", Vessels!A44), ""))</f>
        <v>10.029999999999999</v>
      </c>
      <c r="B44" s="21" t="str">
        <f>IF($N$1="Piping", IF(ISBLANK(Piping!B44), "", Piping!B44), IF($N$1="Vessels", IF(ISBLANK(Vessels!B44), "", Vessels!B44), ""))</f>
        <v/>
      </c>
      <c r="C44" s="21" t="str">
        <f>IF($N$1="Piping", IF(ISBLANK(Piping!C44), "", Piping!C44), IF($N$1="Vessels", IF(ISBLANK(Vessels!C44), "", Vessels!C44), ""))</f>
        <v>Piping</v>
      </c>
      <c r="D44" s="21" t="str">
        <f>IF($N$1="Piping", IF(ISBLANK(Piping!D44), "", Piping!D44), IF($N$1="Vessels", IF(ISBLANK(Vessels!D44), "", Vessels!D44), ""))</f>
        <v/>
      </c>
      <c r="E44" s="21" t="str">
        <f>IF($N$1="Piping", IF(ISBLANK(Piping!E44), "", Piping!E44), IF($N$1="Vessels", IF(ISBLANK(Vessels!E44), "", Vessels!E44), ""))</f>
        <v/>
      </c>
      <c r="F44" s="21" t="str">
        <f>IF($N$1="Piping", IF(ISBLANK(Piping!F44), "", Piping!F44), IF($N$1="Vessels", IF(ISBLANK(Vessels!F44), "", Vessels!F44), ""))</f>
        <v/>
      </c>
      <c r="G44" s="21">
        <f>IF($N$1="Piping", IF(ISBLANK(Piping!G44), "", Piping!G44), IF($N$1="Vessels", IF(ISBLANK(Vessels!G44), "", Vessels!G44), ""))</f>
        <v>0</v>
      </c>
      <c r="H44" s="21" t="str">
        <f>IF($N$1="Piping", IF(ISBLANK(Piping!H44), "", Piping!H44), IF($N$1="Vessels", IF(ISBLANK(Vessels!H44), "", Vessels!H44), ""))</f>
        <v/>
      </c>
      <c r="I44" s="21" t="str">
        <f>IF($N$1="Piping", IF(ISBLANK(Piping!I44), "", Piping!I44), IF($N$1="Vessels", IF(ISBLANK(Vessels!I44), "", Vessels!I44), ""))</f>
        <v/>
      </c>
      <c r="J44" s="21" t="str">
        <f>IF($N$1="Piping", IF(ISBLANK(Piping!J44), "", Piping!J44), IF($N$1="Vessels", IF(ISBLANK(Vessels!J44), "", Vessels!J44), ""))</f>
        <v/>
      </c>
      <c r="K44" s="21" t="str">
        <f>IF($N$1="Piping", IF(ISBLANK(Piping!K44), "", Piping!K44), IF($N$1="Vessels", IF(ISBLANK(Vessels!K44), "", Vessels!K44), ""))</f>
        <v/>
      </c>
      <c r="L44" s="21" t="str">
        <f>IF($N$1="Piping", IF(ISBLANK(Piping!L44), "", Piping!L44), IF($N$1="Vessels", IF(ISBLANK(Vessels!L44), "", Vessels!L44), ""))</f>
        <v/>
      </c>
      <c r="M44" s="21"/>
      <c r="N44" s="21"/>
      <c r="O44" s="21"/>
      <c r="P44" s="21"/>
      <c r="Q44" s="21" t="str">
        <f>IF($N$1="Piping", IF(ISBLANK(Piping!T44), "", Piping!T44), IF($N$1="Vessels", IF(ISBLANK(Vessels!T44), "", Vessels!T44), ""))</f>
        <v/>
      </c>
      <c r="R44" s="51" t="str">
        <f>IF($N$1="Piping", IF(ISBLANK(Piping!U44), "", Piping!U44), IF($N$1="Vessels", IF(ISBLANK(Vessels!U44), "", Vessels!U44), ""))</f>
        <v/>
      </c>
      <c r="S44" s="118" t="str">
        <f>IF(B44&lt;&gt;"",IF($N$1="Piping", IF(ISBLANK(Piping!$J$3), "", Piping!$J$3), IF($N$1="Vessels", IF(ISBLANK(Vessels!$J$3), "", Vessels!$J$3), "")),"")</f>
        <v/>
      </c>
      <c r="T44" s="37"/>
      <c r="U44" s="37"/>
      <c r="V44" s="37"/>
      <c r="W44" s="37"/>
      <c r="X44" s="37"/>
      <c r="Y44" s="37"/>
      <c r="Z44" s="37"/>
    </row>
    <row r="45" spans="1:26" ht="15.75" customHeight="1" x14ac:dyDescent="0.3">
      <c r="A45" s="22">
        <f>IF($N$1="Piping", IF(ISBLANK(Piping!A45), "", Piping!A45), IF($N$1="Vessels", IF(ISBLANK(Vessels!A45), "", Vessels!A45), ""))</f>
        <v>10.039999999999999</v>
      </c>
      <c r="B45" s="21" t="str">
        <f>IF($N$1="Piping", IF(ISBLANK(Piping!B45), "", Piping!B45), IF($N$1="Vessels", IF(ISBLANK(Vessels!B45), "", Vessels!B45), ""))</f>
        <v/>
      </c>
      <c r="C45" s="21" t="str">
        <f>IF($N$1="Piping", IF(ISBLANK(Piping!C45), "", Piping!C45), IF($N$1="Vessels", IF(ISBLANK(Vessels!C45), "", Vessels!C45), ""))</f>
        <v>Piping</v>
      </c>
      <c r="D45" s="21" t="str">
        <f>IF($N$1="Piping", IF(ISBLANK(Piping!D45), "", Piping!D45), IF($N$1="Vessels", IF(ISBLANK(Vessels!D45), "", Vessels!D45), ""))</f>
        <v/>
      </c>
      <c r="E45" s="21" t="str">
        <f>IF($N$1="Piping", IF(ISBLANK(Piping!E45), "", Piping!E45), IF($N$1="Vessels", IF(ISBLANK(Vessels!E45), "", Vessels!E45), ""))</f>
        <v/>
      </c>
      <c r="F45" s="21" t="str">
        <f>IF($N$1="Piping", IF(ISBLANK(Piping!F45), "", Piping!F45), IF($N$1="Vessels", IF(ISBLANK(Vessels!F45), "", Vessels!F45), ""))</f>
        <v/>
      </c>
      <c r="G45" s="21">
        <f>IF($N$1="Piping", IF(ISBLANK(Piping!G45), "", Piping!G45), IF($N$1="Vessels", IF(ISBLANK(Vessels!G45), "", Vessels!G45), ""))</f>
        <v>0</v>
      </c>
      <c r="H45" s="21" t="str">
        <f>IF($N$1="Piping", IF(ISBLANK(Piping!H45), "", Piping!H45), IF($N$1="Vessels", IF(ISBLANK(Vessels!H45), "", Vessels!H45), ""))</f>
        <v/>
      </c>
      <c r="I45" s="21" t="str">
        <f>IF($N$1="Piping", IF(ISBLANK(Piping!I45), "", Piping!I45), IF($N$1="Vessels", IF(ISBLANK(Vessels!I45), "", Vessels!I45), ""))</f>
        <v/>
      </c>
      <c r="J45" s="21" t="str">
        <f>IF($N$1="Piping", IF(ISBLANK(Piping!J45), "", Piping!J45), IF($N$1="Vessels", IF(ISBLANK(Vessels!J45), "", Vessels!J45), ""))</f>
        <v/>
      </c>
      <c r="K45" s="21" t="str">
        <f>IF($N$1="Piping", IF(ISBLANK(Piping!K45), "", Piping!K45), IF($N$1="Vessels", IF(ISBLANK(Vessels!K45), "", Vessels!K45), ""))</f>
        <v/>
      </c>
      <c r="L45" s="21" t="str">
        <f>IF($N$1="Piping", IF(ISBLANK(Piping!L45), "", Piping!L45), IF($N$1="Vessels", IF(ISBLANK(Vessels!L45), "", Vessels!L45), ""))</f>
        <v/>
      </c>
      <c r="M45" s="21"/>
      <c r="N45" s="21"/>
      <c r="O45" s="21"/>
      <c r="P45" s="21"/>
      <c r="Q45" s="21" t="str">
        <f>IF($N$1="Piping", IF(ISBLANK(Piping!T45), "", Piping!T45), IF($N$1="Vessels", IF(ISBLANK(Vessels!T45), "", Vessels!T45), ""))</f>
        <v/>
      </c>
      <c r="R45" s="51" t="str">
        <f>IF($N$1="Piping", IF(ISBLANK(Piping!U45), "", Piping!U45), IF($N$1="Vessels", IF(ISBLANK(Vessels!U45), "", Vessels!U45), ""))</f>
        <v/>
      </c>
      <c r="S45" s="118" t="str">
        <f>IF(B45&lt;&gt;"",IF($N$1="Piping", IF(ISBLANK(Piping!$J$3), "", Piping!$J$3), IF($N$1="Vessels", IF(ISBLANK(Vessels!$J$3), "", Vessels!$J$3), "")),"")</f>
        <v/>
      </c>
      <c r="T45" s="37"/>
      <c r="U45" s="37"/>
      <c r="V45" s="37"/>
      <c r="W45" s="37"/>
      <c r="X45" s="37"/>
      <c r="Y45" s="37"/>
      <c r="Z45" s="37"/>
    </row>
    <row r="46" spans="1:26" ht="15.75" customHeight="1" x14ac:dyDescent="0.3">
      <c r="A46" s="22">
        <f>IF($N$1="Piping", IF(ISBLANK(Piping!A46), "", Piping!A46), IF($N$1="Vessels", IF(ISBLANK(Vessels!A46), "", Vessels!A46), ""))</f>
        <v>11.1</v>
      </c>
      <c r="B46" s="21" t="str">
        <f>IF($N$1="Piping", IF(ISBLANK(Piping!B46), "", Piping!B46), IF($N$1="Vessels", IF(ISBLANK(Vessels!B46), "", Vessels!B46), ""))</f>
        <v/>
      </c>
      <c r="C46" s="21" t="str">
        <f>IF($N$1="Piping", IF(ISBLANK(Piping!C46), "", Piping!C46), IF($N$1="Vessels", IF(ISBLANK(Vessels!C46), "", Vessels!C46), ""))</f>
        <v>Piping</v>
      </c>
      <c r="D46" s="21" t="str">
        <f>IF($N$1="Piping", IF(ISBLANK(Piping!D46), "", Piping!D46), IF($N$1="Vessels", IF(ISBLANK(Vessels!D46), "", Vessels!D46), ""))</f>
        <v/>
      </c>
      <c r="E46" s="21" t="str">
        <f>IF($N$1="Piping", IF(ISBLANK(Piping!E46), "", Piping!E46), IF($N$1="Vessels", IF(ISBLANK(Vessels!E46), "", Vessels!E46), ""))</f>
        <v/>
      </c>
      <c r="F46" s="21" t="str">
        <f>IF($N$1="Piping", IF(ISBLANK(Piping!F46), "", Piping!F46), IF($N$1="Vessels", IF(ISBLANK(Vessels!F46), "", Vessels!F46), ""))</f>
        <v/>
      </c>
      <c r="G46" s="21">
        <f>IF($N$1="Piping", IF(ISBLANK(Piping!G46), "", Piping!G46), IF($N$1="Vessels", IF(ISBLANK(Vessels!G46), "", Vessels!G46), ""))</f>
        <v>0</v>
      </c>
      <c r="H46" s="21" t="str">
        <f>IF($N$1="Piping", IF(ISBLANK(Piping!H46), "", Piping!H46), IF($N$1="Vessels", IF(ISBLANK(Vessels!H46), "", Vessels!H46), ""))</f>
        <v/>
      </c>
      <c r="I46" s="21" t="str">
        <f>IF($N$1="Piping", IF(ISBLANK(Piping!I46), "", Piping!I46), IF($N$1="Vessels", IF(ISBLANK(Vessels!I46), "", Vessels!I46), ""))</f>
        <v/>
      </c>
      <c r="J46" s="21" t="str">
        <f>IF($N$1="Piping", IF(ISBLANK(Piping!J46), "", Piping!J46), IF($N$1="Vessels", IF(ISBLANK(Vessels!J46), "", Vessels!J46), ""))</f>
        <v/>
      </c>
      <c r="K46" s="21" t="str">
        <f>IF($N$1="Piping", IF(ISBLANK(Piping!K46), "", Piping!K46), IF($N$1="Vessels", IF(ISBLANK(Vessels!K46), "", Vessels!K46), ""))</f>
        <v/>
      </c>
      <c r="L46" s="21" t="str">
        <f>IF($N$1="Piping", IF(ISBLANK(Piping!L46), "", Piping!L46), IF($N$1="Vessels", IF(ISBLANK(Vessels!L46), "", Vessels!L46), ""))</f>
        <v/>
      </c>
      <c r="M46" s="21"/>
      <c r="N46" s="21"/>
      <c r="O46" s="21"/>
      <c r="P46" s="21"/>
      <c r="Q46" s="21" t="str">
        <f>IF($N$1="Piping", IF(ISBLANK(Piping!T46), "", Piping!T46), IF($N$1="Vessels", IF(ISBLANK(Vessels!T46), "", Vessels!T46), ""))</f>
        <v/>
      </c>
      <c r="R46" s="51" t="str">
        <f>IF($N$1="Piping", IF(ISBLANK(Piping!U46), "", Piping!U46), IF($N$1="Vessels", IF(ISBLANK(Vessels!U46), "", Vessels!U46), ""))</f>
        <v/>
      </c>
      <c r="S46" s="118" t="str">
        <f>IF(B46&lt;&gt;"",IF($N$1="Piping", IF(ISBLANK(Piping!$J$3), "", Piping!$J$3), IF($N$1="Vessels", IF(ISBLANK(Vessels!$J$3), "", Vessels!$J$3), "")),"")</f>
        <v/>
      </c>
      <c r="T46" s="37"/>
      <c r="U46" s="37"/>
      <c r="V46" s="37"/>
      <c r="W46" s="37"/>
      <c r="X46" s="37"/>
      <c r="Y46" s="37"/>
      <c r="Z46" s="37"/>
    </row>
    <row r="47" spans="1:26" ht="15.75" customHeight="1" x14ac:dyDescent="0.3">
      <c r="A47" s="22">
        <f>IF($N$1="Piping", IF(ISBLANK(Piping!A47), "", Piping!A47), IF($N$1="Vessels", IF(ISBLANK(Vessels!A47), "", Vessels!A47), ""))</f>
        <v>11.2</v>
      </c>
      <c r="B47" s="21" t="str">
        <f>IF($N$1="Piping", IF(ISBLANK(Piping!B47), "", Piping!B47), IF($N$1="Vessels", IF(ISBLANK(Vessels!B47), "", Vessels!B47), ""))</f>
        <v/>
      </c>
      <c r="C47" s="21" t="str">
        <f>IF($N$1="Piping", IF(ISBLANK(Piping!C47), "", Piping!C47), IF($N$1="Vessels", IF(ISBLANK(Vessels!C47), "", Vessels!C47), ""))</f>
        <v>Piping</v>
      </c>
      <c r="D47" s="21" t="str">
        <f>IF($N$1="Piping", IF(ISBLANK(Piping!D47), "", Piping!D47), IF($N$1="Vessels", IF(ISBLANK(Vessels!D47), "", Vessels!D47), ""))</f>
        <v/>
      </c>
      <c r="E47" s="21" t="str">
        <f>IF($N$1="Piping", IF(ISBLANK(Piping!E47), "", Piping!E47), IF($N$1="Vessels", IF(ISBLANK(Vessels!E47), "", Vessels!E47), ""))</f>
        <v/>
      </c>
      <c r="F47" s="21" t="str">
        <f>IF($N$1="Piping", IF(ISBLANK(Piping!F47), "", Piping!F47), IF($N$1="Vessels", IF(ISBLANK(Vessels!F47), "", Vessels!F47), ""))</f>
        <v/>
      </c>
      <c r="G47" s="21">
        <f>IF($N$1="Piping", IF(ISBLANK(Piping!G47), "", Piping!G47), IF($N$1="Vessels", IF(ISBLANK(Vessels!G47), "", Vessels!G47), ""))</f>
        <v>0</v>
      </c>
      <c r="H47" s="21" t="str">
        <f>IF($N$1="Piping", IF(ISBLANK(Piping!H47), "", Piping!H47), IF($N$1="Vessels", IF(ISBLANK(Vessels!H47), "", Vessels!H47), ""))</f>
        <v/>
      </c>
      <c r="I47" s="21" t="str">
        <f>IF($N$1="Piping", IF(ISBLANK(Piping!I47), "", Piping!I47), IF($N$1="Vessels", IF(ISBLANK(Vessels!I47), "", Vessels!I47), ""))</f>
        <v/>
      </c>
      <c r="J47" s="21" t="str">
        <f>IF($N$1="Piping", IF(ISBLANK(Piping!J47), "", Piping!J47), IF($N$1="Vessels", IF(ISBLANK(Vessels!J47), "", Vessels!J47), ""))</f>
        <v/>
      </c>
      <c r="K47" s="21" t="str">
        <f>IF($N$1="Piping", IF(ISBLANK(Piping!K47), "", Piping!K47), IF($N$1="Vessels", IF(ISBLANK(Vessels!K47), "", Vessels!K47), ""))</f>
        <v/>
      </c>
      <c r="L47" s="21" t="str">
        <f>IF($N$1="Piping", IF(ISBLANK(Piping!L47), "", Piping!L47), IF($N$1="Vessels", IF(ISBLANK(Vessels!L47), "", Vessels!L47), ""))</f>
        <v/>
      </c>
      <c r="M47" s="21"/>
      <c r="N47" s="21"/>
      <c r="O47" s="21"/>
      <c r="P47" s="21"/>
      <c r="Q47" s="21" t="str">
        <f>IF($N$1="Piping", IF(ISBLANK(Piping!T47), "", Piping!T47), IF($N$1="Vessels", IF(ISBLANK(Vessels!T47), "", Vessels!T47), ""))</f>
        <v/>
      </c>
      <c r="R47" s="51" t="str">
        <f>IF($N$1="Piping", IF(ISBLANK(Piping!U47), "", Piping!U47), IF($N$1="Vessels", IF(ISBLANK(Vessels!U47), "", Vessels!U47), ""))</f>
        <v/>
      </c>
      <c r="S47" s="118" t="str">
        <f>IF(B47&lt;&gt;"",IF($N$1="Piping", IF(ISBLANK(Piping!$J$3), "", Piping!$J$3), IF($N$1="Vessels", IF(ISBLANK(Vessels!$J$3), "", Vessels!$J$3), "")),"")</f>
        <v/>
      </c>
      <c r="T47" s="37"/>
      <c r="U47" s="37"/>
      <c r="V47" s="37"/>
      <c r="W47" s="37"/>
      <c r="X47" s="37"/>
      <c r="Y47" s="37"/>
      <c r="Z47" s="37"/>
    </row>
    <row r="48" spans="1:26" ht="15.75" customHeight="1" x14ac:dyDescent="0.3">
      <c r="A48" s="22">
        <f>IF($N$1="Piping", IF(ISBLANK(Piping!A48), "", Piping!A48), IF($N$1="Vessels", IF(ISBLANK(Vessels!A48), "", Vessels!A48), ""))</f>
        <v>11.3</v>
      </c>
      <c r="B48" s="21" t="str">
        <f>IF($N$1="Piping", IF(ISBLANK(Piping!B48), "", Piping!B48), IF($N$1="Vessels", IF(ISBLANK(Vessels!B48), "", Vessels!B48), ""))</f>
        <v/>
      </c>
      <c r="C48" s="21" t="str">
        <f>IF($N$1="Piping", IF(ISBLANK(Piping!C48), "", Piping!C48), IF($N$1="Vessels", IF(ISBLANK(Vessels!C48), "", Vessels!C48), ""))</f>
        <v>Piping</v>
      </c>
      <c r="D48" s="21" t="str">
        <f>IF($N$1="Piping", IF(ISBLANK(Piping!D48), "", Piping!D48), IF($N$1="Vessels", IF(ISBLANK(Vessels!D48), "", Vessels!D48), ""))</f>
        <v/>
      </c>
      <c r="E48" s="21" t="str">
        <f>IF($N$1="Piping", IF(ISBLANK(Piping!E48), "", Piping!E48), IF($N$1="Vessels", IF(ISBLANK(Vessels!E48), "", Vessels!E48), ""))</f>
        <v/>
      </c>
      <c r="F48" s="21" t="str">
        <f>IF($N$1="Piping", IF(ISBLANK(Piping!F48), "", Piping!F48), IF($N$1="Vessels", IF(ISBLANK(Vessels!F48), "", Vessels!F48), ""))</f>
        <v/>
      </c>
      <c r="G48" s="21">
        <f>IF($N$1="Piping", IF(ISBLANK(Piping!G48), "", Piping!G48), IF($N$1="Vessels", IF(ISBLANK(Vessels!G48), "", Vessels!G48), ""))</f>
        <v>0</v>
      </c>
      <c r="H48" s="21" t="str">
        <f>IF($N$1="Piping", IF(ISBLANK(Piping!H48), "", Piping!H48), IF($N$1="Vessels", IF(ISBLANK(Vessels!H48), "", Vessels!H48), ""))</f>
        <v/>
      </c>
      <c r="I48" s="21" t="str">
        <f>IF($N$1="Piping", IF(ISBLANK(Piping!I48), "", Piping!I48), IF($N$1="Vessels", IF(ISBLANK(Vessels!I48), "", Vessels!I48), ""))</f>
        <v/>
      </c>
      <c r="J48" s="21" t="str">
        <f>IF($N$1="Piping", IF(ISBLANK(Piping!J48), "", Piping!J48), IF($N$1="Vessels", IF(ISBLANK(Vessels!J48), "", Vessels!J48), ""))</f>
        <v/>
      </c>
      <c r="K48" s="21" t="str">
        <f>IF($N$1="Piping", IF(ISBLANK(Piping!K48), "", Piping!K48), IF($N$1="Vessels", IF(ISBLANK(Vessels!K48), "", Vessels!K48), ""))</f>
        <v/>
      </c>
      <c r="L48" s="21" t="str">
        <f>IF($N$1="Piping", IF(ISBLANK(Piping!L48), "", Piping!L48), IF($N$1="Vessels", IF(ISBLANK(Vessels!L48), "", Vessels!L48), ""))</f>
        <v/>
      </c>
      <c r="M48" s="21"/>
      <c r="N48" s="21"/>
      <c r="O48" s="21"/>
      <c r="P48" s="21"/>
      <c r="Q48" s="21" t="str">
        <f>IF($N$1="Piping", IF(ISBLANK(Piping!T48), "", Piping!T48), IF($N$1="Vessels", IF(ISBLANK(Vessels!T48), "", Vessels!T48), ""))</f>
        <v/>
      </c>
      <c r="R48" s="51" t="str">
        <f>IF($N$1="Piping", IF(ISBLANK(Piping!U48), "", Piping!U48), IF($N$1="Vessels", IF(ISBLANK(Vessels!U48), "", Vessels!U48), ""))</f>
        <v/>
      </c>
      <c r="S48" s="118" t="str">
        <f>IF(B48&lt;&gt;"",IF($N$1="Piping", IF(ISBLANK(Piping!$J$3), "", Piping!$J$3), IF($N$1="Vessels", IF(ISBLANK(Vessels!$J$3), "", Vessels!$J$3), "")),"")</f>
        <v/>
      </c>
      <c r="T48" s="37"/>
      <c r="U48" s="37"/>
      <c r="V48" s="37"/>
      <c r="W48" s="37"/>
      <c r="X48" s="37"/>
      <c r="Y48" s="37"/>
      <c r="Z48" s="37"/>
    </row>
    <row r="49" spans="1:26" ht="15.75" customHeight="1" x14ac:dyDescent="0.3">
      <c r="A49" s="22">
        <f>IF($N$1="Piping", IF(ISBLANK(Piping!A49), "", Piping!A49), IF($N$1="Vessels", IF(ISBLANK(Vessels!A49), "", Vessels!A49), ""))</f>
        <v>11.4</v>
      </c>
      <c r="B49" s="21" t="str">
        <f>IF($N$1="Piping", IF(ISBLANK(Piping!B49), "", Piping!B49), IF($N$1="Vessels", IF(ISBLANK(Vessels!B49), "", Vessels!B49), ""))</f>
        <v/>
      </c>
      <c r="C49" s="21" t="str">
        <f>IF($N$1="Piping", IF(ISBLANK(Piping!C49), "", Piping!C49), IF($N$1="Vessels", IF(ISBLANK(Vessels!C49), "", Vessels!C49), ""))</f>
        <v>Piping</v>
      </c>
      <c r="D49" s="21" t="str">
        <f>IF($N$1="Piping", IF(ISBLANK(Piping!D49), "", Piping!D49), IF($N$1="Vessels", IF(ISBLANK(Vessels!D49), "", Vessels!D49), ""))</f>
        <v/>
      </c>
      <c r="E49" s="21" t="str">
        <f>IF($N$1="Piping", IF(ISBLANK(Piping!E49), "", Piping!E49), IF($N$1="Vessels", IF(ISBLANK(Vessels!E49), "", Vessels!E49), ""))</f>
        <v/>
      </c>
      <c r="F49" s="21" t="str">
        <f>IF($N$1="Piping", IF(ISBLANK(Piping!F49), "", Piping!F49), IF($N$1="Vessels", IF(ISBLANK(Vessels!F49), "", Vessels!F49), ""))</f>
        <v/>
      </c>
      <c r="G49" s="21">
        <f>IF($N$1="Piping", IF(ISBLANK(Piping!G49), "", Piping!G49), IF($N$1="Vessels", IF(ISBLANK(Vessels!G49), "", Vessels!G49), ""))</f>
        <v>0</v>
      </c>
      <c r="H49" s="21" t="str">
        <f>IF($N$1="Piping", IF(ISBLANK(Piping!H49), "", Piping!H49), IF($N$1="Vessels", IF(ISBLANK(Vessels!H49), "", Vessels!H49), ""))</f>
        <v/>
      </c>
      <c r="I49" s="21" t="str">
        <f>IF($N$1="Piping", IF(ISBLANK(Piping!I49), "", Piping!I49), IF($N$1="Vessels", IF(ISBLANK(Vessels!I49), "", Vessels!I49), ""))</f>
        <v/>
      </c>
      <c r="J49" s="21" t="str">
        <f>IF($N$1="Piping", IF(ISBLANK(Piping!J49), "", Piping!J49), IF($N$1="Vessels", IF(ISBLANK(Vessels!J49), "", Vessels!J49), ""))</f>
        <v/>
      </c>
      <c r="K49" s="21" t="str">
        <f>IF($N$1="Piping", IF(ISBLANK(Piping!K49), "", Piping!K49), IF($N$1="Vessels", IF(ISBLANK(Vessels!K49), "", Vessels!K49), ""))</f>
        <v/>
      </c>
      <c r="L49" s="21" t="str">
        <f>IF($N$1="Piping", IF(ISBLANK(Piping!L49), "", Piping!L49), IF($N$1="Vessels", IF(ISBLANK(Vessels!L49), "", Vessels!L49), ""))</f>
        <v/>
      </c>
      <c r="M49" s="21"/>
      <c r="N49" s="21"/>
      <c r="O49" s="21"/>
      <c r="P49" s="21"/>
      <c r="Q49" s="21" t="str">
        <f>IF($N$1="Piping", IF(ISBLANK(Piping!T49), "", Piping!T49), IF($N$1="Vessels", IF(ISBLANK(Vessels!T49), "", Vessels!T49), ""))</f>
        <v/>
      </c>
      <c r="R49" s="51" t="str">
        <f>IF($N$1="Piping", IF(ISBLANK(Piping!U49), "", Piping!U49), IF($N$1="Vessels", IF(ISBLANK(Vessels!U49), "", Vessels!U49), ""))</f>
        <v/>
      </c>
      <c r="S49" s="118" t="str">
        <f>IF(B49&lt;&gt;"",IF($N$1="Piping", IF(ISBLANK(Piping!$J$3), "", Piping!$J$3), IF($N$1="Vessels", IF(ISBLANK(Vessels!$J$3), "", Vessels!$J$3), "")),"")</f>
        <v/>
      </c>
      <c r="T49" s="37"/>
      <c r="U49" s="37"/>
      <c r="V49" s="37"/>
      <c r="W49" s="37"/>
      <c r="X49" s="37"/>
      <c r="Y49" s="37"/>
      <c r="Z49" s="37"/>
    </row>
    <row r="50" spans="1:26" ht="15.75" customHeight="1" x14ac:dyDescent="0.3">
      <c r="A50" s="22">
        <f>IF($N$1="Piping", IF(ISBLANK(Piping!A50), "", Piping!A50), IF($N$1="Vessels", IF(ISBLANK(Vessels!A50), "", Vessels!A50), ""))</f>
        <v>12.1</v>
      </c>
      <c r="B50" s="21" t="str">
        <f>IF($N$1="Piping", IF(ISBLANK(Piping!B50), "", Piping!B50), IF($N$1="Vessels", IF(ISBLANK(Vessels!B50), "", Vessels!B50), ""))</f>
        <v/>
      </c>
      <c r="C50" s="21" t="str">
        <f>IF($N$1="Piping", IF(ISBLANK(Piping!C50), "", Piping!C50), IF($N$1="Vessels", IF(ISBLANK(Vessels!C50), "", Vessels!C50), ""))</f>
        <v>Piping</v>
      </c>
      <c r="D50" s="21" t="str">
        <f>IF($N$1="Piping", IF(ISBLANK(Piping!D50), "", Piping!D50), IF($N$1="Vessels", IF(ISBLANK(Vessels!D50), "", Vessels!D50), ""))</f>
        <v/>
      </c>
      <c r="E50" s="21" t="str">
        <f>IF($N$1="Piping", IF(ISBLANK(Piping!E50), "", Piping!E50), IF($N$1="Vessels", IF(ISBLANK(Vessels!E50), "", Vessels!E50), ""))</f>
        <v/>
      </c>
      <c r="F50" s="21" t="str">
        <f>IF($N$1="Piping", IF(ISBLANK(Piping!F50), "", Piping!F50), IF($N$1="Vessels", IF(ISBLANK(Vessels!F50), "", Vessels!F50), ""))</f>
        <v/>
      </c>
      <c r="G50" s="21">
        <f>IF($N$1="Piping", IF(ISBLANK(Piping!G50), "", Piping!G50), IF($N$1="Vessels", IF(ISBLANK(Vessels!G50), "", Vessels!G50), ""))</f>
        <v>0</v>
      </c>
      <c r="H50" s="21" t="str">
        <f>IF($N$1="Piping", IF(ISBLANK(Piping!H50), "", Piping!H50), IF($N$1="Vessels", IF(ISBLANK(Vessels!H50), "", Vessels!H50), ""))</f>
        <v/>
      </c>
      <c r="I50" s="21" t="str">
        <f>IF($N$1="Piping", IF(ISBLANK(Piping!I50), "", Piping!I50), IF($N$1="Vessels", IF(ISBLANK(Vessels!I50), "", Vessels!I50), ""))</f>
        <v/>
      </c>
      <c r="J50" s="21" t="str">
        <f>IF($N$1="Piping", IF(ISBLANK(Piping!J50), "", Piping!J50), IF($N$1="Vessels", IF(ISBLANK(Vessels!J50), "", Vessels!J50), ""))</f>
        <v/>
      </c>
      <c r="K50" s="21" t="str">
        <f>IF($N$1="Piping", IF(ISBLANK(Piping!K50), "", Piping!K50), IF($N$1="Vessels", IF(ISBLANK(Vessels!K50), "", Vessels!K50), ""))</f>
        <v/>
      </c>
      <c r="L50" s="21" t="str">
        <f>IF($N$1="Piping", IF(ISBLANK(Piping!L50), "", Piping!L50), IF($N$1="Vessels", IF(ISBLANK(Vessels!L50), "", Vessels!L50), ""))</f>
        <v/>
      </c>
      <c r="M50" s="21"/>
      <c r="N50" s="21"/>
      <c r="O50" s="21"/>
      <c r="P50" s="21"/>
      <c r="Q50" s="21" t="str">
        <f>IF($N$1="Piping", IF(ISBLANK(Piping!T50), "", Piping!T50), IF($N$1="Vessels", IF(ISBLANK(Vessels!T50), "", Vessels!T50), ""))</f>
        <v/>
      </c>
      <c r="R50" s="51" t="str">
        <f>IF($N$1="Piping", IF(ISBLANK(Piping!U50), "", Piping!U50), IF($N$1="Vessels", IF(ISBLANK(Vessels!U50), "", Vessels!U50), ""))</f>
        <v/>
      </c>
      <c r="S50" s="118" t="str">
        <f>IF(B50&lt;&gt;"",IF($N$1="Piping", IF(ISBLANK(Piping!$J$3), "", Piping!$J$3), IF($N$1="Vessels", IF(ISBLANK(Vessels!$J$3), "", Vessels!$J$3), "")),"")</f>
        <v/>
      </c>
      <c r="T50" s="37"/>
      <c r="U50" s="37"/>
      <c r="V50" s="37"/>
      <c r="W50" s="37"/>
      <c r="X50" s="37"/>
      <c r="Y50" s="37"/>
      <c r="Z50" s="37"/>
    </row>
    <row r="51" spans="1:26" ht="15.75" customHeight="1" x14ac:dyDescent="0.3">
      <c r="A51" s="22">
        <f>IF($N$1="Piping", IF(ISBLANK(Piping!A51), "", Piping!A51), IF($N$1="Vessels", IF(ISBLANK(Vessels!A51), "", Vessels!A51), ""))</f>
        <v>12.2</v>
      </c>
      <c r="B51" s="21" t="str">
        <f>IF($N$1="Piping", IF(ISBLANK(Piping!B51), "", Piping!B51), IF($N$1="Vessels", IF(ISBLANK(Vessels!B51), "", Vessels!B51), ""))</f>
        <v/>
      </c>
      <c r="C51" s="21" t="str">
        <f>IF($N$1="Piping", IF(ISBLANK(Piping!C51), "", Piping!C51), IF($N$1="Vessels", IF(ISBLANK(Vessels!C51), "", Vessels!C51), ""))</f>
        <v>Piping</v>
      </c>
      <c r="D51" s="21" t="str">
        <f>IF($N$1="Piping", IF(ISBLANK(Piping!D51), "", Piping!D51), IF($N$1="Vessels", IF(ISBLANK(Vessels!D51), "", Vessels!D51), ""))</f>
        <v/>
      </c>
      <c r="E51" s="21" t="str">
        <f>IF($N$1="Piping", IF(ISBLANK(Piping!E51), "", Piping!E51), IF($N$1="Vessels", IF(ISBLANK(Vessels!E51), "", Vessels!E51), ""))</f>
        <v/>
      </c>
      <c r="F51" s="21" t="str">
        <f>IF($N$1="Piping", IF(ISBLANK(Piping!F51), "", Piping!F51), IF($N$1="Vessels", IF(ISBLANK(Vessels!F51), "", Vessels!F51), ""))</f>
        <v/>
      </c>
      <c r="G51" s="21">
        <f>IF($N$1="Piping", IF(ISBLANK(Piping!G51), "", Piping!G51), IF($N$1="Vessels", IF(ISBLANK(Vessels!G51), "", Vessels!G51), ""))</f>
        <v>0</v>
      </c>
      <c r="H51" s="21" t="str">
        <f>IF($N$1="Piping", IF(ISBLANK(Piping!H51), "", Piping!H51), IF($N$1="Vessels", IF(ISBLANK(Vessels!H51), "", Vessels!H51), ""))</f>
        <v/>
      </c>
      <c r="I51" s="21" t="str">
        <f>IF($N$1="Piping", IF(ISBLANK(Piping!I51), "", Piping!I51), IF($N$1="Vessels", IF(ISBLANK(Vessels!I51), "", Vessels!I51), ""))</f>
        <v/>
      </c>
      <c r="J51" s="21" t="str">
        <f>IF($N$1="Piping", IF(ISBLANK(Piping!J51), "", Piping!J51), IF($N$1="Vessels", IF(ISBLANK(Vessels!J51), "", Vessels!J51), ""))</f>
        <v/>
      </c>
      <c r="K51" s="21" t="str">
        <f>IF($N$1="Piping", IF(ISBLANK(Piping!K51), "", Piping!K51), IF($N$1="Vessels", IF(ISBLANK(Vessels!K51), "", Vessels!K51), ""))</f>
        <v/>
      </c>
      <c r="L51" s="21" t="str">
        <f>IF($N$1="Piping", IF(ISBLANK(Piping!L51), "", Piping!L51), IF($N$1="Vessels", IF(ISBLANK(Vessels!L51), "", Vessels!L51), ""))</f>
        <v/>
      </c>
      <c r="M51" s="21"/>
      <c r="N51" s="21"/>
      <c r="O51" s="21"/>
      <c r="P51" s="21"/>
      <c r="Q51" s="21" t="str">
        <f>IF($N$1="Piping", IF(ISBLANK(Piping!T51), "", Piping!T51), IF($N$1="Vessels", IF(ISBLANK(Vessels!T51), "", Vessels!T51), ""))</f>
        <v/>
      </c>
      <c r="R51" s="51" t="str">
        <f>IF($N$1="Piping", IF(ISBLANK(Piping!U51), "", Piping!U51), IF($N$1="Vessels", IF(ISBLANK(Vessels!U51), "", Vessels!U51), ""))</f>
        <v/>
      </c>
      <c r="S51" s="118" t="str">
        <f>IF(B51&lt;&gt;"",IF($N$1="Piping", IF(ISBLANK(Piping!$J$3), "", Piping!$J$3), IF($N$1="Vessels", IF(ISBLANK(Vessels!$J$3), "", Vessels!$J$3), "")),"")</f>
        <v/>
      </c>
      <c r="T51" s="37"/>
      <c r="U51" s="37"/>
      <c r="V51" s="37"/>
      <c r="W51" s="37"/>
      <c r="X51" s="37"/>
      <c r="Y51" s="37"/>
      <c r="Z51" s="37"/>
    </row>
    <row r="52" spans="1:26" ht="15.75" customHeight="1" x14ac:dyDescent="0.3">
      <c r="A52" s="22">
        <f>IF($N$1="Piping", IF(ISBLANK(Piping!A52), "", Piping!A52), IF($N$1="Vessels", IF(ISBLANK(Vessels!A52), "", Vessels!A52), ""))</f>
        <v>12.3</v>
      </c>
      <c r="B52" s="21" t="str">
        <f>IF($N$1="Piping", IF(ISBLANK(Piping!B52), "", Piping!B52), IF($N$1="Vessels", IF(ISBLANK(Vessels!B52), "", Vessels!B52), ""))</f>
        <v/>
      </c>
      <c r="C52" s="21" t="str">
        <f>IF($N$1="Piping", IF(ISBLANK(Piping!C52), "", Piping!C52), IF($N$1="Vessels", IF(ISBLANK(Vessels!C52), "", Vessels!C52), ""))</f>
        <v>Piping</v>
      </c>
      <c r="D52" s="21" t="str">
        <f>IF($N$1="Piping", IF(ISBLANK(Piping!D52), "", Piping!D52), IF($N$1="Vessels", IF(ISBLANK(Vessels!D52), "", Vessels!D52), ""))</f>
        <v/>
      </c>
      <c r="E52" s="21" t="str">
        <f>IF($N$1="Piping", IF(ISBLANK(Piping!E52), "", Piping!E52), IF($N$1="Vessels", IF(ISBLANK(Vessels!E52), "", Vessels!E52), ""))</f>
        <v/>
      </c>
      <c r="F52" s="21" t="str">
        <f>IF($N$1="Piping", IF(ISBLANK(Piping!F52), "", Piping!F52), IF($N$1="Vessels", IF(ISBLANK(Vessels!F52), "", Vessels!F52), ""))</f>
        <v/>
      </c>
      <c r="G52" s="21">
        <f>IF($N$1="Piping", IF(ISBLANK(Piping!G52), "", Piping!G52), IF($N$1="Vessels", IF(ISBLANK(Vessels!G52), "", Vessels!G52), ""))</f>
        <v>0</v>
      </c>
      <c r="H52" s="21" t="str">
        <f>IF($N$1="Piping", IF(ISBLANK(Piping!H52), "", Piping!H52), IF($N$1="Vessels", IF(ISBLANK(Vessels!H52), "", Vessels!H52), ""))</f>
        <v/>
      </c>
      <c r="I52" s="21" t="str">
        <f>IF($N$1="Piping", IF(ISBLANK(Piping!I52), "", Piping!I52), IF($N$1="Vessels", IF(ISBLANK(Vessels!I52), "", Vessels!I52), ""))</f>
        <v/>
      </c>
      <c r="J52" s="21" t="str">
        <f>IF($N$1="Piping", IF(ISBLANK(Piping!J52), "", Piping!J52), IF($N$1="Vessels", IF(ISBLANK(Vessels!J52), "", Vessels!J52), ""))</f>
        <v/>
      </c>
      <c r="K52" s="21" t="str">
        <f>IF($N$1="Piping", IF(ISBLANK(Piping!K52), "", Piping!K52), IF($N$1="Vessels", IF(ISBLANK(Vessels!K52), "", Vessels!K52), ""))</f>
        <v/>
      </c>
      <c r="L52" s="21" t="str">
        <f>IF($N$1="Piping", IF(ISBLANK(Piping!L52), "", Piping!L52), IF($N$1="Vessels", IF(ISBLANK(Vessels!L52), "", Vessels!L52), ""))</f>
        <v/>
      </c>
      <c r="M52" s="21"/>
      <c r="N52" s="21"/>
      <c r="O52" s="21"/>
      <c r="P52" s="21"/>
      <c r="Q52" s="21" t="str">
        <f>IF($N$1="Piping", IF(ISBLANK(Piping!T52), "", Piping!T52), IF($N$1="Vessels", IF(ISBLANK(Vessels!T52), "", Vessels!T52), ""))</f>
        <v/>
      </c>
      <c r="R52" s="51" t="str">
        <f>IF($N$1="Piping", IF(ISBLANK(Piping!U52), "", Piping!U52), IF($N$1="Vessels", IF(ISBLANK(Vessels!U52), "", Vessels!U52), ""))</f>
        <v/>
      </c>
      <c r="S52" s="118" t="str">
        <f>IF(B52&lt;&gt;"",IF($N$1="Piping", IF(ISBLANK(Piping!$J$3), "", Piping!$J$3), IF($N$1="Vessels", IF(ISBLANK(Vessels!$J$3), "", Vessels!$J$3), "")),"")</f>
        <v/>
      </c>
      <c r="T52" s="37"/>
      <c r="U52" s="37"/>
      <c r="V52" s="37"/>
      <c r="W52" s="37"/>
      <c r="X52" s="37"/>
      <c r="Y52" s="37"/>
      <c r="Z52" s="37"/>
    </row>
    <row r="53" spans="1:26" ht="15.75" customHeight="1" x14ac:dyDescent="0.3">
      <c r="A53" s="22">
        <f>IF($N$1="Piping", IF(ISBLANK(Piping!A53), "", Piping!A53), IF($N$1="Vessels", IF(ISBLANK(Vessels!A53), "", Vessels!A53), ""))</f>
        <v>12.4</v>
      </c>
      <c r="B53" s="21" t="str">
        <f>IF($N$1="Piping", IF(ISBLANK(Piping!B53), "", Piping!B53), IF($N$1="Vessels", IF(ISBLANK(Vessels!B53), "", Vessels!B53), ""))</f>
        <v/>
      </c>
      <c r="C53" s="21" t="str">
        <f>IF($N$1="Piping", IF(ISBLANK(Piping!C53), "", Piping!C53), IF($N$1="Vessels", IF(ISBLANK(Vessels!C53), "", Vessels!C53), ""))</f>
        <v>Piping</v>
      </c>
      <c r="D53" s="21" t="str">
        <f>IF($N$1="Piping", IF(ISBLANK(Piping!D53), "", Piping!D53), IF($N$1="Vessels", IF(ISBLANK(Vessels!D53), "", Vessels!D53), ""))</f>
        <v/>
      </c>
      <c r="E53" s="21" t="str">
        <f>IF($N$1="Piping", IF(ISBLANK(Piping!E53), "", Piping!E53), IF($N$1="Vessels", IF(ISBLANK(Vessels!E53), "", Vessels!E53), ""))</f>
        <v/>
      </c>
      <c r="F53" s="21" t="str">
        <f>IF($N$1="Piping", IF(ISBLANK(Piping!F53), "", Piping!F53), IF($N$1="Vessels", IF(ISBLANK(Vessels!F53), "", Vessels!F53), ""))</f>
        <v/>
      </c>
      <c r="G53" s="21">
        <f>IF($N$1="Piping", IF(ISBLANK(Piping!G53), "", Piping!G53), IF($N$1="Vessels", IF(ISBLANK(Vessels!G53), "", Vessels!G53), ""))</f>
        <v>0</v>
      </c>
      <c r="H53" s="21" t="str">
        <f>IF($N$1="Piping", IF(ISBLANK(Piping!H53), "", Piping!H53), IF($N$1="Vessels", IF(ISBLANK(Vessels!H53), "", Vessels!H53), ""))</f>
        <v/>
      </c>
      <c r="I53" s="21" t="str">
        <f>IF($N$1="Piping", IF(ISBLANK(Piping!I53), "", Piping!I53), IF($N$1="Vessels", IF(ISBLANK(Vessels!I53), "", Vessels!I53), ""))</f>
        <v/>
      </c>
      <c r="J53" s="21" t="str">
        <f>IF($N$1="Piping", IF(ISBLANK(Piping!J53), "", Piping!J53), IF($N$1="Vessels", IF(ISBLANK(Vessels!J53), "", Vessels!J53), ""))</f>
        <v/>
      </c>
      <c r="K53" s="21" t="str">
        <f>IF($N$1="Piping", IF(ISBLANK(Piping!K53), "", Piping!K53), IF($N$1="Vessels", IF(ISBLANK(Vessels!K53), "", Vessels!K53), ""))</f>
        <v/>
      </c>
      <c r="L53" s="21" t="str">
        <f>IF($N$1="Piping", IF(ISBLANK(Piping!L53), "", Piping!L53), IF($N$1="Vessels", IF(ISBLANK(Vessels!L53), "", Vessels!L53), ""))</f>
        <v/>
      </c>
      <c r="M53" s="21"/>
      <c r="N53" s="21"/>
      <c r="O53" s="21"/>
      <c r="P53" s="21"/>
      <c r="Q53" s="21" t="str">
        <f>IF($N$1="Piping", IF(ISBLANK(Piping!T53), "", Piping!T53), IF($N$1="Vessels", IF(ISBLANK(Vessels!T53), "", Vessels!T53), ""))</f>
        <v/>
      </c>
      <c r="R53" s="51" t="str">
        <f>IF($N$1="Piping", IF(ISBLANK(Piping!U53), "", Piping!U53), IF($N$1="Vessels", IF(ISBLANK(Vessels!U53), "", Vessels!U53), ""))</f>
        <v/>
      </c>
      <c r="S53" s="118" t="str">
        <f>IF(B53&lt;&gt;"",IF($N$1="Piping", IF(ISBLANK(Piping!$J$3), "", Piping!$J$3), IF($N$1="Vessels", IF(ISBLANK(Vessels!$J$3), "", Vessels!$J$3), "")),"")</f>
        <v/>
      </c>
      <c r="T53" s="37"/>
      <c r="U53" s="37"/>
      <c r="V53" s="37"/>
      <c r="W53" s="37"/>
      <c r="X53" s="37"/>
      <c r="Y53" s="37"/>
      <c r="Z53" s="37"/>
    </row>
    <row r="54" spans="1:26" ht="15.75" customHeight="1" x14ac:dyDescent="0.3">
      <c r="A54" s="22">
        <f>IF($N$1="Piping", IF(ISBLANK(Piping!A54), "", Piping!A54), IF($N$1="Vessels", IF(ISBLANK(Vessels!A54), "", Vessels!A54), ""))</f>
        <v>13.1</v>
      </c>
      <c r="B54" s="21" t="str">
        <f>IF($N$1="Piping", IF(ISBLANK(Piping!B54), "", Piping!B54), IF($N$1="Vessels", IF(ISBLANK(Vessels!B54), "", Vessels!B54), ""))</f>
        <v/>
      </c>
      <c r="C54" s="21" t="str">
        <f>IF($N$1="Piping", IF(ISBLANK(Piping!C54), "", Piping!C54), IF($N$1="Vessels", IF(ISBLANK(Vessels!C54), "", Vessels!C54), ""))</f>
        <v>Piping</v>
      </c>
      <c r="D54" s="21" t="str">
        <f>IF($N$1="Piping", IF(ISBLANK(Piping!D54), "", Piping!D54), IF($N$1="Vessels", IF(ISBLANK(Vessels!D54), "", Vessels!D54), ""))</f>
        <v/>
      </c>
      <c r="E54" s="21" t="str">
        <f>IF($N$1="Piping", IF(ISBLANK(Piping!E54), "", Piping!E54), IF($N$1="Vessels", IF(ISBLANK(Vessels!E54), "", Vessels!E54), ""))</f>
        <v/>
      </c>
      <c r="F54" s="21" t="str">
        <f>IF($N$1="Piping", IF(ISBLANK(Piping!F54), "", Piping!F54), IF($N$1="Vessels", IF(ISBLANK(Vessels!F54), "", Vessels!F54), ""))</f>
        <v/>
      </c>
      <c r="G54" s="21">
        <f>IF($N$1="Piping", IF(ISBLANK(Piping!G54), "", Piping!G54), IF($N$1="Vessels", IF(ISBLANK(Vessels!G54), "", Vessels!G54), ""))</f>
        <v>0</v>
      </c>
      <c r="H54" s="21" t="str">
        <f>IF($N$1="Piping", IF(ISBLANK(Piping!H54), "", Piping!H54), IF($N$1="Vessels", IF(ISBLANK(Vessels!H54), "", Vessels!H54), ""))</f>
        <v/>
      </c>
      <c r="I54" s="21" t="str">
        <f>IF($N$1="Piping", IF(ISBLANK(Piping!I54), "", Piping!I54), IF($N$1="Vessels", IF(ISBLANK(Vessels!I54), "", Vessels!I54), ""))</f>
        <v/>
      </c>
      <c r="J54" s="21" t="str">
        <f>IF($N$1="Piping", IF(ISBLANK(Piping!J54), "", Piping!J54), IF($N$1="Vessels", IF(ISBLANK(Vessels!J54), "", Vessels!J54), ""))</f>
        <v/>
      </c>
      <c r="K54" s="21" t="str">
        <f>IF($N$1="Piping", IF(ISBLANK(Piping!K54), "", Piping!K54), IF($N$1="Vessels", IF(ISBLANK(Vessels!K54), "", Vessels!K54), ""))</f>
        <v/>
      </c>
      <c r="L54" s="21" t="str">
        <f>IF($N$1="Piping", IF(ISBLANK(Piping!L54), "", Piping!L54), IF($N$1="Vessels", IF(ISBLANK(Vessels!L54), "", Vessels!L54), ""))</f>
        <v/>
      </c>
      <c r="M54" s="21"/>
      <c r="N54" s="21"/>
      <c r="O54" s="21"/>
      <c r="P54" s="21"/>
      <c r="Q54" s="21" t="str">
        <f>IF($N$1="Piping", IF(ISBLANK(Piping!T54), "", Piping!T54), IF($N$1="Vessels", IF(ISBLANK(Vessels!T54), "", Vessels!T54), ""))</f>
        <v/>
      </c>
      <c r="R54" s="51" t="str">
        <f>IF($N$1="Piping", IF(ISBLANK(Piping!U54), "", Piping!U54), IF($N$1="Vessels", IF(ISBLANK(Vessels!U54), "", Vessels!U54), ""))</f>
        <v/>
      </c>
      <c r="S54" s="118" t="str">
        <f>IF(B54&lt;&gt;"",IF($N$1="Piping", IF(ISBLANK(Piping!$J$3), "", Piping!$J$3), IF($N$1="Vessels", IF(ISBLANK(Vessels!$J$3), "", Vessels!$J$3), "")),"")</f>
        <v/>
      </c>
      <c r="T54" s="37"/>
      <c r="U54" s="37"/>
      <c r="V54" s="37"/>
      <c r="W54" s="37"/>
      <c r="X54" s="37"/>
      <c r="Y54" s="37"/>
      <c r="Z54" s="37"/>
    </row>
    <row r="55" spans="1:26" ht="15.75" customHeight="1" x14ac:dyDescent="0.3">
      <c r="A55" s="22">
        <f>IF($N$1="Piping", IF(ISBLANK(Piping!A55), "", Piping!A55), IF($N$1="Vessels", IF(ISBLANK(Vessels!A55), "", Vessels!A55), ""))</f>
        <v>13.2</v>
      </c>
      <c r="B55" s="21" t="str">
        <f>IF($N$1="Piping", IF(ISBLANK(Piping!B55), "", Piping!B55), IF($N$1="Vessels", IF(ISBLANK(Vessels!B55), "", Vessels!B55), ""))</f>
        <v/>
      </c>
      <c r="C55" s="21" t="str">
        <f>IF($N$1="Piping", IF(ISBLANK(Piping!C55), "", Piping!C55), IF($N$1="Vessels", IF(ISBLANK(Vessels!C55), "", Vessels!C55), ""))</f>
        <v>Piping</v>
      </c>
      <c r="D55" s="21" t="str">
        <f>IF($N$1="Piping", IF(ISBLANK(Piping!D55), "", Piping!D55), IF($N$1="Vessels", IF(ISBLANK(Vessels!D55), "", Vessels!D55), ""))</f>
        <v/>
      </c>
      <c r="E55" s="21" t="str">
        <f>IF($N$1="Piping", IF(ISBLANK(Piping!E55), "", Piping!E55), IF($N$1="Vessels", IF(ISBLANK(Vessels!E55), "", Vessels!E55), ""))</f>
        <v/>
      </c>
      <c r="F55" s="21" t="str">
        <f>IF($N$1="Piping", IF(ISBLANK(Piping!F55), "", Piping!F55), IF($N$1="Vessels", IF(ISBLANK(Vessels!F55), "", Vessels!F55), ""))</f>
        <v/>
      </c>
      <c r="G55" s="21">
        <f>IF($N$1="Piping", IF(ISBLANK(Piping!G55), "", Piping!G55), IF($N$1="Vessels", IF(ISBLANK(Vessels!G55), "", Vessels!G55), ""))</f>
        <v>0</v>
      </c>
      <c r="H55" s="21" t="str">
        <f>IF($N$1="Piping", IF(ISBLANK(Piping!H55), "", Piping!H55), IF($N$1="Vessels", IF(ISBLANK(Vessels!H55), "", Vessels!H55), ""))</f>
        <v/>
      </c>
      <c r="I55" s="21" t="str">
        <f>IF($N$1="Piping", IF(ISBLANK(Piping!I55), "", Piping!I55), IF($N$1="Vessels", IF(ISBLANK(Vessels!I55), "", Vessels!I55), ""))</f>
        <v/>
      </c>
      <c r="J55" s="21" t="str">
        <f>IF($N$1="Piping", IF(ISBLANK(Piping!J55), "", Piping!J55), IF($N$1="Vessels", IF(ISBLANK(Vessels!J55), "", Vessels!J55), ""))</f>
        <v/>
      </c>
      <c r="K55" s="21" t="str">
        <f>IF($N$1="Piping", IF(ISBLANK(Piping!K55), "", Piping!K55), IF($N$1="Vessels", IF(ISBLANK(Vessels!K55), "", Vessels!K55), ""))</f>
        <v/>
      </c>
      <c r="L55" s="21" t="str">
        <f>IF($N$1="Piping", IF(ISBLANK(Piping!L55), "", Piping!L55), IF($N$1="Vessels", IF(ISBLANK(Vessels!L55), "", Vessels!L55), ""))</f>
        <v/>
      </c>
      <c r="M55" s="21"/>
      <c r="N55" s="21"/>
      <c r="O55" s="21"/>
      <c r="P55" s="21"/>
      <c r="Q55" s="21" t="str">
        <f>IF($N$1="Piping", IF(ISBLANK(Piping!T55), "", Piping!T55), IF($N$1="Vessels", IF(ISBLANK(Vessels!T55), "", Vessels!T55), ""))</f>
        <v/>
      </c>
      <c r="R55" s="51" t="str">
        <f>IF($N$1="Piping", IF(ISBLANK(Piping!U55), "", Piping!U55), IF($N$1="Vessels", IF(ISBLANK(Vessels!U55), "", Vessels!U55), ""))</f>
        <v/>
      </c>
      <c r="S55" s="118" t="str">
        <f>IF(B55&lt;&gt;"",IF($N$1="Piping", IF(ISBLANK(Piping!$J$3), "", Piping!$J$3), IF($N$1="Vessels", IF(ISBLANK(Vessels!$J$3), "", Vessels!$J$3), "")),"")</f>
        <v/>
      </c>
      <c r="T55" s="37"/>
      <c r="U55" s="37"/>
      <c r="V55" s="37"/>
      <c r="W55" s="37"/>
      <c r="X55" s="37"/>
      <c r="Y55" s="37"/>
      <c r="Z55" s="37"/>
    </row>
    <row r="56" spans="1:26" ht="15.75" customHeight="1" x14ac:dyDescent="0.3">
      <c r="A56" s="22">
        <f>IF($N$1="Piping", IF(ISBLANK(Piping!A56), "", Piping!A56), IF($N$1="Vessels", IF(ISBLANK(Vessels!A56), "", Vessels!A56), ""))</f>
        <v>13.3</v>
      </c>
      <c r="B56" s="21" t="str">
        <f>IF($N$1="Piping", IF(ISBLANK(Piping!B56), "", Piping!B56), IF($N$1="Vessels", IF(ISBLANK(Vessels!B56), "", Vessels!B56), ""))</f>
        <v/>
      </c>
      <c r="C56" s="21" t="str">
        <f>IF($N$1="Piping", IF(ISBLANK(Piping!C56), "", Piping!C56), IF($N$1="Vessels", IF(ISBLANK(Vessels!C56), "", Vessels!C56), ""))</f>
        <v>Piping</v>
      </c>
      <c r="D56" s="21" t="str">
        <f>IF($N$1="Piping", IF(ISBLANK(Piping!D56), "", Piping!D56), IF($N$1="Vessels", IF(ISBLANK(Vessels!D56), "", Vessels!D56), ""))</f>
        <v/>
      </c>
      <c r="E56" s="21" t="str">
        <f>IF($N$1="Piping", IF(ISBLANK(Piping!E56), "", Piping!E56), IF($N$1="Vessels", IF(ISBLANK(Vessels!E56), "", Vessels!E56), ""))</f>
        <v/>
      </c>
      <c r="F56" s="21" t="str">
        <f>IF($N$1="Piping", IF(ISBLANK(Piping!F56), "", Piping!F56), IF($N$1="Vessels", IF(ISBLANK(Vessels!F56), "", Vessels!F56), ""))</f>
        <v/>
      </c>
      <c r="G56" s="21">
        <f>IF($N$1="Piping", IF(ISBLANK(Piping!G56), "", Piping!G56), IF($N$1="Vessels", IF(ISBLANK(Vessels!G56), "", Vessels!G56), ""))</f>
        <v>0</v>
      </c>
      <c r="H56" s="21" t="str">
        <f>IF($N$1="Piping", IF(ISBLANK(Piping!H56), "", Piping!H56), IF($N$1="Vessels", IF(ISBLANK(Vessels!H56), "", Vessels!H56), ""))</f>
        <v/>
      </c>
      <c r="I56" s="21" t="str">
        <f>IF($N$1="Piping", IF(ISBLANK(Piping!I56), "", Piping!I56), IF($N$1="Vessels", IF(ISBLANK(Vessels!I56), "", Vessels!I56), ""))</f>
        <v/>
      </c>
      <c r="J56" s="21" t="str">
        <f>IF($N$1="Piping", IF(ISBLANK(Piping!J56), "", Piping!J56), IF($N$1="Vessels", IF(ISBLANK(Vessels!J56), "", Vessels!J56), ""))</f>
        <v/>
      </c>
      <c r="K56" s="21" t="str">
        <f>IF($N$1="Piping", IF(ISBLANK(Piping!K56), "", Piping!K56), IF($N$1="Vessels", IF(ISBLANK(Vessels!K56), "", Vessels!K56), ""))</f>
        <v/>
      </c>
      <c r="L56" s="21" t="str">
        <f>IF($N$1="Piping", IF(ISBLANK(Piping!L56), "", Piping!L56), IF($N$1="Vessels", IF(ISBLANK(Vessels!L56), "", Vessels!L56), ""))</f>
        <v/>
      </c>
      <c r="M56" s="21"/>
      <c r="N56" s="21"/>
      <c r="O56" s="21"/>
      <c r="P56" s="21"/>
      <c r="Q56" s="21" t="str">
        <f>IF($N$1="Piping", IF(ISBLANK(Piping!T56), "", Piping!T56), IF($N$1="Vessels", IF(ISBLANK(Vessels!T56), "", Vessels!T56), ""))</f>
        <v/>
      </c>
      <c r="R56" s="51" t="str">
        <f>IF($N$1="Piping", IF(ISBLANK(Piping!U56), "", Piping!U56), IF($N$1="Vessels", IF(ISBLANK(Vessels!U56), "", Vessels!U56), ""))</f>
        <v/>
      </c>
      <c r="S56" s="118" t="str">
        <f>IF(B56&lt;&gt;"",IF($N$1="Piping", IF(ISBLANK(Piping!$J$3), "", Piping!$J$3), IF($N$1="Vessels", IF(ISBLANK(Vessels!$J$3), "", Vessels!$J$3), "")),"")</f>
        <v/>
      </c>
      <c r="T56" s="37"/>
      <c r="U56" s="37"/>
      <c r="V56" s="37"/>
      <c r="W56" s="37"/>
      <c r="X56" s="37"/>
      <c r="Y56" s="37"/>
      <c r="Z56" s="37"/>
    </row>
    <row r="57" spans="1:26" ht="15.75" customHeight="1" x14ac:dyDescent="0.3">
      <c r="A57" s="22">
        <f>IF($N$1="Piping", IF(ISBLANK(Piping!A57), "", Piping!A57), IF($N$1="Vessels", IF(ISBLANK(Vessels!A57), "", Vessels!A57), ""))</f>
        <v>13.4</v>
      </c>
      <c r="B57" s="21" t="str">
        <f>IF($N$1="Piping", IF(ISBLANK(Piping!B57), "", Piping!B57), IF($N$1="Vessels", IF(ISBLANK(Vessels!B57), "", Vessels!B57), ""))</f>
        <v/>
      </c>
      <c r="C57" s="21" t="str">
        <f>IF($N$1="Piping", IF(ISBLANK(Piping!C57), "", Piping!C57), IF($N$1="Vessels", IF(ISBLANK(Vessels!C57), "", Vessels!C57), ""))</f>
        <v>Piping</v>
      </c>
      <c r="D57" s="21" t="str">
        <f>IF($N$1="Piping", IF(ISBLANK(Piping!D57), "", Piping!D57), IF($N$1="Vessels", IF(ISBLANK(Vessels!D57), "", Vessels!D57), ""))</f>
        <v/>
      </c>
      <c r="E57" s="21" t="str">
        <f>IF($N$1="Piping", IF(ISBLANK(Piping!E57), "", Piping!E57), IF($N$1="Vessels", IF(ISBLANK(Vessels!E57), "", Vessels!E57), ""))</f>
        <v/>
      </c>
      <c r="F57" s="21" t="str">
        <f>IF($N$1="Piping", IF(ISBLANK(Piping!F57), "", Piping!F57), IF($N$1="Vessels", IF(ISBLANK(Vessels!F57), "", Vessels!F57), ""))</f>
        <v/>
      </c>
      <c r="G57" s="21">
        <f>IF($N$1="Piping", IF(ISBLANK(Piping!G57), "", Piping!G57), IF($N$1="Vessels", IF(ISBLANK(Vessels!G57), "", Vessels!G57), ""))</f>
        <v>0</v>
      </c>
      <c r="H57" s="21" t="str">
        <f>IF($N$1="Piping", IF(ISBLANK(Piping!H57), "", Piping!H57), IF($N$1="Vessels", IF(ISBLANK(Vessels!H57), "", Vessels!H57), ""))</f>
        <v/>
      </c>
      <c r="I57" s="21" t="str">
        <f>IF($N$1="Piping", IF(ISBLANK(Piping!I57), "", Piping!I57), IF($N$1="Vessels", IF(ISBLANK(Vessels!I57), "", Vessels!I57), ""))</f>
        <v/>
      </c>
      <c r="J57" s="21" t="str">
        <f>IF($N$1="Piping", IF(ISBLANK(Piping!J57), "", Piping!J57), IF($N$1="Vessels", IF(ISBLANK(Vessels!J57), "", Vessels!J57), ""))</f>
        <v/>
      </c>
      <c r="K57" s="21" t="str">
        <f>IF($N$1="Piping", IF(ISBLANK(Piping!K57), "", Piping!K57), IF($N$1="Vessels", IF(ISBLANK(Vessels!K57), "", Vessels!K57), ""))</f>
        <v/>
      </c>
      <c r="L57" s="21" t="str">
        <f>IF($N$1="Piping", IF(ISBLANK(Piping!L57), "", Piping!L57), IF($N$1="Vessels", IF(ISBLANK(Vessels!L57), "", Vessels!L57), ""))</f>
        <v/>
      </c>
      <c r="M57" s="21"/>
      <c r="N57" s="21"/>
      <c r="O57" s="21"/>
      <c r="P57" s="21"/>
      <c r="Q57" s="21" t="str">
        <f>IF($N$1="Piping", IF(ISBLANK(Piping!T57), "", Piping!T57), IF($N$1="Vessels", IF(ISBLANK(Vessels!T57), "", Vessels!T57), ""))</f>
        <v/>
      </c>
      <c r="R57" s="51" t="str">
        <f>IF($N$1="Piping", IF(ISBLANK(Piping!U57), "", Piping!U57), IF($N$1="Vessels", IF(ISBLANK(Vessels!U57), "", Vessels!U57), ""))</f>
        <v/>
      </c>
      <c r="S57" s="118" t="str">
        <f>IF(B57&lt;&gt;"",IF($N$1="Piping", IF(ISBLANK(Piping!$J$3), "", Piping!$J$3), IF($N$1="Vessels", IF(ISBLANK(Vessels!$J$3), "", Vessels!$J$3), "")),"")</f>
        <v/>
      </c>
      <c r="T57" s="37"/>
      <c r="U57" s="37"/>
      <c r="V57" s="37"/>
      <c r="W57" s="37"/>
      <c r="X57" s="37"/>
      <c r="Y57" s="37"/>
      <c r="Z57" s="37"/>
    </row>
    <row r="58" spans="1:26" ht="15.75" customHeight="1" x14ac:dyDescent="0.3">
      <c r="A58" s="22">
        <f>IF($N$1="Piping", IF(ISBLANK(Piping!A58), "", Piping!A58), IF($N$1="Vessels", IF(ISBLANK(Vessels!A58), "", Vessels!A58), ""))</f>
        <v>14.1</v>
      </c>
      <c r="B58" s="21" t="str">
        <f>IF($N$1="Piping", IF(ISBLANK(Piping!B58), "", Piping!B58), IF($N$1="Vessels", IF(ISBLANK(Vessels!B58), "", Vessels!B58), ""))</f>
        <v/>
      </c>
      <c r="C58" s="21" t="str">
        <f>IF($N$1="Piping", IF(ISBLANK(Piping!C58), "", Piping!C58), IF($N$1="Vessels", IF(ISBLANK(Vessels!C58), "", Vessels!C58), ""))</f>
        <v>Piping</v>
      </c>
      <c r="D58" s="21" t="str">
        <f>IF($N$1="Piping", IF(ISBLANK(Piping!D58), "", Piping!D58), IF($N$1="Vessels", IF(ISBLANK(Vessels!D58), "", Vessels!D58), ""))</f>
        <v/>
      </c>
      <c r="E58" s="21" t="str">
        <f>IF($N$1="Piping", IF(ISBLANK(Piping!E58), "", Piping!E58), IF($N$1="Vessels", IF(ISBLANK(Vessels!E58), "", Vessels!E58), ""))</f>
        <v/>
      </c>
      <c r="F58" s="21" t="str">
        <f>IF($N$1="Piping", IF(ISBLANK(Piping!F58), "", Piping!F58), IF($N$1="Vessels", IF(ISBLANK(Vessels!F58), "", Vessels!F58), ""))</f>
        <v/>
      </c>
      <c r="G58" s="21">
        <f>IF($N$1="Piping", IF(ISBLANK(Piping!G58), "", Piping!G58), IF($N$1="Vessels", IF(ISBLANK(Vessels!G58), "", Vessels!G58), ""))</f>
        <v>0</v>
      </c>
      <c r="H58" s="21" t="str">
        <f>IF($N$1="Piping", IF(ISBLANK(Piping!H58), "", Piping!H58), IF($N$1="Vessels", IF(ISBLANK(Vessels!H58), "", Vessels!H58), ""))</f>
        <v/>
      </c>
      <c r="I58" s="21" t="str">
        <f>IF($N$1="Piping", IF(ISBLANK(Piping!I58), "", Piping!I58), IF($N$1="Vessels", IF(ISBLANK(Vessels!I58), "", Vessels!I58), ""))</f>
        <v/>
      </c>
      <c r="J58" s="21" t="str">
        <f>IF($N$1="Piping", IF(ISBLANK(Piping!J58), "", Piping!J58), IF($N$1="Vessels", IF(ISBLANK(Vessels!J58), "", Vessels!J58), ""))</f>
        <v/>
      </c>
      <c r="K58" s="21" t="str">
        <f>IF($N$1="Piping", IF(ISBLANK(Piping!K58), "", Piping!K58), IF($N$1="Vessels", IF(ISBLANK(Vessels!K58), "", Vessels!K58), ""))</f>
        <v/>
      </c>
      <c r="L58" s="21" t="str">
        <f>IF($N$1="Piping", IF(ISBLANK(Piping!L58), "", Piping!L58), IF($N$1="Vessels", IF(ISBLANK(Vessels!L58), "", Vessels!L58), ""))</f>
        <v/>
      </c>
      <c r="M58" s="21"/>
      <c r="N58" s="21"/>
      <c r="O58" s="21"/>
      <c r="P58" s="21"/>
      <c r="Q58" s="21" t="str">
        <f>IF($N$1="Piping", IF(ISBLANK(Piping!T58), "", Piping!T58), IF($N$1="Vessels", IF(ISBLANK(Vessels!T58), "", Vessels!T58), ""))</f>
        <v/>
      </c>
      <c r="R58" s="51" t="str">
        <f>IF($N$1="Piping", IF(ISBLANK(Piping!U58), "", Piping!U58), IF($N$1="Vessels", IF(ISBLANK(Vessels!U58), "", Vessels!U58), ""))</f>
        <v/>
      </c>
      <c r="S58" s="118" t="str">
        <f>IF(B58&lt;&gt;"",IF($N$1="Piping", IF(ISBLANK(Piping!$J$3), "", Piping!$J$3), IF($N$1="Vessels", IF(ISBLANK(Vessels!$J$3), "", Vessels!$J$3), "")),"")</f>
        <v/>
      </c>
      <c r="T58" s="37"/>
      <c r="U58" s="37"/>
      <c r="V58" s="37"/>
      <c r="W58" s="37"/>
      <c r="X58" s="37"/>
      <c r="Y58" s="37"/>
      <c r="Z58" s="37"/>
    </row>
    <row r="59" spans="1:26" ht="15.75" customHeight="1" x14ac:dyDescent="0.3">
      <c r="A59" s="22">
        <f>IF($N$1="Piping", IF(ISBLANK(Piping!A59), "", Piping!A59), IF($N$1="Vessels", IF(ISBLANK(Vessels!A59), "", Vessels!A59), ""))</f>
        <v>14.2</v>
      </c>
      <c r="B59" s="21" t="str">
        <f>IF($N$1="Piping", IF(ISBLANK(Piping!B59), "", Piping!B59), IF($N$1="Vessels", IF(ISBLANK(Vessels!B59), "", Vessels!B59), ""))</f>
        <v/>
      </c>
      <c r="C59" s="21" t="str">
        <f>IF($N$1="Piping", IF(ISBLANK(Piping!C59), "", Piping!C59), IF($N$1="Vessels", IF(ISBLANK(Vessels!C59), "", Vessels!C59), ""))</f>
        <v>Piping</v>
      </c>
      <c r="D59" s="21" t="str">
        <f>IF($N$1="Piping", IF(ISBLANK(Piping!D59), "", Piping!D59), IF($N$1="Vessels", IF(ISBLANK(Vessels!D59), "", Vessels!D59), ""))</f>
        <v/>
      </c>
      <c r="E59" s="21" t="str">
        <f>IF($N$1="Piping", IF(ISBLANK(Piping!E59), "", Piping!E59), IF($N$1="Vessels", IF(ISBLANK(Vessels!E59), "", Vessels!E59), ""))</f>
        <v/>
      </c>
      <c r="F59" s="21" t="str">
        <f>IF($N$1="Piping", IF(ISBLANK(Piping!F59), "", Piping!F59), IF($N$1="Vessels", IF(ISBLANK(Vessels!F59), "", Vessels!F59), ""))</f>
        <v/>
      </c>
      <c r="G59" s="21">
        <f>IF($N$1="Piping", IF(ISBLANK(Piping!G59), "", Piping!G59), IF($N$1="Vessels", IF(ISBLANK(Vessels!G59), "", Vessels!G59), ""))</f>
        <v>0</v>
      </c>
      <c r="H59" s="21" t="str">
        <f>IF($N$1="Piping", IF(ISBLANK(Piping!H59), "", Piping!H59), IF($N$1="Vessels", IF(ISBLANK(Vessels!H59), "", Vessels!H59), ""))</f>
        <v/>
      </c>
      <c r="I59" s="21" t="str">
        <f>IF($N$1="Piping", IF(ISBLANK(Piping!I59), "", Piping!I59), IF($N$1="Vessels", IF(ISBLANK(Vessels!I59), "", Vessels!I59), ""))</f>
        <v/>
      </c>
      <c r="J59" s="21" t="str">
        <f>IF($N$1="Piping", IF(ISBLANK(Piping!J59), "", Piping!J59), IF($N$1="Vessels", IF(ISBLANK(Vessels!J59), "", Vessels!J59), ""))</f>
        <v/>
      </c>
      <c r="K59" s="21" t="str">
        <f>IF($N$1="Piping", IF(ISBLANK(Piping!K59), "", Piping!K59), IF($N$1="Vessels", IF(ISBLANK(Vessels!K59), "", Vessels!K59), ""))</f>
        <v/>
      </c>
      <c r="L59" s="21" t="str">
        <f>IF($N$1="Piping", IF(ISBLANK(Piping!L59), "", Piping!L59), IF($N$1="Vessels", IF(ISBLANK(Vessels!L59), "", Vessels!L59), ""))</f>
        <v/>
      </c>
      <c r="M59" s="21"/>
      <c r="N59" s="21"/>
      <c r="O59" s="21"/>
      <c r="P59" s="21"/>
      <c r="Q59" s="21" t="str">
        <f>IF($N$1="Piping", IF(ISBLANK(Piping!T59), "", Piping!T59), IF($N$1="Vessels", IF(ISBLANK(Vessels!T59), "", Vessels!T59), ""))</f>
        <v/>
      </c>
      <c r="R59" s="51" t="str">
        <f>IF($N$1="Piping", IF(ISBLANK(Piping!U59), "", Piping!U59), IF($N$1="Vessels", IF(ISBLANK(Vessels!U59), "", Vessels!U59), ""))</f>
        <v/>
      </c>
      <c r="S59" s="118" t="str">
        <f>IF(B59&lt;&gt;"",IF($N$1="Piping", IF(ISBLANK(Piping!$J$3), "", Piping!$J$3), IF($N$1="Vessels", IF(ISBLANK(Vessels!$J$3), "", Vessels!$J$3), "")),"")</f>
        <v/>
      </c>
      <c r="T59" s="37"/>
      <c r="U59" s="37"/>
      <c r="V59" s="37"/>
      <c r="W59" s="37"/>
      <c r="X59" s="37"/>
      <c r="Y59" s="37"/>
      <c r="Z59" s="37"/>
    </row>
    <row r="60" spans="1:26" ht="15.75" customHeight="1" x14ac:dyDescent="0.3">
      <c r="A60" s="22">
        <f>IF($N$1="Piping", IF(ISBLANK(Piping!A60), "", Piping!A60), IF($N$1="Vessels", IF(ISBLANK(Vessels!A60), "", Vessels!A60), ""))</f>
        <v>14.3</v>
      </c>
      <c r="B60" s="21" t="str">
        <f>IF($N$1="Piping", IF(ISBLANK(Piping!B60), "", Piping!B60), IF($N$1="Vessels", IF(ISBLANK(Vessels!B60), "", Vessels!B60), ""))</f>
        <v/>
      </c>
      <c r="C60" s="21" t="str">
        <f>IF($N$1="Piping", IF(ISBLANK(Piping!C60), "", Piping!C60), IF($N$1="Vessels", IF(ISBLANK(Vessels!C60), "", Vessels!C60), ""))</f>
        <v>Piping</v>
      </c>
      <c r="D60" s="21" t="str">
        <f>IF($N$1="Piping", IF(ISBLANK(Piping!D60), "", Piping!D60), IF($N$1="Vessels", IF(ISBLANK(Vessels!D60), "", Vessels!D60), ""))</f>
        <v/>
      </c>
      <c r="E60" s="21" t="str">
        <f>IF($N$1="Piping", IF(ISBLANK(Piping!E60), "", Piping!E60), IF($N$1="Vessels", IF(ISBLANK(Vessels!E60), "", Vessels!E60), ""))</f>
        <v/>
      </c>
      <c r="F60" s="21" t="str">
        <f>IF($N$1="Piping", IF(ISBLANK(Piping!F60), "", Piping!F60), IF($N$1="Vessels", IF(ISBLANK(Vessels!F60), "", Vessels!F60), ""))</f>
        <v/>
      </c>
      <c r="G60" s="21">
        <f>IF($N$1="Piping", IF(ISBLANK(Piping!G60), "", Piping!G60), IF($N$1="Vessels", IF(ISBLANK(Vessels!G60), "", Vessels!G60), ""))</f>
        <v>0</v>
      </c>
      <c r="H60" s="21" t="str">
        <f>IF($N$1="Piping", IF(ISBLANK(Piping!H60), "", Piping!H60), IF($N$1="Vessels", IF(ISBLANK(Vessels!H60), "", Vessels!H60), ""))</f>
        <v/>
      </c>
      <c r="I60" s="21" t="str">
        <f>IF($N$1="Piping", IF(ISBLANK(Piping!I60), "", Piping!I60), IF($N$1="Vessels", IF(ISBLANK(Vessels!I60), "", Vessels!I60), ""))</f>
        <v/>
      </c>
      <c r="J60" s="21" t="str">
        <f>IF($N$1="Piping", IF(ISBLANK(Piping!J60), "", Piping!J60), IF($N$1="Vessels", IF(ISBLANK(Vessels!J60), "", Vessels!J60), ""))</f>
        <v/>
      </c>
      <c r="K60" s="21" t="str">
        <f>IF($N$1="Piping", IF(ISBLANK(Piping!K60), "", Piping!K60), IF($N$1="Vessels", IF(ISBLANK(Vessels!K60), "", Vessels!K60), ""))</f>
        <v/>
      </c>
      <c r="L60" s="21" t="str">
        <f>IF($N$1="Piping", IF(ISBLANK(Piping!L60), "", Piping!L60), IF($N$1="Vessels", IF(ISBLANK(Vessels!L60), "", Vessels!L60), ""))</f>
        <v/>
      </c>
      <c r="M60" s="21"/>
      <c r="N60" s="21"/>
      <c r="O60" s="21"/>
      <c r="P60" s="21"/>
      <c r="Q60" s="21" t="str">
        <f>IF($N$1="Piping", IF(ISBLANK(Piping!T60), "", Piping!T60), IF($N$1="Vessels", IF(ISBLANK(Vessels!T60), "", Vessels!T60), ""))</f>
        <v/>
      </c>
      <c r="R60" s="51" t="str">
        <f>IF($N$1="Piping", IF(ISBLANK(Piping!U60), "", Piping!U60), IF($N$1="Vessels", IF(ISBLANK(Vessels!U60), "", Vessels!U60), ""))</f>
        <v/>
      </c>
      <c r="S60" s="118" t="str">
        <f>IF(B60&lt;&gt;"",IF($N$1="Piping", IF(ISBLANK(Piping!$J$3), "", Piping!$J$3), IF($N$1="Vessels", IF(ISBLANK(Vessels!$J$3), "", Vessels!$J$3), "")),"")</f>
        <v/>
      </c>
      <c r="T60" s="37"/>
      <c r="U60" s="37"/>
      <c r="V60" s="37"/>
      <c r="W60" s="37"/>
      <c r="X60" s="37"/>
      <c r="Y60" s="37"/>
      <c r="Z60" s="37"/>
    </row>
    <row r="61" spans="1:26" ht="15.75" customHeight="1" x14ac:dyDescent="0.3">
      <c r="A61" s="22">
        <f>IF($N$1="Piping", IF(ISBLANK(Piping!A61), "", Piping!A61), IF($N$1="Vessels", IF(ISBLANK(Vessels!A61), "", Vessels!A61), ""))</f>
        <v>14.4</v>
      </c>
      <c r="B61" s="21" t="str">
        <f>IF($N$1="Piping", IF(ISBLANK(Piping!B61), "", Piping!B61), IF($N$1="Vessels", IF(ISBLANK(Vessels!B61), "", Vessels!B61), ""))</f>
        <v/>
      </c>
      <c r="C61" s="21" t="str">
        <f>IF($N$1="Piping", IF(ISBLANK(Piping!C61), "", Piping!C61), IF($N$1="Vessels", IF(ISBLANK(Vessels!C61), "", Vessels!C61), ""))</f>
        <v>Piping</v>
      </c>
      <c r="D61" s="21" t="str">
        <f>IF($N$1="Piping", IF(ISBLANK(Piping!D61), "", Piping!D61), IF($N$1="Vessels", IF(ISBLANK(Vessels!D61), "", Vessels!D61), ""))</f>
        <v/>
      </c>
      <c r="E61" s="21" t="str">
        <f>IF($N$1="Piping", IF(ISBLANK(Piping!E61), "", Piping!E61), IF($N$1="Vessels", IF(ISBLANK(Vessels!E61), "", Vessels!E61), ""))</f>
        <v/>
      </c>
      <c r="F61" s="21" t="str">
        <f>IF($N$1="Piping", IF(ISBLANK(Piping!F61), "", Piping!F61), IF($N$1="Vessels", IF(ISBLANK(Vessels!F61), "", Vessels!F61), ""))</f>
        <v/>
      </c>
      <c r="G61" s="21">
        <f>IF($N$1="Piping", IF(ISBLANK(Piping!G61), "", Piping!G61), IF($N$1="Vessels", IF(ISBLANK(Vessels!G61), "", Vessels!G61), ""))</f>
        <v>0</v>
      </c>
      <c r="H61" s="21" t="str">
        <f>IF($N$1="Piping", IF(ISBLANK(Piping!H61), "", Piping!H61), IF($N$1="Vessels", IF(ISBLANK(Vessels!H61), "", Vessels!H61), ""))</f>
        <v/>
      </c>
      <c r="I61" s="21" t="str">
        <f>IF($N$1="Piping", IF(ISBLANK(Piping!I61), "", Piping!I61), IF($N$1="Vessels", IF(ISBLANK(Vessels!I61), "", Vessels!I61), ""))</f>
        <v/>
      </c>
      <c r="J61" s="21" t="str">
        <f>IF($N$1="Piping", IF(ISBLANK(Piping!J61), "", Piping!J61), IF($N$1="Vessels", IF(ISBLANK(Vessels!J61), "", Vessels!J61), ""))</f>
        <v/>
      </c>
      <c r="K61" s="21" t="str">
        <f>IF($N$1="Piping", IF(ISBLANK(Piping!K61), "", Piping!K61), IF($N$1="Vessels", IF(ISBLANK(Vessels!K61), "", Vessels!K61), ""))</f>
        <v/>
      </c>
      <c r="L61" s="21" t="str">
        <f>IF($N$1="Piping", IF(ISBLANK(Piping!L61), "", Piping!L61), IF($N$1="Vessels", IF(ISBLANK(Vessels!L61), "", Vessels!L61), ""))</f>
        <v/>
      </c>
      <c r="M61" s="21"/>
      <c r="N61" s="21"/>
      <c r="O61" s="21"/>
      <c r="P61" s="21"/>
      <c r="Q61" s="21" t="str">
        <f>IF($N$1="Piping", IF(ISBLANK(Piping!T61), "", Piping!T61), IF($N$1="Vessels", IF(ISBLANK(Vessels!T61), "", Vessels!T61), ""))</f>
        <v/>
      </c>
      <c r="R61" s="51" t="str">
        <f>IF($N$1="Piping", IF(ISBLANK(Piping!U61), "", Piping!U61), IF($N$1="Vessels", IF(ISBLANK(Vessels!U61), "", Vessels!U61), ""))</f>
        <v/>
      </c>
      <c r="S61" s="118" t="str">
        <f>IF(B61&lt;&gt;"",IF($N$1="Piping", IF(ISBLANK(Piping!$J$3), "", Piping!$J$3), IF($N$1="Vessels", IF(ISBLANK(Vessels!$J$3), "", Vessels!$J$3), "")),"")</f>
        <v/>
      </c>
      <c r="T61" s="37"/>
      <c r="U61" s="37"/>
      <c r="V61" s="37"/>
      <c r="W61" s="37"/>
      <c r="X61" s="37"/>
      <c r="Y61" s="37"/>
      <c r="Z61" s="37"/>
    </row>
    <row r="62" spans="1:26" ht="15.75" customHeight="1" x14ac:dyDescent="0.3">
      <c r="A62" s="22">
        <f>IF($N$1="Piping", IF(ISBLANK(Piping!A62), "", Piping!A62), IF($N$1="Vessels", IF(ISBLANK(Vessels!A62), "", Vessels!A62), ""))</f>
        <v>15.1</v>
      </c>
      <c r="B62" s="21" t="str">
        <f>IF($N$1="Piping", IF(ISBLANK(Piping!B62), "", Piping!B62), IF($N$1="Vessels", IF(ISBLANK(Vessels!B62), "", Vessels!B62), ""))</f>
        <v/>
      </c>
      <c r="C62" s="21" t="str">
        <f>IF($N$1="Piping", IF(ISBLANK(Piping!C62), "", Piping!C62), IF($N$1="Vessels", IF(ISBLANK(Vessels!C62), "", Vessels!C62), ""))</f>
        <v>Piping</v>
      </c>
      <c r="D62" s="21" t="str">
        <f>IF($N$1="Piping", IF(ISBLANK(Piping!D62), "", Piping!D62), IF($N$1="Vessels", IF(ISBLANK(Vessels!D62), "", Vessels!D62), ""))</f>
        <v/>
      </c>
      <c r="E62" s="21" t="str">
        <f>IF($N$1="Piping", IF(ISBLANK(Piping!E62), "", Piping!E62), IF($N$1="Vessels", IF(ISBLANK(Vessels!E62), "", Vessels!E62), ""))</f>
        <v/>
      </c>
      <c r="F62" s="21" t="str">
        <f>IF($N$1="Piping", IF(ISBLANK(Piping!F62), "", Piping!F62), IF($N$1="Vessels", IF(ISBLANK(Vessels!F62), "", Vessels!F62), ""))</f>
        <v/>
      </c>
      <c r="G62" s="21">
        <f>IF($N$1="Piping", IF(ISBLANK(Piping!G62), "", Piping!G62), IF($N$1="Vessels", IF(ISBLANK(Vessels!G62), "", Vessels!G62), ""))</f>
        <v>0</v>
      </c>
      <c r="H62" s="21" t="str">
        <f>IF($N$1="Piping", IF(ISBLANK(Piping!H62), "", Piping!H62), IF($N$1="Vessels", IF(ISBLANK(Vessels!H62), "", Vessels!H62), ""))</f>
        <v/>
      </c>
      <c r="I62" s="21" t="str">
        <f>IF($N$1="Piping", IF(ISBLANK(Piping!I62), "", Piping!I62), IF($N$1="Vessels", IF(ISBLANK(Vessels!I62), "", Vessels!I62), ""))</f>
        <v/>
      </c>
      <c r="J62" s="21" t="str">
        <f>IF($N$1="Piping", IF(ISBLANK(Piping!J62), "", Piping!J62), IF($N$1="Vessels", IF(ISBLANK(Vessels!J62), "", Vessels!J62), ""))</f>
        <v/>
      </c>
      <c r="K62" s="21" t="str">
        <f>IF($N$1="Piping", IF(ISBLANK(Piping!K62), "", Piping!K62), IF($N$1="Vessels", IF(ISBLANK(Vessels!K62), "", Vessels!K62), ""))</f>
        <v/>
      </c>
      <c r="L62" s="21" t="str">
        <f>IF($N$1="Piping", IF(ISBLANK(Piping!L62), "", Piping!L62), IF($N$1="Vessels", IF(ISBLANK(Vessels!L62), "", Vessels!L62), ""))</f>
        <v/>
      </c>
      <c r="M62" s="21"/>
      <c r="N62" s="21"/>
      <c r="O62" s="21"/>
      <c r="P62" s="21"/>
      <c r="Q62" s="21" t="str">
        <f>IF($N$1="Piping", IF(ISBLANK(Piping!T62), "", Piping!T62), IF($N$1="Vessels", IF(ISBLANK(Vessels!T62), "", Vessels!T62), ""))</f>
        <v/>
      </c>
      <c r="R62" s="51" t="str">
        <f>IF($N$1="Piping", IF(ISBLANK(Piping!U62), "", Piping!U62), IF($N$1="Vessels", IF(ISBLANK(Vessels!U62), "", Vessels!U62), ""))</f>
        <v/>
      </c>
      <c r="S62" s="118" t="str">
        <f>IF(B62&lt;&gt;"",IF($N$1="Piping", IF(ISBLANK(Piping!$J$3), "", Piping!$J$3), IF($N$1="Vessels", IF(ISBLANK(Vessels!$J$3), "", Vessels!$J$3), "")),"")</f>
        <v/>
      </c>
      <c r="T62" s="37"/>
      <c r="U62" s="37"/>
      <c r="V62" s="37"/>
      <c r="W62" s="37"/>
      <c r="X62" s="37"/>
      <c r="Y62" s="37"/>
      <c r="Z62" s="37"/>
    </row>
    <row r="63" spans="1:26" ht="15.75" customHeight="1" x14ac:dyDescent="0.3">
      <c r="A63" s="22">
        <f>IF($N$1="Piping", IF(ISBLANK(Piping!A63), "", Piping!A63), IF($N$1="Vessels", IF(ISBLANK(Vessels!A63), "", Vessels!A63), ""))</f>
        <v>15.2</v>
      </c>
      <c r="B63" s="21" t="str">
        <f>IF($N$1="Piping", IF(ISBLANK(Piping!B63), "", Piping!B63), IF($N$1="Vessels", IF(ISBLANK(Vessels!B63), "", Vessels!B63), ""))</f>
        <v/>
      </c>
      <c r="C63" s="21" t="str">
        <f>IF($N$1="Piping", IF(ISBLANK(Piping!C63), "", Piping!C63), IF($N$1="Vessels", IF(ISBLANK(Vessels!C63), "", Vessels!C63), ""))</f>
        <v>Piping</v>
      </c>
      <c r="D63" s="21" t="str">
        <f>IF($N$1="Piping", IF(ISBLANK(Piping!D63), "", Piping!D63), IF($N$1="Vessels", IF(ISBLANK(Vessels!D63), "", Vessels!D63), ""))</f>
        <v/>
      </c>
      <c r="E63" s="21" t="str">
        <f>IF($N$1="Piping", IF(ISBLANK(Piping!E63), "", Piping!E63), IF($N$1="Vessels", IF(ISBLANK(Vessels!E63), "", Vessels!E63), ""))</f>
        <v/>
      </c>
      <c r="F63" s="21" t="str">
        <f>IF($N$1="Piping", IF(ISBLANK(Piping!F63), "", Piping!F63), IF($N$1="Vessels", IF(ISBLANK(Vessels!F63), "", Vessels!F63), ""))</f>
        <v/>
      </c>
      <c r="G63" s="21">
        <f>IF($N$1="Piping", IF(ISBLANK(Piping!G63), "", Piping!G63), IF($N$1="Vessels", IF(ISBLANK(Vessels!G63), "", Vessels!G63), ""))</f>
        <v>0</v>
      </c>
      <c r="H63" s="21" t="str">
        <f>IF($N$1="Piping", IF(ISBLANK(Piping!H63), "", Piping!H63), IF($N$1="Vessels", IF(ISBLANK(Vessels!H63), "", Vessels!H63), ""))</f>
        <v/>
      </c>
      <c r="I63" s="21" t="str">
        <f>IF($N$1="Piping", IF(ISBLANK(Piping!I63), "", Piping!I63), IF($N$1="Vessels", IF(ISBLANK(Vessels!I63), "", Vessels!I63), ""))</f>
        <v/>
      </c>
      <c r="J63" s="21" t="str">
        <f>IF($N$1="Piping", IF(ISBLANK(Piping!J63), "", Piping!J63), IF($N$1="Vessels", IF(ISBLANK(Vessels!J63), "", Vessels!J63), ""))</f>
        <v/>
      </c>
      <c r="K63" s="21" t="str">
        <f>IF($N$1="Piping", IF(ISBLANK(Piping!K63), "", Piping!K63), IF($N$1="Vessels", IF(ISBLANK(Vessels!K63), "", Vessels!K63), ""))</f>
        <v/>
      </c>
      <c r="L63" s="21" t="str">
        <f>IF($N$1="Piping", IF(ISBLANK(Piping!L63), "", Piping!L63), IF($N$1="Vessels", IF(ISBLANK(Vessels!L63), "", Vessels!L63), ""))</f>
        <v/>
      </c>
      <c r="M63" s="21"/>
      <c r="N63" s="21"/>
      <c r="O63" s="21"/>
      <c r="P63" s="21"/>
      <c r="Q63" s="21" t="str">
        <f>IF($N$1="Piping", IF(ISBLANK(Piping!T63), "", Piping!T63), IF($N$1="Vessels", IF(ISBLANK(Vessels!T63), "", Vessels!T63), ""))</f>
        <v/>
      </c>
      <c r="R63" s="51" t="str">
        <f>IF($N$1="Piping", IF(ISBLANK(Piping!U63), "", Piping!U63), IF($N$1="Vessels", IF(ISBLANK(Vessels!U63), "", Vessels!U63), ""))</f>
        <v/>
      </c>
      <c r="S63" s="118" t="str">
        <f>IF(B63&lt;&gt;"",IF($N$1="Piping", IF(ISBLANK(Piping!$J$3), "", Piping!$J$3), IF($N$1="Vessels", IF(ISBLANK(Vessels!$J$3), "", Vessels!$J$3), "")),"")</f>
        <v/>
      </c>
      <c r="T63" s="37"/>
      <c r="U63" s="37"/>
      <c r="V63" s="37"/>
      <c r="W63" s="37"/>
      <c r="X63" s="37"/>
      <c r="Y63" s="37"/>
      <c r="Z63" s="37"/>
    </row>
    <row r="64" spans="1:26" ht="15.75" customHeight="1" x14ac:dyDescent="0.3">
      <c r="A64" s="22">
        <f>IF($N$1="Piping", IF(ISBLANK(Piping!A64), "", Piping!A64), IF($N$1="Vessels", IF(ISBLANK(Vessels!A64), "", Vessels!A64), ""))</f>
        <v>15.3</v>
      </c>
      <c r="B64" s="21" t="str">
        <f>IF($N$1="Piping", IF(ISBLANK(Piping!B64), "", Piping!B64), IF($N$1="Vessels", IF(ISBLANK(Vessels!B64), "", Vessels!B64), ""))</f>
        <v/>
      </c>
      <c r="C64" s="21" t="str">
        <f>IF($N$1="Piping", IF(ISBLANK(Piping!C64), "", Piping!C64), IF($N$1="Vessels", IF(ISBLANK(Vessels!C64), "", Vessels!C64), ""))</f>
        <v>Piping</v>
      </c>
      <c r="D64" s="21" t="str">
        <f>IF($N$1="Piping", IF(ISBLANK(Piping!D64), "", Piping!D64), IF($N$1="Vessels", IF(ISBLANK(Vessels!D64), "", Vessels!D64), ""))</f>
        <v/>
      </c>
      <c r="E64" s="21" t="str">
        <f>IF($N$1="Piping", IF(ISBLANK(Piping!E64), "", Piping!E64), IF($N$1="Vessels", IF(ISBLANK(Vessels!E64), "", Vessels!E64), ""))</f>
        <v/>
      </c>
      <c r="F64" s="21" t="str">
        <f>IF($N$1="Piping", IF(ISBLANK(Piping!F64), "", Piping!F64), IF($N$1="Vessels", IF(ISBLANK(Vessels!F64), "", Vessels!F64), ""))</f>
        <v/>
      </c>
      <c r="G64" s="21">
        <f>IF($N$1="Piping", IF(ISBLANK(Piping!G64), "", Piping!G64), IF($N$1="Vessels", IF(ISBLANK(Vessels!G64), "", Vessels!G64), ""))</f>
        <v>0</v>
      </c>
      <c r="H64" s="21" t="str">
        <f>IF($N$1="Piping", IF(ISBLANK(Piping!H64), "", Piping!H64), IF($N$1="Vessels", IF(ISBLANK(Vessels!H64), "", Vessels!H64), ""))</f>
        <v/>
      </c>
      <c r="I64" s="21" t="str">
        <f>IF($N$1="Piping", IF(ISBLANK(Piping!I64), "", Piping!I64), IF($N$1="Vessels", IF(ISBLANK(Vessels!I64), "", Vessels!I64), ""))</f>
        <v/>
      </c>
      <c r="J64" s="21" t="str">
        <f>IF($N$1="Piping", IF(ISBLANK(Piping!J64), "", Piping!J64), IF($N$1="Vessels", IF(ISBLANK(Vessels!J64), "", Vessels!J64), ""))</f>
        <v/>
      </c>
      <c r="K64" s="21" t="str">
        <f>IF($N$1="Piping", IF(ISBLANK(Piping!K64), "", Piping!K64), IF($N$1="Vessels", IF(ISBLANK(Vessels!K64), "", Vessels!K64), ""))</f>
        <v/>
      </c>
      <c r="L64" s="21" t="str">
        <f>IF($N$1="Piping", IF(ISBLANK(Piping!L64), "", Piping!L64), IF($N$1="Vessels", IF(ISBLANK(Vessels!L64), "", Vessels!L64), ""))</f>
        <v/>
      </c>
      <c r="M64" s="21"/>
      <c r="N64" s="21"/>
      <c r="O64" s="21"/>
      <c r="P64" s="21"/>
      <c r="Q64" s="21" t="str">
        <f>IF($N$1="Piping", IF(ISBLANK(Piping!T64), "", Piping!T64), IF($N$1="Vessels", IF(ISBLANK(Vessels!T64), "", Vessels!T64), ""))</f>
        <v/>
      </c>
      <c r="R64" s="51" t="str">
        <f>IF($N$1="Piping", IF(ISBLANK(Piping!U64), "", Piping!U64), IF($N$1="Vessels", IF(ISBLANK(Vessels!U64), "", Vessels!U64), ""))</f>
        <v/>
      </c>
      <c r="S64" s="118" t="str">
        <f>IF(B64&lt;&gt;"",IF($N$1="Piping", IF(ISBLANK(Piping!$J$3), "", Piping!$J$3), IF($N$1="Vessels", IF(ISBLANK(Vessels!$J$3), "", Vessels!$J$3), "")),"")</f>
        <v/>
      </c>
      <c r="T64" s="37"/>
      <c r="U64" s="37"/>
      <c r="V64" s="37"/>
      <c r="W64" s="37"/>
      <c r="X64" s="37"/>
      <c r="Y64" s="37"/>
      <c r="Z64" s="37"/>
    </row>
    <row r="65" spans="1:26" ht="15.75" customHeight="1" x14ac:dyDescent="0.3">
      <c r="A65" s="22">
        <f>IF($N$1="Piping", IF(ISBLANK(Piping!A65), "", Piping!A65), IF($N$1="Vessels", IF(ISBLANK(Vessels!A65), "", Vessels!A65), ""))</f>
        <v>15.4</v>
      </c>
      <c r="B65" s="21" t="str">
        <f>IF($N$1="Piping", IF(ISBLANK(Piping!B65), "", Piping!B65), IF($N$1="Vessels", IF(ISBLANK(Vessels!B65), "", Vessels!B65), ""))</f>
        <v/>
      </c>
      <c r="C65" s="21" t="str">
        <f>IF($N$1="Piping", IF(ISBLANK(Piping!C65), "", Piping!C65), IF($N$1="Vessels", IF(ISBLANK(Vessels!C65), "", Vessels!C65), ""))</f>
        <v>Piping</v>
      </c>
      <c r="D65" s="21" t="str">
        <f>IF($N$1="Piping", IF(ISBLANK(Piping!D65), "", Piping!D65), IF($N$1="Vessels", IF(ISBLANK(Vessels!D65), "", Vessels!D65), ""))</f>
        <v/>
      </c>
      <c r="E65" s="21" t="str">
        <f>IF($N$1="Piping", IF(ISBLANK(Piping!E65), "", Piping!E65), IF($N$1="Vessels", IF(ISBLANK(Vessels!E65), "", Vessels!E65), ""))</f>
        <v/>
      </c>
      <c r="F65" s="21" t="str">
        <f>IF($N$1="Piping", IF(ISBLANK(Piping!F65), "", Piping!F65), IF($N$1="Vessels", IF(ISBLANK(Vessels!F65), "", Vessels!F65), ""))</f>
        <v/>
      </c>
      <c r="G65" s="21">
        <f>IF($N$1="Piping", IF(ISBLANK(Piping!G65), "", Piping!G65), IF($N$1="Vessels", IF(ISBLANK(Vessels!G65), "", Vessels!G65), ""))</f>
        <v>0</v>
      </c>
      <c r="H65" s="21" t="str">
        <f>IF($N$1="Piping", IF(ISBLANK(Piping!H65), "", Piping!H65), IF($N$1="Vessels", IF(ISBLANK(Vessels!H65), "", Vessels!H65), ""))</f>
        <v/>
      </c>
      <c r="I65" s="21" t="str">
        <f>IF($N$1="Piping", IF(ISBLANK(Piping!I65), "", Piping!I65), IF($N$1="Vessels", IF(ISBLANK(Vessels!I65), "", Vessels!I65), ""))</f>
        <v/>
      </c>
      <c r="J65" s="21" t="str">
        <f>IF($N$1="Piping", IF(ISBLANK(Piping!J65), "", Piping!J65), IF($N$1="Vessels", IF(ISBLANK(Vessels!J65), "", Vessels!J65), ""))</f>
        <v/>
      </c>
      <c r="K65" s="21" t="str">
        <f>IF($N$1="Piping", IF(ISBLANK(Piping!K65), "", Piping!K65), IF($N$1="Vessels", IF(ISBLANK(Vessels!K65), "", Vessels!K65), ""))</f>
        <v/>
      </c>
      <c r="L65" s="21" t="str">
        <f>IF($N$1="Piping", IF(ISBLANK(Piping!L65), "", Piping!L65), IF($N$1="Vessels", IF(ISBLANK(Vessels!L65), "", Vessels!L65), ""))</f>
        <v/>
      </c>
      <c r="M65" s="21"/>
      <c r="N65" s="21"/>
      <c r="O65" s="21"/>
      <c r="P65" s="21"/>
      <c r="Q65" s="21" t="str">
        <f>IF($N$1="Piping", IF(ISBLANK(Piping!T65), "", Piping!T65), IF($N$1="Vessels", IF(ISBLANK(Vessels!T65), "", Vessels!T65), ""))</f>
        <v/>
      </c>
      <c r="R65" s="51" t="str">
        <f>IF($N$1="Piping", IF(ISBLANK(Piping!U65), "", Piping!U65), IF($N$1="Vessels", IF(ISBLANK(Vessels!U65), "", Vessels!U65), ""))</f>
        <v/>
      </c>
      <c r="S65" s="118" t="str">
        <f>IF(B65&lt;&gt;"",IF($N$1="Piping", IF(ISBLANK(Piping!$J$3), "", Piping!$J$3), IF($N$1="Vessels", IF(ISBLANK(Vessels!$J$3), "", Vessels!$J$3), "")),"")</f>
        <v/>
      </c>
      <c r="T65" s="37"/>
      <c r="U65" s="37"/>
      <c r="V65" s="37"/>
      <c r="W65" s="37"/>
      <c r="X65" s="37"/>
      <c r="Y65" s="37"/>
      <c r="Z65" s="37"/>
    </row>
    <row r="66" spans="1:26" ht="15.75" customHeight="1" x14ac:dyDescent="0.3">
      <c r="A66" s="22">
        <f>IF($N$1="Piping", IF(ISBLANK(Piping!A66), "", Piping!A66), IF($N$1="Vessels", IF(ISBLANK(Vessels!A66), "", Vessels!A66), ""))</f>
        <v>16.100000000000001</v>
      </c>
      <c r="B66" s="21" t="str">
        <f>IF($N$1="Piping", IF(ISBLANK(Piping!B66), "", Piping!B66), IF($N$1="Vessels", IF(ISBLANK(Vessels!B66), "", Vessels!B66), ""))</f>
        <v/>
      </c>
      <c r="C66" s="21" t="str">
        <f>IF($N$1="Piping", IF(ISBLANK(Piping!C66), "", Piping!C66), IF($N$1="Vessels", IF(ISBLANK(Vessels!C66), "", Vessels!C66), ""))</f>
        <v>Piping</v>
      </c>
      <c r="D66" s="21" t="str">
        <f>IF($N$1="Piping", IF(ISBLANK(Piping!D66), "", Piping!D66), IF($N$1="Vessels", IF(ISBLANK(Vessels!D66), "", Vessels!D66), ""))</f>
        <v/>
      </c>
      <c r="E66" s="21" t="str">
        <f>IF($N$1="Piping", IF(ISBLANK(Piping!E66), "", Piping!E66), IF($N$1="Vessels", IF(ISBLANK(Vessels!E66), "", Vessels!E66), ""))</f>
        <v/>
      </c>
      <c r="F66" s="21" t="str">
        <f>IF($N$1="Piping", IF(ISBLANK(Piping!F66), "", Piping!F66), IF($N$1="Vessels", IF(ISBLANK(Vessels!F66), "", Vessels!F66), ""))</f>
        <v/>
      </c>
      <c r="G66" s="21">
        <f>IF($N$1="Piping", IF(ISBLANK(Piping!G66), "", Piping!G66), IF($N$1="Vessels", IF(ISBLANK(Vessels!G66), "", Vessels!G66), ""))</f>
        <v>0</v>
      </c>
      <c r="H66" s="21" t="str">
        <f>IF($N$1="Piping", IF(ISBLANK(Piping!H66), "", Piping!H66), IF($N$1="Vessels", IF(ISBLANK(Vessels!H66), "", Vessels!H66), ""))</f>
        <v/>
      </c>
      <c r="I66" s="21" t="str">
        <f>IF($N$1="Piping", IF(ISBLANK(Piping!I66), "", Piping!I66), IF($N$1="Vessels", IF(ISBLANK(Vessels!I66), "", Vessels!I66), ""))</f>
        <v/>
      </c>
      <c r="J66" s="21" t="str">
        <f>IF($N$1="Piping", IF(ISBLANK(Piping!J66), "", Piping!J66), IF($N$1="Vessels", IF(ISBLANK(Vessels!J66), "", Vessels!J66), ""))</f>
        <v/>
      </c>
      <c r="K66" s="21" t="str">
        <f>IF($N$1="Piping", IF(ISBLANK(Piping!K66), "", Piping!K66), IF($N$1="Vessels", IF(ISBLANK(Vessels!K66), "", Vessels!K66), ""))</f>
        <v/>
      </c>
      <c r="L66" s="21" t="str">
        <f>IF($N$1="Piping", IF(ISBLANK(Piping!L66), "", Piping!L66), IF($N$1="Vessels", IF(ISBLANK(Vessels!L66), "", Vessels!L66), ""))</f>
        <v/>
      </c>
      <c r="M66" s="21"/>
      <c r="N66" s="21"/>
      <c r="O66" s="21"/>
      <c r="P66" s="21"/>
      <c r="Q66" s="21" t="str">
        <f>IF($N$1="Piping", IF(ISBLANK(Piping!T66), "", Piping!T66), IF($N$1="Vessels", IF(ISBLANK(Vessels!T66), "", Vessels!T66), ""))</f>
        <v/>
      </c>
      <c r="R66" s="51" t="str">
        <f>IF($N$1="Piping", IF(ISBLANK(Piping!U66), "", Piping!U66), IF($N$1="Vessels", IF(ISBLANK(Vessels!U66), "", Vessels!U66), ""))</f>
        <v/>
      </c>
      <c r="S66" s="118" t="str">
        <f>IF(B66&lt;&gt;"",IF($N$1="Piping", IF(ISBLANK(Piping!$J$3), "", Piping!$J$3), IF($N$1="Vessels", IF(ISBLANK(Vessels!$J$3), "", Vessels!$J$3), "")),"")</f>
        <v/>
      </c>
      <c r="T66" s="37"/>
      <c r="U66" s="37"/>
      <c r="V66" s="37"/>
      <c r="W66" s="37"/>
      <c r="X66" s="37"/>
      <c r="Y66" s="37"/>
      <c r="Z66" s="37"/>
    </row>
    <row r="67" spans="1:26" ht="15.75" customHeight="1" x14ac:dyDescent="0.3">
      <c r="A67" s="22">
        <f>IF($N$1="Piping", IF(ISBLANK(Piping!A67), "", Piping!A67), IF($N$1="Vessels", IF(ISBLANK(Vessels!A67), "", Vessels!A67), ""))</f>
        <v>16.2</v>
      </c>
      <c r="B67" s="21" t="str">
        <f>IF($N$1="Piping", IF(ISBLANK(Piping!B67), "", Piping!B67), IF($N$1="Vessels", IF(ISBLANK(Vessels!B67), "", Vessels!B67), ""))</f>
        <v/>
      </c>
      <c r="C67" s="21" t="str">
        <f>IF($N$1="Piping", IF(ISBLANK(Piping!C67), "", Piping!C67), IF($N$1="Vessels", IF(ISBLANK(Vessels!C67), "", Vessels!C67), ""))</f>
        <v>Piping</v>
      </c>
      <c r="D67" s="21" t="str">
        <f>IF($N$1="Piping", IF(ISBLANK(Piping!D67), "", Piping!D67), IF($N$1="Vessels", IF(ISBLANK(Vessels!D67), "", Vessels!D67), ""))</f>
        <v/>
      </c>
      <c r="E67" s="21" t="str">
        <f>IF($N$1="Piping", IF(ISBLANK(Piping!E67), "", Piping!E67), IF($N$1="Vessels", IF(ISBLANK(Vessels!E67), "", Vessels!E67), ""))</f>
        <v/>
      </c>
      <c r="F67" s="21" t="str">
        <f>IF($N$1="Piping", IF(ISBLANK(Piping!F67), "", Piping!F67), IF($N$1="Vessels", IF(ISBLANK(Vessels!F67), "", Vessels!F67), ""))</f>
        <v/>
      </c>
      <c r="G67" s="21">
        <f>IF($N$1="Piping", IF(ISBLANK(Piping!G67), "", Piping!G67), IF($N$1="Vessels", IF(ISBLANK(Vessels!G67), "", Vessels!G67), ""))</f>
        <v>0</v>
      </c>
      <c r="H67" s="21" t="str">
        <f>IF($N$1="Piping", IF(ISBLANK(Piping!H67), "", Piping!H67), IF($N$1="Vessels", IF(ISBLANK(Vessels!H67), "", Vessels!H67), ""))</f>
        <v/>
      </c>
      <c r="I67" s="21" t="str">
        <f>IF($N$1="Piping", IF(ISBLANK(Piping!I67), "", Piping!I67), IF($N$1="Vessels", IF(ISBLANK(Vessels!I67), "", Vessels!I67), ""))</f>
        <v/>
      </c>
      <c r="J67" s="21" t="str">
        <f>IF($N$1="Piping", IF(ISBLANK(Piping!J67), "", Piping!J67), IF($N$1="Vessels", IF(ISBLANK(Vessels!J67), "", Vessels!J67), ""))</f>
        <v/>
      </c>
      <c r="K67" s="21" t="str">
        <f>IF($N$1="Piping", IF(ISBLANK(Piping!K67), "", Piping!K67), IF($N$1="Vessels", IF(ISBLANK(Vessels!K67), "", Vessels!K67), ""))</f>
        <v/>
      </c>
      <c r="L67" s="21" t="str">
        <f>IF($N$1="Piping", IF(ISBLANK(Piping!L67), "", Piping!L67), IF($N$1="Vessels", IF(ISBLANK(Vessels!L67), "", Vessels!L67), ""))</f>
        <v/>
      </c>
      <c r="M67" s="21"/>
      <c r="N67" s="21"/>
      <c r="O67" s="21"/>
      <c r="P67" s="21"/>
      <c r="Q67" s="21" t="str">
        <f>IF($N$1="Piping", IF(ISBLANK(Piping!T67), "", Piping!T67), IF($N$1="Vessels", IF(ISBLANK(Vessels!T67), "", Vessels!T67), ""))</f>
        <v/>
      </c>
      <c r="R67" s="51" t="str">
        <f>IF($N$1="Piping", IF(ISBLANK(Piping!U67), "", Piping!U67), IF($N$1="Vessels", IF(ISBLANK(Vessels!U67), "", Vessels!U67), ""))</f>
        <v/>
      </c>
      <c r="S67" s="118" t="str">
        <f>IF(B67&lt;&gt;"",IF($N$1="Piping", IF(ISBLANK(Piping!$J$3), "", Piping!$J$3), IF($N$1="Vessels", IF(ISBLANK(Vessels!$J$3), "", Vessels!$J$3), "")),"")</f>
        <v/>
      </c>
      <c r="T67" s="37"/>
      <c r="U67" s="37"/>
      <c r="V67" s="37"/>
      <c r="W67" s="37"/>
      <c r="X67" s="37"/>
      <c r="Y67" s="37"/>
      <c r="Z67" s="37"/>
    </row>
    <row r="68" spans="1:26" ht="15.75" customHeight="1" x14ac:dyDescent="0.3">
      <c r="A68" s="22">
        <f>IF($N$1="Piping", IF(ISBLANK(Piping!A68), "", Piping!A68), IF($N$1="Vessels", IF(ISBLANK(Vessels!A68), "", Vessels!A68), ""))</f>
        <v>16.3</v>
      </c>
      <c r="B68" s="21" t="str">
        <f>IF($N$1="Piping", IF(ISBLANK(Piping!B68), "", Piping!B68), IF($N$1="Vessels", IF(ISBLANK(Vessels!B68), "", Vessels!B68), ""))</f>
        <v/>
      </c>
      <c r="C68" s="21" t="str">
        <f>IF($N$1="Piping", IF(ISBLANK(Piping!C68), "", Piping!C68), IF($N$1="Vessels", IF(ISBLANK(Vessels!C68), "", Vessels!C68), ""))</f>
        <v>Piping</v>
      </c>
      <c r="D68" s="21" t="str">
        <f>IF($N$1="Piping", IF(ISBLANK(Piping!D68), "", Piping!D68), IF($N$1="Vessels", IF(ISBLANK(Vessels!D68), "", Vessels!D68), ""))</f>
        <v/>
      </c>
      <c r="E68" s="21" t="str">
        <f>IF($N$1="Piping", IF(ISBLANK(Piping!E68), "", Piping!E68), IF($N$1="Vessels", IF(ISBLANK(Vessels!E68), "", Vessels!E68), ""))</f>
        <v/>
      </c>
      <c r="F68" s="21" t="str">
        <f>IF($N$1="Piping", IF(ISBLANK(Piping!F68), "", Piping!F68), IF($N$1="Vessels", IF(ISBLANK(Vessels!F68), "", Vessels!F68), ""))</f>
        <v/>
      </c>
      <c r="G68" s="21">
        <f>IF($N$1="Piping", IF(ISBLANK(Piping!G68), "", Piping!G68), IF($N$1="Vessels", IF(ISBLANK(Vessels!G68), "", Vessels!G68), ""))</f>
        <v>0</v>
      </c>
      <c r="H68" s="21" t="str">
        <f>IF($N$1="Piping", IF(ISBLANK(Piping!H68), "", Piping!H68), IF($N$1="Vessels", IF(ISBLANK(Vessels!H68), "", Vessels!H68), ""))</f>
        <v/>
      </c>
      <c r="I68" s="21" t="str">
        <f>IF($N$1="Piping", IF(ISBLANK(Piping!I68), "", Piping!I68), IF($N$1="Vessels", IF(ISBLANK(Vessels!I68), "", Vessels!I68), ""))</f>
        <v/>
      </c>
      <c r="J68" s="21" t="str">
        <f>IF($N$1="Piping", IF(ISBLANK(Piping!J68), "", Piping!J68), IF($N$1="Vessels", IF(ISBLANK(Vessels!J68), "", Vessels!J68), ""))</f>
        <v/>
      </c>
      <c r="K68" s="21" t="str">
        <f>IF($N$1="Piping", IF(ISBLANK(Piping!K68), "", Piping!K68), IF($N$1="Vessels", IF(ISBLANK(Vessels!K68), "", Vessels!K68), ""))</f>
        <v/>
      </c>
      <c r="L68" s="21" t="str">
        <f>IF($N$1="Piping", IF(ISBLANK(Piping!L68), "", Piping!L68), IF($N$1="Vessels", IF(ISBLANK(Vessels!L68), "", Vessels!L68), ""))</f>
        <v/>
      </c>
      <c r="M68" s="21"/>
      <c r="N68" s="21"/>
      <c r="O68" s="21"/>
      <c r="P68" s="21"/>
      <c r="Q68" s="21" t="str">
        <f>IF($N$1="Piping", IF(ISBLANK(Piping!T68), "", Piping!T68), IF($N$1="Vessels", IF(ISBLANK(Vessels!T68), "", Vessels!T68), ""))</f>
        <v/>
      </c>
      <c r="R68" s="51" t="str">
        <f>IF($N$1="Piping", IF(ISBLANK(Piping!U68), "", Piping!U68), IF($N$1="Vessels", IF(ISBLANK(Vessels!U68), "", Vessels!U68), ""))</f>
        <v/>
      </c>
      <c r="S68" s="118" t="str">
        <f>IF(B68&lt;&gt;"",IF($N$1="Piping", IF(ISBLANK(Piping!$J$3), "", Piping!$J$3), IF($N$1="Vessels", IF(ISBLANK(Vessels!$J$3), "", Vessels!$J$3), "")),"")</f>
        <v/>
      </c>
      <c r="T68" s="37"/>
      <c r="U68" s="37"/>
      <c r="V68" s="37"/>
      <c r="W68" s="37"/>
      <c r="X68" s="37"/>
      <c r="Y68" s="37"/>
      <c r="Z68" s="37"/>
    </row>
    <row r="69" spans="1:26" ht="15.75" customHeight="1" x14ac:dyDescent="0.3">
      <c r="A69" s="22">
        <f>IF($N$1="Piping", IF(ISBLANK(Piping!A69), "", Piping!A69), IF($N$1="Vessels", IF(ISBLANK(Vessels!A69), "", Vessels!A69), ""))</f>
        <v>16.399999999999999</v>
      </c>
      <c r="B69" s="21" t="str">
        <f>IF($N$1="Piping", IF(ISBLANK(Piping!B69), "", Piping!B69), IF($N$1="Vessels", IF(ISBLANK(Vessels!B69), "", Vessels!B69), ""))</f>
        <v/>
      </c>
      <c r="C69" s="21" t="str">
        <f>IF($N$1="Piping", IF(ISBLANK(Piping!C69), "", Piping!C69), IF($N$1="Vessels", IF(ISBLANK(Vessels!C69), "", Vessels!C69), ""))</f>
        <v>Piping</v>
      </c>
      <c r="D69" s="21" t="str">
        <f>IF($N$1="Piping", IF(ISBLANK(Piping!D69), "", Piping!D69), IF($N$1="Vessels", IF(ISBLANK(Vessels!D69), "", Vessels!D69), ""))</f>
        <v/>
      </c>
      <c r="E69" s="21" t="str">
        <f>IF($N$1="Piping", IF(ISBLANK(Piping!E69), "", Piping!E69), IF($N$1="Vessels", IF(ISBLANK(Vessels!E69), "", Vessels!E69), ""))</f>
        <v/>
      </c>
      <c r="F69" s="21" t="str">
        <f>IF($N$1="Piping", IF(ISBLANK(Piping!F69), "", Piping!F69), IF($N$1="Vessels", IF(ISBLANK(Vessels!F69), "", Vessels!F69), ""))</f>
        <v/>
      </c>
      <c r="G69" s="21">
        <f>IF($N$1="Piping", IF(ISBLANK(Piping!G69), "", Piping!G69), IF($N$1="Vessels", IF(ISBLANK(Vessels!G69), "", Vessels!G69), ""))</f>
        <v>0</v>
      </c>
      <c r="H69" s="21" t="str">
        <f>IF($N$1="Piping", IF(ISBLANK(Piping!H69), "", Piping!H69), IF($N$1="Vessels", IF(ISBLANK(Vessels!H69), "", Vessels!H69), ""))</f>
        <v/>
      </c>
      <c r="I69" s="21" t="str">
        <f>IF($N$1="Piping", IF(ISBLANK(Piping!I69), "", Piping!I69), IF($N$1="Vessels", IF(ISBLANK(Vessels!I69), "", Vessels!I69), ""))</f>
        <v/>
      </c>
      <c r="J69" s="21" t="str">
        <f>IF($N$1="Piping", IF(ISBLANK(Piping!J69), "", Piping!J69), IF($N$1="Vessels", IF(ISBLANK(Vessels!J69), "", Vessels!J69), ""))</f>
        <v/>
      </c>
      <c r="K69" s="21" t="str">
        <f>IF($N$1="Piping", IF(ISBLANK(Piping!K69), "", Piping!K69), IF($N$1="Vessels", IF(ISBLANK(Vessels!K69), "", Vessels!K69), ""))</f>
        <v/>
      </c>
      <c r="L69" s="21" t="str">
        <f>IF($N$1="Piping", IF(ISBLANK(Piping!L69), "", Piping!L69), IF($N$1="Vessels", IF(ISBLANK(Vessels!L69), "", Vessels!L69), ""))</f>
        <v/>
      </c>
      <c r="M69" s="21"/>
      <c r="N69" s="21"/>
      <c r="O69" s="21"/>
      <c r="P69" s="21"/>
      <c r="Q69" s="21" t="str">
        <f>IF($N$1="Piping", IF(ISBLANK(Piping!T69), "", Piping!T69), IF($N$1="Vessels", IF(ISBLANK(Vessels!T69), "", Vessels!T69), ""))</f>
        <v/>
      </c>
      <c r="R69" s="51" t="str">
        <f>IF($N$1="Piping", IF(ISBLANK(Piping!U69), "", Piping!U69), IF($N$1="Vessels", IF(ISBLANK(Vessels!U69), "", Vessels!U69), ""))</f>
        <v/>
      </c>
      <c r="S69" s="118" t="str">
        <f>IF(B69&lt;&gt;"",IF($N$1="Piping", IF(ISBLANK(Piping!$J$3), "", Piping!$J$3), IF($N$1="Vessels", IF(ISBLANK(Vessels!$J$3), "", Vessels!$J$3), "")),"")</f>
        <v/>
      </c>
      <c r="T69" s="37"/>
      <c r="U69" s="37"/>
      <c r="V69" s="37"/>
      <c r="W69" s="37"/>
      <c r="X69" s="37"/>
      <c r="Y69" s="37"/>
      <c r="Z69" s="37"/>
    </row>
    <row r="70" spans="1:26" ht="15.75" customHeight="1" x14ac:dyDescent="0.3">
      <c r="A70" s="22">
        <f>IF($N$1="Piping", IF(ISBLANK(Piping!A70), "", Piping!A70), IF($N$1="Vessels", IF(ISBLANK(Vessels!A70), "", Vessels!A70), ""))</f>
        <v>17.100000000000001</v>
      </c>
      <c r="B70" s="21" t="str">
        <f>IF($N$1="Piping", IF(ISBLANK(Piping!B70), "", Piping!B70), IF($N$1="Vessels", IF(ISBLANK(Vessels!B70), "", Vessels!B70), ""))</f>
        <v/>
      </c>
      <c r="C70" s="21" t="str">
        <f>IF($N$1="Piping", IF(ISBLANK(Piping!C70), "", Piping!C70), IF($N$1="Vessels", IF(ISBLANK(Vessels!C70), "", Vessels!C70), ""))</f>
        <v>Piping</v>
      </c>
      <c r="D70" s="21" t="str">
        <f>IF($N$1="Piping", IF(ISBLANK(Piping!D70), "", Piping!D70), IF($N$1="Vessels", IF(ISBLANK(Vessels!D70), "", Vessels!D70), ""))</f>
        <v/>
      </c>
      <c r="E70" s="21" t="str">
        <f>IF($N$1="Piping", IF(ISBLANK(Piping!E70), "", Piping!E70), IF($N$1="Vessels", IF(ISBLANK(Vessels!E70), "", Vessels!E70), ""))</f>
        <v/>
      </c>
      <c r="F70" s="21" t="str">
        <f>IF($N$1="Piping", IF(ISBLANK(Piping!F70), "", Piping!F70), IF($N$1="Vessels", IF(ISBLANK(Vessels!F70), "", Vessels!F70), ""))</f>
        <v/>
      </c>
      <c r="G70" s="21">
        <f>IF($N$1="Piping", IF(ISBLANK(Piping!G70), "", Piping!G70), IF($N$1="Vessels", IF(ISBLANK(Vessels!G70), "", Vessels!G70), ""))</f>
        <v>0</v>
      </c>
      <c r="H70" s="21" t="str">
        <f>IF($N$1="Piping", IF(ISBLANK(Piping!H70), "", Piping!H70), IF($N$1="Vessels", IF(ISBLANK(Vessels!H70), "", Vessels!H70), ""))</f>
        <v/>
      </c>
      <c r="I70" s="21" t="str">
        <f>IF($N$1="Piping", IF(ISBLANK(Piping!I70), "", Piping!I70), IF($N$1="Vessels", IF(ISBLANK(Vessels!I70), "", Vessels!I70), ""))</f>
        <v/>
      </c>
      <c r="J70" s="21" t="str">
        <f>IF($N$1="Piping", IF(ISBLANK(Piping!J70), "", Piping!J70), IF($N$1="Vessels", IF(ISBLANK(Vessels!J70), "", Vessels!J70), ""))</f>
        <v/>
      </c>
      <c r="K70" s="21" t="str">
        <f>IF($N$1="Piping", IF(ISBLANK(Piping!K70), "", Piping!K70), IF($N$1="Vessels", IF(ISBLANK(Vessels!K70), "", Vessels!K70), ""))</f>
        <v/>
      </c>
      <c r="L70" s="21" t="str">
        <f>IF($N$1="Piping", IF(ISBLANK(Piping!L70), "", Piping!L70), IF($N$1="Vessels", IF(ISBLANK(Vessels!L70), "", Vessels!L70), ""))</f>
        <v/>
      </c>
      <c r="M70" s="21"/>
      <c r="N70" s="21"/>
      <c r="O70" s="21"/>
      <c r="P70" s="21"/>
      <c r="Q70" s="21" t="str">
        <f>IF($N$1="Piping", IF(ISBLANK(Piping!T70), "", Piping!T70), IF($N$1="Vessels", IF(ISBLANK(Vessels!T70), "", Vessels!T70), ""))</f>
        <v/>
      </c>
      <c r="R70" s="51" t="str">
        <f>IF($N$1="Piping", IF(ISBLANK(Piping!U70), "", Piping!U70), IF($N$1="Vessels", IF(ISBLANK(Vessels!U70), "", Vessels!U70), ""))</f>
        <v/>
      </c>
      <c r="S70" s="118" t="str">
        <f>IF(B70&lt;&gt;"",IF($N$1="Piping", IF(ISBLANK(Piping!$J$3), "", Piping!$J$3), IF($N$1="Vessels", IF(ISBLANK(Vessels!$J$3), "", Vessels!$J$3), "")),"")</f>
        <v/>
      </c>
      <c r="T70" s="37"/>
      <c r="U70" s="37"/>
      <c r="V70" s="37"/>
      <c r="W70" s="37"/>
      <c r="X70" s="37"/>
      <c r="Y70" s="37"/>
      <c r="Z70" s="37"/>
    </row>
    <row r="71" spans="1:26" ht="15.75" customHeight="1" x14ac:dyDescent="0.3">
      <c r="A71" s="22">
        <f>IF($N$1="Piping", IF(ISBLANK(Piping!A71), "", Piping!A71), IF($N$1="Vessels", IF(ISBLANK(Vessels!A71), "", Vessels!A71), ""))</f>
        <v>17.2</v>
      </c>
      <c r="B71" s="21" t="str">
        <f>IF($N$1="Piping", IF(ISBLANK(Piping!B71), "", Piping!B71), IF($N$1="Vessels", IF(ISBLANK(Vessels!B71), "", Vessels!B71), ""))</f>
        <v/>
      </c>
      <c r="C71" s="21" t="str">
        <f>IF($N$1="Piping", IF(ISBLANK(Piping!C71), "", Piping!C71), IF($N$1="Vessels", IF(ISBLANK(Vessels!C71), "", Vessels!C71), ""))</f>
        <v>Piping</v>
      </c>
      <c r="D71" s="21" t="str">
        <f>IF($N$1="Piping", IF(ISBLANK(Piping!D71), "", Piping!D71), IF($N$1="Vessels", IF(ISBLANK(Vessels!D71), "", Vessels!D71), ""))</f>
        <v/>
      </c>
      <c r="E71" s="21" t="str">
        <f>IF($N$1="Piping", IF(ISBLANK(Piping!E71), "", Piping!E71), IF($N$1="Vessels", IF(ISBLANK(Vessels!E71), "", Vessels!E71), ""))</f>
        <v/>
      </c>
      <c r="F71" s="21" t="str">
        <f>IF($N$1="Piping", IF(ISBLANK(Piping!F71), "", Piping!F71), IF($N$1="Vessels", IF(ISBLANK(Vessels!F71), "", Vessels!F71), ""))</f>
        <v/>
      </c>
      <c r="G71" s="21">
        <f>IF($N$1="Piping", IF(ISBLANK(Piping!G71), "", Piping!G71), IF($N$1="Vessels", IF(ISBLANK(Vessels!G71), "", Vessels!G71), ""))</f>
        <v>0</v>
      </c>
      <c r="H71" s="21" t="str">
        <f>IF($N$1="Piping", IF(ISBLANK(Piping!H71), "", Piping!H71), IF($N$1="Vessels", IF(ISBLANK(Vessels!H71), "", Vessels!H71), ""))</f>
        <v/>
      </c>
      <c r="I71" s="21" t="str">
        <f>IF($N$1="Piping", IF(ISBLANK(Piping!I71), "", Piping!I71), IF($N$1="Vessels", IF(ISBLANK(Vessels!I71), "", Vessels!I71), ""))</f>
        <v/>
      </c>
      <c r="J71" s="21" t="str">
        <f>IF($N$1="Piping", IF(ISBLANK(Piping!J71), "", Piping!J71), IF($N$1="Vessels", IF(ISBLANK(Vessels!J71), "", Vessels!J71), ""))</f>
        <v/>
      </c>
      <c r="K71" s="21" t="str">
        <f>IF($N$1="Piping", IF(ISBLANK(Piping!K71), "", Piping!K71), IF($N$1="Vessels", IF(ISBLANK(Vessels!K71), "", Vessels!K71), ""))</f>
        <v/>
      </c>
      <c r="L71" s="21" t="str">
        <f>IF($N$1="Piping", IF(ISBLANK(Piping!L71), "", Piping!L71), IF($N$1="Vessels", IF(ISBLANK(Vessels!L71), "", Vessels!L71), ""))</f>
        <v/>
      </c>
      <c r="M71" s="21"/>
      <c r="N71" s="21"/>
      <c r="O71" s="21"/>
      <c r="P71" s="21"/>
      <c r="Q71" s="21" t="str">
        <f>IF($N$1="Piping", IF(ISBLANK(Piping!T71), "", Piping!T71), IF($N$1="Vessels", IF(ISBLANK(Vessels!T71), "", Vessels!T71), ""))</f>
        <v/>
      </c>
      <c r="R71" s="51" t="str">
        <f>IF($N$1="Piping", IF(ISBLANK(Piping!U71), "", Piping!U71), IF($N$1="Vessels", IF(ISBLANK(Vessels!U71), "", Vessels!U71), ""))</f>
        <v/>
      </c>
      <c r="S71" s="118" t="str">
        <f>IF(B71&lt;&gt;"",IF($N$1="Piping", IF(ISBLANK(Piping!$J$3), "", Piping!$J$3), IF($N$1="Vessels", IF(ISBLANK(Vessels!$J$3), "", Vessels!$J$3), "")),"")</f>
        <v/>
      </c>
      <c r="T71" s="37"/>
      <c r="U71" s="37"/>
      <c r="V71" s="37"/>
      <c r="W71" s="37"/>
      <c r="X71" s="37"/>
      <c r="Y71" s="37"/>
      <c r="Z71" s="37"/>
    </row>
    <row r="72" spans="1:26" ht="15.75" customHeight="1" x14ac:dyDescent="0.3">
      <c r="A72" s="22">
        <f>IF($N$1="Piping", IF(ISBLANK(Piping!A72), "", Piping!A72), IF($N$1="Vessels", IF(ISBLANK(Vessels!A72), "", Vessels!A72), ""))</f>
        <v>17.3</v>
      </c>
      <c r="B72" s="21" t="str">
        <f>IF($N$1="Piping", IF(ISBLANK(Piping!B72), "", Piping!B72), IF($N$1="Vessels", IF(ISBLANK(Vessels!B72), "", Vessels!B72), ""))</f>
        <v/>
      </c>
      <c r="C72" s="21" t="str">
        <f>IF($N$1="Piping", IF(ISBLANK(Piping!C72), "", Piping!C72), IF($N$1="Vessels", IF(ISBLANK(Vessels!C72), "", Vessels!C72), ""))</f>
        <v>Piping</v>
      </c>
      <c r="D72" s="21" t="str">
        <f>IF($N$1="Piping", IF(ISBLANK(Piping!D72), "", Piping!D72), IF($N$1="Vessels", IF(ISBLANK(Vessels!D72), "", Vessels!D72), ""))</f>
        <v/>
      </c>
      <c r="E72" s="21" t="str">
        <f>IF($N$1="Piping", IF(ISBLANK(Piping!E72), "", Piping!E72), IF($N$1="Vessels", IF(ISBLANK(Vessels!E72), "", Vessels!E72), ""))</f>
        <v/>
      </c>
      <c r="F72" s="21" t="str">
        <f>IF($N$1="Piping", IF(ISBLANK(Piping!F72), "", Piping!F72), IF($N$1="Vessels", IF(ISBLANK(Vessels!F72), "", Vessels!F72), ""))</f>
        <v/>
      </c>
      <c r="G72" s="21">
        <f>IF($N$1="Piping", IF(ISBLANK(Piping!G72), "", Piping!G72), IF($N$1="Vessels", IF(ISBLANK(Vessels!G72), "", Vessels!G72), ""))</f>
        <v>0</v>
      </c>
      <c r="H72" s="21" t="str">
        <f>IF($N$1="Piping", IF(ISBLANK(Piping!H72), "", Piping!H72), IF($N$1="Vessels", IF(ISBLANK(Vessels!H72), "", Vessels!H72), ""))</f>
        <v/>
      </c>
      <c r="I72" s="21" t="str">
        <f>IF($N$1="Piping", IF(ISBLANK(Piping!I72), "", Piping!I72), IF($N$1="Vessels", IF(ISBLANK(Vessels!I72), "", Vessels!I72), ""))</f>
        <v/>
      </c>
      <c r="J72" s="21" t="str">
        <f>IF($N$1="Piping", IF(ISBLANK(Piping!J72), "", Piping!J72), IF($N$1="Vessels", IF(ISBLANK(Vessels!J72), "", Vessels!J72), ""))</f>
        <v/>
      </c>
      <c r="K72" s="21" t="str">
        <f>IF($N$1="Piping", IF(ISBLANK(Piping!K72), "", Piping!K72), IF($N$1="Vessels", IF(ISBLANK(Vessels!K72), "", Vessels!K72), ""))</f>
        <v/>
      </c>
      <c r="L72" s="21" t="str">
        <f>IF($N$1="Piping", IF(ISBLANK(Piping!L72), "", Piping!L72), IF($N$1="Vessels", IF(ISBLANK(Vessels!L72), "", Vessels!L72), ""))</f>
        <v/>
      </c>
      <c r="M72" s="21"/>
      <c r="N72" s="21"/>
      <c r="O72" s="21"/>
      <c r="P72" s="21"/>
      <c r="Q72" s="21" t="str">
        <f>IF($N$1="Piping", IF(ISBLANK(Piping!T72), "", Piping!T72), IF($N$1="Vessels", IF(ISBLANK(Vessels!T72), "", Vessels!T72), ""))</f>
        <v/>
      </c>
      <c r="R72" s="51" t="str">
        <f>IF($N$1="Piping", IF(ISBLANK(Piping!U72), "", Piping!U72), IF($N$1="Vessels", IF(ISBLANK(Vessels!U72), "", Vessels!U72), ""))</f>
        <v/>
      </c>
      <c r="S72" s="118" t="str">
        <f>IF(B72&lt;&gt;"",IF($N$1="Piping", IF(ISBLANK(Piping!$J$3), "", Piping!$J$3), IF($N$1="Vessels", IF(ISBLANK(Vessels!$J$3), "", Vessels!$J$3), "")),"")</f>
        <v/>
      </c>
      <c r="T72" s="37"/>
      <c r="U72" s="37"/>
      <c r="V72" s="37"/>
      <c r="W72" s="37"/>
      <c r="X72" s="37"/>
      <c r="Y72" s="37"/>
      <c r="Z72" s="37"/>
    </row>
    <row r="73" spans="1:26" ht="15.75" customHeight="1" x14ac:dyDescent="0.3">
      <c r="A73" s="22">
        <f>IF($N$1="Piping", IF(ISBLANK(Piping!A73), "", Piping!A73), IF($N$1="Vessels", IF(ISBLANK(Vessels!A73), "", Vessels!A73), ""))</f>
        <v>17.399999999999999</v>
      </c>
      <c r="B73" s="21" t="str">
        <f>IF($N$1="Piping", IF(ISBLANK(Piping!B73), "", Piping!B73), IF($N$1="Vessels", IF(ISBLANK(Vessels!B73), "", Vessels!B73), ""))</f>
        <v/>
      </c>
      <c r="C73" s="21" t="str">
        <f>IF($N$1="Piping", IF(ISBLANK(Piping!C73), "", Piping!C73), IF($N$1="Vessels", IF(ISBLANK(Vessels!C73), "", Vessels!C73), ""))</f>
        <v>Piping</v>
      </c>
      <c r="D73" s="21" t="str">
        <f>IF($N$1="Piping", IF(ISBLANK(Piping!D73), "", Piping!D73), IF($N$1="Vessels", IF(ISBLANK(Vessels!D73), "", Vessels!D73), ""))</f>
        <v/>
      </c>
      <c r="E73" s="21" t="str">
        <f>IF($N$1="Piping", IF(ISBLANK(Piping!E73), "", Piping!E73), IF($N$1="Vessels", IF(ISBLANK(Vessels!E73), "", Vessels!E73), ""))</f>
        <v/>
      </c>
      <c r="F73" s="21" t="str">
        <f>IF($N$1="Piping", IF(ISBLANK(Piping!F73), "", Piping!F73), IF($N$1="Vessels", IF(ISBLANK(Vessels!F73), "", Vessels!F73), ""))</f>
        <v/>
      </c>
      <c r="G73" s="21">
        <f>IF($N$1="Piping", IF(ISBLANK(Piping!G73), "", Piping!G73), IF($N$1="Vessels", IF(ISBLANK(Vessels!G73), "", Vessels!G73), ""))</f>
        <v>0</v>
      </c>
      <c r="H73" s="21" t="str">
        <f>IF($N$1="Piping", IF(ISBLANK(Piping!H73), "", Piping!H73), IF($N$1="Vessels", IF(ISBLANK(Vessels!H73), "", Vessels!H73), ""))</f>
        <v/>
      </c>
      <c r="I73" s="21" t="str">
        <f>IF($N$1="Piping", IF(ISBLANK(Piping!I73), "", Piping!I73), IF($N$1="Vessels", IF(ISBLANK(Vessels!I73), "", Vessels!I73), ""))</f>
        <v/>
      </c>
      <c r="J73" s="21" t="str">
        <f>IF($N$1="Piping", IF(ISBLANK(Piping!J73), "", Piping!J73), IF($N$1="Vessels", IF(ISBLANK(Vessels!J73), "", Vessels!J73), ""))</f>
        <v/>
      </c>
      <c r="K73" s="21" t="str">
        <f>IF($N$1="Piping", IF(ISBLANK(Piping!K73), "", Piping!K73), IF($N$1="Vessels", IF(ISBLANK(Vessels!K73), "", Vessels!K73), ""))</f>
        <v/>
      </c>
      <c r="L73" s="21" t="str">
        <f>IF($N$1="Piping", IF(ISBLANK(Piping!L73), "", Piping!L73), IF($N$1="Vessels", IF(ISBLANK(Vessels!L73), "", Vessels!L73), ""))</f>
        <v/>
      </c>
      <c r="M73" s="21"/>
      <c r="N73" s="21"/>
      <c r="O73" s="21"/>
      <c r="P73" s="21"/>
      <c r="Q73" s="21" t="str">
        <f>IF($N$1="Piping", IF(ISBLANK(Piping!T73), "", Piping!T73), IF($N$1="Vessels", IF(ISBLANK(Vessels!T73), "", Vessels!T73), ""))</f>
        <v/>
      </c>
      <c r="R73" s="51" t="str">
        <f>IF($N$1="Piping", IF(ISBLANK(Piping!U73), "", Piping!U73), IF($N$1="Vessels", IF(ISBLANK(Vessels!U73), "", Vessels!U73), ""))</f>
        <v/>
      </c>
      <c r="S73" s="118" t="str">
        <f>IF(B73&lt;&gt;"",IF($N$1="Piping", IF(ISBLANK(Piping!$J$3), "", Piping!$J$3), IF($N$1="Vessels", IF(ISBLANK(Vessels!$J$3), "", Vessels!$J$3), "")),"")</f>
        <v/>
      </c>
      <c r="T73" s="37"/>
      <c r="U73" s="37"/>
      <c r="V73" s="37"/>
      <c r="W73" s="37"/>
      <c r="X73" s="37"/>
      <c r="Y73" s="37"/>
      <c r="Z73" s="37"/>
    </row>
    <row r="74" spans="1:26" ht="15.75" customHeight="1" x14ac:dyDescent="0.3">
      <c r="A74" s="22">
        <f>IF($N$1="Piping", IF(ISBLANK(Piping!A74), "", Piping!A74), IF($N$1="Vessels", IF(ISBLANK(Vessels!A74), "", Vessels!A74), ""))</f>
        <v>18.100000000000001</v>
      </c>
      <c r="B74" s="21" t="str">
        <f>IF($N$1="Piping", IF(ISBLANK(Piping!B74), "", Piping!B74), IF($N$1="Vessels", IF(ISBLANK(Vessels!B74), "", Vessels!B74), ""))</f>
        <v/>
      </c>
      <c r="C74" s="21" t="str">
        <f>IF($N$1="Piping", IF(ISBLANK(Piping!C74), "", Piping!C74), IF($N$1="Vessels", IF(ISBLANK(Vessels!C74), "", Vessels!C74), ""))</f>
        <v>Piping</v>
      </c>
      <c r="D74" s="21" t="str">
        <f>IF($N$1="Piping", IF(ISBLANK(Piping!D74), "", Piping!D74), IF($N$1="Vessels", IF(ISBLANK(Vessels!D74), "", Vessels!D74), ""))</f>
        <v/>
      </c>
      <c r="E74" s="21" t="str">
        <f>IF($N$1="Piping", IF(ISBLANK(Piping!E74), "", Piping!E74), IF($N$1="Vessels", IF(ISBLANK(Vessels!E74), "", Vessels!E74), ""))</f>
        <v/>
      </c>
      <c r="F74" s="21" t="str">
        <f>IF($N$1="Piping", IF(ISBLANK(Piping!F74), "", Piping!F74), IF($N$1="Vessels", IF(ISBLANK(Vessels!F74), "", Vessels!F74), ""))</f>
        <v/>
      </c>
      <c r="G74" s="21">
        <f>IF($N$1="Piping", IF(ISBLANK(Piping!G74), "", Piping!G74), IF($N$1="Vessels", IF(ISBLANK(Vessels!G74), "", Vessels!G74), ""))</f>
        <v>0</v>
      </c>
      <c r="H74" s="21" t="str">
        <f>IF($N$1="Piping", IF(ISBLANK(Piping!H74), "", Piping!H74), IF($N$1="Vessels", IF(ISBLANK(Vessels!H74), "", Vessels!H74), ""))</f>
        <v/>
      </c>
      <c r="I74" s="21" t="str">
        <f>IF($N$1="Piping", IF(ISBLANK(Piping!I74), "", Piping!I74), IF($N$1="Vessels", IF(ISBLANK(Vessels!I74), "", Vessels!I74), ""))</f>
        <v/>
      </c>
      <c r="J74" s="21" t="str">
        <f>IF($N$1="Piping", IF(ISBLANK(Piping!J74), "", Piping!J74), IF($N$1="Vessels", IF(ISBLANK(Vessels!J74), "", Vessels!J74), ""))</f>
        <v/>
      </c>
      <c r="K74" s="21" t="str">
        <f>IF($N$1="Piping", IF(ISBLANK(Piping!K74), "", Piping!K74), IF($N$1="Vessels", IF(ISBLANK(Vessels!K74), "", Vessels!K74), ""))</f>
        <v/>
      </c>
      <c r="L74" s="21" t="str">
        <f>IF($N$1="Piping", IF(ISBLANK(Piping!L74), "", Piping!L74), IF($N$1="Vessels", IF(ISBLANK(Vessels!L74), "", Vessels!L74), ""))</f>
        <v/>
      </c>
      <c r="M74" s="21"/>
      <c r="N74" s="21"/>
      <c r="O74" s="21"/>
      <c r="P74" s="21"/>
      <c r="Q74" s="21" t="str">
        <f>IF($N$1="Piping", IF(ISBLANK(Piping!T74), "", Piping!T74), IF($N$1="Vessels", IF(ISBLANK(Vessels!T74), "", Vessels!T74), ""))</f>
        <v/>
      </c>
      <c r="R74" s="51" t="str">
        <f>IF($N$1="Piping", IF(ISBLANK(Piping!U74), "", Piping!U74), IF($N$1="Vessels", IF(ISBLANK(Vessels!U74), "", Vessels!U74), ""))</f>
        <v/>
      </c>
      <c r="S74" s="118" t="str">
        <f>IF(B74&lt;&gt;"",IF($N$1="Piping", IF(ISBLANK(Piping!$J$3), "", Piping!$J$3), IF($N$1="Vessels", IF(ISBLANK(Vessels!$J$3), "", Vessels!$J$3), "")),"")</f>
        <v/>
      </c>
      <c r="T74" s="37"/>
      <c r="U74" s="37"/>
      <c r="V74" s="37"/>
      <c r="W74" s="37"/>
      <c r="X74" s="37"/>
      <c r="Y74" s="37"/>
      <c r="Z74" s="37"/>
    </row>
    <row r="75" spans="1:26" ht="15.75" customHeight="1" x14ac:dyDescent="0.3">
      <c r="A75" s="22">
        <f>IF($N$1="Piping", IF(ISBLANK(Piping!A75), "", Piping!A75), IF($N$1="Vessels", IF(ISBLANK(Vessels!A75), "", Vessels!A75), ""))</f>
        <v>18.2</v>
      </c>
      <c r="B75" s="21" t="str">
        <f>IF($N$1="Piping", IF(ISBLANK(Piping!B75), "", Piping!B75), IF($N$1="Vessels", IF(ISBLANK(Vessels!B75), "", Vessels!B75), ""))</f>
        <v/>
      </c>
      <c r="C75" s="21" t="str">
        <f>IF($N$1="Piping", IF(ISBLANK(Piping!C75), "", Piping!C75), IF($N$1="Vessels", IF(ISBLANK(Vessels!C75), "", Vessels!C75), ""))</f>
        <v>Piping</v>
      </c>
      <c r="D75" s="21" t="str">
        <f>IF($N$1="Piping", IF(ISBLANK(Piping!D75), "", Piping!D75), IF($N$1="Vessels", IF(ISBLANK(Vessels!D75), "", Vessels!D75), ""))</f>
        <v/>
      </c>
      <c r="E75" s="21" t="str">
        <f>IF($N$1="Piping", IF(ISBLANK(Piping!E75), "", Piping!E75), IF($N$1="Vessels", IF(ISBLANK(Vessels!E75), "", Vessels!E75), ""))</f>
        <v/>
      </c>
      <c r="F75" s="21" t="str">
        <f>IF($N$1="Piping", IF(ISBLANK(Piping!F75), "", Piping!F75), IF($N$1="Vessels", IF(ISBLANK(Vessels!F75), "", Vessels!F75), ""))</f>
        <v/>
      </c>
      <c r="G75" s="21">
        <f>IF($N$1="Piping", IF(ISBLANK(Piping!G75), "", Piping!G75), IF($N$1="Vessels", IF(ISBLANK(Vessels!G75), "", Vessels!G75), ""))</f>
        <v>0</v>
      </c>
      <c r="H75" s="21" t="str">
        <f>IF($N$1="Piping", IF(ISBLANK(Piping!H75), "", Piping!H75), IF($N$1="Vessels", IF(ISBLANK(Vessels!H75), "", Vessels!H75), ""))</f>
        <v/>
      </c>
      <c r="I75" s="21" t="str">
        <f>IF($N$1="Piping", IF(ISBLANK(Piping!I75), "", Piping!I75), IF($N$1="Vessels", IF(ISBLANK(Vessels!I75), "", Vessels!I75), ""))</f>
        <v/>
      </c>
      <c r="J75" s="21" t="str">
        <f>IF($N$1="Piping", IF(ISBLANK(Piping!J75), "", Piping!J75), IF($N$1="Vessels", IF(ISBLANK(Vessels!J75), "", Vessels!J75), ""))</f>
        <v/>
      </c>
      <c r="K75" s="21" t="str">
        <f>IF($N$1="Piping", IF(ISBLANK(Piping!K75), "", Piping!K75), IF($N$1="Vessels", IF(ISBLANK(Vessels!K75), "", Vessels!K75), ""))</f>
        <v/>
      </c>
      <c r="L75" s="21" t="str">
        <f>IF($N$1="Piping", IF(ISBLANK(Piping!L75), "", Piping!L75), IF($N$1="Vessels", IF(ISBLANK(Vessels!L75), "", Vessels!L75), ""))</f>
        <v/>
      </c>
      <c r="M75" s="21"/>
      <c r="N75" s="21"/>
      <c r="O75" s="21"/>
      <c r="P75" s="21"/>
      <c r="Q75" s="21" t="str">
        <f>IF($N$1="Piping", IF(ISBLANK(Piping!T75), "", Piping!T75), IF($N$1="Vessels", IF(ISBLANK(Vessels!T75), "", Vessels!T75), ""))</f>
        <v/>
      </c>
      <c r="R75" s="51" t="str">
        <f>IF($N$1="Piping", IF(ISBLANK(Piping!U75), "", Piping!U75), IF($N$1="Vessels", IF(ISBLANK(Vessels!U75), "", Vessels!U75), ""))</f>
        <v/>
      </c>
      <c r="S75" s="118" t="str">
        <f>IF(B75&lt;&gt;"",IF($N$1="Piping", IF(ISBLANK(Piping!$J$3), "", Piping!$J$3), IF($N$1="Vessels", IF(ISBLANK(Vessels!$J$3), "", Vessels!$J$3), "")),"")</f>
        <v/>
      </c>
      <c r="T75" s="37"/>
      <c r="U75" s="37"/>
      <c r="V75" s="37"/>
      <c r="W75" s="37"/>
      <c r="X75" s="37"/>
      <c r="Y75" s="37"/>
      <c r="Z75" s="37"/>
    </row>
    <row r="76" spans="1:26" ht="15.75" customHeight="1" x14ac:dyDescent="0.3">
      <c r="A76" s="22">
        <f>IF($N$1="Piping", IF(ISBLANK(Piping!A76), "", Piping!A76), IF($N$1="Vessels", IF(ISBLANK(Vessels!A76), "", Vessels!A76), ""))</f>
        <v>18.3</v>
      </c>
      <c r="B76" s="21" t="str">
        <f>IF($N$1="Piping", IF(ISBLANK(Piping!B76), "", Piping!B76), IF($N$1="Vessels", IF(ISBLANK(Vessels!B76), "", Vessels!B76), ""))</f>
        <v/>
      </c>
      <c r="C76" s="21" t="str">
        <f>IF($N$1="Piping", IF(ISBLANK(Piping!C76), "", Piping!C76), IF($N$1="Vessels", IF(ISBLANK(Vessels!C76), "", Vessels!C76), ""))</f>
        <v>Piping</v>
      </c>
      <c r="D76" s="21" t="str">
        <f>IF($N$1="Piping", IF(ISBLANK(Piping!D76), "", Piping!D76), IF($N$1="Vessels", IF(ISBLANK(Vessels!D76), "", Vessels!D76), ""))</f>
        <v/>
      </c>
      <c r="E76" s="21" t="str">
        <f>IF($N$1="Piping", IF(ISBLANK(Piping!E76), "", Piping!E76), IF($N$1="Vessels", IF(ISBLANK(Vessels!E76), "", Vessels!E76), ""))</f>
        <v/>
      </c>
      <c r="F76" s="21" t="str">
        <f>IF($N$1="Piping", IF(ISBLANK(Piping!F76), "", Piping!F76), IF($N$1="Vessels", IF(ISBLANK(Vessels!F76), "", Vessels!F76), ""))</f>
        <v/>
      </c>
      <c r="G76" s="21">
        <f>IF($N$1="Piping", IF(ISBLANK(Piping!G76), "", Piping!G76), IF($N$1="Vessels", IF(ISBLANK(Vessels!G76), "", Vessels!G76), ""))</f>
        <v>0</v>
      </c>
      <c r="H76" s="21" t="str">
        <f>IF($N$1="Piping", IF(ISBLANK(Piping!H76), "", Piping!H76), IF($N$1="Vessels", IF(ISBLANK(Vessels!H76), "", Vessels!H76), ""))</f>
        <v/>
      </c>
      <c r="I76" s="21" t="str">
        <f>IF($N$1="Piping", IF(ISBLANK(Piping!I76), "", Piping!I76), IF($N$1="Vessels", IF(ISBLANK(Vessels!I76), "", Vessels!I76), ""))</f>
        <v/>
      </c>
      <c r="J76" s="21" t="str">
        <f>IF($N$1="Piping", IF(ISBLANK(Piping!J76), "", Piping!J76), IF($N$1="Vessels", IF(ISBLANK(Vessels!J76), "", Vessels!J76), ""))</f>
        <v/>
      </c>
      <c r="K76" s="21" t="str">
        <f>IF($N$1="Piping", IF(ISBLANK(Piping!K76), "", Piping!K76), IF($N$1="Vessels", IF(ISBLANK(Vessels!K76), "", Vessels!K76), ""))</f>
        <v/>
      </c>
      <c r="L76" s="21" t="str">
        <f>IF($N$1="Piping", IF(ISBLANK(Piping!L76), "", Piping!L76), IF($N$1="Vessels", IF(ISBLANK(Vessels!L76), "", Vessels!L76), ""))</f>
        <v/>
      </c>
      <c r="M76" s="21"/>
      <c r="N76" s="21"/>
      <c r="O76" s="21"/>
      <c r="P76" s="21"/>
      <c r="Q76" s="21" t="str">
        <f>IF($N$1="Piping", IF(ISBLANK(Piping!T76), "", Piping!T76), IF($N$1="Vessels", IF(ISBLANK(Vessels!T76), "", Vessels!T76), ""))</f>
        <v/>
      </c>
      <c r="R76" s="51" t="str">
        <f>IF($N$1="Piping", IF(ISBLANK(Piping!U76), "", Piping!U76), IF($N$1="Vessels", IF(ISBLANK(Vessels!U76), "", Vessels!U76), ""))</f>
        <v/>
      </c>
      <c r="S76" s="118" t="str">
        <f>IF(B76&lt;&gt;"",IF($N$1="Piping", IF(ISBLANK(Piping!$J$3), "", Piping!$J$3), IF($N$1="Vessels", IF(ISBLANK(Vessels!$J$3), "", Vessels!$J$3), "")),"")</f>
        <v/>
      </c>
      <c r="T76" s="37"/>
      <c r="U76" s="37"/>
      <c r="V76" s="37"/>
      <c r="W76" s="37"/>
      <c r="X76" s="37"/>
      <c r="Y76" s="37"/>
      <c r="Z76" s="37"/>
    </row>
    <row r="77" spans="1:26" ht="15.75" customHeight="1" x14ac:dyDescent="0.3">
      <c r="A77" s="22">
        <f>IF($N$1="Piping", IF(ISBLANK(Piping!A77), "", Piping!A77), IF($N$1="Vessels", IF(ISBLANK(Vessels!A77), "", Vessels!A77), ""))</f>
        <v>18.399999999999999</v>
      </c>
      <c r="B77" s="21" t="str">
        <f>IF($N$1="Piping", IF(ISBLANK(Piping!B77), "", Piping!B77), IF($N$1="Vessels", IF(ISBLANK(Vessels!B77), "", Vessels!B77), ""))</f>
        <v/>
      </c>
      <c r="C77" s="21" t="str">
        <f>IF($N$1="Piping", IF(ISBLANK(Piping!C77), "", Piping!C77), IF($N$1="Vessels", IF(ISBLANK(Vessels!C77), "", Vessels!C77), ""))</f>
        <v>Piping</v>
      </c>
      <c r="D77" s="21" t="str">
        <f>IF($N$1="Piping", IF(ISBLANK(Piping!D77), "", Piping!D77), IF($N$1="Vessels", IF(ISBLANK(Vessels!D77), "", Vessels!D77), ""))</f>
        <v/>
      </c>
      <c r="E77" s="21" t="str">
        <f>IF($N$1="Piping", IF(ISBLANK(Piping!E77), "", Piping!E77), IF($N$1="Vessels", IF(ISBLANK(Vessels!E77), "", Vessels!E77), ""))</f>
        <v/>
      </c>
      <c r="F77" s="21" t="str">
        <f>IF($N$1="Piping", IF(ISBLANK(Piping!F77), "", Piping!F77), IF($N$1="Vessels", IF(ISBLANK(Vessels!F77), "", Vessels!F77), ""))</f>
        <v/>
      </c>
      <c r="G77" s="21">
        <f>IF($N$1="Piping", IF(ISBLANK(Piping!G77), "", Piping!G77), IF($N$1="Vessels", IF(ISBLANK(Vessels!G77), "", Vessels!G77), ""))</f>
        <v>0</v>
      </c>
      <c r="H77" s="21" t="str">
        <f>IF($N$1="Piping", IF(ISBLANK(Piping!H77), "", Piping!H77), IF($N$1="Vessels", IF(ISBLANK(Vessels!H77), "", Vessels!H77), ""))</f>
        <v/>
      </c>
      <c r="I77" s="21" t="str">
        <f>IF($N$1="Piping", IF(ISBLANK(Piping!I77), "", Piping!I77), IF($N$1="Vessels", IF(ISBLANK(Vessels!I77), "", Vessels!I77), ""))</f>
        <v/>
      </c>
      <c r="J77" s="21" t="str">
        <f>IF($N$1="Piping", IF(ISBLANK(Piping!J77), "", Piping!J77), IF($N$1="Vessels", IF(ISBLANK(Vessels!J77), "", Vessels!J77), ""))</f>
        <v/>
      </c>
      <c r="K77" s="21" t="str">
        <f>IF($N$1="Piping", IF(ISBLANK(Piping!K77), "", Piping!K77), IF($N$1="Vessels", IF(ISBLANK(Vessels!K77), "", Vessels!K77), ""))</f>
        <v/>
      </c>
      <c r="L77" s="21" t="str">
        <f>IF($N$1="Piping", IF(ISBLANK(Piping!L77), "", Piping!L77), IF($N$1="Vessels", IF(ISBLANK(Vessels!L77), "", Vessels!L77), ""))</f>
        <v/>
      </c>
      <c r="M77" s="21"/>
      <c r="N77" s="21"/>
      <c r="O77" s="21"/>
      <c r="P77" s="21"/>
      <c r="Q77" s="21" t="str">
        <f>IF($N$1="Piping", IF(ISBLANK(Piping!T77), "", Piping!T77), IF($N$1="Vessels", IF(ISBLANK(Vessels!T77), "", Vessels!T77), ""))</f>
        <v/>
      </c>
      <c r="R77" s="51" t="str">
        <f>IF($N$1="Piping", IF(ISBLANK(Piping!U77), "", Piping!U77), IF($N$1="Vessels", IF(ISBLANK(Vessels!U77), "", Vessels!U77), ""))</f>
        <v/>
      </c>
      <c r="S77" s="118" t="str">
        <f>IF(B77&lt;&gt;"",IF($N$1="Piping", IF(ISBLANK(Piping!$J$3), "", Piping!$J$3), IF($N$1="Vessels", IF(ISBLANK(Vessels!$J$3), "", Vessels!$J$3), "")),"")</f>
        <v/>
      </c>
      <c r="T77" s="37"/>
      <c r="U77" s="37"/>
      <c r="V77" s="37"/>
      <c r="W77" s="37"/>
      <c r="X77" s="37"/>
      <c r="Y77" s="37"/>
      <c r="Z77" s="37"/>
    </row>
    <row r="78" spans="1:26" ht="15.75" customHeight="1" x14ac:dyDescent="0.3">
      <c r="A78" s="22">
        <f>IF($N$1="Piping", IF(ISBLANK(Piping!A78), "", Piping!A78), IF($N$1="Vessels", IF(ISBLANK(Vessels!A78), "", Vessels!A78), ""))</f>
        <v>19.100000000000001</v>
      </c>
      <c r="B78" s="21" t="str">
        <f>IF($N$1="Piping", IF(ISBLANK(Piping!B78), "", Piping!B78), IF($N$1="Vessels", IF(ISBLANK(Vessels!B78), "", Vessels!B78), ""))</f>
        <v/>
      </c>
      <c r="C78" s="21" t="str">
        <f>IF($N$1="Piping", IF(ISBLANK(Piping!C78), "", Piping!C78), IF($N$1="Vessels", IF(ISBLANK(Vessels!C78), "", Vessels!C78), ""))</f>
        <v>Piping</v>
      </c>
      <c r="D78" s="21" t="str">
        <f>IF($N$1="Piping", IF(ISBLANK(Piping!D78), "", Piping!D78), IF($N$1="Vessels", IF(ISBLANK(Vessels!D78), "", Vessels!D78), ""))</f>
        <v/>
      </c>
      <c r="E78" s="21" t="str">
        <f>IF($N$1="Piping", IF(ISBLANK(Piping!E78), "", Piping!E78), IF($N$1="Vessels", IF(ISBLANK(Vessels!E78), "", Vessels!E78), ""))</f>
        <v/>
      </c>
      <c r="F78" s="21" t="str">
        <f>IF($N$1="Piping", IF(ISBLANK(Piping!F78), "", Piping!F78), IF($N$1="Vessels", IF(ISBLANK(Vessels!F78), "", Vessels!F78), ""))</f>
        <v/>
      </c>
      <c r="G78" s="21">
        <f>IF($N$1="Piping", IF(ISBLANK(Piping!G78), "", Piping!G78), IF($N$1="Vessels", IF(ISBLANK(Vessels!G78), "", Vessels!G78), ""))</f>
        <v>0</v>
      </c>
      <c r="H78" s="21" t="str">
        <f>IF($N$1="Piping", IF(ISBLANK(Piping!H78), "", Piping!H78), IF($N$1="Vessels", IF(ISBLANK(Vessels!H78), "", Vessels!H78), ""))</f>
        <v/>
      </c>
      <c r="I78" s="21" t="str">
        <f>IF($N$1="Piping", IF(ISBLANK(Piping!I78), "", Piping!I78), IF($N$1="Vessels", IF(ISBLANK(Vessels!I78), "", Vessels!I78), ""))</f>
        <v/>
      </c>
      <c r="J78" s="21" t="str">
        <f>IF($N$1="Piping", IF(ISBLANK(Piping!J78), "", Piping!J78), IF($N$1="Vessels", IF(ISBLANK(Vessels!J78), "", Vessels!J78), ""))</f>
        <v/>
      </c>
      <c r="K78" s="21" t="str">
        <f>IF($N$1="Piping", IF(ISBLANK(Piping!K78), "", Piping!K78), IF($N$1="Vessels", IF(ISBLANK(Vessels!K78), "", Vessels!K78), ""))</f>
        <v/>
      </c>
      <c r="L78" s="21" t="str">
        <f>IF($N$1="Piping", IF(ISBLANK(Piping!L78), "", Piping!L78), IF($N$1="Vessels", IF(ISBLANK(Vessels!L78), "", Vessels!L78), ""))</f>
        <v/>
      </c>
      <c r="M78" s="21"/>
      <c r="N78" s="21"/>
      <c r="O78" s="21"/>
      <c r="P78" s="21"/>
      <c r="Q78" s="21" t="str">
        <f>IF($N$1="Piping", IF(ISBLANK(Piping!T78), "", Piping!T78), IF($N$1="Vessels", IF(ISBLANK(Vessels!T78), "", Vessels!T78), ""))</f>
        <v/>
      </c>
      <c r="R78" s="51" t="str">
        <f>IF($N$1="Piping", IF(ISBLANK(Piping!U78), "", Piping!U78), IF($N$1="Vessels", IF(ISBLANK(Vessels!U78), "", Vessels!U78), ""))</f>
        <v/>
      </c>
      <c r="S78" s="118" t="str">
        <f>IF(B78&lt;&gt;"",IF($N$1="Piping", IF(ISBLANK(Piping!$J$3), "", Piping!$J$3), IF($N$1="Vessels", IF(ISBLANK(Vessels!$J$3), "", Vessels!$J$3), "")),"")</f>
        <v/>
      </c>
      <c r="T78" s="37"/>
      <c r="U78" s="37"/>
      <c r="V78" s="37"/>
      <c r="W78" s="37"/>
      <c r="X78" s="37"/>
      <c r="Y78" s="37"/>
      <c r="Z78" s="37"/>
    </row>
    <row r="79" spans="1:26" ht="15.75" customHeight="1" x14ac:dyDescent="0.3">
      <c r="A79" s="22">
        <f>IF($N$1="Piping", IF(ISBLANK(Piping!A79), "", Piping!A79), IF($N$1="Vessels", IF(ISBLANK(Vessels!A79), "", Vessels!A79), ""))</f>
        <v>19.2</v>
      </c>
      <c r="B79" s="21" t="str">
        <f>IF($N$1="Piping", IF(ISBLANK(Piping!B79), "", Piping!B79), IF($N$1="Vessels", IF(ISBLANK(Vessels!B79), "", Vessels!B79), ""))</f>
        <v/>
      </c>
      <c r="C79" s="21" t="str">
        <f>IF($N$1="Piping", IF(ISBLANK(Piping!C79), "", Piping!C79), IF($N$1="Vessels", IF(ISBLANK(Vessels!C79), "", Vessels!C79), ""))</f>
        <v>Piping</v>
      </c>
      <c r="D79" s="21" t="str">
        <f>IF($N$1="Piping", IF(ISBLANK(Piping!D79), "", Piping!D79), IF($N$1="Vessels", IF(ISBLANK(Vessels!D79), "", Vessels!D79), ""))</f>
        <v/>
      </c>
      <c r="E79" s="21" t="str">
        <f>IF($N$1="Piping", IF(ISBLANK(Piping!E79), "", Piping!E79), IF($N$1="Vessels", IF(ISBLANK(Vessels!E79), "", Vessels!E79), ""))</f>
        <v/>
      </c>
      <c r="F79" s="21" t="str">
        <f>IF($N$1="Piping", IF(ISBLANK(Piping!F79), "", Piping!F79), IF($N$1="Vessels", IF(ISBLANK(Vessels!F79), "", Vessels!F79), ""))</f>
        <v/>
      </c>
      <c r="G79" s="21">
        <f>IF($N$1="Piping", IF(ISBLANK(Piping!G79), "", Piping!G79), IF($N$1="Vessels", IF(ISBLANK(Vessels!G79), "", Vessels!G79), ""))</f>
        <v>0</v>
      </c>
      <c r="H79" s="21" t="str">
        <f>IF($N$1="Piping", IF(ISBLANK(Piping!H79), "", Piping!H79), IF($N$1="Vessels", IF(ISBLANK(Vessels!H79), "", Vessels!H79), ""))</f>
        <v/>
      </c>
      <c r="I79" s="21" t="str">
        <f>IF($N$1="Piping", IF(ISBLANK(Piping!I79), "", Piping!I79), IF($N$1="Vessels", IF(ISBLANK(Vessels!I79), "", Vessels!I79), ""))</f>
        <v/>
      </c>
      <c r="J79" s="21" t="str">
        <f>IF($N$1="Piping", IF(ISBLANK(Piping!J79), "", Piping!J79), IF($N$1="Vessels", IF(ISBLANK(Vessels!J79), "", Vessels!J79), ""))</f>
        <v/>
      </c>
      <c r="K79" s="21" t="str">
        <f>IF($N$1="Piping", IF(ISBLANK(Piping!K79), "", Piping!K79), IF($N$1="Vessels", IF(ISBLANK(Vessels!K79), "", Vessels!K79), ""))</f>
        <v/>
      </c>
      <c r="L79" s="21" t="str">
        <f>IF($N$1="Piping", IF(ISBLANK(Piping!L79), "", Piping!L79), IF($N$1="Vessels", IF(ISBLANK(Vessels!L79), "", Vessels!L79), ""))</f>
        <v/>
      </c>
      <c r="M79" s="21"/>
      <c r="N79" s="21"/>
      <c r="O79" s="21"/>
      <c r="P79" s="21"/>
      <c r="Q79" s="21" t="str">
        <f>IF($N$1="Piping", IF(ISBLANK(Piping!T79), "", Piping!T79), IF($N$1="Vessels", IF(ISBLANK(Vessels!T79), "", Vessels!T79), ""))</f>
        <v/>
      </c>
      <c r="R79" s="51" t="str">
        <f>IF($N$1="Piping", IF(ISBLANK(Piping!U79), "", Piping!U79), IF($N$1="Vessels", IF(ISBLANK(Vessels!U79), "", Vessels!U79), ""))</f>
        <v/>
      </c>
      <c r="S79" s="118" t="str">
        <f>IF(B79&lt;&gt;"",IF($N$1="Piping", IF(ISBLANK(Piping!$J$3), "", Piping!$J$3), IF($N$1="Vessels", IF(ISBLANK(Vessels!$J$3), "", Vessels!$J$3), "")),"")</f>
        <v/>
      </c>
      <c r="T79" s="37"/>
      <c r="U79" s="37"/>
      <c r="V79" s="37"/>
      <c r="W79" s="37"/>
      <c r="X79" s="37"/>
      <c r="Y79" s="37"/>
      <c r="Z79" s="37"/>
    </row>
    <row r="80" spans="1:26" ht="15.75" customHeight="1" x14ac:dyDescent="0.3">
      <c r="A80" s="22">
        <f>IF($N$1="Piping", IF(ISBLANK(Piping!A80), "", Piping!A80), IF($N$1="Vessels", IF(ISBLANK(Vessels!A80), "", Vessels!A80), ""))</f>
        <v>19.3</v>
      </c>
      <c r="B80" s="21" t="str">
        <f>IF($N$1="Piping", IF(ISBLANK(Piping!B80), "", Piping!B80), IF($N$1="Vessels", IF(ISBLANK(Vessels!B80), "", Vessels!B80), ""))</f>
        <v/>
      </c>
      <c r="C80" s="21" t="str">
        <f>IF($N$1="Piping", IF(ISBLANK(Piping!C80), "", Piping!C80), IF($N$1="Vessels", IF(ISBLANK(Vessels!C80), "", Vessels!C80), ""))</f>
        <v>Piping</v>
      </c>
      <c r="D80" s="21" t="str">
        <f>IF($N$1="Piping", IF(ISBLANK(Piping!D80), "", Piping!D80), IF($N$1="Vessels", IF(ISBLANK(Vessels!D80), "", Vessels!D80), ""))</f>
        <v/>
      </c>
      <c r="E80" s="21" t="str">
        <f>IF($N$1="Piping", IF(ISBLANK(Piping!E80), "", Piping!E80), IF($N$1="Vessels", IF(ISBLANK(Vessels!E80), "", Vessels!E80), ""))</f>
        <v/>
      </c>
      <c r="F80" s="21" t="str">
        <f>IF($N$1="Piping", IF(ISBLANK(Piping!F80), "", Piping!F80), IF($N$1="Vessels", IF(ISBLANK(Vessels!F80), "", Vessels!F80), ""))</f>
        <v/>
      </c>
      <c r="G80" s="21">
        <f>IF($N$1="Piping", IF(ISBLANK(Piping!G80), "", Piping!G80), IF($N$1="Vessels", IF(ISBLANK(Vessels!G80), "", Vessels!G80), ""))</f>
        <v>0</v>
      </c>
      <c r="H80" s="21" t="str">
        <f>IF($N$1="Piping", IF(ISBLANK(Piping!H80), "", Piping!H80), IF($N$1="Vessels", IF(ISBLANK(Vessels!H80), "", Vessels!H80), ""))</f>
        <v/>
      </c>
      <c r="I80" s="21" t="str">
        <f>IF($N$1="Piping", IF(ISBLANK(Piping!I80), "", Piping!I80), IF($N$1="Vessels", IF(ISBLANK(Vessels!I80), "", Vessels!I80), ""))</f>
        <v/>
      </c>
      <c r="J80" s="21" t="str">
        <f>IF($N$1="Piping", IF(ISBLANK(Piping!J80), "", Piping!J80), IF($N$1="Vessels", IF(ISBLANK(Vessels!J80), "", Vessels!J80), ""))</f>
        <v/>
      </c>
      <c r="K80" s="21" t="str">
        <f>IF($N$1="Piping", IF(ISBLANK(Piping!K80), "", Piping!K80), IF($N$1="Vessels", IF(ISBLANK(Vessels!K80), "", Vessels!K80), ""))</f>
        <v/>
      </c>
      <c r="L80" s="21" t="str">
        <f>IF($N$1="Piping", IF(ISBLANK(Piping!L80), "", Piping!L80), IF($N$1="Vessels", IF(ISBLANK(Vessels!L80), "", Vessels!L80), ""))</f>
        <v/>
      </c>
      <c r="M80" s="21"/>
      <c r="N80" s="21"/>
      <c r="O80" s="21"/>
      <c r="P80" s="21"/>
      <c r="Q80" s="21" t="str">
        <f>IF($N$1="Piping", IF(ISBLANK(Piping!T80), "", Piping!T80), IF($N$1="Vessels", IF(ISBLANK(Vessels!T80), "", Vessels!T80), ""))</f>
        <v/>
      </c>
      <c r="R80" s="51" t="str">
        <f>IF($N$1="Piping", IF(ISBLANK(Piping!U80), "", Piping!U80), IF($N$1="Vessels", IF(ISBLANK(Vessels!U80), "", Vessels!U80), ""))</f>
        <v/>
      </c>
      <c r="S80" s="118" t="str">
        <f>IF(B80&lt;&gt;"",IF($N$1="Piping", IF(ISBLANK(Piping!$J$3), "", Piping!$J$3), IF($N$1="Vessels", IF(ISBLANK(Vessels!$J$3), "", Vessels!$J$3), "")),"")</f>
        <v/>
      </c>
      <c r="T80" s="37"/>
      <c r="U80" s="37"/>
      <c r="V80" s="37"/>
      <c r="W80" s="37"/>
      <c r="X80" s="37"/>
      <c r="Y80" s="37"/>
      <c r="Z80" s="37"/>
    </row>
    <row r="81" spans="1:26" ht="15.75" customHeight="1" x14ac:dyDescent="0.3">
      <c r="A81" s="22">
        <f>IF($N$1="Piping", IF(ISBLANK(Piping!A81), "", Piping!A81), IF($N$1="Vessels", IF(ISBLANK(Vessels!A81), "", Vessels!A81), ""))</f>
        <v>19.399999999999999</v>
      </c>
      <c r="B81" s="21" t="str">
        <f>IF($N$1="Piping", IF(ISBLANK(Piping!B81), "", Piping!B81), IF($N$1="Vessels", IF(ISBLANK(Vessels!B81), "", Vessels!B81), ""))</f>
        <v/>
      </c>
      <c r="C81" s="21" t="str">
        <f>IF($N$1="Piping", IF(ISBLANK(Piping!C81), "", Piping!C81), IF($N$1="Vessels", IF(ISBLANK(Vessels!C81), "", Vessels!C81), ""))</f>
        <v>Piping</v>
      </c>
      <c r="D81" s="21" t="str">
        <f>IF($N$1="Piping", IF(ISBLANK(Piping!D81), "", Piping!D81), IF($N$1="Vessels", IF(ISBLANK(Vessels!D81), "", Vessels!D81), ""))</f>
        <v/>
      </c>
      <c r="E81" s="21" t="str">
        <f>IF($N$1="Piping", IF(ISBLANK(Piping!E81), "", Piping!E81), IF($N$1="Vessels", IF(ISBLANK(Vessels!E81), "", Vessels!E81), ""))</f>
        <v/>
      </c>
      <c r="F81" s="21" t="str">
        <f>IF($N$1="Piping", IF(ISBLANK(Piping!F81), "", Piping!F81), IF($N$1="Vessels", IF(ISBLANK(Vessels!F81), "", Vessels!F81), ""))</f>
        <v/>
      </c>
      <c r="G81" s="21">
        <f>IF($N$1="Piping", IF(ISBLANK(Piping!G81), "", Piping!G81), IF($N$1="Vessels", IF(ISBLANK(Vessels!G81), "", Vessels!G81), ""))</f>
        <v>0</v>
      </c>
      <c r="H81" s="21" t="str">
        <f>IF($N$1="Piping", IF(ISBLANK(Piping!H81), "", Piping!H81), IF($N$1="Vessels", IF(ISBLANK(Vessels!H81), "", Vessels!H81), ""))</f>
        <v/>
      </c>
      <c r="I81" s="21" t="str">
        <f>IF($N$1="Piping", IF(ISBLANK(Piping!I81), "", Piping!I81), IF($N$1="Vessels", IF(ISBLANK(Vessels!I81), "", Vessels!I81), ""))</f>
        <v/>
      </c>
      <c r="J81" s="21" t="str">
        <f>IF($N$1="Piping", IF(ISBLANK(Piping!J81), "", Piping!J81), IF($N$1="Vessels", IF(ISBLANK(Vessels!J81), "", Vessels!J81), ""))</f>
        <v/>
      </c>
      <c r="K81" s="21" t="str">
        <f>IF($N$1="Piping", IF(ISBLANK(Piping!K81), "", Piping!K81), IF($N$1="Vessels", IF(ISBLANK(Vessels!K81), "", Vessels!K81), ""))</f>
        <v/>
      </c>
      <c r="L81" s="21" t="str">
        <f>IF($N$1="Piping", IF(ISBLANK(Piping!L81), "", Piping!L81), IF($N$1="Vessels", IF(ISBLANK(Vessels!L81), "", Vessels!L81), ""))</f>
        <v/>
      </c>
      <c r="M81" s="21"/>
      <c r="N81" s="21"/>
      <c r="O81" s="21"/>
      <c r="P81" s="21"/>
      <c r="Q81" s="21" t="str">
        <f>IF($N$1="Piping", IF(ISBLANK(Piping!T81), "", Piping!T81), IF($N$1="Vessels", IF(ISBLANK(Vessels!T81), "", Vessels!T81), ""))</f>
        <v/>
      </c>
      <c r="R81" s="51" t="str">
        <f>IF($N$1="Piping", IF(ISBLANK(Piping!U81), "", Piping!U81), IF($N$1="Vessels", IF(ISBLANK(Vessels!U81), "", Vessels!U81), ""))</f>
        <v/>
      </c>
      <c r="S81" s="118" t="str">
        <f>IF(B81&lt;&gt;"",IF($N$1="Piping", IF(ISBLANK(Piping!$J$3), "", Piping!$J$3), IF($N$1="Vessels", IF(ISBLANK(Vessels!$J$3), "", Vessels!$J$3), "")),"")</f>
        <v/>
      </c>
      <c r="T81" s="37"/>
      <c r="U81" s="37"/>
      <c r="V81" s="37"/>
      <c r="W81" s="37"/>
      <c r="X81" s="37"/>
      <c r="Y81" s="37"/>
      <c r="Z81" s="37"/>
    </row>
    <row r="82" spans="1:26" ht="15.75" customHeight="1" x14ac:dyDescent="0.3">
      <c r="A82" s="22">
        <f>IF($N$1="Piping", IF(ISBLANK(Piping!A82), "", Piping!A82), IF($N$1="Vessels", IF(ISBLANK(Vessels!A82), "", Vessels!A82), ""))</f>
        <v>20.100000000000001</v>
      </c>
      <c r="B82" s="21" t="str">
        <f>IF($N$1="Piping", IF(ISBLANK(Piping!B82), "", Piping!B82), IF($N$1="Vessels", IF(ISBLANK(Vessels!B82), "", Vessels!B82), ""))</f>
        <v/>
      </c>
      <c r="C82" s="21" t="str">
        <f>IF($N$1="Piping", IF(ISBLANK(Piping!C82), "", Piping!C82), IF($N$1="Vessels", IF(ISBLANK(Vessels!C82), "", Vessels!C82), ""))</f>
        <v>Piping</v>
      </c>
      <c r="D82" s="21" t="str">
        <f>IF($N$1="Piping", IF(ISBLANK(Piping!D82), "", Piping!D82), IF($N$1="Vessels", IF(ISBLANK(Vessels!D82), "", Vessels!D82), ""))</f>
        <v/>
      </c>
      <c r="E82" s="21" t="str">
        <f>IF($N$1="Piping", IF(ISBLANK(Piping!E82), "", Piping!E82), IF($N$1="Vessels", IF(ISBLANK(Vessels!E82), "", Vessels!E82), ""))</f>
        <v/>
      </c>
      <c r="F82" s="21" t="str">
        <f>IF($N$1="Piping", IF(ISBLANK(Piping!F82), "", Piping!F82), IF($N$1="Vessels", IF(ISBLANK(Vessels!F82), "", Vessels!F82), ""))</f>
        <v/>
      </c>
      <c r="G82" s="21">
        <f>IF($N$1="Piping", IF(ISBLANK(Piping!G82), "", Piping!G82), IF($N$1="Vessels", IF(ISBLANK(Vessels!G82), "", Vessels!G82), ""))</f>
        <v>0</v>
      </c>
      <c r="H82" s="21" t="str">
        <f>IF($N$1="Piping", IF(ISBLANK(Piping!H82), "", Piping!H82), IF($N$1="Vessels", IF(ISBLANK(Vessels!H82), "", Vessels!H82), ""))</f>
        <v/>
      </c>
      <c r="I82" s="21" t="str">
        <f>IF($N$1="Piping", IF(ISBLANK(Piping!I82), "", Piping!I82), IF($N$1="Vessels", IF(ISBLANK(Vessels!I82), "", Vessels!I82), ""))</f>
        <v/>
      </c>
      <c r="J82" s="21" t="str">
        <f>IF($N$1="Piping", IF(ISBLANK(Piping!J82), "", Piping!J82), IF($N$1="Vessels", IF(ISBLANK(Vessels!J82), "", Vessels!J82), ""))</f>
        <v/>
      </c>
      <c r="K82" s="21" t="str">
        <f>IF($N$1="Piping", IF(ISBLANK(Piping!K82), "", Piping!K82), IF($N$1="Vessels", IF(ISBLANK(Vessels!K82), "", Vessels!K82), ""))</f>
        <v/>
      </c>
      <c r="L82" s="21" t="str">
        <f>IF($N$1="Piping", IF(ISBLANK(Piping!L82), "", Piping!L82), IF($N$1="Vessels", IF(ISBLANK(Vessels!L82), "", Vessels!L82), ""))</f>
        <v/>
      </c>
      <c r="M82" s="21"/>
      <c r="N82" s="21"/>
      <c r="O82" s="21"/>
      <c r="P82" s="21"/>
      <c r="Q82" s="21" t="str">
        <f>IF($N$1="Piping", IF(ISBLANK(Piping!T82), "", Piping!T82), IF($N$1="Vessels", IF(ISBLANK(Vessels!T82), "", Vessels!T82), ""))</f>
        <v/>
      </c>
      <c r="R82" s="51" t="str">
        <f>IF($N$1="Piping", IF(ISBLANK(Piping!U82), "", Piping!U82), IF($N$1="Vessels", IF(ISBLANK(Vessels!U82), "", Vessels!U82), ""))</f>
        <v/>
      </c>
      <c r="S82" s="118" t="str">
        <f>IF(B82&lt;&gt;"",IF($N$1="Piping", IF(ISBLANK(Piping!$J$3), "", Piping!$J$3), IF($N$1="Vessels", IF(ISBLANK(Vessels!$J$3), "", Vessels!$J$3), "")),"")</f>
        <v/>
      </c>
      <c r="T82" s="37"/>
      <c r="U82" s="37"/>
      <c r="V82" s="37"/>
      <c r="W82" s="37"/>
      <c r="X82" s="37"/>
      <c r="Y82" s="37"/>
      <c r="Z82" s="37"/>
    </row>
    <row r="83" spans="1:26" ht="15.75" customHeight="1" x14ac:dyDescent="0.3">
      <c r="A83" s="22">
        <f>IF($N$1="Piping", IF(ISBLANK(Piping!A83), "", Piping!A83), IF($N$1="Vessels", IF(ISBLANK(Vessels!A83), "", Vessels!A83), ""))</f>
        <v>20.2</v>
      </c>
      <c r="B83" s="21" t="str">
        <f>IF($N$1="Piping", IF(ISBLANK(Piping!B83), "", Piping!B83), IF($N$1="Vessels", IF(ISBLANK(Vessels!B83), "", Vessels!B83), ""))</f>
        <v/>
      </c>
      <c r="C83" s="21" t="str">
        <f>IF($N$1="Piping", IF(ISBLANK(Piping!C83), "", Piping!C83), IF($N$1="Vessels", IF(ISBLANK(Vessels!C83), "", Vessels!C83), ""))</f>
        <v>Piping</v>
      </c>
      <c r="D83" s="21" t="str">
        <f>IF($N$1="Piping", IF(ISBLANK(Piping!D83), "", Piping!D83), IF($N$1="Vessels", IF(ISBLANK(Vessels!D83), "", Vessels!D83), ""))</f>
        <v/>
      </c>
      <c r="E83" s="21" t="str">
        <f>IF($N$1="Piping", IF(ISBLANK(Piping!E83), "", Piping!E83), IF($N$1="Vessels", IF(ISBLANK(Vessels!E83), "", Vessels!E83), ""))</f>
        <v/>
      </c>
      <c r="F83" s="21" t="str">
        <f>IF($N$1="Piping", IF(ISBLANK(Piping!F83), "", Piping!F83), IF($N$1="Vessels", IF(ISBLANK(Vessels!F83), "", Vessels!F83), ""))</f>
        <v/>
      </c>
      <c r="G83" s="21">
        <f>IF($N$1="Piping", IF(ISBLANK(Piping!G83), "", Piping!G83), IF($N$1="Vessels", IF(ISBLANK(Vessels!G83), "", Vessels!G83), ""))</f>
        <v>0</v>
      </c>
      <c r="H83" s="21" t="str">
        <f>IF($N$1="Piping", IF(ISBLANK(Piping!H83), "", Piping!H83), IF($N$1="Vessels", IF(ISBLANK(Vessels!H83), "", Vessels!H83), ""))</f>
        <v/>
      </c>
      <c r="I83" s="21" t="str">
        <f>IF($N$1="Piping", IF(ISBLANK(Piping!I83), "", Piping!I83), IF($N$1="Vessels", IF(ISBLANK(Vessels!I83), "", Vessels!I83), ""))</f>
        <v/>
      </c>
      <c r="J83" s="21" t="str">
        <f>IF($N$1="Piping", IF(ISBLANK(Piping!J83), "", Piping!J83), IF($N$1="Vessels", IF(ISBLANK(Vessels!J83), "", Vessels!J83), ""))</f>
        <v/>
      </c>
      <c r="K83" s="21" t="str">
        <f>IF($N$1="Piping", IF(ISBLANK(Piping!K83), "", Piping!K83), IF($N$1="Vessels", IF(ISBLANK(Vessels!K83), "", Vessels!K83), ""))</f>
        <v/>
      </c>
      <c r="L83" s="21" t="str">
        <f>IF($N$1="Piping", IF(ISBLANK(Piping!L83), "", Piping!L83), IF($N$1="Vessels", IF(ISBLANK(Vessels!L83), "", Vessels!L83), ""))</f>
        <v/>
      </c>
      <c r="M83" s="21"/>
      <c r="N83" s="21"/>
      <c r="O83" s="21"/>
      <c r="P83" s="21"/>
      <c r="Q83" s="21" t="str">
        <f>IF($N$1="Piping", IF(ISBLANK(Piping!T83), "", Piping!T83), IF($N$1="Vessels", IF(ISBLANK(Vessels!T83), "", Vessels!T83), ""))</f>
        <v/>
      </c>
      <c r="R83" s="51" t="str">
        <f>IF($N$1="Piping", IF(ISBLANK(Piping!U83), "", Piping!U83), IF($N$1="Vessels", IF(ISBLANK(Vessels!U83), "", Vessels!U83), ""))</f>
        <v/>
      </c>
      <c r="S83" s="118" t="str">
        <f>IF(B83&lt;&gt;"",IF($N$1="Piping", IF(ISBLANK(Piping!$J$3), "", Piping!$J$3), IF($N$1="Vessels", IF(ISBLANK(Vessels!$J$3), "", Vessels!$J$3), "")),"")</f>
        <v/>
      </c>
      <c r="T83" s="37"/>
      <c r="U83" s="37"/>
      <c r="V83" s="37"/>
      <c r="W83" s="37"/>
      <c r="X83" s="37"/>
      <c r="Y83" s="37"/>
      <c r="Z83" s="37"/>
    </row>
    <row r="84" spans="1:26" ht="15.75" customHeight="1" x14ac:dyDescent="0.3">
      <c r="A84" s="22">
        <f>IF($N$1="Piping", IF(ISBLANK(Piping!A84), "", Piping!A84), IF($N$1="Vessels", IF(ISBLANK(Vessels!A84), "", Vessels!A84), ""))</f>
        <v>20.3</v>
      </c>
      <c r="B84" s="21" t="str">
        <f>IF($N$1="Piping", IF(ISBLANK(Piping!B84), "", Piping!B84), IF($N$1="Vessels", IF(ISBLANK(Vessels!B84), "", Vessels!B84), ""))</f>
        <v/>
      </c>
      <c r="C84" s="21" t="str">
        <f>IF($N$1="Piping", IF(ISBLANK(Piping!C84), "", Piping!C84), IF($N$1="Vessels", IF(ISBLANK(Vessels!C84), "", Vessels!C84), ""))</f>
        <v>Piping</v>
      </c>
      <c r="D84" s="21" t="str">
        <f>IF($N$1="Piping", IF(ISBLANK(Piping!D84), "", Piping!D84), IF($N$1="Vessels", IF(ISBLANK(Vessels!D84), "", Vessels!D84), ""))</f>
        <v/>
      </c>
      <c r="E84" s="21" t="str">
        <f>IF($N$1="Piping", IF(ISBLANK(Piping!E84), "", Piping!E84), IF($N$1="Vessels", IF(ISBLANK(Vessels!E84), "", Vessels!E84), ""))</f>
        <v/>
      </c>
      <c r="F84" s="21" t="str">
        <f>IF($N$1="Piping", IF(ISBLANK(Piping!F84), "", Piping!F84), IF($N$1="Vessels", IF(ISBLANK(Vessels!F84), "", Vessels!F84), ""))</f>
        <v/>
      </c>
      <c r="G84" s="21">
        <f>IF($N$1="Piping", IF(ISBLANK(Piping!G84), "", Piping!G84), IF($N$1="Vessels", IF(ISBLANK(Vessels!G84), "", Vessels!G84), ""))</f>
        <v>0</v>
      </c>
      <c r="H84" s="21" t="str">
        <f>IF($N$1="Piping", IF(ISBLANK(Piping!H84), "", Piping!H84), IF($N$1="Vessels", IF(ISBLANK(Vessels!H84), "", Vessels!H84), ""))</f>
        <v/>
      </c>
      <c r="I84" s="21" t="str">
        <f>IF($N$1="Piping", IF(ISBLANK(Piping!I84), "", Piping!I84), IF($N$1="Vessels", IF(ISBLANK(Vessels!I84), "", Vessels!I84), ""))</f>
        <v/>
      </c>
      <c r="J84" s="21" t="str">
        <f>IF($N$1="Piping", IF(ISBLANK(Piping!J84), "", Piping!J84), IF($N$1="Vessels", IF(ISBLANK(Vessels!J84), "", Vessels!J84), ""))</f>
        <v/>
      </c>
      <c r="K84" s="21" t="str">
        <f>IF($N$1="Piping", IF(ISBLANK(Piping!K84), "", Piping!K84), IF($N$1="Vessels", IF(ISBLANK(Vessels!K84), "", Vessels!K84), ""))</f>
        <v/>
      </c>
      <c r="L84" s="21" t="str">
        <f>IF($N$1="Piping", IF(ISBLANK(Piping!L84), "", Piping!L84), IF($N$1="Vessels", IF(ISBLANK(Vessels!L84), "", Vessels!L84), ""))</f>
        <v/>
      </c>
      <c r="M84" s="21"/>
      <c r="N84" s="21"/>
      <c r="O84" s="21"/>
      <c r="P84" s="21"/>
      <c r="Q84" s="21" t="str">
        <f>IF($N$1="Piping", IF(ISBLANK(Piping!T84), "", Piping!T84), IF($N$1="Vessels", IF(ISBLANK(Vessels!T84), "", Vessels!T84), ""))</f>
        <v/>
      </c>
      <c r="R84" s="51" t="str">
        <f>IF($N$1="Piping", IF(ISBLANK(Piping!U84), "", Piping!U84), IF($N$1="Vessels", IF(ISBLANK(Vessels!U84), "", Vessels!U84), ""))</f>
        <v/>
      </c>
      <c r="S84" s="118" t="str">
        <f>IF(B84&lt;&gt;"",IF($N$1="Piping", IF(ISBLANK(Piping!$J$3), "", Piping!$J$3), IF($N$1="Vessels", IF(ISBLANK(Vessels!$J$3), "", Vessels!$J$3), "")),"")</f>
        <v/>
      </c>
      <c r="T84" s="37"/>
      <c r="U84" s="37"/>
      <c r="V84" s="37"/>
      <c r="W84" s="37"/>
      <c r="X84" s="37"/>
      <c r="Y84" s="37"/>
      <c r="Z84" s="37"/>
    </row>
    <row r="85" spans="1:26" ht="15.75" customHeight="1" x14ac:dyDescent="0.3">
      <c r="A85" s="22">
        <f>IF($N$1="Piping", IF(ISBLANK(Piping!A85), "", Piping!A85), IF($N$1="Vessels", IF(ISBLANK(Vessels!A85), "", Vessels!A85), ""))</f>
        <v>20.399999999999999</v>
      </c>
      <c r="B85" s="21" t="str">
        <f>IF($N$1="Piping", IF(ISBLANK(Piping!B85), "", Piping!B85), IF($N$1="Vessels", IF(ISBLANK(Vessels!B85), "", Vessels!B85), ""))</f>
        <v/>
      </c>
      <c r="C85" s="21" t="str">
        <f>IF($N$1="Piping", IF(ISBLANK(Piping!C85), "", Piping!C85), IF($N$1="Vessels", IF(ISBLANK(Vessels!C85), "", Vessels!C85), ""))</f>
        <v>Piping</v>
      </c>
      <c r="D85" s="21" t="str">
        <f>IF($N$1="Piping", IF(ISBLANK(Piping!D85), "", Piping!D85), IF($N$1="Vessels", IF(ISBLANK(Vessels!D85), "", Vessels!D85), ""))</f>
        <v/>
      </c>
      <c r="E85" s="21" t="str">
        <f>IF($N$1="Piping", IF(ISBLANK(Piping!E85), "", Piping!E85), IF($N$1="Vessels", IF(ISBLANK(Vessels!E85), "", Vessels!E85), ""))</f>
        <v/>
      </c>
      <c r="F85" s="21" t="str">
        <f>IF($N$1="Piping", IF(ISBLANK(Piping!F85), "", Piping!F85), IF($N$1="Vessels", IF(ISBLANK(Vessels!F85), "", Vessels!F85), ""))</f>
        <v/>
      </c>
      <c r="G85" s="21">
        <f>IF($N$1="Piping", IF(ISBLANK(Piping!G85), "", Piping!G85), IF($N$1="Vessels", IF(ISBLANK(Vessels!G85), "", Vessels!G85), ""))</f>
        <v>0</v>
      </c>
      <c r="H85" s="21" t="str">
        <f>IF($N$1="Piping", IF(ISBLANK(Piping!H85), "", Piping!H85), IF($N$1="Vessels", IF(ISBLANK(Vessels!H85), "", Vessels!H85), ""))</f>
        <v/>
      </c>
      <c r="I85" s="21" t="str">
        <f>IF($N$1="Piping", IF(ISBLANK(Piping!I85), "", Piping!I85), IF($N$1="Vessels", IF(ISBLANK(Vessels!I85), "", Vessels!I85), ""))</f>
        <v/>
      </c>
      <c r="J85" s="21" t="str">
        <f>IF($N$1="Piping", IF(ISBLANK(Piping!J85), "", Piping!J85), IF($N$1="Vessels", IF(ISBLANK(Vessels!J85), "", Vessels!J85), ""))</f>
        <v/>
      </c>
      <c r="K85" s="21" t="str">
        <f>IF($N$1="Piping", IF(ISBLANK(Piping!K85), "", Piping!K85), IF($N$1="Vessels", IF(ISBLANK(Vessels!K85), "", Vessels!K85), ""))</f>
        <v/>
      </c>
      <c r="L85" s="21" t="str">
        <f>IF($N$1="Piping", IF(ISBLANK(Piping!L85), "", Piping!L85), IF($N$1="Vessels", IF(ISBLANK(Vessels!L85), "", Vessels!L85), ""))</f>
        <v/>
      </c>
      <c r="M85" s="21"/>
      <c r="N85" s="21"/>
      <c r="O85" s="21"/>
      <c r="P85" s="21"/>
      <c r="Q85" s="21" t="str">
        <f>IF($N$1="Piping", IF(ISBLANK(Piping!T85), "", Piping!T85), IF($N$1="Vessels", IF(ISBLANK(Vessels!T85), "", Vessels!T85), ""))</f>
        <v/>
      </c>
      <c r="R85" s="51" t="str">
        <f>IF($N$1="Piping", IF(ISBLANK(Piping!U85), "", Piping!U85), IF($N$1="Vessels", IF(ISBLANK(Vessels!U85), "", Vessels!U85), ""))</f>
        <v/>
      </c>
      <c r="S85" s="118" t="str">
        <f>IF(B85&lt;&gt;"",IF($N$1="Piping", IF(ISBLANK(Piping!$J$3), "", Piping!$J$3), IF($N$1="Vessels", IF(ISBLANK(Vessels!$J$3), "", Vessels!$J$3), "")),"")</f>
        <v/>
      </c>
      <c r="T85" s="37"/>
      <c r="U85" s="37"/>
      <c r="V85" s="37"/>
      <c r="W85" s="37"/>
      <c r="X85" s="37"/>
      <c r="Y85" s="37"/>
      <c r="Z85" s="37"/>
    </row>
    <row r="86" spans="1:26" ht="15.75" customHeight="1" x14ac:dyDescent="0.3">
      <c r="A86" s="22">
        <f>IF($N$1="Piping", IF(ISBLANK(Piping!A86), "", Piping!A86), IF($N$1="Vessels", IF(ISBLANK(Vessels!A86), "", Vessels!A86), ""))</f>
        <v>21.1</v>
      </c>
      <c r="B86" s="21" t="str">
        <f>IF($N$1="Piping", IF(ISBLANK(Piping!B86), "", Piping!B86), IF($N$1="Vessels", IF(ISBLANK(Vessels!B86), "", Vessels!B86), ""))</f>
        <v/>
      </c>
      <c r="C86" s="21" t="str">
        <f>IF($N$1="Piping", IF(ISBLANK(Piping!C86), "", Piping!C86), IF($N$1="Vessels", IF(ISBLANK(Vessels!C86), "", Vessels!C86), ""))</f>
        <v>Piping</v>
      </c>
      <c r="D86" s="21" t="str">
        <f>IF($N$1="Piping", IF(ISBLANK(Piping!D86), "", Piping!D86), IF($N$1="Vessels", IF(ISBLANK(Vessels!D86), "", Vessels!D86), ""))</f>
        <v/>
      </c>
      <c r="E86" s="21" t="str">
        <f>IF($N$1="Piping", IF(ISBLANK(Piping!E86), "", Piping!E86), IF($N$1="Vessels", IF(ISBLANK(Vessels!E86), "", Vessels!E86), ""))</f>
        <v/>
      </c>
      <c r="F86" s="21" t="str">
        <f>IF($N$1="Piping", IF(ISBLANK(Piping!F86), "", Piping!F86), IF($N$1="Vessels", IF(ISBLANK(Vessels!F86), "", Vessels!F86), ""))</f>
        <v/>
      </c>
      <c r="G86" s="21">
        <f>IF($N$1="Piping", IF(ISBLANK(Piping!G86), "", Piping!G86), IF($N$1="Vessels", IF(ISBLANK(Vessels!G86), "", Vessels!G86), ""))</f>
        <v>0</v>
      </c>
      <c r="H86" s="21" t="str">
        <f>IF($N$1="Piping", IF(ISBLANK(Piping!H86), "", Piping!H86), IF($N$1="Vessels", IF(ISBLANK(Vessels!H86), "", Vessels!H86), ""))</f>
        <v/>
      </c>
      <c r="I86" s="21" t="str">
        <f>IF($N$1="Piping", IF(ISBLANK(Piping!I86), "", Piping!I86), IF($N$1="Vessels", IF(ISBLANK(Vessels!I86), "", Vessels!I86), ""))</f>
        <v/>
      </c>
      <c r="J86" s="21" t="str">
        <f>IF($N$1="Piping", IF(ISBLANK(Piping!J86), "", Piping!J86), IF($N$1="Vessels", IF(ISBLANK(Vessels!J86), "", Vessels!J86), ""))</f>
        <v/>
      </c>
      <c r="K86" s="21" t="str">
        <f>IF($N$1="Piping", IF(ISBLANK(Piping!K86), "", Piping!K86), IF($N$1="Vessels", IF(ISBLANK(Vessels!K86), "", Vessels!K86), ""))</f>
        <v/>
      </c>
      <c r="L86" s="21" t="str">
        <f>IF($N$1="Piping", IF(ISBLANK(Piping!L86), "", Piping!L86), IF($N$1="Vessels", IF(ISBLANK(Vessels!L86), "", Vessels!L86), ""))</f>
        <v/>
      </c>
      <c r="M86" s="21"/>
      <c r="N86" s="21"/>
      <c r="O86" s="21"/>
      <c r="P86" s="21"/>
      <c r="Q86" s="21" t="str">
        <f>IF($N$1="Piping", IF(ISBLANK(Piping!T86), "", Piping!T86), IF($N$1="Vessels", IF(ISBLANK(Vessels!T86), "", Vessels!T86), ""))</f>
        <v/>
      </c>
      <c r="R86" s="51" t="str">
        <f>IF($N$1="Piping", IF(ISBLANK(Piping!U86), "", Piping!U86), IF($N$1="Vessels", IF(ISBLANK(Vessels!U86), "", Vessels!U86), ""))</f>
        <v/>
      </c>
      <c r="S86" s="118" t="str">
        <f>IF(B86&lt;&gt;"",IF($N$1="Piping", IF(ISBLANK(Piping!$J$3), "", Piping!$J$3), IF($N$1="Vessels", IF(ISBLANK(Vessels!$J$3), "", Vessels!$J$3), "")),"")</f>
        <v/>
      </c>
      <c r="T86" s="37"/>
      <c r="U86" s="37"/>
      <c r="V86" s="37"/>
      <c r="W86" s="37"/>
      <c r="X86" s="37"/>
      <c r="Y86" s="37"/>
      <c r="Z86" s="37"/>
    </row>
    <row r="87" spans="1:26" ht="15.75" customHeight="1" x14ac:dyDescent="0.3">
      <c r="A87" s="22">
        <f>IF($N$1="Piping", IF(ISBLANK(Piping!A87), "", Piping!A87), IF($N$1="Vessels", IF(ISBLANK(Vessels!A87), "", Vessels!A87), ""))</f>
        <v>21.2</v>
      </c>
      <c r="B87" s="21" t="str">
        <f>IF($N$1="Piping", IF(ISBLANK(Piping!B87), "", Piping!B87), IF($N$1="Vessels", IF(ISBLANK(Vessels!B87), "", Vessels!B87), ""))</f>
        <v/>
      </c>
      <c r="C87" s="21" t="str">
        <f>IF($N$1="Piping", IF(ISBLANK(Piping!C87), "", Piping!C87), IF($N$1="Vessels", IF(ISBLANK(Vessels!C87), "", Vessels!C87), ""))</f>
        <v>Piping</v>
      </c>
      <c r="D87" s="21" t="str">
        <f>IF($N$1="Piping", IF(ISBLANK(Piping!D87), "", Piping!D87), IF($N$1="Vessels", IF(ISBLANK(Vessels!D87), "", Vessels!D87), ""))</f>
        <v/>
      </c>
      <c r="E87" s="21" t="str">
        <f>IF($N$1="Piping", IF(ISBLANK(Piping!E87), "", Piping!E87), IF($N$1="Vessels", IF(ISBLANK(Vessels!E87), "", Vessels!E87), ""))</f>
        <v/>
      </c>
      <c r="F87" s="21" t="str">
        <f>IF($N$1="Piping", IF(ISBLANK(Piping!F87), "", Piping!F87), IF($N$1="Vessels", IF(ISBLANK(Vessels!F87), "", Vessels!F87), ""))</f>
        <v/>
      </c>
      <c r="G87" s="21">
        <f>IF($N$1="Piping", IF(ISBLANK(Piping!G87), "", Piping!G87), IF($N$1="Vessels", IF(ISBLANK(Vessels!G87), "", Vessels!G87), ""))</f>
        <v>0</v>
      </c>
      <c r="H87" s="21" t="str">
        <f>IF($N$1="Piping", IF(ISBLANK(Piping!H87), "", Piping!H87), IF($N$1="Vessels", IF(ISBLANK(Vessels!H87), "", Vessels!H87), ""))</f>
        <v/>
      </c>
      <c r="I87" s="21" t="str">
        <f>IF($N$1="Piping", IF(ISBLANK(Piping!I87), "", Piping!I87), IF($N$1="Vessels", IF(ISBLANK(Vessels!I87), "", Vessels!I87), ""))</f>
        <v/>
      </c>
      <c r="J87" s="21" t="str">
        <f>IF($N$1="Piping", IF(ISBLANK(Piping!J87), "", Piping!J87), IF($N$1="Vessels", IF(ISBLANK(Vessels!J87), "", Vessels!J87), ""))</f>
        <v/>
      </c>
      <c r="K87" s="21" t="str">
        <f>IF($N$1="Piping", IF(ISBLANK(Piping!K87), "", Piping!K87), IF($N$1="Vessels", IF(ISBLANK(Vessels!K87), "", Vessels!K87), ""))</f>
        <v/>
      </c>
      <c r="L87" s="21" t="str">
        <f>IF($N$1="Piping", IF(ISBLANK(Piping!L87), "", Piping!L87), IF($N$1="Vessels", IF(ISBLANK(Vessels!L87), "", Vessels!L87), ""))</f>
        <v/>
      </c>
      <c r="M87" s="21"/>
      <c r="N87" s="21"/>
      <c r="O87" s="21"/>
      <c r="P87" s="21"/>
      <c r="Q87" s="21" t="str">
        <f>IF($N$1="Piping", IF(ISBLANK(Piping!T87), "", Piping!T87), IF($N$1="Vessels", IF(ISBLANK(Vessels!T87), "", Vessels!T87), ""))</f>
        <v/>
      </c>
      <c r="R87" s="51" t="str">
        <f>IF($N$1="Piping", IF(ISBLANK(Piping!U87), "", Piping!U87), IF($N$1="Vessels", IF(ISBLANK(Vessels!U87), "", Vessels!U87), ""))</f>
        <v/>
      </c>
      <c r="S87" s="118" t="str">
        <f>IF(B87&lt;&gt;"",IF($N$1="Piping", IF(ISBLANK(Piping!$J$3), "", Piping!$J$3), IF($N$1="Vessels", IF(ISBLANK(Vessels!$J$3), "", Vessels!$J$3), "")),"")</f>
        <v/>
      </c>
      <c r="T87" s="37"/>
      <c r="U87" s="37"/>
      <c r="V87" s="37"/>
      <c r="W87" s="37"/>
      <c r="X87" s="37"/>
      <c r="Y87" s="37"/>
      <c r="Z87" s="37"/>
    </row>
    <row r="88" spans="1:26" ht="15.75" customHeight="1" x14ac:dyDescent="0.3">
      <c r="A88" s="22">
        <f>IF($N$1="Piping", IF(ISBLANK(Piping!A88), "", Piping!A88), IF($N$1="Vessels", IF(ISBLANK(Vessels!A88), "", Vessels!A88), ""))</f>
        <v>21.3</v>
      </c>
      <c r="B88" s="21" t="str">
        <f>IF($N$1="Piping", IF(ISBLANK(Piping!B88), "", Piping!B88), IF($N$1="Vessels", IF(ISBLANK(Vessels!B88), "", Vessels!B88), ""))</f>
        <v/>
      </c>
      <c r="C88" s="21" t="str">
        <f>IF($N$1="Piping", IF(ISBLANK(Piping!C88), "", Piping!C88), IF($N$1="Vessels", IF(ISBLANK(Vessels!C88), "", Vessels!C88), ""))</f>
        <v>Piping</v>
      </c>
      <c r="D88" s="21" t="str">
        <f>IF($N$1="Piping", IF(ISBLANK(Piping!D88), "", Piping!D88), IF($N$1="Vessels", IF(ISBLANK(Vessels!D88), "", Vessels!D88), ""))</f>
        <v/>
      </c>
      <c r="E88" s="21" t="str">
        <f>IF($N$1="Piping", IF(ISBLANK(Piping!E88), "", Piping!E88), IF($N$1="Vessels", IF(ISBLANK(Vessels!E88), "", Vessels!E88), ""))</f>
        <v/>
      </c>
      <c r="F88" s="21" t="str">
        <f>IF($N$1="Piping", IF(ISBLANK(Piping!F88), "", Piping!F88), IF($N$1="Vessels", IF(ISBLANK(Vessels!F88), "", Vessels!F88), ""))</f>
        <v/>
      </c>
      <c r="G88" s="21">
        <f>IF($N$1="Piping", IF(ISBLANK(Piping!G88), "", Piping!G88), IF($N$1="Vessels", IF(ISBLANK(Vessels!G88), "", Vessels!G88), ""))</f>
        <v>0</v>
      </c>
      <c r="H88" s="21" t="str">
        <f>IF($N$1="Piping", IF(ISBLANK(Piping!H88), "", Piping!H88), IF($N$1="Vessels", IF(ISBLANK(Vessels!H88), "", Vessels!H88), ""))</f>
        <v/>
      </c>
      <c r="I88" s="21" t="str">
        <f>IF($N$1="Piping", IF(ISBLANK(Piping!I88), "", Piping!I88), IF($N$1="Vessels", IF(ISBLANK(Vessels!I88), "", Vessels!I88), ""))</f>
        <v/>
      </c>
      <c r="J88" s="21" t="str">
        <f>IF($N$1="Piping", IF(ISBLANK(Piping!J88), "", Piping!J88), IF($N$1="Vessels", IF(ISBLANK(Vessels!J88), "", Vessels!J88), ""))</f>
        <v/>
      </c>
      <c r="K88" s="21" t="str">
        <f>IF($N$1="Piping", IF(ISBLANK(Piping!K88), "", Piping!K88), IF($N$1="Vessels", IF(ISBLANK(Vessels!K88), "", Vessels!K88), ""))</f>
        <v/>
      </c>
      <c r="L88" s="21" t="str">
        <f>IF($N$1="Piping", IF(ISBLANK(Piping!L88), "", Piping!L88), IF($N$1="Vessels", IF(ISBLANK(Vessels!L88), "", Vessels!L88), ""))</f>
        <v/>
      </c>
      <c r="M88" s="21"/>
      <c r="N88" s="21"/>
      <c r="O88" s="21"/>
      <c r="P88" s="21"/>
      <c r="Q88" s="21" t="str">
        <f>IF($N$1="Piping", IF(ISBLANK(Piping!T88), "", Piping!T88), IF($N$1="Vessels", IF(ISBLANK(Vessels!T88), "", Vessels!T88), ""))</f>
        <v/>
      </c>
      <c r="R88" s="51" t="str">
        <f>IF($N$1="Piping", IF(ISBLANK(Piping!U88), "", Piping!U88), IF($N$1="Vessels", IF(ISBLANK(Vessels!U88), "", Vessels!U88), ""))</f>
        <v/>
      </c>
      <c r="S88" s="118" t="str">
        <f>IF(B88&lt;&gt;"",IF($N$1="Piping", IF(ISBLANK(Piping!$J$3), "", Piping!$J$3), IF($N$1="Vessels", IF(ISBLANK(Vessels!$J$3), "", Vessels!$J$3), "")),"")</f>
        <v/>
      </c>
      <c r="T88" s="37"/>
      <c r="U88" s="37"/>
      <c r="V88" s="37"/>
      <c r="W88" s="37"/>
      <c r="X88" s="37"/>
      <c r="Y88" s="37"/>
      <c r="Z88" s="37"/>
    </row>
    <row r="89" spans="1:26" ht="15.75" customHeight="1" x14ac:dyDescent="0.3">
      <c r="A89" s="22">
        <f>IF($N$1="Piping", IF(ISBLANK(Piping!A89), "", Piping!A89), IF($N$1="Vessels", IF(ISBLANK(Vessels!A89), "", Vessels!A89), ""))</f>
        <v>21.4</v>
      </c>
      <c r="B89" s="21" t="str">
        <f>IF($N$1="Piping", IF(ISBLANK(Piping!B89), "", Piping!B89), IF($N$1="Vessels", IF(ISBLANK(Vessels!B89), "", Vessels!B89), ""))</f>
        <v/>
      </c>
      <c r="C89" s="21" t="str">
        <f>IF($N$1="Piping", IF(ISBLANK(Piping!C89), "", Piping!C89), IF($N$1="Vessels", IF(ISBLANK(Vessels!C89), "", Vessels!C89), ""))</f>
        <v>Piping</v>
      </c>
      <c r="D89" s="21" t="str">
        <f>IF($N$1="Piping", IF(ISBLANK(Piping!D89), "", Piping!D89), IF($N$1="Vessels", IF(ISBLANK(Vessels!D89), "", Vessels!D89), ""))</f>
        <v/>
      </c>
      <c r="E89" s="21" t="str">
        <f>IF($N$1="Piping", IF(ISBLANK(Piping!E89), "", Piping!E89), IF($N$1="Vessels", IF(ISBLANK(Vessels!E89), "", Vessels!E89), ""))</f>
        <v/>
      </c>
      <c r="F89" s="21" t="str">
        <f>IF($N$1="Piping", IF(ISBLANK(Piping!F89), "", Piping!F89), IF($N$1="Vessels", IF(ISBLANK(Vessels!F89), "", Vessels!F89), ""))</f>
        <v/>
      </c>
      <c r="G89" s="21">
        <f>IF($N$1="Piping", IF(ISBLANK(Piping!G89), "", Piping!G89), IF($N$1="Vessels", IF(ISBLANK(Vessels!G89), "", Vessels!G89), ""))</f>
        <v>0</v>
      </c>
      <c r="H89" s="21" t="str">
        <f>IF($N$1="Piping", IF(ISBLANK(Piping!H89), "", Piping!H89), IF($N$1="Vessels", IF(ISBLANK(Vessels!H89), "", Vessels!H89), ""))</f>
        <v/>
      </c>
      <c r="I89" s="21" t="str">
        <f>IF($N$1="Piping", IF(ISBLANK(Piping!I89), "", Piping!I89), IF($N$1="Vessels", IF(ISBLANK(Vessels!I89), "", Vessels!I89), ""))</f>
        <v/>
      </c>
      <c r="J89" s="21" t="str">
        <f>IF($N$1="Piping", IF(ISBLANK(Piping!J89), "", Piping!J89), IF($N$1="Vessels", IF(ISBLANK(Vessels!J89), "", Vessels!J89), ""))</f>
        <v/>
      </c>
      <c r="K89" s="21" t="str">
        <f>IF($N$1="Piping", IF(ISBLANK(Piping!K89), "", Piping!K89), IF($N$1="Vessels", IF(ISBLANK(Vessels!K89), "", Vessels!K89), ""))</f>
        <v/>
      </c>
      <c r="L89" s="21" t="str">
        <f>IF($N$1="Piping", IF(ISBLANK(Piping!L89), "", Piping!L89), IF($N$1="Vessels", IF(ISBLANK(Vessels!L89), "", Vessels!L89), ""))</f>
        <v/>
      </c>
      <c r="M89" s="21"/>
      <c r="N89" s="21"/>
      <c r="O89" s="21"/>
      <c r="P89" s="21"/>
      <c r="Q89" s="21" t="str">
        <f>IF($N$1="Piping", IF(ISBLANK(Piping!T89), "", Piping!T89), IF($N$1="Vessels", IF(ISBLANK(Vessels!T89), "", Vessels!T89), ""))</f>
        <v/>
      </c>
      <c r="R89" s="51" t="str">
        <f>IF($N$1="Piping", IF(ISBLANK(Piping!U89), "", Piping!U89), IF($N$1="Vessels", IF(ISBLANK(Vessels!U89), "", Vessels!U89), ""))</f>
        <v/>
      </c>
      <c r="S89" s="118" t="str">
        <f>IF(B89&lt;&gt;"",IF($N$1="Piping", IF(ISBLANK(Piping!$J$3), "", Piping!$J$3), IF($N$1="Vessels", IF(ISBLANK(Vessels!$J$3), "", Vessels!$J$3), "")),"")</f>
        <v/>
      </c>
      <c r="T89" s="37"/>
      <c r="U89" s="37"/>
      <c r="V89" s="37"/>
      <c r="W89" s="37"/>
      <c r="X89" s="37"/>
      <c r="Y89" s="37"/>
      <c r="Z89" s="37"/>
    </row>
    <row r="90" spans="1:26" ht="15.75" customHeight="1" x14ac:dyDescent="0.3">
      <c r="A90" s="22">
        <f>IF($N$1="Piping", IF(ISBLANK(Piping!A90), "", Piping!A90), IF($N$1="Vessels", IF(ISBLANK(Vessels!A90), "", Vessels!A90), ""))</f>
        <v>22.1</v>
      </c>
      <c r="B90" s="21" t="str">
        <f>IF($N$1="Piping", IF(ISBLANK(Piping!B90), "", Piping!B90), IF($N$1="Vessels", IF(ISBLANK(Vessels!B90), "", Vessels!B90), ""))</f>
        <v/>
      </c>
      <c r="C90" s="21" t="str">
        <f>IF($N$1="Piping", IF(ISBLANK(Piping!C90), "", Piping!C90), IF($N$1="Vessels", IF(ISBLANK(Vessels!C90), "", Vessels!C90), ""))</f>
        <v>Piping</v>
      </c>
      <c r="D90" s="21" t="str">
        <f>IF($N$1="Piping", IF(ISBLANK(Piping!D90), "", Piping!D90), IF($N$1="Vessels", IF(ISBLANK(Vessels!D90), "", Vessels!D90), ""))</f>
        <v/>
      </c>
      <c r="E90" s="21" t="str">
        <f>IF($N$1="Piping", IF(ISBLANK(Piping!E90), "", Piping!E90), IF($N$1="Vessels", IF(ISBLANK(Vessels!E90), "", Vessels!E90), ""))</f>
        <v/>
      </c>
      <c r="F90" s="21" t="str">
        <f>IF($N$1="Piping", IF(ISBLANK(Piping!F90), "", Piping!F90), IF($N$1="Vessels", IF(ISBLANK(Vessels!F90), "", Vessels!F90), ""))</f>
        <v/>
      </c>
      <c r="G90" s="21">
        <f>IF($N$1="Piping", IF(ISBLANK(Piping!G90), "", Piping!G90), IF($N$1="Vessels", IF(ISBLANK(Vessels!G90), "", Vessels!G90), ""))</f>
        <v>0</v>
      </c>
      <c r="H90" s="21" t="str">
        <f>IF($N$1="Piping", IF(ISBLANK(Piping!H90), "", Piping!H90), IF($N$1="Vessels", IF(ISBLANK(Vessels!H90), "", Vessels!H90), ""))</f>
        <v/>
      </c>
      <c r="I90" s="21" t="str">
        <f>IF($N$1="Piping", IF(ISBLANK(Piping!I90), "", Piping!I90), IF($N$1="Vessels", IF(ISBLANK(Vessels!I90), "", Vessels!I90), ""))</f>
        <v/>
      </c>
      <c r="J90" s="21" t="str">
        <f>IF($N$1="Piping", IF(ISBLANK(Piping!J90), "", Piping!J90), IF($N$1="Vessels", IF(ISBLANK(Vessels!J90), "", Vessels!J90), ""))</f>
        <v/>
      </c>
      <c r="K90" s="21" t="str">
        <f>IF($N$1="Piping", IF(ISBLANK(Piping!K90), "", Piping!K90), IF($N$1="Vessels", IF(ISBLANK(Vessels!K90), "", Vessels!K90), ""))</f>
        <v/>
      </c>
      <c r="L90" s="21" t="str">
        <f>IF($N$1="Piping", IF(ISBLANK(Piping!L90), "", Piping!L90), IF($N$1="Vessels", IF(ISBLANK(Vessels!L90), "", Vessels!L90), ""))</f>
        <v/>
      </c>
      <c r="M90" s="21"/>
      <c r="N90" s="21"/>
      <c r="O90" s="21"/>
      <c r="P90" s="21"/>
      <c r="Q90" s="21" t="str">
        <f>IF($N$1="Piping", IF(ISBLANK(Piping!T90), "", Piping!T90), IF($N$1="Vessels", IF(ISBLANK(Vessels!T90), "", Vessels!T90), ""))</f>
        <v/>
      </c>
      <c r="R90" s="51" t="str">
        <f>IF($N$1="Piping", IF(ISBLANK(Piping!U90), "", Piping!U90), IF($N$1="Vessels", IF(ISBLANK(Vessels!U90), "", Vessels!U90), ""))</f>
        <v/>
      </c>
      <c r="S90" s="118" t="str">
        <f>IF(B90&lt;&gt;"",IF($N$1="Piping", IF(ISBLANK(Piping!$J$3), "", Piping!$J$3), IF($N$1="Vessels", IF(ISBLANK(Vessels!$J$3), "", Vessels!$J$3), "")),"")</f>
        <v/>
      </c>
      <c r="T90" s="37"/>
      <c r="U90" s="37"/>
      <c r="V90" s="37"/>
      <c r="W90" s="37"/>
      <c r="X90" s="37"/>
      <c r="Y90" s="37"/>
      <c r="Z90" s="37"/>
    </row>
    <row r="91" spans="1:26" ht="15.75" customHeight="1" x14ac:dyDescent="0.3">
      <c r="A91" s="22">
        <f>IF($N$1="Piping", IF(ISBLANK(Piping!A91), "", Piping!A91), IF($N$1="Vessels", IF(ISBLANK(Vessels!A91), "", Vessels!A91), ""))</f>
        <v>22.2</v>
      </c>
      <c r="B91" s="21" t="str">
        <f>IF($N$1="Piping", IF(ISBLANK(Piping!B91), "", Piping!B91), IF($N$1="Vessels", IF(ISBLANK(Vessels!B91), "", Vessels!B91), ""))</f>
        <v/>
      </c>
      <c r="C91" s="21" t="str">
        <f>IF($N$1="Piping", IF(ISBLANK(Piping!C91), "", Piping!C91), IF($N$1="Vessels", IF(ISBLANK(Vessels!C91), "", Vessels!C91), ""))</f>
        <v>Piping</v>
      </c>
      <c r="D91" s="21" t="str">
        <f>IF($N$1="Piping", IF(ISBLANK(Piping!D91), "", Piping!D91), IF($N$1="Vessels", IF(ISBLANK(Vessels!D91), "", Vessels!D91), ""))</f>
        <v/>
      </c>
      <c r="E91" s="21" t="str">
        <f>IF($N$1="Piping", IF(ISBLANK(Piping!E91), "", Piping!E91), IF($N$1="Vessels", IF(ISBLANK(Vessels!E91), "", Vessels!E91), ""))</f>
        <v/>
      </c>
      <c r="F91" s="21" t="str">
        <f>IF($N$1="Piping", IF(ISBLANK(Piping!F91), "", Piping!F91), IF($N$1="Vessels", IF(ISBLANK(Vessels!F91), "", Vessels!F91), ""))</f>
        <v/>
      </c>
      <c r="G91" s="21">
        <f>IF($N$1="Piping", IF(ISBLANK(Piping!G91), "", Piping!G91), IF($N$1="Vessels", IF(ISBLANK(Vessels!G91), "", Vessels!G91), ""))</f>
        <v>0</v>
      </c>
      <c r="H91" s="21" t="str">
        <f>IF($N$1="Piping", IF(ISBLANK(Piping!H91), "", Piping!H91), IF($N$1="Vessels", IF(ISBLANK(Vessels!H91), "", Vessels!H91), ""))</f>
        <v/>
      </c>
      <c r="I91" s="21" t="str">
        <f>IF($N$1="Piping", IF(ISBLANK(Piping!I91), "", Piping!I91), IF($N$1="Vessels", IF(ISBLANK(Vessels!I91), "", Vessels!I91), ""))</f>
        <v/>
      </c>
      <c r="J91" s="21" t="str">
        <f>IF($N$1="Piping", IF(ISBLANK(Piping!J91), "", Piping!J91), IF($N$1="Vessels", IF(ISBLANK(Vessels!J91), "", Vessels!J91), ""))</f>
        <v/>
      </c>
      <c r="K91" s="21" t="str">
        <f>IF($N$1="Piping", IF(ISBLANK(Piping!K91), "", Piping!K91), IF($N$1="Vessels", IF(ISBLANK(Vessels!K91), "", Vessels!K91), ""))</f>
        <v/>
      </c>
      <c r="L91" s="21" t="str">
        <f>IF($N$1="Piping", IF(ISBLANK(Piping!L91), "", Piping!L91), IF($N$1="Vessels", IF(ISBLANK(Vessels!L91), "", Vessels!L91), ""))</f>
        <v/>
      </c>
      <c r="M91" s="21"/>
      <c r="N91" s="21"/>
      <c r="O91" s="21"/>
      <c r="P91" s="21"/>
      <c r="Q91" s="21" t="str">
        <f>IF($N$1="Piping", IF(ISBLANK(Piping!T91), "", Piping!T91), IF($N$1="Vessels", IF(ISBLANK(Vessels!T91), "", Vessels!T91), ""))</f>
        <v/>
      </c>
      <c r="R91" s="51" t="str">
        <f>IF($N$1="Piping", IF(ISBLANK(Piping!U91), "", Piping!U91), IF($N$1="Vessels", IF(ISBLANK(Vessels!U91), "", Vessels!U91), ""))</f>
        <v/>
      </c>
      <c r="S91" s="118" t="str">
        <f>IF(B91&lt;&gt;"",IF($N$1="Piping", IF(ISBLANK(Piping!$J$3), "", Piping!$J$3), IF($N$1="Vessels", IF(ISBLANK(Vessels!$J$3), "", Vessels!$J$3), "")),"")</f>
        <v/>
      </c>
      <c r="T91" s="37"/>
      <c r="U91" s="37"/>
      <c r="V91" s="37"/>
      <c r="W91" s="37"/>
      <c r="X91" s="37"/>
      <c r="Y91" s="37"/>
      <c r="Z91" s="37"/>
    </row>
    <row r="92" spans="1:26" ht="15.75" customHeight="1" x14ac:dyDescent="0.3">
      <c r="A92" s="22">
        <f>IF($N$1="Piping", IF(ISBLANK(Piping!A92), "", Piping!A92), IF($N$1="Vessels", IF(ISBLANK(Vessels!A92), "", Vessels!A92), ""))</f>
        <v>22.3</v>
      </c>
      <c r="B92" s="21" t="str">
        <f>IF($N$1="Piping", IF(ISBLANK(Piping!B92), "", Piping!B92), IF($N$1="Vessels", IF(ISBLANK(Vessels!B92), "", Vessels!B92), ""))</f>
        <v/>
      </c>
      <c r="C92" s="21" t="str">
        <f>IF($N$1="Piping", IF(ISBLANK(Piping!C92), "", Piping!C92), IF($N$1="Vessels", IF(ISBLANK(Vessels!C92), "", Vessels!C92), ""))</f>
        <v>Piping</v>
      </c>
      <c r="D92" s="21" t="str">
        <f>IF($N$1="Piping", IF(ISBLANK(Piping!D92), "", Piping!D92), IF($N$1="Vessels", IF(ISBLANK(Vessels!D92), "", Vessels!D92), ""))</f>
        <v/>
      </c>
      <c r="E92" s="21" t="str">
        <f>IF($N$1="Piping", IF(ISBLANK(Piping!E92), "", Piping!E92), IF($N$1="Vessels", IF(ISBLANK(Vessels!E92), "", Vessels!E92), ""))</f>
        <v/>
      </c>
      <c r="F92" s="21" t="str">
        <f>IF($N$1="Piping", IF(ISBLANK(Piping!F92), "", Piping!F92), IF($N$1="Vessels", IF(ISBLANK(Vessels!F92), "", Vessels!F92), ""))</f>
        <v/>
      </c>
      <c r="G92" s="21">
        <f>IF($N$1="Piping", IF(ISBLANK(Piping!G92), "", Piping!G92), IF($N$1="Vessels", IF(ISBLANK(Vessels!G92), "", Vessels!G92), ""))</f>
        <v>0</v>
      </c>
      <c r="H92" s="21" t="str">
        <f>IF($N$1="Piping", IF(ISBLANK(Piping!H92), "", Piping!H92), IF($N$1="Vessels", IF(ISBLANK(Vessels!H92), "", Vessels!H92), ""))</f>
        <v/>
      </c>
      <c r="I92" s="21" t="str">
        <f>IF($N$1="Piping", IF(ISBLANK(Piping!I92), "", Piping!I92), IF($N$1="Vessels", IF(ISBLANK(Vessels!I92), "", Vessels!I92), ""))</f>
        <v/>
      </c>
      <c r="J92" s="21" t="str">
        <f>IF($N$1="Piping", IF(ISBLANK(Piping!J92), "", Piping!J92), IF($N$1="Vessels", IF(ISBLANK(Vessels!J92), "", Vessels!J92), ""))</f>
        <v/>
      </c>
      <c r="K92" s="21" t="str">
        <f>IF($N$1="Piping", IF(ISBLANK(Piping!K92), "", Piping!K92), IF($N$1="Vessels", IF(ISBLANK(Vessels!K92), "", Vessels!K92), ""))</f>
        <v/>
      </c>
      <c r="L92" s="21" t="str">
        <f>IF($N$1="Piping", IF(ISBLANK(Piping!L92), "", Piping!L92), IF($N$1="Vessels", IF(ISBLANK(Vessels!L92), "", Vessels!L92), ""))</f>
        <v/>
      </c>
      <c r="M92" s="21"/>
      <c r="N92" s="21"/>
      <c r="O92" s="21"/>
      <c r="P92" s="21"/>
      <c r="Q92" s="21" t="str">
        <f>IF($N$1="Piping", IF(ISBLANK(Piping!T92), "", Piping!T92), IF($N$1="Vessels", IF(ISBLANK(Vessels!T92), "", Vessels!T92), ""))</f>
        <v/>
      </c>
      <c r="R92" s="51" t="str">
        <f>IF($N$1="Piping", IF(ISBLANK(Piping!U92), "", Piping!U92), IF($N$1="Vessels", IF(ISBLANK(Vessels!U92), "", Vessels!U92), ""))</f>
        <v/>
      </c>
      <c r="S92" s="118" t="str">
        <f>IF(B92&lt;&gt;"",IF($N$1="Piping", IF(ISBLANK(Piping!$J$3), "", Piping!$J$3), IF($N$1="Vessels", IF(ISBLANK(Vessels!$J$3), "", Vessels!$J$3), "")),"")</f>
        <v/>
      </c>
      <c r="T92" s="37"/>
      <c r="U92" s="37"/>
      <c r="V92" s="37"/>
      <c r="W92" s="37"/>
      <c r="X92" s="37"/>
      <c r="Y92" s="37"/>
      <c r="Z92" s="37"/>
    </row>
    <row r="93" spans="1:26" ht="15.75" customHeight="1" x14ac:dyDescent="0.3">
      <c r="A93" s="22">
        <f>IF($N$1="Piping", IF(ISBLANK(Piping!A93), "", Piping!A93), IF($N$1="Vessels", IF(ISBLANK(Vessels!A93), "", Vessels!A93), ""))</f>
        <v>22.4</v>
      </c>
      <c r="B93" s="21" t="str">
        <f>IF($N$1="Piping", IF(ISBLANK(Piping!B93), "", Piping!B93), IF($N$1="Vessels", IF(ISBLANK(Vessels!B93), "", Vessels!B93), ""))</f>
        <v/>
      </c>
      <c r="C93" s="21" t="str">
        <f>IF($N$1="Piping", IF(ISBLANK(Piping!C93), "", Piping!C93), IF($N$1="Vessels", IF(ISBLANK(Vessels!C93), "", Vessels!C93), ""))</f>
        <v>Piping</v>
      </c>
      <c r="D93" s="21" t="str">
        <f>IF($N$1="Piping", IF(ISBLANK(Piping!D93), "", Piping!D93), IF($N$1="Vessels", IF(ISBLANK(Vessels!D93), "", Vessels!D93), ""))</f>
        <v/>
      </c>
      <c r="E93" s="21" t="str">
        <f>IF($N$1="Piping", IF(ISBLANK(Piping!E93), "", Piping!E93), IF($N$1="Vessels", IF(ISBLANK(Vessels!E93), "", Vessels!E93), ""))</f>
        <v/>
      </c>
      <c r="F93" s="21" t="str">
        <f>IF($N$1="Piping", IF(ISBLANK(Piping!F93), "", Piping!F93), IF($N$1="Vessels", IF(ISBLANK(Vessels!F93), "", Vessels!F93), ""))</f>
        <v/>
      </c>
      <c r="G93" s="21">
        <f>IF($N$1="Piping", IF(ISBLANK(Piping!G93), "", Piping!G93), IF($N$1="Vessels", IF(ISBLANK(Vessels!G93), "", Vessels!G93), ""))</f>
        <v>0</v>
      </c>
      <c r="H93" s="21" t="str">
        <f>IF($N$1="Piping", IF(ISBLANK(Piping!H93), "", Piping!H93), IF($N$1="Vessels", IF(ISBLANK(Vessels!H93), "", Vessels!H93), ""))</f>
        <v/>
      </c>
      <c r="I93" s="21" t="str">
        <f>IF($N$1="Piping", IF(ISBLANK(Piping!I93), "", Piping!I93), IF($N$1="Vessels", IF(ISBLANK(Vessels!I93), "", Vessels!I93), ""))</f>
        <v/>
      </c>
      <c r="J93" s="21" t="str">
        <f>IF($N$1="Piping", IF(ISBLANK(Piping!J93), "", Piping!J93), IF($N$1="Vessels", IF(ISBLANK(Vessels!J93), "", Vessels!J93), ""))</f>
        <v/>
      </c>
      <c r="K93" s="21" t="str">
        <f>IF($N$1="Piping", IF(ISBLANK(Piping!K93), "", Piping!K93), IF($N$1="Vessels", IF(ISBLANK(Vessels!K93), "", Vessels!K93), ""))</f>
        <v/>
      </c>
      <c r="L93" s="21" t="str">
        <f>IF($N$1="Piping", IF(ISBLANK(Piping!L93), "", Piping!L93), IF($N$1="Vessels", IF(ISBLANK(Vessels!L93), "", Vessels!L93), ""))</f>
        <v/>
      </c>
      <c r="M93" s="21"/>
      <c r="N93" s="21"/>
      <c r="O93" s="21"/>
      <c r="P93" s="21"/>
      <c r="Q93" s="21" t="str">
        <f>IF($N$1="Piping", IF(ISBLANK(Piping!T93), "", Piping!T93), IF($N$1="Vessels", IF(ISBLANK(Vessels!T93), "", Vessels!T93), ""))</f>
        <v/>
      </c>
      <c r="R93" s="51" t="str">
        <f>IF($N$1="Piping", IF(ISBLANK(Piping!U93), "", Piping!U93), IF($N$1="Vessels", IF(ISBLANK(Vessels!U93), "", Vessels!U93), ""))</f>
        <v/>
      </c>
      <c r="S93" s="118" t="str">
        <f>IF(B93&lt;&gt;"",IF($N$1="Piping", IF(ISBLANK(Piping!$J$3), "", Piping!$J$3), IF($N$1="Vessels", IF(ISBLANK(Vessels!$J$3), "", Vessels!$J$3), "")),"")</f>
        <v/>
      </c>
      <c r="T93" s="37"/>
      <c r="U93" s="37"/>
      <c r="V93" s="37"/>
      <c r="W93" s="37"/>
      <c r="X93" s="37"/>
      <c r="Y93" s="37"/>
      <c r="Z93" s="37"/>
    </row>
    <row r="94" spans="1:26" ht="15.75" customHeight="1" x14ac:dyDescent="0.3">
      <c r="A94" s="22">
        <f>IF($N$1="Piping", IF(ISBLANK(Piping!A94), "", Piping!A94), IF($N$1="Vessels", IF(ISBLANK(Vessels!A94), "", Vessels!A94), ""))</f>
        <v>23.1</v>
      </c>
      <c r="B94" s="21" t="str">
        <f>IF($N$1="Piping", IF(ISBLANK(Piping!B94), "", Piping!B94), IF($N$1="Vessels", IF(ISBLANK(Vessels!B94), "", Vessels!B94), ""))</f>
        <v/>
      </c>
      <c r="C94" s="21" t="str">
        <f>IF($N$1="Piping", IF(ISBLANK(Piping!C94), "", Piping!C94), IF($N$1="Vessels", IF(ISBLANK(Vessels!C94), "", Vessels!C94), ""))</f>
        <v>Piping</v>
      </c>
      <c r="D94" s="21" t="str">
        <f>IF($N$1="Piping", IF(ISBLANK(Piping!D94), "", Piping!D94), IF($N$1="Vessels", IF(ISBLANK(Vessels!D94), "", Vessels!D94), ""))</f>
        <v/>
      </c>
      <c r="E94" s="21" t="str">
        <f>IF($N$1="Piping", IF(ISBLANK(Piping!E94), "", Piping!E94), IF($N$1="Vessels", IF(ISBLANK(Vessels!E94), "", Vessels!E94), ""))</f>
        <v/>
      </c>
      <c r="F94" s="21" t="str">
        <f>IF($N$1="Piping", IF(ISBLANK(Piping!F94), "", Piping!F94), IF($N$1="Vessels", IF(ISBLANK(Vessels!F94), "", Vessels!F94), ""))</f>
        <v/>
      </c>
      <c r="G94" s="21">
        <f>IF($N$1="Piping", IF(ISBLANK(Piping!G94), "", Piping!G94), IF($N$1="Vessels", IF(ISBLANK(Vessels!G94), "", Vessels!G94), ""))</f>
        <v>0</v>
      </c>
      <c r="H94" s="21" t="str">
        <f>IF($N$1="Piping", IF(ISBLANK(Piping!H94), "", Piping!H94), IF($N$1="Vessels", IF(ISBLANK(Vessels!H94), "", Vessels!H94), ""))</f>
        <v/>
      </c>
      <c r="I94" s="21" t="str">
        <f>IF($N$1="Piping", IF(ISBLANK(Piping!I94), "", Piping!I94), IF($N$1="Vessels", IF(ISBLANK(Vessels!I94), "", Vessels!I94), ""))</f>
        <v/>
      </c>
      <c r="J94" s="21" t="str">
        <f>IF($N$1="Piping", IF(ISBLANK(Piping!J94), "", Piping!J94), IF($N$1="Vessels", IF(ISBLANK(Vessels!J94), "", Vessels!J94), ""))</f>
        <v/>
      </c>
      <c r="K94" s="21" t="str">
        <f>IF($N$1="Piping", IF(ISBLANK(Piping!K94), "", Piping!K94), IF($N$1="Vessels", IF(ISBLANK(Vessels!K94), "", Vessels!K94), ""))</f>
        <v/>
      </c>
      <c r="L94" s="21" t="str">
        <f>IF($N$1="Piping", IF(ISBLANK(Piping!L94), "", Piping!L94), IF($N$1="Vessels", IF(ISBLANK(Vessels!L94), "", Vessels!L94), ""))</f>
        <v/>
      </c>
      <c r="M94" s="21"/>
      <c r="N94" s="21"/>
      <c r="O94" s="21"/>
      <c r="P94" s="21"/>
      <c r="Q94" s="21" t="str">
        <f>IF($N$1="Piping", IF(ISBLANK(Piping!T94), "", Piping!T94), IF($N$1="Vessels", IF(ISBLANK(Vessels!T94), "", Vessels!T94), ""))</f>
        <v/>
      </c>
      <c r="R94" s="51" t="str">
        <f>IF($N$1="Piping", IF(ISBLANK(Piping!U94), "", Piping!U94), IF($N$1="Vessels", IF(ISBLANK(Vessels!U94), "", Vessels!U94), ""))</f>
        <v/>
      </c>
      <c r="S94" s="118" t="str">
        <f>IF(B94&lt;&gt;"",IF($N$1="Piping", IF(ISBLANK(Piping!$J$3), "", Piping!$J$3), IF($N$1="Vessels", IF(ISBLANK(Vessels!$J$3), "", Vessels!$J$3), "")),"")</f>
        <v/>
      </c>
      <c r="T94" s="37"/>
      <c r="U94" s="37"/>
      <c r="V94" s="37"/>
      <c r="W94" s="37"/>
      <c r="X94" s="37"/>
      <c r="Y94" s="37"/>
      <c r="Z94" s="37"/>
    </row>
    <row r="95" spans="1:26" ht="15.75" customHeight="1" x14ac:dyDescent="0.3">
      <c r="A95" s="22">
        <f>IF($N$1="Piping", IF(ISBLANK(Piping!A95), "", Piping!A95), IF($N$1="Vessels", IF(ISBLANK(Vessels!A95), "", Vessels!A95), ""))</f>
        <v>23.2</v>
      </c>
      <c r="B95" s="21" t="str">
        <f>IF($N$1="Piping", IF(ISBLANK(Piping!B95), "", Piping!B95), IF($N$1="Vessels", IF(ISBLANK(Vessels!B95), "", Vessels!B95), ""))</f>
        <v/>
      </c>
      <c r="C95" s="21" t="str">
        <f>IF($N$1="Piping", IF(ISBLANK(Piping!C95), "", Piping!C95), IF($N$1="Vessels", IF(ISBLANK(Vessels!C95), "", Vessels!C95), ""))</f>
        <v>Piping</v>
      </c>
      <c r="D95" s="21" t="str">
        <f>IF($N$1="Piping", IF(ISBLANK(Piping!D95), "", Piping!D95), IF($N$1="Vessels", IF(ISBLANK(Vessels!D95), "", Vessels!D95), ""))</f>
        <v/>
      </c>
      <c r="E95" s="21" t="str">
        <f>IF($N$1="Piping", IF(ISBLANK(Piping!E95), "", Piping!E95), IF($N$1="Vessels", IF(ISBLANK(Vessels!E95), "", Vessels!E95), ""))</f>
        <v/>
      </c>
      <c r="F95" s="21" t="str">
        <f>IF($N$1="Piping", IF(ISBLANK(Piping!F95), "", Piping!F95), IF($N$1="Vessels", IF(ISBLANK(Vessels!F95), "", Vessels!F95), ""))</f>
        <v/>
      </c>
      <c r="G95" s="21">
        <f>IF($N$1="Piping", IF(ISBLANK(Piping!G95), "", Piping!G95), IF($N$1="Vessels", IF(ISBLANK(Vessels!G95), "", Vessels!G95), ""))</f>
        <v>0</v>
      </c>
      <c r="H95" s="21" t="str">
        <f>IF($N$1="Piping", IF(ISBLANK(Piping!H95), "", Piping!H95), IF($N$1="Vessels", IF(ISBLANK(Vessels!H95), "", Vessels!H95), ""))</f>
        <v/>
      </c>
      <c r="I95" s="21" t="str">
        <f>IF($N$1="Piping", IF(ISBLANK(Piping!I95), "", Piping!I95), IF($N$1="Vessels", IF(ISBLANK(Vessels!I95), "", Vessels!I95), ""))</f>
        <v/>
      </c>
      <c r="J95" s="21" t="str">
        <f>IF($N$1="Piping", IF(ISBLANK(Piping!J95), "", Piping!J95), IF($N$1="Vessels", IF(ISBLANK(Vessels!J95), "", Vessels!J95), ""))</f>
        <v/>
      </c>
      <c r="K95" s="21" t="str">
        <f>IF($N$1="Piping", IF(ISBLANK(Piping!K95), "", Piping!K95), IF($N$1="Vessels", IF(ISBLANK(Vessels!K95), "", Vessels!K95), ""))</f>
        <v/>
      </c>
      <c r="L95" s="21" t="str">
        <f>IF($N$1="Piping", IF(ISBLANK(Piping!L95), "", Piping!L95), IF($N$1="Vessels", IF(ISBLANK(Vessels!L95), "", Vessels!L95), ""))</f>
        <v/>
      </c>
      <c r="M95" s="21"/>
      <c r="N95" s="21"/>
      <c r="O95" s="21"/>
      <c r="P95" s="21"/>
      <c r="Q95" s="21" t="str">
        <f>IF($N$1="Piping", IF(ISBLANK(Piping!T95), "", Piping!T95), IF($N$1="Vessels", IF(ISBLANK(Vessels!T95), "", Vessels!T95), ""))</f>
        <v/>
      </c>
      <c r="R95" s="51" t="str">
        <f>IF($N$1="Piping", IF(ISBLANK(Piping!U95), "", Piping!U95), IF($N$1="Vessels", IF(ISBLANK(Vessels!U95), "", Vessels!U95), ""))</f>
        <v/>
      </c>
      <c r="S95" s="118" t="str">
        <f>IF(B95&lt;&gt;"",IF($N$1="Piping", IF(ISBLANK(Piping!$J$3), "", Piping!$J$3), IF($N$1="Vessels", IF(ISBLANK(Vessels!$J$3), "", Vessels!$J$3), "")),"")</f>
        <v/>
      </c>
      <c r="T95" s="37"/>
      <c r="U95" s="37"/>
      <c r="V95" s="37"/>
      <c r="W95" s="37"/>
      <c r="X95" s="37"/>
      <c r="Y95" s="37"/>
      <c r="Z95" s="37"/>
    </row>
    <row r="96" spans="1:26" ht="15.75" customHeight="1" x14ac:dyDescent="0.3">
      <c r="A96" s="22">
        <f>IF($N$1="Piping", IF(ISBLANK(Piping!A96), "", Piping!A96), IF($N$1="Vessels", IF(ISBLANK(Vessels!A96), "", Vessels!A96), ""))</f>
        <v>23.3</v>
      </c>
      <c r="B96" s="21" t="str">
        <f>IF($N$1="Piping", IF(ISBLANK(Piping!B96), "", Piping!B96), IF($N$1="Vessels", IF(ISBLANK(Vessels!B96), "", Vessels!B96), ""))</f>
        <v/>
      </c>
      <c r="C96" s="21" t="str">
        <f>IF($N$1="Piping", IF(ISBLANK(Piping!C96), "", Piping!C96), IF($N$1="Vessels", IF(ISBLANK(Vessels!C96), "", Vessels!C96), ""))</f>
        <v>Piping</v>
      </c>
      <c r="D96" s="21" t="str">
        <f>IF($N$1="Piping", IF(ISBLANK(Piping!D96), "", Piping!D96), IF($N$1="Vessels", IF(ISBLANK(Vessels!D96), "", Vessels!D96), ""))</f>
        <v/>
      </c>
      <c r="E96" s="21" t="str">
        <f>IF($N$1="Piping", IF(ISBLANK(Piping!E96), "", Piping!E96), IF($N$1="Vessels", IF(ISBLANK(Vessels!E96), "", Vessels!E96), ""))</f>
        <v/>
      </c>
      <c r="F96" s="21" t="str">
        <f>IF($N$1="Piping", IF(ISBLANK(Piping!F96), "", Piping!F96), IF($N$1="Vessels", IF(ISBLANK(Vessels!F96), "", Vessels!F96), ""))</f>
        <v/>
      </c>
      <c r="G96" s="21">
        <f>IF($N$1="Piping", IF(ISBLANK(Piping!G96), "", Piping!G96), IF($N$1="Vessels", IF(ISBLANK(Vessels!G96), "", Vessels!G96), ""))</f>
        <v>0</v>
      </c>
      <c r="H96" s="21" t="str">
        <f>IF($N$1="Piping", IF(ISBLANK(Piping!H96), "", Piping!H96), IF($N$1="Vessels", IF(ISBLANK(Vessels!H96), "", Vessels!H96), ""))</f>
        <v/>
      </c>
      <c r="I96" s="21" t="str">
        <f>IF($N$1="Piping", IF(ISBLANK(Piping!I96), "", Piping!I96), IF($N$1="Vessels", IF(ISBLANK(Vessels!I96), "", Vessels!I96), ""))</f>
        <v/>
      </c>
      <c r="J96" s="21" t="str">
        <f>IF($N$1="Piping", IF(ISBLANK(Piping!J96), "", Piping!J96), IF($N$1="Vessels", IF(ISBLANK(Vessels!J96), "", Vessels!J96), ""))</f>
        <v/>
      </c>
      <c r="K96" s="21" t="str">
        <f>IF($N$1="Piping", IF(ISBLANK(Piping!K96), "", Piping!K96), IF($N$1="Vessels", IF(ISBLANK(Vessels!K96), "", Vessels!K96), ""))</f>
        <v/>
      </c>
      <c r="L96" s="21" t="str">
        <f>IF($N$1="Piping", IF(ISBLANK(Piping!L96), "", Piping!L96), IF($N$1="Vessels", IF(ISBLANK(Vessels!L96), "", Vessels!L96), ""))</f>
        <v/>
      </c>
      <c r="M96" s="21"/>
      <c r="N96" s="21"/>
      <c r="O96" s="21"/>
      <c r="P96" s="21"/>
      <c r="Q96" s="21" t="str">
        <f>IF($N$1="Piping", IF(ISBLANK(Piping!T96), "", Piping!T96), IF($N$1="Vessels", IF(ISBLANK(Vessels!T96), "", Vessels!T96), ""))</f>
        <v/>
      </c>
      <c r="R96" s="51" t="str">
        <f>IF($N$1="Piping", IF(ISBLANK(Piping!U96), "", Piping!U96), IF($N$1="Vessels", IF(ISBLANK(Vessels!U96), "", Vessels!U96), ""))</f>
        <v/>
      </c>
      <c r="S96" s="118" t="str">
        <f>IF(B96&lt;&gt;"",IF($N$1="Piping", IF(ISBLANK(Piping!$J$3), "", Piping!$J$3), IF($N$1="Vessels", IF(ISBLANK(Vessels!$J$3), "", Vessels!$J$3), "")),"")</f>
        <v/>
      </c>
      <c r="T96" s="37"/>
      <c r="U96" s="37"/>
      <c r="V96" s="37"/>
      <c r="W96" s="37"/>
      <c r="X96" s="37"/>
      <c r="Y96" s="37"/>
      <c r="Z96" s="37"/>
    </row>
    <row r="97" spans="1:26" ht="15.75" customHeight="1" x14ac:dyDescent="0.3">
      <c r="A97" s="22">
        <f>IF($N$1="Piping", IF(ISBLANK(Piping!A97), "", Piping!A97), IF($N$1="Vessels", IF(ISBLANK(Vessels!A97), "", Vessels!A97), ""))</f>
        <v>23.4</v>
      </c>
      <c r="B97" s="21" t="str">
        <f>IF($N$1="Piping", IF(ISBLANK(Piping!B97), "", Piping!B97), IF($N$1="Vessels", IF(ISBLANK(Vessels!B97), "", Vessels!B97), ""))</f>
        <v/>
      </c>
      <c r="C97" s="21" t="str">
        <f>IF($N$1="Piping", IF(ISBLANK(Piping!C97), "", Piping!C97), IF($N$1="Vessels", IF(ISBLANK(Vessels!C97), "", Vessels!C97), ""))</f>
        <v>Piping</v>
      </c>
      <c r="D97" s="21" t="str">
        <f>IF($N$1="Piping", IF(ISBLANK(Piping!D97), "", Piping!D97), IF($N$1="Vessels", IF(ISBLANK(Vessels!D97), "", Vessels!D97), ""))</f>
        <v/>
      </c>
      <c r="E97" s="21" t="str">
        <f>IF($N$1="Piping", IF(ISBLANK(Piping!E97), "", Piping!E97), IF($N$1="Vessels", IF(ISBLANK(Vessels!E97), "", Vessels!E97), ""))</f>
        <v/>
      </c>
      <c r="F97" s="21" t="str">
        <f>IF($N$1="Piping", IF(ISBLANK(Piping!F97), "", Piping!F97), IF($N$1="Vessels", IF(ISBLANK(Vessels!F97), "", Vessels!F97), ""))</f>
        <v/>
      </c>
      <c r="G97" s="21">
        <f>IF($N$1="Piping", IF(ISBLANK(Piping!G97), "", Piping!G97), IF($N$1="Vessels", IF(ISBLANK(Vessels!G97), "", Vessels!G97), ""))</f>
        <v>0</v>
      </c>
      <c r="H97" s="21" t="str">
        <f>IF($N$1="Piping", IF(ISBLANK(Piping!H97), "", Piping!H97), IF($N$1="Vessels", IF(ISBLANK(Vessels!H97), "", Vessels!H97), ""))</f>
        <v/>
      </c>
      <c r="I97" s="21" t="str">
        <f>IF($N$1="Piping", IF(ISBLANK(Piping!I97), "", Piping!I97), IF($N$1="Vessels", IF(ISBLANK(Vessels!I97), "", Vessels!I97), ""))</f>
        <v/>
      </c>
      <c r="J97" s="21" t="str">
        <f>IF($N$1="Piping", IF(ISBLANK(Piping!J97), "", Piping!J97), IF($N$1="Vessels", IF(ISBLANK(Vessels!J97), "", Vessels!J97), ""))</f>
        <v/>
      </c>
      <c r="K97" s="21" t="str">
        <f>IF($N$1="Piping", IF(ISBLANK(Piping!K97), "", Piping!K97), IF($N$1="Vessels", IF(ISBLANK(Vessels!K97), "", Vessels!K97), ""))</f>
        <v/>
      </c>
      <c r="L97" s="21" t="str">
        <f>IF($N$1="Piping", IF(ISBLANK(Piping!L97), "", Piping!L97), IF($N$1="Vessels", IF(ISBLANK(Vessels!L97), "", Vessels!L97), ""))</f>
        <v/>
      </c>
      <c r="M97" s="21"/>
      <c r="N97" s="21"/>
      <c r="O97" s="21"/>
      <c r="P97" s="21"/>
      <c r="Q97" s="21" t="str">
        <f>IF($N$1="Piping", IF(ISBLANK(Piping!T97), "", Piping!T97), IF($N$1="Vessels", IF(ISBLANK(Vessels!T97), "", Vessels!T97), ""))</f>
        <v/>
      </c>
      <c r="R97" s="51" t="str">
        <f>IF($N$1="Piping", IF(ISBLANK(Piping!U97), "", Piping!U97), IF($N$1="Vessels", IF(ISBLANK(Vessels!U97), "", Vessels!U97), ""))</f>
        <v/>
      </c>
      <c r="S97" s="118" t="str">
        <f>IF(B97&lt;&gt;"",IF($N$1="Piping", IF(ISBLANK(Piping!$J$3), "", Piping!$J$3), IF($N$1="Vessels", IF(ISBLANK(Vessels!$J$3), "", Vessels!$J$3), "")),"")</f>
        <v/>
      </c>
      <c r="T97" s="37"/>
      <c r="U97" s="37"/>
      <c r="V97" s="37"/>
      <c r="W97" s="37"/>
      <c r="X97" s="37"/>
      <c r="Y97" s="37"/>
      <c r="Z97" s="37"/>
    </row>
    <row r="98" spans="1:26" ht="15.75" customHeight="1" x14ac:dyDescent="0.3">
      <c r="A98" s="22">
        <f>IF($N$1="Piping", IF(ISBLANK(Piping!A98), "", Piping!A98), IF($N$1="Vessels", IF(ISBLANK(Vessels!A98), "", Vessels!A98), ""))</f>
        <v>24.1</v>
      </c>
      <c r="B98" s="21" t="str">
        <f>IF($N$1="Piping", IF(ISBLANK(Piping!B98), "", Piping!B98), IF($N$1="Vessels", IF(ISBLANK(Vessels!B98), "", Vessels!B98), ""))</f>
        <v/>
      </c>
      <c r="C98" s="21" t="str">
        <f>IF($N$1="Piping", IF(ISBLANK(Piping!C98), "", Piping!C98), IF($N$1="Vessels", IF(ISBLANK(Vessels!C98), "", Vessels!C98), ""))</f>
        <v>Piping</v>
      </c>
      <c r="D98" s="21" t="str">
        <f>IF($N$1="Piping", IF(ISBLANK(Piping!D98), "", Piping!D98), IF($N$1="Vessels", IF(ISBLANK(Vessels!D98), "", Vessels!D98), ""))</f>
        <v/>
      </c>
      <c r="E98" s="21" t="str">
        <f>IF($N$1="Piping", IF(ISBLANK(Piping!E98), "", Piping!E98), IF($N$1="Vessels", IF(ISBLANK(Vessels!E98), "", Vessels!E98), ""))</f>
        <v/>
      </c>
      <c r="F98" s="21" t="str">
        <f>IF($N$1="Piping", IF(ISBLANK(Piping!F98), "", Piping!F98), IF($N$1="Vessels", IF(ISBLANK(Vessels!F98), "", Vessels!F98), ""))</f>
        <v/>
      </c>
      <c r="G98" s="21">
        <f>IF($N$1="Piping", IF(ISBLANK(Piping!G98), "", Piping!G98), IF($N$1="Vessels", IF(ISBLANK(Vessels!G98), "", Vessels!G98), ""))</f>
        <v>0</v>
      </c>
      <c r="H98" s="21" t="str">
        <f>IF($N$1="Piping", IF(ISBLANK(Piping!H98), "", Piping!H98), IF($N$1="Vessels", IF(ISBLANK(Vessels!H98), "", Vessels!H98), ""))</f>
        <v/>
      </c>
      <c r="I98" s="21" t="str">
        <f>IF($N$1="Piping", IF(ISBLANK(Piping!I98), "", Piping!I98), IF($N$1="Vessels", IF(ISBLANK(Vessels!I98), "", Vessels!I98), ""))</f>
        <v/>
      </c>
      <c r="J98" s="21" t="str">
        <f>IF($N$1="Piping", IF(ISBLANK(Piping!J98), "", Piping!J98), IF($N$1="Vessels", IF(ISBLANK(Vessels!J98), "", Vessels!J98), ""))</f>
        <v/>
      </c>
      <c r="K98" s="21" t="str">
        <f>IF($N$1="Piping", IF(ISBLANK(Piping!K98), "", Piping!K98), IF($N$1="Vessels", IF(ISBLANK(Vessels!K98), "", Vessels!K98), ""))</f>
        <v/>
      </c>
      <c r="L98" s="21" t="str">
        <f>IF($N$1="Piping", IF(ISBLANK(Piping!L98), "", Piping!L98), IF($N$1="Vessels", IF(ISBLANK(Vessels!L98), "", Vessels!L98), ""))</f>
        <v/>
      </c>
      <c r="M98" s="21"/>
      <c r="N98" s="21"/>
      <c r="O98" s="21"/>
      <c r="P98" s="21"/>
      <c r="Q98" s="21" t="str">
        <f>IF($N$1="Piping", IF(ISBLANK(Piping!T98), "", Piping!T98), IF($N$1="Vessels", IF(ISBLANK(Vessels!T98), "", Vessels!T98), ""))</f>
        <v/>
      </c>
      <c r="R98" s="51" t="str">
        <f>IF($N$1="Piping", IF(ISBLANK(Piping!U98), "", Piping!U98), IF($N$1="Vessels", IF(ISBLANK(Vessels!U98), "", Vessels!U98), ""))</f>
        <v/>
      </c>
      <c r="S98" s="118" t="str">
        <f>IF(B98&lt;&gt;"",IF($N$1="Piping", IF(ISBLANK(Piping!$J$3), "", Piping!$J$3), IF($N$1="Vessels", IF(ISBLANK(Vessels!$J$3), "", Vessels!$J$3), "")),"")</f>
        <v/>
      </c>
      <c r="T98" s="37"/>
      <c r="U98" s="37"/>
      <c r="V98" s="37"/>
      <c r="W98" s="37"/>
      <c r="X98" s="37"/>
      <c r="Y98" s="37"/>
      <c r="Z98" s="37"/>
    </row>
    <row r="99" spans="1:26" ht="15.75" customHeight="1" x14ac:dyDescent="0.3">
      <c r="A99" s="22">
        <f>IF($N$1="Piping", IF(ISBLANK(Piping!A99), "", Piping!A99), IF($N$1="Vessels", IF(ISBLANK(Vessels!A99), "", Vessels!A99), ""))</f>
        <v>24.2</v>
      </c>
      <c r="B99" s="21" t="str">
        <f>IF($N$1="Piping", IF(ISBLANK(Piping!B99), "", Piping!B99), IF($N$1="Vessels", IF(ISBLANK(Vessels!B99), "", Vessels!B99), ""))</f>
        <v/>
      </c>
      <c r="C99" s="21" t="str">
        <f>IF($N$1="Piping", IF(ISBLANK(Piping!C99), "", Piping!C99), IF($N$1="Vessels", IF(ISBLANK(Vessels!C99), "", Vessels!C99), ""))</f>
        <v>Piping</v>
      </c>
      <c r="D99" s="21" t="str">
        <f>IF($N$1="Piping", IF(ISBLANK(Piping!D99), "", Piping!D99), IF($N$1="Vessels", IF(ISBLANK(Vessels!D99), "", Vessels!D99), ""))</f>
        <v/>
      </c>
      <c r="E99" s="21" t="str">
        <f>IF($N$1="Piping", IF(ISBLANK(Piping!E99), "", Piping!E99), IF($N$1="Vessels", IF(ISBLANK(Vessels!E99), "", Vessels!E99), ""))</f>
        <v/>
      </c>
      <c r="F99" s="21" t="str">
        <f>IF($N$1="Piping", IF(ISBLANK(Piping!F99), "", Piping!F99), IF($N$1="Vessels", IF(ISBLANK(Vessels!F99), "", Vessels!F99), ""))</f>
        <v/>
      </c>
      <c r="G99" s="21">
        <f>IF($N$1="Piping", IF(ISBLANK(Piping!G99), "", Piping!G99), IF($N$1="Vessels", IF(ISBLANK(Vessels!G99), "", Vessels!G99), ""))</f>
        <v>0</v>
      </c>
      <c r="H99" s="21" t="str">
        <f>IF($N$1="Piping", IF(ISBLANK(Piping!H99), "", Piping!H99), IF($N$1="Vessels", IF(ISBLANK(Vessels!H99), "", Vessels!H99), ""))</f>
        <v/>
      </c>
      <c r="I99" s="21" t="str">
        <f>IF($N$1="Piping", IF(ISBLANK(Piping!I99), "", Piping!I99), IF($N$1="Vessels", IF(ISBLANK(Vessels!I99), "", Vessels!I99), ""))</f>
        <v/>
      </c>
      <c r="J99" s="21" t="str">
        <f>IF($N$1="Piping", IF(ISBLANK(Piping!J99), "", Piping!J99), IF($N$1="Vessels", IF(ISBLANK(Vessels!J99), "", Vessels!J99), ""))</f>
        <v/>
      </c>
      <c r="K99" s="21" t="str">
        <f>IF($N$1="Piping", IF(ISBLANK(Piping!K99), "", Piping!K99), IF($N$1="Vessels", IF(ISBLANK(Vessels!K99), "", Vessels!K99), ""))</f>
        <v/>
      </c>
      <c r="L99" s="21" t="str">
        <f>IF($N$1="Piping", IF(ISBLANK(Piping!L99), "", Piping!L99), IF($N$1="Vessels", IF(ISBLANK(Vessels!L99), "", Vessels!L99), ""))</f>
        <v/>
      </c>
      <c r="M99" s="21"/>
      <c r="N99" s="21"/>
      <c r="O99" s="21"/>
      <c r="P99" s="21"/>
      <c r="Q99" s="21" t="str">
        <f>IF($N$1="Piping", IF(ISBLANK(Piping!T99), "", Piping!T99), IF($N$1="Vessels", IF(ISBLANK(Vessels!T99), "", Vessels!T99), ""))</f>
        <v/>
      </c>
      <c r="R99" s="51" t="str">
        <f>IF($N$1="Piping", IF(ISBLANK(Piping!U99), "", Piping!U99), IF($N$1="Vessels", IF(ISBLANK(Vessels!U99), "", Vessels!U99), ""))</f>
        <v/>
      </c>
      <c r="S99" s="118" t="str">
        <f>IF(B99&lt;&gt;"",IF($N$1="Piping", IF(ISBLANK(Piping!$J$3), "", Piping!$J$3), IF($N$1="Vessels", IF(ISBLANK(Vessels!$J$3), "", Vessels!$J$3), "")),"")</f>
        <v/>
      </c>
      <c r="T99" s="37"/>
      <c r="U99" s="37"/>
      <c r="V99" s="37"/>
      <c r="W99" s="37"/>
      <c r="X99" s="37"/>
      <c r="Y99" s="37"/>
      <c r="Z99" s="37"/>
    </row>
    <row r="100" spans="1:26" ht="15.75" customHeight="1" x14ac:dyDescent="0.3">
      <c r="A100" s="22">
        <f>IF($N$1="Piping", IF(ISBLANK(Piping!A100), "", Piping!A100), IF($N$1="Vessels", IF(ISBLANK(Vessels!A100), "", Vessels!A100), ""))</f>
        <v>24.3</v>
      </c>
      <c r="B100" s="21" t="str">
        <f>IF($N$1="Piping", IF(ISBLANK(Piping!B100), "", Piping!B100), IF($N$1="Vessels", IF(ISBLANK(Vessels!B100), "", Vessels!B100), ""))</f>
        <v/>
      </c>
      <c r="C100" s="21" t="str">
        <f>IF($N$1="Piping", IF(ISBLANK(Piping!C100), "", Piping!C100), IF($N$1="Vessels", IF(ISBLANK(Vessels!C100), "", Vessels!C100), ""))</f>
        <v>Piping</v>
      </c>
      <c r="D100" s="21" t="str">
        <f>IF($N$1="Piping", IF(ISBLANK(Piping!D100), "", Piping!D100), IF($N$1="Vessels", IF(ISBLANK(Vessels!D100), "", Vessels!D100), ""))</f>
        <v/>
      </c>
      <c r="E100" s="21" t="str">
        <f>IF($N$1="Piping", IF(ISBLANK(Piping!E100), "", Piping!E100), IF($N$1="Vessels", IF(ISBLANK(Vessels!E100), "", Vessels!E100), ""))</f>
        <v/>
      </c>
      <c r="F100" s="21" t="str">
        <f>IF($N$1="Piping", IF(ISBLANK(Piping!F100), "", Piping!F100), IF($N$1="Vessels", IF(ISBLANK(Vessels!F100), "", Vessels!F100), ""))</f>
        <v/>
      </c>
      <c r="G100" s="21">
        <f>IF($N$1="Piping", IF(ISBLANK(Piping!G100), "", Piping!G100), IF($N$1="Vessels", IF(ISBLANK(Vessels!G100), "", Vessels!G100), ""))</f>
        <v>0</v>
      </c>
      <c r="H100" s="21" t="str">
        <f>IF($N$1="Piping", IF(ISBLANK(Piping!H100), "", Piping!H100), IF($N$1="Vessels", IF(ISBLANK(Vessels!H100), "", Vessels!H100), ""))</f>
        <v/>
      </c>
      <c r="I100" s="21" t="str">
        <f>IF($N$1="Piping", IF(ISBLANK(Piping!I100), "", Piping!I100), IF($N$1="Vessels", IF(ISBLANK(Vessels!I100), "", Vessels!I100), ""))</f>
        <v/>
      </c>
      <c r="J100" s="21" t="str">
        <f>IF($N$1="Piping", IF(ISBLANK(Piping!J100), "", Piping!J100), IF($N$1="Vessels", IF(ISBLANK(Vessels!J100), "", Vessels!J100), ""))</f>
        <v/>
      </c>
      <c r="K100" s="21" t="str">
        <f>IF($N$1="Piping", IF(ISBLANK(Piping!K100), "", Piping!K100), IF($N$1="Vessels", IF(ISBLANK(Vessels!K100), "", Vessels!K100), ""))</f>
        <v/>
      </c>
      <c r="L100" s="21" t="str">
        <f>IF($N$1="Piping", IF(ISBLANK(Piping!L100), "", Piping!L100), IF($N$1="Vessels", IF(ISBLANK(Vessels!L100), "", Vessels!L100), ""))</f>
        <v/>
      </c>
      <c r="M100" s="21"/>
      <c r="N100" s="21"/>
      <c r="O100" s="21"/>
      <c r="P100" s="21"/>
      <c r="Q100" s="21" t="str">
        <f>IF($N$1="Piping", IF(ISBLANK(Piping!T100), "", Piping!T100), IF($N$1="Vessels", IF(ISBLANK(Vessels!T100), "", Vessels!T100), ""))</f>
        <v/>
      </c>
      <c r="R100" s="51" t="str">
        <f>IF($N$1="Piping", IF(ISBLANK(Piping!U100), "", Piping!U100), IF($N$1="Vessels", IF(ISBLANK(Vessels!U100), "", Vessels!U100), ""))</f>
        <v/>
      </c>
      <c r="S100" s="118" t="str">
        <f>IF(B100&lt;&gt;"",IF($N$1="Piping", IF(ISBLANK(Piping!$J$3), "", Piping!$J$3), IF($N$1="Vessels", IF(ISBLANK(Vessels!$J$3), "", Vessels!$J$3), "")),"")</f>
        <v/>
      </c>
      <c r="T100" s="37"/>
      <c r="U100" s="37"/>
      <c r="V100" s="37"/>
      <c r="W100" s="37"/>
      <c r="X100" s="37"/>
      <c r="Y100" s="37"/>
      <c r="Z100" s="37"/>
    </row>
    <row r="101" spans="1:26" ht="15.75" customHeight="1" x14ac:dyDescent="0.3">
      <c r="A101" s="22">
        <f>IF($N$1="Piping", IF(ISBLANK(Piping!A101), "", Piping!A101), IF($N$1="Vessels", IF(ISBLANK(Vessels!A101), "", Vessels!A101), ""))</f>
        <v>24.4</v>
      </c>
      <c r="B101" s="21" t="str">
        <f>IF($N$1="Piping", IF(ISBLANK(Piping!B101), "", Piping!B101), IF($N$1="Vessels", IF(ISBLANK(Vessels!B101), "", Vessels!B101), ""))</f>
        <v/>
      </c>
      <c r="C101" s="21" t="str">
        <f>IF($N$1="Piping", IF(ISBLANK(Piping!C101), "", Piping!C101), IF($N$1="Vessels", IF(ISBLANK(Vessels!C101), "", Vessels!C101), ""))</f>
        <v>Piping</v>
      </c>
      <c r="D101" s="21" t="str">
        <f>IF($N$1="Piping", IF(ISBLANK(Piping!D101), "", Piping!D101), IF($N$1="Vessels", IF(ISBLANK(Vessels!D101), "", Vessels!D101), ""))</f>
        <v/>
      </c>
      <c r="E101" s="21" t="str">
        <f>IF($N$1="Piping", IF(ISBLANK(Piping!E101), "", Piping!E101), IF($N$1="Vessels", IF(ISBLANK(Vessels!E101), "", Vessels!E101), ""))</f>
        <v/>
      </c>
      <c r="F101" s="21" t="str">
        <f>IF($N$1="Piping", IF(ISBLANK(Piping!F101), "", Piping!F101), IF($N$1="Vessels", IF(ISBLANK(Vessels!F101), "", Vessels!F101), ""))</f>
        <v/>
      </c>
      <c r="G101" s="21">
        <f>IF($N$1="Piping", IF(ISBLANK(Piping!G101), "", Piping!G101), IF($N$1="Vessels", IF(ISBLANK(Vessels!G101), "", Vessels!G101), ""))</f>
        <v>0</v>
      </c>
      <c r="H101" s="21" t="str">
        <f>IF($N$1="Piping", IF(ISBLANK(Piping!H101), "", Piping!H101), IF($N$1="Vessels", IF(ISBLANK(Vessels!H101), "", Vessels!H101), ""))</f>
        <v/>
      </c>
      <c r="I101" s="21" t="str">
        <f>IF($N$1="Piping", IF(ISBLANK(Piping!I101), "", Piping!I101), IF($N$1="Vessels", IF(ISBLANK(Vessels!I101), "", Vessels!I101), ""))</f>
        <v/>
      </c>
      <c r="J101" s="21" t="str">
        <f>IF($N$1="Piping", IF(ISBLANK(Piping!J101), "", Piping!J101), IF($N$1="Vessels", IF(ISBLANK(Vessels!J101), "", Vessels!J101), ""))</f>
        <v/>
      </c>
      <c r="K101" s="21" t="str">
        <f>IF($N$1="Piping", IF(ISBLANK(Piping!K101), "", Piping!K101), IF($N$1="Vessels", IF(ISBLANK(Vessels!K101), "", Vessels!K101), ""))</f>
        <v/>
      </c>
      <c r="L101" s="21" t="str">
        <f>IF($N$1="Piping", IF(ISBLANK(Piping!L101), "", Piping!L101), IF($N$1="Vessels", IF(ISBLANK(Vessels!L101), "", Vessels!L101), ""))</f>
        <v/>
      </c>
      <c r="M101" s="21"/>
      <c r="N101" s="21"/>
      <c r="O101" s="21"/>
      <c r="P101" s="21"/>
      <c r="Q101" s="21" t="str">
        <f>IF($N$1="Piping", IF(ISBLANK(Piping!T101), "", Piping!T101), IF($N$1="Vessels", IF(ISBLANK(Vessels!T101), "", Vessels!T101), ""))</f>
        <v/>
      </c>
      <c r="R101" s="51" t="str">
        <f>IF($N$1="Piping", IF(ISBLANK(Piping!U101), "", Piping!U101), IF($N$1="Vessels", IF(ISBLANK(Vessels!U101), "", Vessels!U101), ""))</f>
        <v/>
      </c>
      <c r="S101" s="118" t="str">
        <f>IF(B101&lt;&gt;"",IF($N$1="Piping", IF(ISBLANK(Piping!$J$3), "", Piping!$J$3), IF($N$1="Vessels", IF(ISBLANK(Vessels!$J$3), "", Vessels!$J$3), "")),"")</f>
        <v/>
      </c>
      <c r="T101" s="37"/>
      <c r="U101" s="37"/>
      <c r="V101" s="37"/>
      <c r="W101" s="37"/>
      <c r="X101" s="37"/>
      <c r="Y101" s="37"/>
      <c r="Z101" s="37"/>
    </row>
    <row r="102" spans="1:26" ht="15.75" customHeight="1" x14ac:dyDescent="0.3">
      <c r="A102" s="22">
        <f>IF($N$1="Piping", IF(ISBLANK(Piping!A102), "", Piping!A102), IF($N$1="Vessels", IF(ISBLANK(Vessels!A102), "", Vessels!A102), ""))</f>
        <v>25.1</v>
      </c>
      <c r="B102" s="21" t="str">
        <f>IF($N$1="Piping", IF(ISBLANK(Piping!B102), "", Piping!B102), IF($N$1="Vessels", IF(ISBLANK(Vessels!B102), "", Vessels!B102), ""))</f>
        <v/>
      </c>
      <c r="C102" s="21" t="str">
        <f>IF($N$1="Piping", IF(ISBLANK(Piping!C102), "", Piping!C102), IF($N$1="Vessels", IF(ISBLANK(Vessels!C102), "", Vessels!C102), ""))</f>
        <v>Piping</v>
      </c>
      <c r="D102" s="21" t="str">
        <f>IF($N$1="Piping", IF(ISBLANK(Piping!D102), "", Piping!D102), IF($N$1="Vessels", IF(ISBLANK(Vessels!D102), "", Vessels!D102), ""))</f>
        <v/>
      </c>
      <c r="E102" s="21" t="str">
        <f>IF($N$1="Piping", IF(ISBLANK(Piping!E102), "", Piping!E102), IF($N$1="Vessels", IF(ISBLANK(Vessels!E102), "", Vessels!E102), ""))</f>
        <v/>
      </c>
      <c r="F102" s="21" t="str">
        <f>IF($N$1="Piping", IF(ISBLANK(Piping!F102), "", Piping!F102), IF($N$1="Vessels", IF(ISBLANK(Vessels!F102), "", Vessels!F102), ""))</f>
        <v/>
      </c>
      <c r="G102" s="21">
        <f>IF($N$1="Piping", IF(ISBLANK(Piping!G102), "", Piping!G102), IF($N$1="Vessels", IF(ISBLANK(Vessels!G102), "", Vessels!G102), ""))</f>
        <v>0</v>
      </c>
      <c r="H102" s="21" t="str">
        <f>IF($N$1="Piping", IF(ISBLANK(Piping!H102), "", Piping!H102), IF($N$1="Vessels", IF(ISBLANK(Vessels!H102), "", Vessels!H102), ""))</f>
        <v/>
      </c>
      <c r="I102" s="21" t="str">
        <f>IF($N$1="Piping", IF(ISBLANK(Piping!I102), "", Piping!I102), IF($N$1="Vessels", IF(ISBLANK(Vessels!I102), "", Vessels!I102), ""))</f>
        <v/>
      </c>
      <c r="J102" s="21" t="str">
        <f>IF($N$1="Piping", IF(ISBLANK(Piping!J102), "", Piping!J102), IF($N$1="Vessels", IF(ISBLANK(Vessels!J102), "", Vessels!J102), ""))</f>
        <v/>
      </c>
      <c r="K102" s="21" t="str">
        <f>IF($N$1="Piping", IF(ISBLANK(Piping!K102), "", Piping!K102), IF($N$1="Vessels", IF(ISBLANK(Vessels!K102), "", Vessels!K102), ""))</f>
        <v/>
      </c>
      <c r="L102" s="21" t="str">
        <f>IF($N$1="Piping", IF(ISBLANK(Piping!L102), "", Piping!L102), IF($N$1="Vessels", IF(ISBLANK(Vessels!L102), "", Vessels!L102), ""))</f>
        <v/>
      </c>
      <c r="M102" s="21"/>
      <c r="N102" s="21"/>
      <c r="O102" s="21"/>
      <c r="P102" s="21"/>
      <c r="Q102" s="21" t="str">
        <f>IF($N$1="Piping", IF(ISBLANK(Piping!T102), "", Piping!T102), IF($N$1="Vessels", IF(ISBLANK(Vessels!T102), "", Vessels!T102), ""))</f>
        <v/>
      </c>
      <c r="R102" s="51" t="str">
        <f>IF($N$1="Piping", IF(ISBLANK(Piping!U102), "", Piping!U102), IF($N$1="Vessels", IF(ISBLANK(Vessels!U102), "", Vessels!U102), ""))</f>
        <v/>
      </c>
      <c r="S102" s="118" t="str">
        <f>IF(B102&lt;&gt;"",IF($N$1="Piping", IF(ISBLANK(Piping!$J$3), "", Piping!$J$3), IF($N$1="Vessels", IF(ISBLANK(Vessels!$J$3), "", Vessels!$J$3), "")),"")</f>
        <v/>
      </c>
      <c r="T102" s="37"/>
      <c r="U102" s="37"/>
      <c r="V102" s="37"/>
      <c r="W102" s="37"/>
      <c r="X102" s="37"/>
      <c r="Y102" s="37"/>
      <c r="Z102" s="37"/>
    </row>
    <row r="103" spans="1:26" ht="15.75" customHeight="1" x14ac:dyDescent="0.3">
      <c r="A103" s="22">
        <f>IF($N$1="Piping", IF(ISBLANK(Piping!A103), "", Piping!A103), IF($N$1="Vessels", IF(ISBLANK(Vessels!A103), "", Vessels!A103), ""))</f>
        <v>25.2</v>
      </c>
      <c r="B103" s="21" t="str">
        <f>IF($N$1="Piping", IF(ISBLANK(Piping!B103), "", Piping!B103), IF($N$1="Vessels", IF(ISBLANK(Vessels!B103), "", Vessels!B103), ""))</f>
        <v/>
      </c>
      <c r="C103" s="21" t="str">
        <f>IF($N$1="Piping", IF(ISBLANK(Piping!C103), "", Piping!C103), IF($N$1="Vessels", IF(ISBLANK(Vessels!C103), "", Vessels!C103), ""))</f>
        <v>Piping</v>
      </c>
      <c r="D103" s="21" t="str">
        <f>IF($N$1="Piping", IF(ISBLANK(Piping!D103), "", Piping!D103), IF($N$1="Vessels", IF(ISBLANK(Vessels!D103), "", Vessels!D103), ""))</f>
        <v/>
      </c>
      <c r="E103" s="21" t="str">
        <f>IF($N$1="Piping", IF(ISBLANK(Piping!E103), "", Piping!E103), IF($N$1="Vessels", IF(ISBLANK(Vessels!E103), "", Vessels!E103), ""))</f>
        <v/>
      </c>
      <c r="F103" s="21" t="str">
        <f>IF($N$1="Piping", IF(ISBLANK(Piping!F103), "", Piping!F103), IF($N$1="Vessels", IF(ISBLANK(Vessels!F103), "", Vessels!F103), ""))</f>
        <v/>
      </c>
      <c r="G103" s="21">
        <f>IF($N$1="Piping", IF(ISBLANK(Piping!G103), "", Piping!G103), IF($N$1="Vessels", IF(ISBLANK(Vessels!G103), "", Vessels!G103), ""))</f>
        <v>0</v>
      </c>
      <c r="H103" s="21" t="str">
        <f>IF($N$1="Piping", IF(ISBLANK(Piping!H103), "", Piping!H103), IF($N$1="Vessels", IF(ISBLANK(Vessels!H103), "", Vessels!H103), ""))</f>
        <v/>
      </c>
      <c r="I103" s="21" t="str">
        <f>IF($N$1="Piping", IF(ISBLANK(Piping!I103), "", Piping!I103), IF($N$1="Vessels", IF(ISBLANK(Vessels!I103), "", Vessels!I103), ""))</f>
        <v/>
      </c>
      <c r="J103" s="21" t="str">
        <f>IF($N$1="Piping", IF(ISBLANK(Piping!J103), "", Piping!J103), IF($N$1="Vessels", IF(ISBLANK(Vessels!J103), "", Vessels!J103), ""))</f>
        <v/>
      </c>
      <c r="K103" s="21" t="str">
        <f>IF($N$1="Piping", IF(ISBLANK(Piping!K103), "", Piping!K103), IF($N$1="Vessels", IF(ISBLANK(Vessels!K103), "", Vessels!K103), ""))</f>
        <v/>
      </c>
      <c r="L103" s="21" t="str">
        <f>IF($N$1="Piping", IF(ISBLANK(Piping!L103), "", Piping!L103), IF($N$1="Vessels", IF(ISBLANK(Vessels!L103), "", Vessels!L103), ""))</f>
        <v/>
      </c>
      <c r="M103" s="21"/>
      <c r="N103" s="21"/>
      <c r="O103" s="21"/>
      <c r="P103" s="21"/>
      <c r="Q103" s="21" t="str">
        <f>IF($N$1="Piping", IF(ISBLANK(Piping!T103), "", Piping!T103), IF($N$1="Vessels", IF(ISBLANK(Vessels!T103), "", Vessels!T103), ""))</f>
        <v/>
      </c>
      <c r="R103" s="51" t="str">
        <f>IF($N$1="Piping", IF(ISBLANK(Piping!U103), "", Piping!U103), IF($N$1="Vessels", IF(ISBLANK(Vessels!U103), "", Vessels!U103), ""))</f>
        <v/>
      </c>
      <c r="S103" s="118" t="str">
        <f>IF(B103&lt;&gt;"",IF($N$1="Piping", IF(ISBLANK(Piping!$J$3), "", Piping!$J$3), IF($N$1="Vessels", IF(ISBLANK(Vessels!$J$3), "", Vessels!$J$3), "")),"")</f>
        <v/>
      </c>
      <c r="T103" s="37"/>
      <c r="U103" s="37"/>
      <c r="V103" s="37"/>
      <c r="W103" s="37"/>
      <c r="X103" s="37"/>
      <c r="Y103" s="37"/>
      <c r="Z103" s="37"/>
    </row>
    <row r="104" spans="1:26" ht="15.75" customHeight="1" x14ac:dyDescent="0.3">
      <c r="A104" s="22">
        <f>IF($N$1="Piping", IF(ISBLANK(Piping!A104), "", Piping!A104), IF($N$1="Vessels", IF(ISBLANK(Vessels!A104), "", Vessels!A104), ""))</f>
        <v>25.3</v>
      </c>
      <c r="B104" s="21" t="str">
        <f>IF($N$1="Piping", IF(ISBLANK(Piping!B104), "", Piping!B104), IF($N$1="Vessels", IF(ISBLANK(Vessels!B104), "", Vessels!B104), ""))</f>
        <v/>
      </c>
      <c r="C104" s="21" t="str">
        <f>IF($N$1="Piping", IF(ISBLANK(Piping!C104), "", Piping!C104), IF($N$1="Vessels", IF(ISBLANK(Vessels!C104), "", Vessels!C104), ""))</f>
        <v>Piping</v>
      </c>
      <c r="D104" s="21" t="str">
        <f>IF($N$1="Piping", IF(ISBLANK(Piping!D104), "", Piping!D104), IF($N$1="Vessels", IF(ISBLANK(Vessels!D104), "", Vessels!D104), ""))</f>
        <v/>
      </c>
      <c r="E104" s="21" t="str">
        <f>IF($N$1="Piping", IF(ISBLANK(Piping!E104), "", Piping!E104), IF($N$1="Vessels", IF(ISBLANK(Vessels!E104), "", Vessels!E104), ""))</f>
        <v/>
      </c>
      <c r="F104" s="21" t="str">
        <f>IF($N$1="Piping", IF(ISBLANK(Piping!F104), "", Piping!F104), IF($N$1="Vessels", IF(ISBLANK(Vessels!F104), "", Vessels!F104), ""))</f>
        <v/>
      </c>
      <c r="G104" s="21">
        <f>IF($N$1="Piping", IF(ISBLANK(Piping!G104), "", Piping!G104), IF($N$1="Vessels", IF(ISBLANK(Vessels!G104), "", Vessels!G104), ""))</f>
        <v>0</v>
      </c>
      <c r="H104" s="21" t="str">
        <f>IF($N$1="Piping", IF(ISBLANK(Piping!H104), "", Piping!H104), IF($N$1="Vessels", IF(ISBLANK(Vessels!H104), "", Vessels!H104), ""))</f>
        <v/>
      </c>
      <c r="I104" s="21" t="str">
        <f>IF($N$1="Piping", IF(ISBLANK(Piping!I104), "", Piping!I104), IF($N$1="Vessels", IF(ISBLANK(Vessels!I104), "", Vessels!I104), ""))</f>
        <v/>
      </c>
      <c r="J104" s="21" t="str">
        <f>IF($N$1="Piping", IF(ISBLANK(Piping!J104), "", Piping!J104), IF($N$1="Vessels", IF(ISBLANK(Vessels!J104), "", Vessels!J104), ""))</f>
        <v/>
      </c>
      <c r="K104" s="21" t="str">
        <f>IF($N$1="Piping", IF(ISBLANK(Piping!K104), "", Piping!K104), IF($N$1="Vessels", IF(ISBLANK(Vessels!K104), "", Vessels!K104), ""))</f>
        <v/>
      </c>
      <c r="L104" s="21" t="str">
        <f>IF($N$1="Piping", IF(ISBLANK(Piping!L104), "", Piping!L104), IF($N$1="Vessels", IF(ISBLANK(Vessels!L104), "", Vessels!L104), ""))</f>
        <v/>
      </c>
      <c r="M104" s="21"/>
      <c r="N104" s="21"/>
      <c r="O104" s="21"/>
      <c r="P104" s="21"/>
      <c r="Q104" s="21" t="str">
        <f>IF($N$1="Piping", IF(ISBLANK(Piping!T104), "", Piping!T104), IF($N$1="Vessels", IF(ISBLANK(Vessels!T104), "", Vessels!T104), ""))</f>
        <v/>
      </c>
      <c r="R104" s="51" t="str">
        <f>IF($N$1="Piping", IF(ISBLANK(Piping!U104), "", Piping!U104), IF($N$1="Vessels", IF(ISBLANK(Vessels!U104), "", Vessels!U104), ""))</f>
        <v/>
      </c>
      <c r="S104" s="118" t="str">
        <f>IF(B104&lt;&gt;"",IF($N$1="Piping", IF(ISBLANK(Piping!$J$3), "", Piping!$J$3), IF($N$1="Vessels", IF(ISBLANK(Vessels!$J$3), "", Vessels!$J$3), "")),"")</f>
        <v/>
      </c>
      <c r="T104" s="37"/>
      <c r="U104" s="37"/>
      <c r="V104" s="37"/>
      <c r="W104" s="37"/>
      <c r="X104" s="37"/>
      <c r="Y104" s="37"/>
      <c r="Z104" s="37"/>
    </row>
    <row r="105" spans="1:26" ht="15.75" customHeight="1" x14ac:dyDescent="0.3">
      <c r="A105" s="22">
        <f>IF($N$1="Piping", IF(ISBLANK(Piping!A105), "", Piping!A105), IF($N$1="Vessels", IF(ISBLANK(Vessels!A105), "", Vessels!A105), ""))</f>
        <v>25.4</v>
      </c>
      <c r="B105" s="21" t="str">
        <f>IF($N$1="Piping", IF(ISBLANK(Piping!B105), "", Piping!B105), IF($N$1="Vessels", IF(ISBLANK(Vessels!B105), "", Vessels!B105), ""))</f>
        <v/>
      </c>
      <c r="C105" s="21" t="str">
        <f>IF($N$1="Piping", IF(ISBLANK(Piping!C105), "", Piping!C105), IF($N$1="Vessels", IF(ISBLANK(Vessels!C105), "", Vessels!C105), ""))</f>
        <v>Piping</v>
      </c>
      <c r="D105" s="21" t="str">
        <f>IF($N$1="Piping", IF(ISBLANK(Piping!D105), "", Piping!D105), IF($N$1="Vessels", IF(ISBLANK(Vessels!D105), "", Vessels!D105), ""))</f>
        <v/>
      </c>
      <c r="E105" s="21" t="str">
        <f>IF($N$1="Piping", IF(ISBLANK(Piping!E105), "", Piping!E105), IF($N$1="Vessels", IF(ISBLANK(Vessels!E105), "", Vessels!E105), ""))</f>
        <v/>
      </c>
      <c r="F105" s="21" t="str">
        <f>IF($N$1="Piping", IF(ISBLANK(Piping!F105), "", Piping!F105), IF($N$1="Vessels", IF(ISBLANK(Vessels!F105), "", Vessels!F105), ""))</f>
        <v/>
      </c>
      <c r="G105" s="21">
        <f>IF($N$1="Piping", IF(ISBLANK(Piping!G105), "", Piping!G105), IF($N$1="Vessels", IF(ISBLANK(Vessels!G105), "", Vessels!G105), ""))</f>
        <v>0</v>
      </c>
      <c r="H105" s="21" t="str">
        <f>IF($N$1="Piping", IF(ISBLANK(Piping!H105), "", Piping!H105), IF($N$1="Vessels", IF(ISBLANK(Vessels!H105), "", Vessels!H105), ""))</f>
        <v/>
      </c>
      <c r="I105" s="21" t="str">
        <f>IF($N$1="Piping", IF(ISBLANK(Piping!I105), "", Piping!I105), IF($N$1="Vessels", IF(ISBLANK(Vessels!I105), "", Vessels!I105), ""))</f>
        <v/>
      </c>
      <c r="J105" s="21" t="str">
        <f>IF($N$1="Piping", IF(ISBLANK(Piping!J105), "", Piping!J105), IF($N$1="Vessels", IF(ISBLANK(Vessels!J105), "", Vessels!J105), ""))</f>
        <v/>
      </c>
      <c r="K105" s="21" t="str">
        <f>IF($N$1="Piping", IF(ISBLANK(Piping!K105), "", Piping!K105), IF($N$1="Vessels", IF(ISBLANK(Vessels!K105), "", Vessels!K105), ""))</f>
        <v/>
      </c>
      <c r="L105" s="21" t="str">
        <f>IF($N$1="Piping", IF(ISBLANK(Piping!L105), "", Piping!L105), IF($N$1="Vessels", IF(ISBLANK(Vessels!L105), "", Vessels!L105), ""))</f>
        <v/>
      </c>
      <c r="M105" s="21"/>
      <c r="N105" s="21"/>
      <c r="O105" s="21"/>
      <c r="P105" s="21"/>
      <c r="Q105" s="21" t="str">
        <f>IF($N$1="Piping", IF(ISBLANK(Piping!T105), "", Piping!T105), IF($N$1="Vessels", IF(ISBLANK(Vessels!T105), "", Vessels!T105), ""))</f>
        <v/>
      </c>
      <c r="R105" s="51" t="str">
        <f>IF($N$1="Piping", IF(ISBLANK(Piping!U105), "", Piping!U105), IF($N$1="Vessels", IF(ISBLANK(Vessels!U105), "", Vessels!U105), ""))</f>
        <v/>
      </c>
      <c r="S105" s="118" t="str">
        <f>IF(B105&lt;&gt;"",IF($N$1="Piping", IF(ISBLANK(Piping!$J$3), "", Piping!$J$3), IF($N$1="Vessels", IF(ISBLANK(Vessels!$J$3), "", Vessels!$J$3), "")),"")</f>
        <v/>
      </c>
      <c r="T105" s="37"/>
      <c r="U105" s="37"/>
      <c r="V105" s="37"/>
      <c r="W105" s="37"/>
      <c r="X105" s="37"/>
      <c r="Y105" s="37"/>
      <c r="Z105" s="37"/>
    </row>
    <row r="106" spans="1:26" ht="15.75" customHeight="1" x14ac:dyDescent="0.3">
      <c r="A106" s="22">
        <f>IF($N$1="Piping", IF(ISBLANK(Piping!A106), "", Piping!A106), IF($N$1="Vessels", IF(ISBLANK(Vessels!A106), "", Vessels!A106), ""))</f>
        <v>26.1</v>
      </c>
      <c r="B106" s="21" t="str">
        <f>IF($N$1="Piping", IF(ISBLANK(Piping!B106), "", Piping!B106), IF($N$1="Vessels", IF(ISBLANK(Vessels!B106), "", Vessels!B106), ""))</f>
        <v/>
      </c>
      <c r="C106" s="21" t="str">
        <f>IF($N$1="Piping", IF(ISBLANK(Piping!C106), "", Piping!C106), IF($N$1="Vessels", IF(ISBLANK(Vessels!C106), "", Vessels!C106), ""))</f>
        <v>Piping</v>
      </c>
      <c r="D106" s="21" t="str">
        <f>IF($N$1="Piping", IF(ISBLANK(Piping!D106), "", Piping!D106), IF($N$1="Vessels", IF(ISBLANK(Vessels!D106), "", Vessels!D106), ""))</f>
        <v/>
      </c>
      <c r="E106" s="21" t="str">
        <f>IF($N$1="Piping", IF(ISBLANK(Piping!E106), "", Piping!E106), IF($N$1="Vessels", IF(ISBLANK(Vessels!E106), "", Vessels!E106), ""))</f>
        <v/>
      </c>
      <c r="F106" s="21" t="str">
        <f>IF($N$1="Piping", IF(ISBLANK(Piping!F106), "", Piping!F106), IF($N$1="Vessels", IF(ISBLANK(Vessels!F106), "", Vessels!F106), ""))</f>
        <v/>
      </c>
      <c r="G106" s="21">
        <f>IF($N$1="Piping", IF(ISBLANK(Piping!G106), "", Piping!G106), IF($N$1="Vessels", IF(ISBLANK(Vessels!G106), "", Vessels!G106), ""))</f>
        <v>0</v>
      </c>
      <c r="H106" s="21" t="str">
        <f>IF($N$1="Piping", IF(ISBLANK(Piping!H106), "", Piping!H106), IF($N$1="Vessels", IF(ISBLANK(Vessels!H106), "", Vessels!H106), ""))</f>
        <v/>
      </c>
      <c r="I106" s="21" t="str">
        <f>IF($N$1="Piping", IF(ISBLANK(Piping!I106), "", Piping!I106), IF($N$1="Vessels", IF(ISBLANK(Vessels!I106), "", Vessels!I106), ""))</f>
        <v/>
      </c>
      <c r="J106" s="21" t="str">
        <f>IF($N$1="Piping", IF(ISBLANK(Piping!J106), "", Piping!J106), IF($N$1="Vessels", IF(ISBLANK(Vessels!J106), "", Vessels!J106), ""))</f>
        <v/>
      </c>
      <c r="K106" s="21" t="str">
        <f>IF($N$1="Piping", IF(ISBLANK(Piping!K106), "", Piping!K106), IF($N$1="Vessels", IF(ISBLANK(Vessels!K106), "", Vessels!K106), ""))</f>
        <v/>
      </c>
      <c r="L106" s="21" t="str">
        <f>IF($N$1="Piping", IF(ISBLANK(Piping!L106), "", Piping!L106), IF($N$1="Vessels", IF(ISBLANK(Vessels!L106), "", Vessels!L106), ""))</f>
        <v/>
      </c>
      <c r="M106" s="21"/>
      <c r="N106" s="21"/>
      <c r="O106" s="21"/>
      <c r="P106" s="21"/>
      <c r="Q106" s="21" t="str">
        <f>IF($N$1="Piping", IF(ISBLANK(Piping!T106), "", Piping!T106), IF($N$1="Vessels", IF(ISBLANK(Vessels!T106), "", Vessels!T106), ""))</f>
        <v/>
      </c>
      <c r="R106" s="51" t="str">
        <f>IF($N$1="Piping", IF(ISBLANK(Piping!U106), "", Piping!U106), IF($N$1="Vessels", IF(ISBLANK(Vessels!U106), "", Vessels!U106), ""))</f>
        <v/>
      </c>
      <c r="S106" s="118" t="str">
        <f>IF(B106&lt;&gt;"",IF($N$1="Piping", IF(ISBLANK(Piping!$J$3), "", Piping!$J$3), IF($N$1="Vessels", IF(ISBLANK(Vessels!$J$3), "", Vessels!$J$3), "")),"")</f>
        <v/>
      </c>
      <c r="T106" s="37"/>
      <c r="U106" s="37"/>
      <c r="V106" s="37"/>
      <c r="W106" s="37"/>
      <c r="X106" s="37"/>
      <c r="Y106" s="37"/>
      <c r="Z106" s="37"/>
    </row>
    <row r="107" spans="1:26" ht="15.75" customHeight="1" x14ac:dyDescent="0.3">
      <c r="A107" s="22">
        <f>IF($N$1="Piping", IF(ISBLANK(Piping!A107), "", Piping!A107), IF($N$1="Vessels", IF(ISBLANK(Vessels!A107), "", Vessels!A107), ""))</f>
        <v>26.2</v>
      </c>
      <c r="B107" s="21" t="str">
        <f>IF($N$1="Piping", IF(ISBLANK(Piping!B107), "", Piping!B107), IF($N$1="Vessels", IF(ISBLANK(Vessels!B107), "", Vessels!B107), ""))</f>
        <v/>
      </c>
      <c r="C107" s="21" t="str">
        <f>IF($N$1="Piping", IF(ISBLANK(Piping!C107), "", Piping!C107), IF($N$1="Vessels", IF(ISBLANK(Vessels!C107), "", Vessels!C107), ""))</f>
        <v>Piping</v>
      </c>
      <c r="D107" s="21" t="str">
        <f>IF($N$1="Piping", IF(ISBLANK(Piping!D107), "", Piping!D107), IF($N$1="Vessels", IF(ISBLANK(Vessels!D107), "", Vessels!D107), ""))</f>
        <v/>
      </c>
      <c r="E107" s="21" t="str">
        <f>IF($N$1="Piping", IF(ISBLANK(Piping!E107), "", Piping!E107), IF($N$1="Vessels", IF(ISBLANK(Vessels!E107), "", Vessels!E107), ""))</f>
        <v/>
      </c>
      <c r="F107" s="21" t="str">
        <f>IF($N$1="Piping", IF(ISBLANK(Piping!F107), "", Piping!F107), IF($N$1="Vessels", IF(ISBLANK(Vessels!F107), "", Vessels!F107), ""))</f>
        <v/>
      </c>
      <c r="G107" s="21">
        <f>IF($N$1="Piping", IF(ISBLANK(Piping!G107), "", Piping!G107), IF($N$1="Vessels", IF(ISBLANK(Vessels!G107), "", Vessels!G107), ""))</f>
        <v>0</v>
      </c>
      <c r="H107" s="21" t="str">
        <f>IF($N$1="Piping", IF(ISBLANK(Piping!H107), "", Piping!H107), IF($N$1="Vessels", IF(ISBLANK(Vessels!H107), "", Vessels!H107), ""))</f>
        <v/>
      </c>
      <c r="I107" s="21" t="str">
        <f>IF($N$1="Piping", IF(ISBLANK(Piping!I107), "", Piping!I107), IF($N$1="Vessels", IF(ISBLANK(Vessels!I107), "", Vessels!I107), ""))</f>
        <v/>
      </c>
      <c r="J107" s="21" t="str">
        <f>IF($N$1="Piping", IF(ISBLANK(Piping!J107), "", Piping!J107), IF($N$1="Vessels", IF(ISBLANK(Vessels!J107), "", Vessels!J107), ""))</f>
        <v/>
      </c>
      <c r="K107" s="21" t="str">
        <f>IF($N$1="Piping", IF(ISBLANK(Piping!K107), "", Piping!K107), IF($N$1="Vessels", IF(ISBLANK(Vessels!K107), "", Vessels!K107), ""))</f>
        <v/>
      </c>
      <c r="L107" s="21" t="str">
        <f>IF($N$1="Piping", IF(ISBLANK(Piping!L107), "", Piping!L107), IF($N$1="Vessels", IF(ISBLANK(Vessels!L107), "", Vessels!L107), ""))</f>
        <v/>
      </c>
      <c r="M107" s="21"/>
      <c r="N107" s="21"/>
      <c r="O107" s="21"/>
      <c r="P107" s="21"/>
      <c r="Q107" s="21" t="str">
        <f>IF($N$1="Piping", IF(ISBLANK(Piping!T107), "", Piping!T107), IF($N$1="Vessels", IF(ISBLANK(Vessels!T107), "", Vessels!T107), ""))</f>
        <v/>
      </c>
      <c r="R107" s="51" t="str">
        <f>IF($N$1="Piping", IF(ISBLANK(Piping!U107), "", Piping!U107), IF($N$1="Vessels", IF(ISBLANK(Vessels!U107), "", Vessels!U107), ""))</f>
        <v/>
      </c>
      <c r="S107" s="118" t="str">
        <f>IF(B107&lt;&gt;"",IF($N$1="Piping", IF(ISBLANK(Piping!$J$3), "", Piping!$J$3), IF($N$1="Vessels", IF(ISBLANK(Vessels!$J$3), "", Vessels!$J$3), "")),"")</f>
        <v/>
      </c>
      <c r="T107" s="37"/>
      <c r="U107" s="37"/>
      <c r="V107" s="37"/>
      <c r="W107" s="37"/>
      <c r="X107" s="37"/>
      <c r="Y107" s="37"/>
      <c r="Z107" s="37"/>
    </row>
    <row r="108" spans="1:26" ht="15.75" customHeight="1" x14ac:dyDescent="0.3">
      <c r="A108" s="22">
        <f>IF($N$1="Piping", IF(ISBLANK(Piping!A108), "", Piping!A108), IF($N$1="Vessels", IF(ISBLANK(Vessels!A108), "", Vessels!A108), ""))</f>
        <v>26.3</v>
      </c>
      <c r="B108" s="21" t="str">
        <f>IF($N$1="Piping", IF(ISBLANK(Piping!B108), "", Piping!B108), IF($N$1="Vessels", IF(ISBLANK(Vessels!B108), "", Vessels!B108), ""))</f>
        <v/>
      </c>
      <c r="C108" s="21" t="str">
        <f>IF($N$1="Piping", IF(ISBLANK(Piping!C108), "", Piping!C108), IF($N$1="Vessels", IF(ISBLANK(Vessels!C108), "", Vessels!C108), ""))</f>
        <v>Piping</v>
      </c>
      <c r="D108" s="21" t="str">
        <f>IF($N$1="Piping", IF(ISBLANK(Piping!D108), "", Piping!D108), IF($N$1="Vessels", IF(ISBLANK(Vessels!D108), "", Vessels!D108), ""))</f>
        <v/>
      </c>
      <c r="E108" s="21" t="str">
        <f>IF($N$1="Piping", IF(ISBLANK(Piping!E108), "", Piping!E108), IF($N$1="Vessels", IF(ISBLANK(Vessels!E108), "", Vessels!E108), ""))</f>
        <v/>
      </c>
      <c r="F108" s="21" t="str">
        <f>IF($N$1="Piping", IF(ISBLANK(Piping!F108), "", Piping!F108), IF($N$1="Vessels", IF(ISBLANK(Vessels!F108), "", Vessels!F108), ""))</f>
        <v/>
      </c>
      <c r="G108" s="21">
        <f>IF($N$1="Piping", IF(ISBLANK(Piping!G108), "", Piping!G108), IF($N$1="Vessels", IF(ISBLANK(Vessels!G108), "", Vessels!G108), ""))</f>
        <v>0</v>
      </c>
      <c r="H108" s="21" t="str">
        <f>IF($N$1="Piping", IF(ISBLANK(Piping!H108), "", Piping!H108), IF($N$1="Vessels", IF(ISBLANK(Vessels!H108), "", Vessels!H108), ""))</f>
        <v/>
      </c>
      <c r="I108" s="21" t="str">
        <f>IF($N$1="Piping", IF(ISBLANK(Piping!I108), "", Piping!I108), IF($N$1="Vessels", IF(ISBLANK(Vessels!I108), "", Vessels!I108), ""))</f>
        <v/>
      </c>
      <c r="J108" s="21" t="str">
        <f>IF($N$1="Piping", IF(ISBLANK(Piping!J108), "", Piping!J108), IF($N$1="Vessels", IF(ISBLANK(Vessels!J108), "", Vessels!J108), ""))</f>
        <v/>
      </c>
      <c r="K108" s="21" t="str">
        <f>IF($N$1="Piping", IF(ISBLANK(Piping!K108), "", Piping!K108), IF($N$1="Vessels", IF(ISBLANK(Vessels!K108), "", Vessels!K108), ""))</f>
        <v/>
      </c>
      <c r="L108" s="21" t="str">
        <f>IF($N$1="Piping", IF(ISBLANK(Piping!L108), "", Piping!L108), IF($N$1="Vessels", IF(ISBLANK(Vessels!L108), "", Vessels!L108), ""))</f>
        <v/>
      </c>
      <c r="M108" s="21"/>
      <c r="N108" s="21"/>
      <c r="O108" s="21"/>
      <c r="P108" s="21"/>
      <c r="Q108" s="21" t="str">
        <f>IF($N$1="Piping", IF(ISBLANK(Piping!T108), "", Piping!T108), IF($N$1="Vessels", IF(ISBLANK(Vessels!T108), "", Vessels!T108), ""))</f>
        <v/>
      </c>
      <c r="R108" s="51" t="str">
        <f>IF($N$1="Piping", IF(ISBLANK(Piping!U108), "", Piping!U108), IF($N$1="Vessels", IF(ISBLANK(Vessels!U108), "", Vessels!U108), ""))</f>
        <v/>
      </c>
      <c r="S108" s="118" t="str">
        <f>IF(B108&lt;&gt;"",IF($N$1="Piping", IF(ISBLANK(Piping!$J$3), "", Piping!$J$3), IF($N$1="Vessels", IF(ISBLANK(Vessels!$J$3), "", Vessels!$J$3), "")),"")</f>
        <v/>
      </c>
      <c r="T108" s="37"/>
      <c r="U108" s="37"/>
      <c r="V108" s="37"/>
      <c r="W108" s="37"/>
      <c r="X108" s="37"/>
      <c r="Y108" s="37"/>
      <c r="Z108" s="37"/>
    </row>
    <row r="109" spans="1:26" ht="15.75" customHeight="1" x14ac:dyDescent="0.3">
      <c r="A109" s="22">
        <f>IF($N$1="Piping", IF(ISBLANK(Piping!A109), "", Piping!A109), IF($N$1="Vessels", IF(ISBLANK(Vessels!A109), "", Vessels!A109), ""))</f>
        <v>26.4</v>
      </c>
      <c r="B109" s="21" t="str">
        <f>IF($N$1="Piping", IF(ISBLANK(Piping!B109), "", Piping!B109), IF($N$1="Vessels", IF(ISBLANK(Vessels!B109), "", Vessels!B109), ""))</f>
        <v/>
      </c>
      <c r="C109" s="21" t="str">
        <f>IF($N$1="Piping", IF(ISBLANK(Piping!C109), "", Piping!C109), IF($N$1="Vessels", IF(ISBLANK(Vessels!C109), "", Vessels!C109), ""))</f>
        <v>Piping</v>
      </c>
      <c r="D109" s="21" t="str">
        <f>IF($N$1="Piping", IF(ISBLANK(Piping!D109), "", Piping!D109), IF($N$1="Vessels", IF(ISBLANK(Vessels!D109), "", Vessels!D109), ""))</f>
        <v/>
      </c>
      <c r="E109" s="21" t="str">
        <f>IF($N$1="Piping", IF(ISBLANK(Piping!E109), "", Piping!E109), IF($N$1="Vessels", IF(ISBLANK(Vessels!E109), "", Vessels!E109), ""))</f>
        <v/>
      </c>
      <c r="F109" s="21" t="str">
        <f>IF($N$1="Piping", IF(ISBLANK(Piping!F109), "", Piping!F109), IF($N$1="Vessels", IF(ISBLANK(Vessels!F109), "", Vessels!F109), ""))</f>
        <v/>
      </c>
      <c r="G109" s="21">
        <f>IF($N$1="Piping", IF(ISBLANK(Piping!G109), "", Piping!G109), IF($N$1="Vessels", IF(ISBLANK(Vessels!G109), "", Vessels!G109), ""))</f>
        <v>0</v>
      </c>
      <c r="H109" s="21" t="str">
        <f>IF($N$1="Piping", IF(ISBLANK(Piping!H109), "", Piping!H109), IF($N$1="Vessels", IF(ISBLANK(Vessels!H109), "", Vessels!H109), ""))</f>
        <v/>
      </c>
      <c r="I109" s="21" t="str">
        <f>IF($N$1="Piping", IF(ISBLANK(Piping!I109), "", Piping!I109), IF($N$1="Vessels", IF(ISBLANK(Vessels!I109), "", Vessels!I109), ""))</f>
        <v/>
      </c>
      <c r="J109" s="21" t="str">
        <f>IF($N$1="Piping", IF(ISBLANK(Piping!J109), "", Piping!J109), IF($N$1="Vessels", IF(ISBLANK(Vessels!J109), "", Vessels!J109), ""))</f>
        <v/>
      </c>
      <c r="K109" s="21" t="str">
        <f>IF($N$1="Piping", IF(ISBLANK(Piping!K109), "", Piping!K109), IF($N$1="Vessels", IF(ISBLANK(Vessels!K109), "", Vessels!K109), ""))</f>
        <v/>
      </c>
      <c r="L109" s="21" t="str">
        <f>IF($N$1="Piping", IF(ISBLANK(Piping!L109), "", Piping!L109), IF($N$1="Vessels", IF(ISBLANK(Vessels!L109), "", Vessels!L109), ""))</f>
        <v/>
      </c>
      <c r="M109" s="21"/>
      <c r="N109" s="21"/>
      <c r="O109" s="21"/>
      <c r="P109" s="21"/>
      <c r="Q109" s="21" t="str">
        <f>IF($N$1="Piping", IF(ISBLANK(Piping!T109), "", Piping!T109), IF($N$1="Vessels", IF(ISBLANK(Vessels!T109), "", Vessels!T109), ""))</f>
        <v/>
      </c>
      <c r="R109" s="51" t="str">
        <f>IF($N$1="Piping", IF(ISBLANK(Piping!U109), "", Piping!U109), IF($N$1="Vessels", IF(ISBLANK(Vessels!U109), "", Vessels!U109), ""))</f>
        <v/>
      </c>
      <c r="S109" s="118" t="str">
        <f>IF(B109&lt;&gt;"",IF($N$1="Piping", IF(ISBLANK(Piping!$J$3), "", Piping!$J$3), IF($N$1="Vessels", IF(ISBLANK(Vessels!$J$3), "", Vessels!$J$3), "")),"")</f>
        <v/>
      </c>
      <c r="T109" s="37"/>
      <c r="U109" s="37"/>
      <c r="V109" s="37"/>
      <c r="W109" s="37"/>
      <c r="X109" s="37"/>
      <c r="Y109" s="37"/>
      <c r="Z109" s="37"/>
    </row>
    <row r="110" spans="1:26" ht="15.75" customHeight="1" x14ac:dyDescent="0.3">
      <c r="A110" s="22">
        <f>IF($N$1="Piping", IF(ISBLANK(Piping!A110), "", Piping!A110), IF($N$1="Vessels", IF(ISBLANK(Vessels!A110), "", Vessels!A110), ""))</f>
        <v>27.1</v>
      </c>
      <c r="B110" s="21" t="str">
        <f>IF($N$1="Piping", IF(ISBLANK(Piping!B110), "", Piping!B110), IF($N$1="Vessels", IF(ISBLANK(Vessels!B110), "", Vessels!B110), ""))</f>
        <v/>
      </c>
      <c r="C110" s="21" t="str">
        <f>IF($N$1="Piping", IF(ISBLANK(Piping!C110), "", Piping!C110), IF($N$1="Vessels", IF(ISBLANK(Vessels!C110), "", Vessels!C110), ""))</f>
        <v>Piping</v>
      </c>
      <c r="D110" s="21" t="str">
        <f>IF($N$1="Piping", IF(ISBLANK(Piping!D110), "", Piping!D110), IF($N$1="Vessels", IF(ISBLANK(Vessels!D110), "", Vessels!D110), ""))</f>
        <v/>
      </c>
      <c r="E110" s="21" t="str">
        <f>IF($N$1="Piping", IF(ISBLANK(Piping!E110), "", Piping!E110), IF($N$1="Vessels", IF(ISBLANK(Vessels!E110), "", Vessels!E110), ""))</f>
        <v/>
      </c>
      <c r="F110" s="21" t="str">
        <f>IF($N$1="Piping", IF(ISBLANK(Piping!F110), "", Piping!F110), IF($N$1="Vessels", IF(ISBLANK(Vessels!F110), "", Vessels!F110), ""))</f>
        <v/>
      </c>
      <c r="G110" s="21">
        <f>IF($N$1="Piping", IF(ISBLANK(Piping!G110), "", Piping!G110), IF($N$1="Vessels", IF(ISBLANK(Vessels!G110), "", Vessels!G110), ""))</f>
        <v>0</v>
      </c>
      <c r="H110" s="21" t="str">
        <f>IF($N$1="Piping", IF(ISBLANK(Piping!H110), "", Piping!H110), IF($N$1="Vessels", IF(ISBLANK(Vessels!H110), "", Vessels!H110), ""))</f>
        <v/>
      </c>
      <c r="I110" s="21" t="str">
        <f>IF($N$1="Piping", IF(ISBLANK(Piping!I110), "", Piping!I110), IF($N$1="Vessels", IF(ISBLANK(Vessels!I110), "", Vessels!I110), ""))</f>
        <v/>
      </c>
      <c r="J110" s="21" t="str">
        <f>IF($N$1="Piping", IF(ISBLANK(Piping!J110), "", Piping!J110), IF($N$1="Vessels", IF(ISBLANK(Vessels!J110), "", Vessels!J110), ""))</f>
        <v/>
      </c>
      <c r="K110" s="21" t="str">
        <f>IF($N$1="Piping", IF(ISBLANK(Piping!K110), "", Piping!K110), IF($N$1="Vessels", IF(ISBLANK(Vessels!K110), "", Vessels!K110), ""))</f>
        <v/>
      </c>
      <c r="L110" s="21" t="str">
        <f>IF($N$1="Piping", IF(ISBLANK(Piping!L110), "", Piping!L110), IF($N$1="Vessels", IF(ISBLANK(Vessels!L110), "", Vessels!L110), ""))</f>
        <v/>
      </c>
      <c r="M110" s="21"/>
      <c r="N110" s="21"/>
      <c r="O110" s="21"/>
      <c r="P110" s="21"/>
      <c r="Q110" s="21" t="str">
        <f>IF($N$1="Piping", IF(ISBLANK(Piping!T110), "", Piping!T110), IF($N$1="Vessels", IF(ISBLANK(Vessels!T110), "", Vessels!T110), ""))</f>
        <v/>
      </c>
      <c r="R110" s="51" t="str">
        <f>IF($N$1="Piping", IF(ISBLANK(Piping!U110), "", Piping!U110), IF($N$1="Vessels", IF(ISBLANK(Vessels!U110), "", Vessels!U110), ""))</f>
        <v/>
      </c>
      <c r="S110" s="118" t="str">
        <f>IF(B110&lt;&gt;"",IF($N$1="Piping", IF(ISBLANK(Piping!$J$3), "", Piping!$J$3), IF($N$1="Vessels", IF(ISBLANK(Vessels!$J$3), "", Vessels!$J$3), "")),"")</f>
        <v/>
      </c>
      <c r="T110" s="37"/>
      <c r="U110" s="37"/>
      <c r="V110" s="37"/>
      <c r="W110" s="37"/>
      <c r="X110" s="37"/>
      <c r="Y110" s="37"/>
      <c r="Z110" s="37"/>
    </row>
    <row r="111" spans="1:26" ht="15.75" customHeight="1" x14ac:dyDescent="0.3">
      <c r="A111" s="22">
        <f>IF($N$1="Piping", IF(ISBLANK(Piping!A111), "", Piping!A111), IF($N$1="Vessels", IF(ISBLANK(Vessels!A111), "", Vessels!A111), ""))</f>
        <v>27.2</v>
      </c>
      <c r="B111" s="21" t="str">
        <f>IF($N$1="Piping", IF(ISBLANK(Piping!B111), "", Piping!B111), IF($N$1="Vessels", IF(ISBLANK(Vessels!B111), "", Vessels!B111), ""))</f>
        <v/>
      </c>
      <c r="C111" s="21" t="str">
        <f>IF($N$1="Piping", IF(ISBLANK(Piping!C111), "", Piping!C111), IF($N$1="Vessels", IF(ISBLANK(Vessels!C111), "", Vessels!C111), ""))</f>
        <v>Piping</v>
      </c>
      <c r="D111" s="21" t="str">
        <f>IF($N$1="Piping", IF(ISBLANK(Piping!D111), "", Piping!D111), IF($N$1="Vessels", IF(ISBLANK(Vessels!D111), "", Vessels!D111), ""))</f>
        <v/>
      </c>
      <c r="E111" s="21" t="str">
        <f>IF($N$1="Piping", IF(ISBLANK(Piping!E111), "", Piping!E111), IF($N$1="Vessels", IF(ISBLANK(Vessels!E111), "", Vessels!E111), ""))</f>
        <v/>
      </c>
      <c r="F111" s="21" t="str">
        <f>IF($N$1="Piping", IF(ISBLANK(Piping!F111), "", Piping!F111), IF($N$1="Vessels", IF(ISBLANK(Vessels!F111), "", Vessels!F111), ""))</f>
        <v/>
      </c>
      <c r="G111" s="21">
        <f>IF($N$1="Piping", IF(ISBLANK(Piping!G111), "", Piping!G111), IF($N$1="Vessels", IF(ISBLANK(Vessels!G111), "", Vessels!G111), ""))</f>
        <v>0</v>
      </c>
      <c r="H111" s="21" t="str">
        <f>IF($N$1="Piping", IF(ISBLANK(Piping!H111), "", Piping!H111), IF($N$1="Vessels", IF(ISBLANK(Vessels!H111), "", Vessels!H111), ""))</f>
        <v/>
      </c>
      <c r="I111" s="21" t="str">
        <f>IF($N$1="Piping", IF(ISBLANK(Piping!I111), "", Piping!I111), IF($N$1="Vessels", IF(ISBLANK(Vessels!I111), "", Vessels!I111), ""))</f>
        <v/>
      </c>
      <c r="J111" s="21" t="str">
        <f>IF($N$1="Piping", IF(ISBLANK(Piping!J111), "", Piping!J111), IF($N$1="Vessels", IF(ISBLANK(Vessels!J111), "", Vessels!J111), ""))</f>
        <v/>
      </c>
      <c r="K111" s="21" t="str">
        <f>IF($N$1="Piping", IF(ISBLANK(Piping!K111), "", Piping!K111), IF($N$1="Vessels", IF(ISBLANK(Vessels!K111), "", Vessels!K111), ""))</f>
        <v/>
      </c>
      <c r="L111" s="21" t="str">
        <f>IF($N$1="Piping", IF(ISBLANK(Piping!L111), "", Piping!L111), IF($N$1="Vessels", IF(ISBLANK(Vessels!L111), "", Vessels!L111), ""))</f>
        <v/>
      </c>
      <c r="M111" s="21"/>
      <c r="N111" s="21"/>
      <c r="O111" s="21"/>
      <c r="P111" s="21"/>
      <c r="Q111" s="21" t="str">
        <f>IF($N$1="Piping", IF(ISBLANK(Piping!T111), "", Piping!T111), IF($N$1="Vessels", IF(ISBLANK(Vessels!T111), "", Vessels!T111), ""))</f>
        <v/>
      </c>
      <c r="R111" s="51" t="str">
        <f>IF($N$1="Piping", IF(ISBLANK(Piping!U111), "", Piping!U111), IF($N$1="Vessels", IF(ISBLANK(Vessels!U111), "", Vessels!U111), ""))</f>
        <v/>
      </c>
      <c r="S111" s="118" t="str">
        <f>IF(B111&lt;&gt;"",IF($N$1="Piping", IF(ISBLANK(Piping!$J$3), "", Piping!$J$3), IF($N$1="Vessels", IF(ISBLANK(Vessels!$J$3), "", Vessels!$J$3), "")),"")</f>
        <v/>
      </c>
      <c r="T111" s="37"/>
      <c r="U111" s="37"/>
      <c r="V111" s="37"/>
      <c r="W111" s="37"/>
      <c r="X111" s="37"/>
      <c r="Y111" s="37"/>
      <c r="Z111" s="37"/>
    </row>
    <row r="112" spans="1:26" ht="15.75" customHeight="1" x14ac:dyDescent="0.3">
      <c r="A112" s="22">
        <f>IF($N$1="Piping", IF(ISBLANK(Piping!A112), "", Piping!A112), IF($N$1="Vessels", IF(ISBLANK(Vessels!A112), "", Vessels!A112), ""))</f>
        <v>27.3</v>
      </c>
      <c r="B112" s="21" t="str">
        <f>IF($N$1="Piping", IF(ISBLANK(Piping!B112), "", Piping!B112), IF($N$1="Vessels", IF(ISBLANK(Vessels!B112), "", Vessels!B112), ""))</f>
        <v/>
      </c>
      <c r="C112" s="21" t="str">
        <f>IF($N$1="Piping", IF(ISBLANK(Piping!C112), "", Piping!C112), IF($N$1="Vessels", IF(ISBLANK(Vessels!C112), "", Vessels!C112), ""))</f>
        <v>Piping</v>
      </c>
      <c r="D112" s="21" t="str">
        <f>IF($N$1="Piping", IF(ISBLANK(Piping!D112), "", Piping!D112), IF($N$1="Vessels", IF(ISBLANK(Vessels!D112), "", Vessels!D112), ""))</f>
        <v/>
      </c>
      <c r="E112" s="21" t="str">
        <f>IF($N$1="Piping", IF(ISBLANK(Piping!E112), "", Piping!E112), IF($N$1="Vessels", IF(ISBLANK(Vessels!E112), "", Vessels!E112), ""))</f>
        <v/>
      </c>
      <c r="F112" s="21" t="str">
        <f>IF($N$1="Piping", IF(ISBLANK(Piping!F112), "", Piping!F112), IF($N$1="Vessels", IF(ISBLANK(Vessels!F112), "", Vessels!F112), ""))</f>
        <v/>
      </c>
      <c r="G112" s="21">
        <f>IF($N$1="Piping", IF(ISBLANK(Piping!G112), "", Piping!G112), IF($N$1="Vessels", IF(ISBLANK(Vessels!G112), "", Vessels!G112), ""))</f>
        <v>0</v>
      </c>
      <c r="H112" s="21" t="str">
        <f>IF($N$1="Piping", IF(ISBLANK(Piping!H112), "", Piping!H112), IF($N$1="Vessels", IF(ISBLANK(Vessels!H112), "", Vessels!H112), ""))</f>
        <v/>
      </c>
      <c r="I112" s="21" t="str">
        <f>IF($N$1="Piping", IF(ISBLANK(Piping!I112), "", Piping!I112), IF($N$1="Vessels", IF(ISBLANK(Vessels!I112), "", Vessels!I112), ""))</f>
        <v/>
      </c>
      <c r="J112" s="21" t="str">
        <f>IF($N$1="Piping", IF(ISBLANK(Piping!J112), "", Piping!J112), IF($N$1="Vessels", IF(ISBLANK(Vessels!J112), "", Vessels!J112), ""))</f>
        <v/>
      </c>
      <c r="K112" s="21" t="str">
        <f>IF($N$1="Piping", IF(ISBLANK(Piping!K112), "", Piping!K112), IF($N$1="Vessels", IF(ISBLANK(Vessels!K112), "", Vessels!K112), ""))</f>
        <v/>
      </c>
      <c r="L112" s="21" t="str">
        <f>IF($N$1="Piping", IF(ISBLANK(Piping!L112), "", Piping!L112), IF($N$1="Vessels", IF(ISBLANK(Vessels!L112), "", Vessels!L112), ""))</f>
        <v/>
      </c>
      <c r="M112" s="21"/>
      <c r="N112" s="21"/>
      <c r="O112" s="21"/>
      <c r="P112" s="21"/>
      <c r="Q112" s="21" t="str">
        <f>IF($N$1="Piping", IF(ISBLANK(Piping!T112), "", Piping!T112), IF($N$1="Vessels", IF(ISBLANK(Vessels!T112), "", Vessels!T112), ""))</f>
        <v/>
      </c>
      <c r="R112" s="51" t="str">
        <f>IF($N$1="Piping", IF(ISBLANK(Piping!U112), "", Piping!U112), IF($N$1="Vessels", IF(ISBLANK(Vessels!U112), "", Vessels!U112), ""))</f>
        <v/>
      </c>
      <c r="S112" s="118" t="str">
        <f>IF(B112&lt;&gt;"",IF($N$1="Piping", IF(ISBLANK(Piping!$J$3), "", Piping!$J$3), IF($N$1="Vessels", IF(ISBLANK(Vessels!$J$3), "", Vessels!$J$3), "")),"")</f>
        <v/>
      </c>
      <c r="T112" s="37"/>
      <c r="U112" s="37"/>
      <c r="V112" s="37"/>
      <c r="W112" s="37"/>
      <c r="X112" s="37"/>
      <c r="Y112" s="37"/>
      <c r="Z112" s="37"/>
    </row>
    <row r="113" spans="1:26" ht="15.75" customHeight="1" x14ac:dyDescent="0.3">
      <c r="A113" s="22">
        <f>IF($N$1="Piping", IF(ISBLANK(Piping!A113), "", Piping!A113), IF($N$1="Vessels", IF(ISBLANK(Vessels!A113), "", Vessels!A113), ""))</f>
        <v>27.4</v>
      </c>
      <c r="B113" s="21" t="str">
        <f>IF($N$1="Piping", IF(ISBLANK(Piping!B113), "", Piping!B113), IF($N$1="Vessels", IF(ISBLANK(Vessels!B113), "", Vessels!B113), ""))</f>
        <v/>
      </c>
      <c r="C113" s="21" t="str">
        <f>IF($N$1="Piping", IF(ISBLANK(Piping!C113), "", Piping!C113), IF($N$1="Vessels", IF(ISBLANK(Vessels!C113), "", Vessels!C113), ""))</f>
        <v>Piping</v>
      </c>
      <c r="D113" s="21" t="str">
        <f>IF($N$1="Piping", IF(ISBLANK(Piping!D113), "", Piping!D113), IF($N$1="Vessels", IF(ISBLANK(Vessels!D113), "", Vessels!D113), ""))</f>
        <v/>
      </c>
      <c r="E113" s="21" t="str">
        <f>IF($N$1="Piping", IF(ISBLANK(Piping!E113), "", Piping!E113), IF($N$1="Vessels", IF(ISBLANK(Vessels!E113), "", Vessels!E113), ""))</f>
        <v/>
      </c>
      <c r="F113" s="21" t="str">
        <f>IF($N$1="Piping", IF(ISBLANK(Piping!F113), "", Piping!F113), IF($N$1="Vessels", IF(ISBLANK(Vessels!F113), "", Vessels!F113), ""))</f>
        <v/>
      </c>
      <c r="G113" s="21">
        <f>IF($N$1="Piping", IF(ISBLANK(Piping!G113), "", Piping!G113), IF($N$1="Vessels", IF(ISBLANK(Vessels!G113), "", Vessels!G113), ""))</f>
        <v>0</v>
      </c>
      <c r="H113" s="21" t="str">
        <f>IF($N$1="Piping", IF(ISBLANK(Piping!H113), "", Piping!H113), IF($N$1="Vessels", IF(ISBLANK(Vessels!H113), "", Vessels!H113), ""))</f>
        <v/>
      </c>
      <c r="I113" s="21" t="str">
        <f>IF($N$1="Piping", IF(ISBLANK(Piping!I113), "", Piping!I113), IF($N$1="Vessels", IF(ISBLANK(Vessels!I113), "", Vessels!I113), ""))</f>
        <v/>
      </c>
      <c r="J113" s="21" t="str">
        <f>IF($N$1="Piping", IF(ISBLANK(Piping!J113), "", Piping!J113), IF($N$1="Vessels", IF(ISBLANK(Vessels!J113), "", Vessels!J113), ""))</f>
        <v/>
      </c>
      <c r="K113" s="21" t="str">
        <f>IF($N$1="Piping", IF(ISBLANK(Piping!K113), "", Piping!K113), IF($N$1="Vessels", IF(ISBLANK(Vessels!K113), "", Vessels!K113), ""))</f>
        <v/>
      </c>
      <c r="L113" s="21" t="str">
        <f>IF($N$1="Piping", IF(ISBLANK(Piping!L113), "", Piping!L113), IF($N$1="Vessels", IF(ISBLANK(Vessels!L113), "", Vessels!L113), ""))</f>
        <v/>
      </c>
      <c r="M113" s="21"/>
      <c r="N113" s="21"/>
      <c r="O113" s="21"/>
      <c r="P113" s="21"/>
      <c r="Q113" s="21" t="str">
        <f>IF($N$1="Piping", IF(ISBLANK(Piping!T113), "", Piping!T113), IF($N$1="Vessels", IF(ISBLANK(Vessels!T113), "", Vessels!T113), ""))</f>
        <v/>
      </c>
      <c r="R113" s="51" t="str">
        <f>IF($N$1="Piping", IF(ISBLANK(Piping!U113), "", Piping!U113), IF($N$1="Vessels", IF(ISBLANK(Vessels!U113), "", Vessels!U113), ""))</f>
        <v/>
      </c>
      <c r="S113" s="118" t="str">
        <f>IF(B113&lt;&gt;"",IF($N$1="Piping", IF(ISBLANK(Piping!$J$3), "", Piping!$J$3), IF($N$1="Vessels", IF(ISBLANK(Vessels!$J$3), "", Vessels!$J$3), "")),"")</f>
        <v/>
      </c>
      <c r="T113" s="37"/>
      <c r="U113" s="37"/>
      <c r="V113" s="37"/>
      <c r="W113" s="37"/>
      <c r="X113" s="37"/>
      <c r="Y113" s="37"/>
      <c r="Z113" s="37"/>
    </row>
    <row r="114" spans="1:26" ht="15.75" customHeight="1" x14ac:dyDescent="0.3">
      <c r="A114" s="22">
        <f>IF($N$1="Piping", IF(ISBLANK(Piping!A114), "", Piping!A114), IF($N$1="Vessels", IF(ISBLANK(Vessels!A114), "", Vessels!A114), ""))</f>
        <v>28.1</v>
      </c>
      <c r="B114" s="21" t="str">
        <f>IF($N$1="Piping", IF(ISBLANK(Piping!B114), "", Piping!B114), IF($N$1="Vessels", IF(ISBLANK(Vessels!B114), "", Vessels!B114), ""))</f>
        <v/>
      </c>
      <c r="C114" s="21" t="str">
        <f>IF($N$1="Piping", IF(ISBLANK(Piping!C114), "", Piping!C114), IF($N$1="Vessels", IF(ISBLANK(Vessels!C114), "", Vessels!C114), ""))</f>
        <v>Piping</v>
      </c>
      <c r="D114" s="21" t="str">
        <f>IF($N$1="Piping", IF(ISBLANK(Piping!D114), "", Piping!D114), IF($N$1="Vessels", IF(ISBLANK(Vessels!D114), "", Vessels!D114), ""))</f>
        <v/>
      </c>
      <c r="E114" s="21" t="str">
        <f>IF($N$1="Piping", IF(ISBLANK(Piping!E114), "", Piping!E114), IF($N$1="Vessels", IF(ISBLANK(Vessels!E114), "", Vessels!E114), ""))</f>
        <v/>
      </c>
      <c r="F114" s="21" t="str">
        <f>IF($N$1="Piping", IF(ISBLANK(Piping!F114), "", Piping!F114), IF($N$1="Vessels", IF(ISBLANK(Vessels!F114), "", Vessels!F114), ""))</f>
        <v/>
      </c>
      <c r="G114" s="21">
        <f>IF($N$1="Piping", IF(ISBLANK(Piping!G114), "", Piping!G114), IF($N$1="Vessels", IF(ISBLANK(Vessels!G114), "", Vessels!G114), ""))</f>
        <v>0</v>
      </c>
      <c r="H114" s="21" t="str">
        <f>IF($N$1="Piping", IF(ISBLANK(Piping!H114), "", Piping!H114), IF($N$1="Vessels", IF(ISBLANK(Vessels!H114), "", Vessels!H114), ""))</f>
        <v/>
      </c>
      <c r="I114" s="21" t="str">
        <f>IF($N$1="Piping", IF(ISBLANK(Piping!I114), "", Piping!I114), IF($N$1="Vessels", IF(ISBLANK(Vessels!I114), "", Vessels!I114), ""))</f>
        <v/>
      </c>
      <c r="J114" s="21" t="str">
        <f>IF($N$1="Piping", IF(ISBLANK(Piping!J114), "", Piping!J114), IF($N$1="Vessels", IF(ISBLANK(Vessels!J114), "", Vessels!J114), ""))</f>
        <v/>
      </c>
      <c r="K114" s="21" t="str">
        <f>IF($N$1="Piping", IF(ISBLANK(Piping!K114), "", Piping!K114), IF($N$1="Vessels", IF(ISBLANK(Vessels!K114), "", Vessels!K114), ""))</f>
        <v/>
      </c>
      <c r="L114" s="21" t="str">
        <f>IF($N$1="Piping", IF(ISBLANK(Piping!L114), "", Piping!L114), IF($N$1="Vessels", IF(ISBLANK(Vessels!L114), "", Vessels!L114), ""))</f>
        <v/>
      </c>
      <c r="M114" s="21"/>
      <c r="N114" s="21"/>
      <c r="O114" s="21"/>
      <c r="P114" s="21"/>
      <c r="Q114" s="21" t="str">
        <f>IF($N$1="Piping", IF(ISBLANK(Piping!T114), "", Piping!T114), IF($N$1="Vessels", IF(ISBLANK(Vessels!T114), "", Vessels!T114), ""))</f>
        <v/>
      </c>
      <c r="R114" s="51" t="str">
        <f>IF($N$1="Piping", IF(ISBLANK(Piping!U114), "", Piping!U114), IF($N$1="Vessels", IF(ISBLANK(Vessels!U114), "", Vessels!U114), ""))</f>
        <v/>
      </c>
      <c r="S114" s="118" t="str">
        <f>IF(B114&lt;&gt;"",IF($N$1="Piping", IF(ISBLANK(Piping!$J$3), "", Piping!$J$3), IF($N$1="Vessels", IF(ISBLANK(Vessels!$J$3), "", Vessels!$J$3), "")),"")</f>
        <v/>
      </c>
      <c r="T114" s="37"/>
      <c r="U114" s="37"/>
      <c r="V114" s="37"/>
      <c r="W114" s="37"/>
      <c r="X114" s="37"/>
      <c r="Y114" s="37"/>
      <c r="Z114" s="37"/>
    </row>
    <row r="115" spans="1:26" ht="15.75" customHeight="1" x14ac:dyDescent="0.3">
      <c r="A115" s="22">
        <f>IF($N$1="Piping", IF(ISBLANK(Piping!A115), "", Piping!A115), IF($N$1="Vessels", IF(ISBLANK(Vessels!A115), "", Vessels!A115), ""))</f>
        <v>28.2</v>
      </c>
      <c r="B115" s="21" t="str">
        <f>IF($N$1="Piping", IF(ISBLANK(Piping!B115), "", Piping!B115), IF($N$1="Vessels", IF(ISBLANK(Vessels!B115), "", Vessels!B115), ""))</f>
        <v/>
      </c>
      <c r="C115" s="21" t="str">
        <f>IF($N$1="Piping", IF(ISBLANK(Piping!C115), "", Piping!C115), IF($N$1="Vessels", IF(ISBLANK(Vessels!C115), "", Vessels!C115), ""))</f>
        <v>Piping</v>
      </c>
      <c r="D115" s="21" t="str">
        <f>IF($N$1="Piping", IF(ISBLANK(Piping!D115), "", Piping!D115), IF($N$1="Vessels", IF(ISBLANK(Vessels!D115), "", Vessels!D115), ""))</f>
        <v/>
      </c>
      <c r="E115" s="21" t="str">
        <f>IF($N$1="Piping", IF(ISBLANK(Piping!E115), "", Piping!E115), IF($N$1="Vessels", IF(ISBLANK(Vessels!E115), "", Vessels!E115), ""))</f>
        <v/>
      </c>
      <c r="F115" s="21" t="str">
        <f>IF($N$1="Piping", IF(ISBLANK(Piping!F115), "", Piping!F115), IF($N$1="Vessels", IF(ISBLANK(Vessels!F115), "", Vessels!F115), ""))</f>
        <v/>
      </c>
      <c r="G115" s="21">
        <f>IF($N$1="Piping", IF(ISBLANK(Piping!G115), "", Piping!G115), IF($N$1="Vessels", IF(ISBLANK(Vessels!G115), "", Vessels!G115), ""))</f>
        <v>0</v>
      </c>
      <c r="H115" s="21" t="str">
        <f>IF($N$1="Piping", IF(ISBLANK(Piping!H115), "", Piping!H115), IF($N$1="Vessels", IF(ISBLANK(Vessels!H115), "", Vessels!H115), ""))</f>
        <v/>
      </c>
      <c r="I115" s="21" t="str">
        <f>IF($N$1="Piping", IF(ISBLANK(Piping!I115), "", Piping!I115), IF($N$1="Vessels", IF(ISBLANK(Vessels!I115), "", Vessels!I115), ""))</f>
        <v/>
      </c>
      <c r="J115" s="21" t="str">
        <f>IF($N$1="Piping", IF(ISBLANK(Piping!J115), "", Piping!J115), IF($N$1="Vessels", IF(ISBLANK(Vessels!J115), "", Vessels!J115), ""))</f>
        <v/>
      </c>
      <c r="K115" s="21" t="str">
        <f>IF($N$1="Piping", IF(ISBLANK(Piping!K115), "", Piping!K115), IF($N$1="Vessels", IF(ISBLANK(Vessels!K115), "", Vessels!K115), ""))</f>
        <v/>
      </c>
      <c r="L115" s="21" t="str">
        <f>IF($N$1="Piping", IF(ISBLANK(Piping!L115), "", Piping!L115), IF($N$1="Vessels", IF(ISBLANK(Vessels!L115), "", Vessels!L115), ""))</f>
        <v/>
      </c>
      <c r="M115" s="21"/>
      <c r="N115" s="21"/>
      <c r="O115" s="21"/>
      <c r="P115" s="21"/>
      <c r="Q115" s="21" t="str">
        <f>IF($N$1="Piping", IF(ISBLANK(Piping!T115), "", Piping!T115), IF($N$1="Vessels", IF(ISBLANK(Vessels!T115), "", Vessels!T115), ""))</f>
        <v/>
      </c>
      <c r="R115" s="51" t="str">
        <f>IF($N$1="Piping", IF(ISBLANK(Piping!U115), "", Piping!U115), IF($N$1="Vessels", IF(ISBLANK(Vessels!U115), "", Vessels!U115), ""))</f>
        <v/>
      </c>
      <c r="S115" s="118" t="str">
        <f>IF(B115&lt;&gt;"",IF($N$1="Piping", IF(ISBLANK(Piping!$J$3), "", Piping!$J$3), IF($N$1="Vessels", IF(ISBLANK(Vessels!$J$3), "", Vessels!$J$3), "")),"")</f>
        <v/>
      </c>
      <c r="T115" s="37"/>
      <c r="U115" s="37"/>
      <c r="V115" s="37"/>
      <c r="W115" s="37"/>
      <c r="X115" s="37"/>
      <c r="Y115" s="37"/>
      <c r="Z115" s="37"/>
    </row>
    <row r="116" spans="1:26" ht="15.75" customHeight="1" x14ac:dyDescent="0.3">
      <c r="A116" s="22">
        <f>IF($N$1="Piping", IF(ISBLANK(Piping!A116), "", Piping!A116), IF($N$1="Vessels", IF(ISBLANK(Vessels!A116), "", Vessels!A116), ""))</f>
        <v>28.3</v>
      </c>
      <c r="B116" s="21" t="str">
        <f>IF($N$1="Piping", IF(ISBLANK(Piping!B116), "", Piping!B116), IF($N$1="Vessels", IF(ISBLANK(Vessels!B116), "", Vessels!B116), ""))</f>
        <v/>
      </c>
      <c r="C116" s="21" t="str">
        <f>IF($N$1="Piping", IF(ISBLANK(Piping!C116), "", Piping!C116), IF($N$1="Vessels", IF(ISBLANK(Vessels!C116), "", Vessels!C116), ""))</f>
        <v>Piping</v>
      </c>
      <c r="D116" s="21" t="str">
        <f>IF($N$1="Piping", IF(ISBLANK(Piping!D116), "", Piping!D116), IF($N$1="Vessels", IF(ISBLANK(Vessels!D116), "", Vessels!D116), ""))</f>
        <v/>
      </c>
      <c r="E116" s="21" t="str">
        <f>IF($N$1="Piping", IF(ISBLANK(Piping!E116), "", Piping!E116), IF($N$1="Vessels", IF(ISBLANK(Vessels!E116), "", Vessels!E116), ""))</f>
        <v/>
      </c>
      <c r="F116" s="21" t="str">
        <f>IF($N$1="Piping", IF(ISBLANK(Piping!F116), "", Piping!F116), IF($N$1="Vessels", IF(ISBLANK(Vessels!F116), "", Vessels!F116), ""))</f>
        <v/>
      </c>
      <c r="G116" s="21">
        <f>IF($N$1="Piping", IF(ISBLANK(Piping!G116), "", Piping!G116), IF($N$1="Vessels", IF(ISBLANK(Vessels!G116), "", Vessels!G116), ""))</f>
        <v>0</v>
      </c>
      <c r="H116" s="21" t="str">
        <f>IF($N$1="Piping", IF(ISBLANK(Piping!H116), "", Piping!H116), IF($N$1="Vessels", IF(ISBLANK(Vessels!H116), "", Vessels!H116), ""))</f>
        <v/>
      </c>
      <c r="I116" s="21" t="str">
        <f>IF($N$1="Piping", IF(ISBLANK(Piping!I116), "", Piping!I116), IF($N$1="Vessels", IF(ISBLANK(Vessels!I116), "", Vessels!I116), ""))</f>
        <v/>
      </c>
      <c r="J116" s="21" t="str">
        <f>IF($N$1="Piping", IF(ISBLANK(Piping!J116), "", Piping!J116), IF($N$1="Vessels", IF(ISBLANK(Vessels!J116), "", Vessels!J116), ""))</f>
        <v/>
      </c>
      <c r="K116" s="21" t="str">
        <f>IF($N$1="Piping", IF(ISBLANK(Piping!K116), "", Piping!K116), IF($N$1="Vessels", IF(ISBLANK(Vessels!K116), "", Vessels!K116), ""))</f>
        <v/>
      </c>
      <c r="L116" s="21" t="str">
        <f>IF($N$1="Piping", IF(ISBLANK(Piping!L116), "", Piping!L116), IF($N$1="Vessels", IF(ISBLANK(Vessels!L116), "", Vessels!L116), ""))</f>
        <v/>
      </c>
      <c r="M116" s="21"/>
      <c r="N116" s="21"/>
      <c r="O116" s="21"/>
      <c r="P116" s="21"/>
      <c r="Q116" s="21" t="str">
        <f>IF($N$1="Piping", IF(ISBLANK(Piping!T116), "", Piping!T116), IF($N$1="Vessels", IF(ISBLANK(Vessels!T116), "", Vessels!T116), ""))</f>
        <v/>
      </c>
      <c r="R116" s="51" t="str">
        <f>IF($N$1="Piping", IF(ISBLANK(Piping!U116), "", Piping!U116), IF($N$1="Vessels", IF(ISBLANK(Vessels!U116), "", Vessels!U116), ""))</f>
        <v/>
      </c>
      <c r="S116" s="118" t="str">
        <f>IF(B116&lt;&gt;"",IF($N$1="Piping", IF(ISBLANK(Piping!$J$3), "", Piping!$J$3), IF($N$1="Vessels", IF(ISBLANK(Vessels!$J$3), "", Vessels!$J$3), "")),"")</f>
        <v/>
      </c>
      <c r="T116" s="37"/>
      <c r="U116" s="37"/>
      <c r="V116" s="37"/>
      <c r="W116" s="37"/>
      <c r="X116" s="37"/>
      <c r="Y116" s="37"/>
      <c r="Z116" s="37"/>
    </row>
    <row r="117" spans="1:26" ht="15.75" customHeight="1" x14ac:dyDescent="0.3">
      <c r="A117" s="22">
        <f>IF($N$1="Piping", IF(ISBLANK(Piping!A117), "", Piping!A117), IF($N$1="Vessels", IF(ISBLANK(Vessels!A117), "", Vessels!A117), ""))</f>
        <v>28.4</v>
      </c>
      <c r="B117" s="21" t="str">
        <f>IF($N$1="Piping", IF(ISBLANK(Piping!B117), "", Piping!B117), IF($N$1="Vessels", IF(ISBLANK(Vessels!B117), "", Vessels!B117), ""))</f>
        <v/>
      </c>
      <c r="C117" s="21" t="str">
        <f>IF($N$1="Piping", IF(ISBLANK(Piping!C117), "", Piping!C117), IF($N$1="Vessels", IF(ISBLANK(Vessels!C117), "", Vessels!C117), ""))</f>
        <v>Piping</v>
      </c>
      <c r="D117" s="21" t="str">
        <f>IF($N$1="Piping", IF(ISBLANK(Piping!D117), "", Piping!D117), IF($N$1="Vessels", IF(ISBLANK(Vessels!D117), "", Vessels!D117), ""))</f>
        <v/>
      </c>
      <c r="E117" s="21" t="str">
        <f>IF($N$1="Piping", IF(ISBLANK(Piping!E117), "", Piping!E117), IF($N$1="Vessels", IF(ISBLANK(Vessels!E117), "", Vessels!E117), ""))</f>
        <v/>
      </c>
      <c r="F117" s="21" t="str">
        <f>IF($N$1="Piping", IF(ISBLANK(Piping!F117), "", Piping!F117), IF($N$1="Vessels", IF(ISBLANK(Vessels!F117), "", Vessels!F117), ""))</f>
        <v/>
      </c>
      <c r="G117" s="21">
        <f>IF($N$1="Piping", IF(ISBLANK(Piping!G117), "", Piping!G117), IF($N$1="Vessels", IF(ISBLANK(Vessels!G117), "", Vessels!G117), ""))</f>
        <v>0</v>
      </c>
      <c r="H117" s="21" t="str">
        <f>IF($N$1="Piping", IF(ISBLANK(Piping!H117), "", Piping!H117), IF($N$1="Vessels", IF(ISBLANK(Vessels!H117), "", Vessels!H117), ""))</f>
        <v/>
      </c>
      <c r="I117" s="21" t="str">
        <f>IF($N$1="Piping", IF(ISBLANK(Piping!I117), "", Piping!I117), IF($N$1="Vessels", IF(ISBLANK(Vessels!I117), "", Vessels!I117), ""))</f>
        <v/>
      </c>
      <c r="J117" s="21" t="str">
        <f>IF($N$1="Piping", IF(ISBLANK(Piping!J117), "", Piping!J117), IF($N$1="Vessels", IF(ISBLANK(Vessels!J117), "", Vessels!J117), ""))</f>
        <v/>
      </c>
      <c r="K117" s="21" t="str">
        <f>IF($N$1="Piping", IF(ISBLANK(Piping!K117), "", Piping!K117), IF($N$1="Vessels", IF(ISBLANK(Vessels!K117), "", Vessels!K117), ""))</f>
        <v/>
      </c>
      <c r="L117" s="21" t="str">
        <f>IF($N$1="Piping", IF(ISBLANK(Piping!L117), "", Piping!L117), IF($N$1="Vessels", IF(ISBLANK(Vessels!L117), "", Vessels!L117), ""))</f>
        <v/>
      </c>
      <c r="M117" s="21"/>
      <c r="N117" s="21"/>
      <c r="O117" s="21"/>
      <c r="P117" s="21"/>
      <c r="Q117" s="21" t="str">
        <f>IF($N$1="Piping", IF(ISBLANK(Piping!T117), "", Piping!T117), IF($N$1="Vessels", IF(ISBLANK(Vessels!T117), "", Vessels!T117), ""))</f>
        <v/>
      </c>
      <c r="R117" s="51" t="str">
        <f>IF($N$1="Piping", IF(ISBLANK(Piping!U117), "", Piping!U117), IF($N$1="Vessels", IF(ISBLANK(Vessels!U117), "", Vessels!U117), ""))</f>
        <v/>
      </c>
      <c r="S117" s="118" t="str">
        <f>IF(B117&lt;&gt;"",IF($N$1="Piping", IF(ISBLANK(Piping!$J$3), "", Piping!$J$3), IF($N$1="Vessels", IF(ISBLANK(Vessels!$J$3), "", Vessels!$J$3), "")),"")</f>
        <v/>
      </c>
      <c r="T117" s="37"/>
      <c r="U117" s="37"/>
      <c r="V117" s="37"/>
      <c r="W117" s="37"/>
      <c r="X117" s="37"/>
      <c r="Y117" s="37"/>
      <c r="Z117" s="37"/>
    </row>
    <row r="118" spans="1:26" ht="15.75" customHeight="1" x14ac:dyDescent="0.3">
      <c r="A118" s="22">
        <f>IF($N$1="Piping", IF(ISBLANK(Piping!A118), "", Piping!A118), IF($N$1="Vessels", IF(ISBLANK(Vessels!A118), "", Vessels!A118), ""))</f>
        <v>29.1</v>
      </c>
      <c r="B118" s="21" t="str">
        <f>IF($N$1="Piping", IF(ISBLANK(Piping!B118), "", Piping!B118), IF($N$1="Vessels", IF(ISBLANK(Vessels!B118), "", Vessels!B118), ""))</f>
        <v/>
      </c>
      <c r="C118" s="21" t="str">
        <f>IF($N$1="Piping", IF(ISBLANK(Piping!C118), "", Piping!C118), IF($N$1="Vessels", IF(ISBLANK(Vessels!C118), "", Vessels!C118), ""))</f>
        <v>Piping</v>
      </c>
      <c r="D118" s="21" t="str">
        <f>IF($N$1="Piping", IF(ISBLANK(Piping!D118), "", Piping!D118), IF($N$1="Vessels", IF(ISBLANK(Vessels!D118), "", Vessels!D118), ""))</f>
        <v/>
      </c>
      <c r="E118" s="21" t="str">
        <f>IF($N$1="Piping", IF(ISBLANK(Piping!E118), "", Piping!E118), IF($N$1="Vessels", IF(ISBLANK(Vessels!E118), "", Vessels!E118), ""))</f>
        <v/>
      </c>
      <c r="F118" s="21" t="str">
        <f>IF($N$1="Piping", IF(ISBLANK(Piping!F118), "", Piping!F118), IF($N$1="Vessels", IF(ISBLANK(Vessels!F118), "", Vessels!F118), ""))</f>
        <v/>
      </c>
      <c r="G118" s="21">
        <f>IF($N$1="Piping", IF(ISBLANK(Piping!G118), "", Piping!G118), IF($N$1="Vessels", IF(ISBLANK(Vessels!G118), "", Vessels!G118), ""))</f>
        <v>0</v>
      </c>
      <c r="H118" s="21" t="str">
        <f>IF($N$1="Piping", IF(ISBLANK(Piping!H118), "", Piping!H118), IF($N$1="Vessels", IF(ISBLANK(Vessels!H118), "", Vessels!H118), ""))</f>
        <v/>
      </c>
      <c r="I118" s="21" t="str">
        <f>IF($N$1="Piping", IF(ISBLANK(Piping!I118), "", Piping!I118), IF($N$1="Vessels", IF(ISBLANK(Vessels!I118), "", Vessels!I118), ""))</f>
        <v/>
      </c>
      <c r="J118" s="21" t="str">
        <f>IF($N$1="Piping", IF(ISBLANK(Piping!J118), "", Piping!J118), IF($N$1="Vessels", IF(ISBLANK(Vessels!J118), "", Vessels!J118), ""))</f>
        <v/>
      </c>
      <c r="K118" s="21" t="str">
        <f>IF($N$1="Piping", IF(ISBLANK(Piping!K118), "", Piping!K118), IF($N$1="Vessels", IF(ISBLANK(Vessels!K118), "", Vessels!K118), ""))</f>
        <v/>
      </c>
      <c r="L118" s="21" t="str">
        <f>IF($N$1="Piping", IF(ISBLANK(Piping!L118), "", Piping!L118), IF($N$1="Vessels", IF(ISBLANK(Vessels!L118), "", Vessels!L118), ""))</f>
        <v/>
      </c>
      <c r="M118" s="21"/>
      <c r="N118" s="21"/>
      <c r="O118" s="21"/>
      <c r="P118" s="21"/>
      <c r="Q118" s="21" t="str">
        <f>IF($N$1="Piping", IF(ISBLANK(Piping!T118), "", Piping!T118), IF($N$1="Vessels", IF(ISBLANK(Vessels!T118), "", Vessels!T118), ""))</f>
        <v/>
      </c>
      <c r="R118" s="51" t="str">
        <f>IF($N$1="Piping", IF(ISBLANK(Piping!U118), "", Piping!U118), IF($N$1="Vessels", IF(ISBLANK(Vessels!U118), "", Vessels!U118), ""))</f>
        <v/>
      </c>
      <c r="S118" s="118" t="str">
        <f>IF(B118&lt;&gt;"",IF($N$1="Piping", IF(ISBLANK(Piping!$J$3), "", Piping!$J$3), IF($N$1="Vessels", IF(ISBLANK(Vessels!$J$3), "", Vessels!$J$3), "")),"")</f>
        <v/>
      </c>
      <c r="T118" s="37"/>
      <c r="U118" s="37"/>
      <c r="V118" s="37"/>
      <c r="W118" s="37"/>
      <c r="X118" s="37"/>
      <c r="Y118" s="37"/>
      <c r="Z118" s="37"/>
    </row>
    <row r="119" spans="1:26" ht="15.75" customHeight="1" x14ac:dyDescent="0.3">
      <c r="A119" s="22">
        <f>IF($N$1="Piping", IF(ISBLANK(Piping!A119), "", Piping!A119), IF($N$1="Vessels", IF(ISBLANK(Vessels!A119), "", Vessels!A119), ""))</f>
        <v>29.2</v>
      </c>
      <c r="B119" s="21" t="str">
        <f>IF($N$1="Piping", IF(ISBLANK(Piping!B119), "", Piping!B119), IF($N$1="Vessels", IF(ISBLANK(Vessels!B119), "", Vessels!B119), ""))</f>
        <v/>
      </c>
      <c r="C119" s="21" t="str">
        <f>IF($N$1="Piping", IF(ISBLANK(Piping!C119), "", Piping!C119), IF($N$1="Vessels", IF(ISBLANK(Vessels!C119), "", Vessels!C119), ""))</f>
        <v>Piping</v>
      </c>
      <c r="D119" s="21" t="str">
        <f>IF($N$1="Piping", IF(ISBLANK(Piping!D119), "", Piping!D119), IF($N$1="Vessels", IF(ISBLANK(Vessels!D119), "", Vessels!D119), ""))</f>
        <v/>
      </c>
      <c r="E119" s="21" t="str">
        <f>IF($N$1="Piping", IF(ISBLANK(Piping!E119), "", Piping!E119), IF($N$1="Vessels", IF(ISBLANK(Vessels!E119), "", Vessels!E119), ""))</f>
        <v/>
      </c>
      <c r="F119" s="21" t="str">
        <f>IF($N$1="Piping", IF(ISBLANK(Piping!F119), "", Piping!F119), IF($N$1="Vessels", IF(ISBLANK(Vessels!F119), "", Vessels!F119), ""))</f>
        <v/>
      </c>
      <c r="G119" s="21">
        <f>IF($N$1="Piping", IF(ISBLANK(Piping!G119), "", Piping!G119), IF($N$1="Vessels", IF(ISBLANK(Vessels!G119), "", Vessels!G119), ""))</f>
        <v>0</v>
      </c>
      <c r="H119" s="21" t="str">
        <f>IF($N$1="Piping", IF(ISBLANK(Piping!H119), "", Piping!H119), IF($N$1="Vessels", IF(ISBLANK(Vessels!H119), "", Vessels!H119), ""))</f>
        <v/>
      </c>
      <c r="I119" s="21" t="str">
        <f>IF($N$1="Piping", IF(ISBLANK(Piping!I119), "", Piping!I119), IF($N$1="Vessels", IF(ISBLANK(Vessels!I119), "", Vessels!I119), ""))</f>
        <v/>
      </c>
      <c r="J119" s="21" t="str">
        <f>IF($N$1="Piping", IF(ISBLANK(Piping!J119), "", Piping!J119), IF($N$1="Vessels", IF(ISBLANK(Vessels!J119), "", Vessels!J119), ""))</f>
        <v/>
      </c>
      <c r="K119" s="21" t="str">
        <f>IF($N$1="Piping", IF(ISBLANK(Piping!K119), "", Piping!K119), IF($N$1="Vessels", IF(ISBLANK(Vessels!K119), "", Vessels!K119), ""))</f>
        <v/>
      </c>
      <c r="L119" s="21" t="str">
        <f>IF($N$1="Piping", IF(ISBLANK(Piping!L119), "", Piping!L119), IF($N$1="Vessels", IF(ISBLANK(Vessels!L119), "", Vessels!L119), ""))</f>
        <v/>
      </c>
      <c r="M119" s="21"/>
      <c r="N119" s="21"/>
      <c r="O119" s="21"/>
      <c r="P119" s="21"/>
      <c r="Q119" s="21" t="str">
        <f>IF($N$1="Piping", IF(ISBLANK(Piping!T119), "", Piping!T119), IF($N$1="Vessels", IF(ISBLANK(Vessels!T119), "", Vessels!T119), ""))</f>
        <v/>
      </c>
      <c r="R119" s="51" t="str">
        <f>IF($N$1="Piping", IF(ISBLANK(Piping!U119), "", Piping!U119), IF($N$1="Vessels", IF(ISBLANK(Vessels!U119), "", Vessels!U119), ""))</f>
        <v/>
      </c>
      <c r="S119" s="118" t="str">
        <f>IF(B119&lt;&gt;"",IF($N$1="Piping", IF(ISBLANK(Piping!$J$3), "", Piping!$J$3), IF($N$1="Vessels", IF(ISBLANK(Vessels!$J$3), "", Vessels!$J$3), "")),"")</f>
        <v/>
      </c>
      <c r="T119" s="37"/>
      <c r="U119" s="37"/>
      <c r="V119" s="37"/>
      <c r="W119" s="37"/>
      <c r="X119" s="37"/>
      <c r="Y119" s="37"/>
      <c r="Z119" s="37"/>
    </row>
    <row r="120" spans="1:26" ht="15.75" customHeight="1" x14ac:dyDescent="0.3">
      <c r="A120" s="22">
        <f>IF($N$1="Piping", IF(ISBLANK(Piping!A120), "", Piping!A120), IF($N$1="Vessels", IF(ISBLANK(Vessels!A120), "", Vessels!A120), ""))</f>
        <v>29.3</v>
      </c>
      <c r="B120" s="21" t="str">
        <f>IF($N$1="Piping", IF(ISBLANK(Piping!B120), "", Piping!B120), IF($N$1="Vessels", IF(ISBLANK(Vessels!B120), "", Vessels!B120), ""))</f>
        <v/>
      </c>
      <c r="C120" s="21" t="str">
        <f>IF($N$1="Piping", IF(ISBLANK(Piping!C120), "", Piping!C120), IF($N$1="Vessels", IF(ISBLANK(Vessels!C120), "", Vessels!C120), ""))</f>
        <v>Piping</v>
      </c>
      <c r="D120" s="21" t="str">
        <f>IF($N$1="Piping", IF(ISBLANK(Piping!D120), "", Piping!D120), IF($N$1="Vessels", IF(ISBLANK(Vessels!D120), "", Vessels!D120), ""))</f>
        <v/>
      </c>
      <c r="E120" s="21" t="str">
        <f>IF($N$1="Piping", IF(ISBLANK(Piping!E120), "", Piping!E120), IF($N$1="Vessels", IF(ISBLANK(Vessels!E120), "", Vessels!E120), ""))</f>
        <v/>
      </c>
      <c r="F120" s="21" t="str">
        <f>IF($N$1="Piping", IF(ISBLANK(Piping!F120), "", Piping!F120), IF($N$1="Vessels", IF(ISBLANK(Vessels!F120), "", Vessels!F120), ""))</f>
        <v/>
      </c>
      <c r="G120" s="21">
        <f>IF($N$1="Piping", IF(ISBLANK(Piping!G120), "", Piping!G120), IF($N$1="Vessels", IF(ISBLANK(Vessels!G120), "", Vessels!G120), ""))</f>
        <v>0</v>
      </c>
      <c r="H120" s="21" t="str">
        <f>IF($N$1="Piping", IF(ISBLANK(Piping!H120), "", Piping!H120), IF($N$1="Vessels", IF(ISBLANK(Vessels!H120), "", Vessels!H120), ""))</f>
        <v/>
      </c>
      <c r="I120" s="21" t="str">
        <f>IF($N$1="Piping", IF(ISBLANK(Piping!I120), "", Piping!I120), IF($N$1="Vessels", IF(ISBLANK(Vessels!I120), "", Vessels!I120), ""))</f>
        <v/>
      </c>
      <c r="J120" s="21" t="str">
        <f>IF($N$1="Piping", IF(ISBLANK(Piping!J120), "", Piping!J120), IF($N$1="Vessels", IF(ISBLANK(Vessels!J120), "", Vessels!J120), ""))</f>
        <v/>
      </c>
      <c r="K120" s="21" t="str">
        <f>IF($N$1="Piping", IF(ISBLANK(Piping!K120), "", Piping!K120), IF($N$1="Vessels", IF(ISBLANK(Vessels!K120), "", Vessels!K120), ""))</f>
        <v/>
      </c>
      <c r="L120" s="21" t="str">
        <f>IF($N$1="Piping", IF(ISBLANK(Piping!L120), "", Piping!L120), IF($N$1="Vessels", IF(ISBLANK(Vessels!L120), "", Vessels!L120), ""))</f>
        <v/>
      </c>
      <c r="M120" s="21"/>
      <c r="N120" s="21"/>
      <c r="O120" s="21"/>
      <c r="P120" s="21"/>
      <c r="Q120" s="21" t="str">
        <f>IF($N$1="Piping", IF(ISBLANK(Piping!T120), "", Piping!T120), IF($N$1="Vessels", IF(ISBLANK(Vessels!T120), "", Vessels!T120), ""))</f>
        <v/>
      </c>
      <c r="R120" s="51" t="str">
        <f>IF($N$1="Piping", IF(ISBLANK(Piping!U120), "", Piping!U120), IF($N$1="Vessels", IF(ISBLANK(Vessels!U120), "", Vessels!U120), ""))</f>
        <v/>
      </c>
      <c r="S120" s="118" t="str">
        <f>IF(B120&lt;&gt;"",IF($N$1="Piping", IF(ISBLANK(Piping!$J$3), "", Piping!$J$3), IF($N$1="Vessels", IF(ISBLANK(Vessels!$J$3), "", Vessels!$J$3), "")),"")</f>
        <v/>
      </c>
      <c r="T120" s="37"/>
      <c r="U120" s="37"/>
      <c r="V120" s="37"/>
      <c r="W120" s="37"/>
      <c r="X120" s="37"/>
      <c r="Y120" s="37"/>
      <c r="Z120" s="37"/>
    </row>
    <row r="121" spans="1:26" ht="15.75" customHeight="1" x14ac:dyDescent="0.3">
      <c r="A121" s="22">
        <f>IF($N$1="Piping", IF(ISBLANK(Piping!A121), "", Piping!A121), IF($N$1="Vessels", IF(ISBLANK(Vessels!A121), "", Vessels!A121), ""))</f>
        <v>29.4</v>
      </c>
      <c r="B121" s="21" t="str">
        <f>IF($N$1="Piping", IF(ISBLANK(Piping!B121), "", Piping!B121), IF($N$1="Vessels", IF(ISBLANK(Vessels!B121), "", Vessels!B121), ""))</f>
        <v/>
      </c>
      <c r="C121" s="21" t="str">
        <f>IF($N$1="Piping", IF(ISBLANK(Piping!C121), "", Piping!C121), IF($N$1="Vessels", IF(ISBLANK(Vessels!C121), "", Vessels!C121), ""))</f>
        <v>Piping</v>
      </c>
      <c r="D121" s="21" t="str">
        <f>IF($N$1="Piping", IF(ISBLANK(Piping!D121), "", Piping!D121), IF($N$1="Vessels", IF(ISBLANK(Vessels!D121), "", Vessels!D121), ""))</f>
        <v/>
      </c>
      <c r="E121" s="21" t="str">
        <f>IF($N$1="Piping", IF(ISBLANK(Piping!E121), "", Piping!E121), IF($N$1="Vessels", IF(ISBLANK(Vessels!E121), "", Vessels!E121), ""))</f>
        <v/>
      </c>
      <c r="F121" s="21" t="str">
        <f>IF($N$1="Piping", IF(ISBLANK(Piping!F121), "", Piping!F121), IF($N$1="Vessels", IF(ISBLANK(Vessels!F121), "", Vessels!F121), ""))</f>
        <v/>
      </c>
      <c r="G121" s="21">
        <f>IF($N$1="Piping", IF(ISBLANK(Piping!G121), "", Piping!G121), IF($N$1="Vessels", IF(ISBLANK(Vessels!G121), "", Vessels!G121), ""))</f>
        <v>0</v>
      </c>
      <c r="H121" s="21" t="str">
        <f>IF($N$1="Piping", IF(ISBLANK(Piping!H121), "", Piping!H121), IF($N$1="Vessels", IF(ISBLANK(Vessels!H121), "", Vessels!H121), ""))</f>
        <v/>
      </c>
      <c r="I121" s="21" t="str">
        <f>IF($N$1="Piping", IF(ISBLANK(Piping!I121), "", Piping!I121), IF($N$1="Vessels", IF(ISBLANK(Vessels!I121), "", Vessels!I121), ""))</f>
        <v/>
      </c>
      <c r="J121" s="21" t="str">
        <f>IF($N$1="Piping", IF(ISBLANK(Piping!J121), "", Piping!J121), IF($N$1="Vessels", IF(ISBLANK(Vessels!J121), "", Vessels!J121), ""))</f>
        <v/>
      </c>
      <c r="K121" s="21" t="str">
        <f>IF($N$1="Piping", IF(ISBLANK(Piping!K121), "", Piping!K121), IF($N$1="Vessels", IF(ISBLANK(Vessels!K121), "", Vessels!K121), ""))</f>
        <v/>
      </c>
      <c r="L121" s="21" t="str">
        <f>IF($N$1="Piping", IF(ISBLANK(Piping!L121), "", Piping!L121), IF($N$1="Vessels", IF(ISBLANK(Vessels!L121), "", Vessels!L121), ""))</f>
        <v/>
      </c>
      <c r="M121" s="21"/>
      <c r="N121" s="21"/>
      <c r="O121" s="21"/>
      <c r="P121" s="21"/>
      <c r="Q121" s="21" t="str">
        <f>IF($N$1="Piping", IF(ISBLANK(Piping!T121), "", Piping!T121), IF($N$1="Vessels", IF(ISBLANK(Vessels!T121), "", Vessels!T121), ""))</f>
        <v/>
      </c>
      <c r="R121" s="51" t="str">
        <f>IF($N$1="Piping", IF(ISBLANK(Piping!U121), "", Piping!U121), IF($N$1="Vessels", IF(ISBLANK(Vessels!U121), "", Vessels!U121), ""))</f>
        <v/>
      </c>
      <c r="S121" s="118" t="str">
        <f>IF(B121&lt;&gt;"",IF($N$1="Piping", IF(ISBLANK(Piping!$J$3), "", Piping!$J$3), IF($N$1="Vessels", IF(ISBLANK(Vessels!$J$3), "", Vessels!$J$3), "")),"")</f>
        <v/>
      </c>
      <c r="T121" s="37"/>
      <c r="U121" s="37"/>
      <c r="V121" s="37"/>
      <c r="W121" s="37"/>
      <c r="X121" s="37"/>
      <c r="Y121" s="37"/>
      <c r="Z121" s="37"/>
    </row>
    <row r="122" spans="1:26" ht="15.75" customHeight="1" x14ac:dyDescent="0.3">
      <c r="A122" s="22">
        <f>IF($N$1="Piping", IF(ISBLANK(Piping!A122), "", Piping!A122), IF($N$1="Vessels", IF(ISBLANK(Vessels!A122), "", Vessels!A122), ""))</f>
        <v>30.1</v>
      </c>
      <c r="B122" s="21" t="str">
        <f>IF($N$1="Piping", IF(ISBLANK(Piping!B122), "", Piping!B122), IF($N$1="Vessels", IF(ISBLANK(Vessels!B122), "", Vessels!B122), ""))</f>
        <v/>
      </c>
      <c r="C122" s="21" t="str">
        <f>IF($N$1="Piping", IF(ISBLANK(Piping!C122), "", Piping!C122), IF($N$1="Vessels", IF(ISBLANK(Vessels!C122), "", Vessels!C122), ""))</f>
        <v>Piping</v>
      </c>
      <c r="D122" s="21" t="str">
        <f>IF($N$1="Piping", IF(ISBLANK(Piping!D122), "", Piping!D122), IF($N$1="Vessels", IF(ISBLANK(Vessels!D122), "", Vessels!D122), ""))</f>
        <v/>
      </c>
      <c r="E122" s="21" t="str">
        <f>IF($N$1="Piping", IF(ISBLANK(Piping!E122), "", Piping!E122), IF($N$1="Vessels", IF(ISBLANK(Vessels!E122), "", Vessels!E122), ""))</f>
        <v/>
      </c>
      <c r="F122" s="21" t="str">
        <f>IF($N$1="Piping", IF(ISBLANK(Piping!F122), "", Piping!F122), IF($N$1="Vessels", IF(ISBLANK(Vessels!F122), "", Vessels!F122), ""))</f>
        <v/>
      </c>
      <c r="G122" s="21">
        <f>IF($N$1="Piping", IF(ISBLANK(Piping!G122), "", Piping!G122), IF($N$1="Vessels", IF(ISBLANK(Vessels!G122), "", Vessels!G122), ""))</f>
        <v>0</v>
      </c>
      <c r="H122" s="21" t="str">
        <f>IF($N$1="Piping", IF(ISBLANK(Piping!H122), "", Piping!H122), IF($N$1="Vessels", IF(ISBLANK(Vessels!H122), "", Vessels!H122), ""))</f>
        <v/>
      </c>
      <c r="I122" s="21" t="str">
        <f>IF($N$1="Piping", IF(ISBLANK(Piping!I122), "", Piping!I122), IF($N$1="Vessels", IF(ISBLANK(Vessels!I122), "", Vessels!I122), ""))</f>
        <v/>
      </c>
      <c r="J122" s="21" t="str">
        <f>IF($N$1="Piping", IF(ISBLANK(Piping!J122), "", Piping!J122), IF($N$1="Vessels", IF(ISBLANK(Vessels!J122), "", Vessels!J122), ""))</f>
        <v/>
      </c>
      <c r="K122" s="21" t="str">
        <f>IF($N$1="Piping", IF(ISBLANK(Piping!K122), "", Piping!K122), IF($N$1="Vessels", IF(ISBLANK(Vessels!K122), "", Vessels!K122), ""))</f>
        <v/>
      </c>
      <c r="L122" s="21" t="str">
        <f>IF($N$1="Piping", IF(ISBLANK(Piping!L122), "", Piping!L122), IF($N$1="Vessels", IF(ISBLANK(Vessels!L122), "", Vessels!L122), ""))</f>
        <v/>
      </c>
      <c r="M122" s="21"/>
      <c r="N122" s="21"/>
      <c r="O122" s="21"/>
      <c r="P122" s="21"/>
      <c r="Q122" s="21" t="str">
        <f>IF($N$1="Piping", IF(ISBLANK(Piping!T122), "", Piping!T122), IF($N$1="Vessels", IF(ISBLANK(Vessels!T122), "", Vessels!T122), ""))</f>
        <v/>
      </c>
      <c r="R122" s="51" t="str">
        <f>IF($N$1="Piping", IF(ISBLANK(Piping!U122), "", Piping!U122), IF($N$1="Vessels", IF(ISBLANK(Vessels!U122), "", Vessels!U122), ""))</f>
        <v/>
      </c>
      <c r="S122" s="118" t="str">
        <f>IF(B122&lt;&gt;"",IF($N$1="Piping", IF(ISBLANK(Piping!$J$3), "", Piping!$J$3), IF($N$1="Vessels", IF(ISBLANK(Vessels!$J$3), "", Vessels!$J$3), "")),"")</f>
        <v/>
      </c>
      <c r="T122" s="37"/>
      <c r="U122" s="37"/>
      <c r="V122" s="37"/>
      <c r="W122" s="37"/>
      <c r="X122" s="37"/>
      <c r="Y122" s="37"/>
      <c r="Z122" s="37"/>
    </row>
    <row r="123" spans="1:26" ht="15.75" customHeight="1" x14ac:dyDescent="0.3">
      <c r="A123" s="22">
        <f>IF($N$1="Piping", IF(ISBLANK(Piping!A123), "", Piping!A123), IF($N$1="Vessels", IF(ISBLANK(Vessels!A123), "", Vessels!A123), ""))</f>
        <v>30.2</v>
      </c>
      <c r="B123" s="21" t="str">
        <f>IF($N$1="Piping", IF(ISBLANK(Piping!B123), "", Piping!B123), IF($N$1="Vessels", IF(ISBLANK(Vessels!B123), "", Vessels!B123), ""))</f>
        <v/>
      </c>
      <c r="C123" s="21" t="str">
        <f>IF($N$1="Piping", IF(ISBLANK(Piping!C123), "", Piping!C123), IF($N$1="Vessels", IF(ISBLANK(Vessels!C123), "", Vessels!C123), ""))</f>
        <v>Piping</v>
      </c>
      <c r="D123" s="21" t="str">
        <f>IF($N$1="Piping", IF(ISBLANK(Piping!D123), "", Piping!D123), IF($N$1="Vessels", IF(ISBLANK(Vessels!D123), "", Vessels!D123), ""))</f>
        <v/>
      </c>
      <c r="E123" s="21" t="str">
        <f>IF($N$1="Piping", IF(ISBLANK(Piping!E123), "", Piping!E123), IF($N$1="Vessels", IF(ISBLANK(Vessels!E123), "", Vessels!E123), ""))</f>
        <v/>
      </c>
      <c r="F123" s="21" t="str">
        <f>IF($N$1="Piping", IF(ISBLANK(Piping!F123), "", Piping!F123), IF($N$1="Vessels", IF(ISBLANK(Vessels!F123), "", Vessels!F123), ""))</f>
        <v/>
      </c>
      <c r="G123" s="21">
        <f>IF($N$1="Piping", IF(ISBLANK(Piping!G123), "", Piping!G123), IF($N$1="Vessels", IF(ISBLANK(Vessels!G123), "", Vessels!G123), ""))</f>
        <v>0</v>
      </c>
      <c r="H123" s="21" t="str">
        <f>IF($N$1="Piping", IF(ISBLANK(Piping!H123), "", Piping!H123), IF($N$1="Vessels", IF(ISBLANK(Vessels!H123), "", Vessels!H123), ""))</f>
        <v/>
      </c>
      <c r="I123" s="21" t="str">
        <f>IF($N$1="Piping", IF(ISBLANK(Piping!I123), "", Piping!I123), IF($N$1="Vessels", IF(ISBLANK(Vessels!I123), "", Vessels!I123), ""))</f>
        <v/>
      </c>
      <c r="J123" s="21" t="str">
        <f>IF($N$1="Piping", IF(ISBLANK(Piping!J123), "", Piping!J123), IF($N$1="Vessels", IF(ISBLANK(Vessels!J123), "", Vessels!J123), ""))</f>
        <v/>
      </c>
      <c r="K123" s="21" t="str">
        <f>IF($N$1="Piping", IF(ISBLANK(Piping!K123), "", Piping!K123), IF($N$1="Vessels", IF(ISBLANK(Vessels!K123), "", Vessels!K123), ""))</f>
        <v/>
      </c>
      <c r="L123" s="21" t="str">
        <f>IF($N$1="Piping", IF(ISBLANK(Piping!L123), "", Piping!L123), IF($N$1="Vessels", IF(ISBLANK(Vessels!L123), "", Vessels!L123), ""))</f>
        <v/>
      </c>
      <c r="M123" s="21"/>
      <c r="N123" s="21"/>
      <c r="O123" s="21"/>
      <c r="P123" s="21"/>
      <c r="Q123" s="21" t="str">
        <f>IF($N$1="Piping", IF(ISBLANK(Piping!T123), "", Piping!T123), IF($N$1="Vessels", IF(ISBLANK(Vessels!T123), "", Vessels!T123), ""))</f>
        <v/>
      </c>
      <c r="R123" s="51" t="str">
        <f>IF($N$1="Piping", IF(ISBLANK(Piping!U123), "", Piping!U123), IF($N$1="Vessels", IF(ISBLANK(Vessels!U123), "", Vessels!U123), ""))</f>
        <v/>
      </c>
      <c r="S123" s="118" t="str">
        <f>IF(B123&lt;&gt;"",IF($N$1="Piping", IF(ISBLANK(Piping!$J$3), "", Piping!$J$3), IF($N$1="Vessels", IF(ISBLANK(Vessels!$J$3), "", Vessels!$J$3), "")),"")</f>
        <v/>
      </c>
      <c r="T123" s="37"/>
      <c r="U123" s="37"/>
      <c r="V123" s="37"/>
      <c r="W123" s="37"/>
      <c r="X123" s="37"/>
      <c r="Y123" s="37"/>
      <c r="Z123" s="37"/>
    </row>
    <row r="124" spans="1:26" ht="15.75" customHeight="1" x14ac:dyDescent="0.3">
      <c r="A124" s="22">
        <f>IF($N$1="Piping", IF(ISBLANK(Piping!A124), "", Piping!A124), IF($N$1="Vessels", IF(ISBLANK(Vessels!A124), "", Vessels!A124), ""))</f>
        <v>30.3</v>
      </c>
      <c r="B124" s="21" t="str">
        <f>IF($N$1="Piping", IF(ISBLANK(Piping!B124), "", Piping!B124), IF($N$1="Vessels", IF(ISBLANK(Vessels!B124), "", Vessels!B124), ""))</f>
        <v/>
      </c>
      <c r="C124" s="21" t="str">
        <f>IF($N$1="Piping", IF(ISBLANK(Piping!C124), "", Piping!C124), IF($N$1="Vessels", IF(ISBLANK(Vessels!C124), "", Vessels!C124), ""))</f>
        <v>Piping</v>
      </c>
      <c r="D124" s="21" t="str">
        <f>IF($N$1="Piping", IF(ISBLANK(Piping!D124), "", Piping!D124), IF($N$1="Vessels", IF(ISBLANK(Vessels!D124), "", Vessels!D124), ""))</f>
        <v/>
      </c>
      <c r="E124" s="21" t="str">
        <f>IF($N$1="Piping", IF(ISBLANK(Piping!E124), "", Piping!E124), IF($N$1="Vessels", IF(ISBLANK(Vessels!E124), "", Vessels!E124), ""))</f>
        <v/>
      </c>
      <c r="F124" s="21" t="str">
        <f>IF($N$1="Piping", IF(ISBLANK(Piping!F124), "", Piping!F124), IF($N$1="Vessels", IF(ISBLANK(Vessels!F124), "", Vessels!F124), ""))</f>
        <v/>
      </c>
      <c r="G124" s="21">
        <f>IF($N$1="Piping", IF(ISBLANK(Piping!G124), "", Piping!G124), IF($N$1="Vessels", IF(ISBLANK(Vessels!G124), "", Vessels!G124), ""))</f>
        <v>0</v>
      </c>
      <c r="H124" s="21" t="str">
        <f>IF($N$1="Piping", IF(ISBLANK(Piping!H124), "", Piping!H124), IF($N$1="Vessels", IF(ISBLANK(Vessels!H124), "", Vessels!H124), ""))</f>
        <v/>
      </c>
      <c r="I124" s="21" t="str">
        <f>IF($N$1="Piping", IF(ISBLANK(Piping!I124), "", Piping!I124), IF($N$1="Vessels", IF(ISBLANK(Vessels!I124), "", Vessels!I124), ""))</f>
        <v/>
      </c>
      <c r="J124" s="21" t="str">
        <f>IF($N$1="Piping", IF(ISBLANK(Piping!J124), "", Piping!J124), IF($N$1="Vessels", IF(ISBLANK(Vessels!J124), "", Vessels!J124), ""))</f>
        <v/>
      </c>
      <c r="K124" s="21" t="str">
        <f>IF($N$1="Piping", IF(ISBLANK(Piping!K124), "", Piping!K124), IF($N$1="Vessels", IF(ISBLANK(Vessels!K124), "", Vessels!K124), ""))</f>
        <v/>
      </c>
      <c r="L124" s="21" t="str">
        <f>IF($N$1="Piping", IF(ISBLANK(Piping!L124), "", Piping!L124), IF($N$1="Vessels", IF(ISBLANK(Vessels!L124), "", Vessels!L124), ""))</f>
        <v/>
      </c>
      <c r="M124" s="21"/>
      <c r="N124" s="21"/>
      <c r="O124" s="21"/>
      <c r="P124" s="21"/>
      <c r="Q124" s="21" t="str">
        <f>IF($N$1="Piping", IF(ISBLANK(Piping!T124), "", Piping!T124), IF($N$1="Vessels", IF(ISBLANK(Vessels!T124), "", Vessels!T124), ""))</f>
        <v/>
      </c>
      <c r="R124" s="51" t="str">
        <f>IF($N$1="Piping", IF(ISBLANK(Piping!U124), "", Piping!U124), IF($N$1="Vessels", IF(ISBLANK(Vessels!U124), "", Vessels!U124), ""))</f>
        <v/>
      </c>
      <c r="S124" s="118" t="str">
        <f>IF(B124&lt;&gt;"",IF($N$1="Piping", IF(ISBLANK(Piping!$J$3), "", Piping!$J$3), IF($N$1="Vessels", IF(ISBLANK(Vessels!$J$3), "", Vessels!$J$3), "")),"")</f>
        <v/>
      </c>
      <c r="T124" s="37"/>
      <c r="U124" s="37"/>
      <c r="V124" s="37"/>
      <c r="W124" s="37"/>
      <c r="X124" s="37"/>
      <c r="Y124" s="37"/>
      <c r="Z124" s="37"/>
    </row>
    <row r="125" spans="1:26" ht="15.75" customHeight="1" x14ac:dyDescent="0.3">
      <c r="A125" s="22">
        <f>IF($N$1="Piping", IF(ISBLANK(Piping!A125), "", Piping!A125), IF($N$1="Vessels", IF(ISBLANK(Vessels!A125), "", Vessels!A125), ""))</f>
        <v>30.4</v>
      </c>
      <c r="B125" s="21" t="str">
        <f>IF($N$1="Piping", IF(ISBLANK(Piping!B125), "", Piping!B125), IF($N$1="Vessels", IF(ISBLANK(Vessels!B125), "", Vessels!B125), ""))</f>
        <v/>
      </c>
      <c r="C125" s="21" t="str">
        <f>IF($N$1="Piping", IF(ISBLANK(Piping!C125), "", Piping!C125), IF($N$1="Vessels", IF(ISBLANK(Vessels!C125), "", Vessels!C125), ""))</f>
        <v>Piping</v>
      </c>
      <c r="D125" s="21" t="str">
        <f>IF($N$1="Piping", IF(ISBLANK(Piping!D125), "", Piping!D125), IF($N$1="Vessels", IF(ISBLANK(Vessels!D125), "", Vessels!D125), ""))</f>
        <v/>
      </c>
      <c r="E125" s="21" t="str">
        <f>IF($N$1="Piping", IF(ISBLANK(Piping!E125), "", Piping!E125), IF($N$1="Vessels", IF(ISBLANK(Vessels!E125), "", Vessels!E125), ""))</f>
        <v/>
      </c>
      <c r="F125" s="21" t="str">
        <f>IF($N$1="Piping", IF(ISBLANK(Piping!F125), "", Piping!F125), IF($N$1="Vessels", IF(ISBLANK(Vessels!F125), "", Vessels!F125), ""))</f>
        <v/>
      </c>
      <c r="G125" s="21">
        <f>IF($N$1="Piping", IF(ISBLANK(Piping!G125), "", Piping!G125), IF($N$1="Vessels", IF(ISBLANK(Vessels!G125), "", Vessels!G125), ""))</f>
        <v>0</v>
      </c>
      <c r="H125" s="21" t="str">
        <f>IF($N$1="Piping", IF(ISBLANK(Piping!H125), "", Piping!H125), IF($N$1="Vessels", IF(ISBLANK(Vessels!H125), "", Vessels!H125), ""))</f>
        <v/>
      </c>
      <c r="I125" s="21" t="str">
        <f>IF($N$1="Piping", IF(ISBLANK(Piping!I125), "", Piping!I125), IF($N$1="Vessels", IF(ISBLANK(Vessels!I125), "", Vessels!I125), ""))</f>
        <v/>
      </c>
      <c r="J125" s="21" t="str">
        <f>IF($N$1="Piping", IF(ISBLANK(Piping!J125), "", Piping!J125), IF($N$1="Vessels", IF(ISBLANK(Vessels!J125), "", Vessels!J125), ""))</f>
        <v/>
      </c>
      <c r="K125" s="21" t="str">
        <f>IF($N$1="Piping", IF(ISBLANK(Piping!K125), "", Piping!K125), IF($N$1="Vessels", IF(ISBLANK(Vessels!K125), "", Vessels!K125), ""))</f>
        <v/>
      </c>
      <c r="L125" s="21" t="str">
        <f>IF($N$1="Piping", IF(ISBLANK(Piping!L125), "", Piping!L125), IF($N$1="Vessels", IF(ISBLANK(Vessels!L125), "", Vessels!L125), ""))</f>
        <v/>
      </c>
      <c r="M125" s="21"/>
      <c r="N125" s="21"/>
      <c r="O125" s="21"/>
      <c r="P125" s="21"/>
      <c r="Q125" s="21" t="str">
        <f>IF($N$1="Piping", IF(ISBLANK(Piping!T125), "", Piping!T125), IF($N$1="Vessels", IF(ISBLANK(Vessels!T125), "", Vessels!T125), ""))</f>
        <v/>
      </c>
      <c r="R125" s="51" t="str">
        <f>IF($N$1="Piping", IF(ISBLANK(Piping!U125), "", Piping!U125), IF($N$1="Vessels", IF(ISBLANK(Vessels!U125), "", Vessels!U125), ""))</f>
        <v/>
      </c>
      <c r="S125" s="118" t="str">
        <f>IF(B125&lt;&gt;"",IF($N$1="Piping", IF(ISBLANK(Piping!$J$3), "", Piping!$J$3), IF($N$1="Vessels", IF(ISBLANK(Vessels!$J$3), "", Vessels!$J$3), "")),"")</f>
        <v/>
      </c>
      <c r="T125" s="37"/>
      <c r="U125" s="37"/>
      <c r="V125" s="37"/>
      <c r="W125" s="37"/>
      <c r="X125" s="37"/>
      <c r="Y125" s="37"/>
      <c r="Z125" s="37"/>
    </row>
    <row r="126" spans="1:26" ht="15.75" customHeight="1" x14ac:dyDescent="0.3">
      <c r="A126" s="22">
        <f>IF($N$1="Piping", IF(ISBLANK(Piping!A126), "", Piping!A126), IF($N$1="Vessels", IF(ISBLANK(Vessels!A126), "", Vessels!A126), ""))</f>
        <v>31.1</v>
      </c>
      <c r="B126" s="21" t="str">
        <f>IF($N$1="Piping", IF(ISBLANK(Piping!B126), "", Piping!B126), IF($N$1="Vessels", IF(ISBLANK(Vessels!B126), "", Vessels!B126), ""))</f>
        <v/>
      </c>
      <c r="C126" s="21" t="str">
        <f>IF($N$1="Piping", IF(ISBLANK(Piping!C126), "", Piping!C126), IF($N$1="Vessels", IF(ISBLANK(Vessels!C126), "", Vessels!C126), ""))</f>
        <v>Piping</v>
      </c>
      <c r="D126" s="21" t="str">
        <f>IF($N$1="Piping", IF(ISBLANK(Piping!D126), "", Piping!D126), IF($N$1="Vessels", IF(ISBLANK(Vessels!D126), "", Vessels!D126), ""))</f>
        <v/>
      </c>
      <c r="E126" s="21" t="str">
        <f>IF($N$1="Piping", IF(ISBLANK(Piping!E126), "", Piping!E126), IF($N$1="Vessels", IF(ISBLANK(Vessels!E126), "", Vessels!E126), ""))</f>
        <v/>
      </c>
      <c r="F126" s="21" t="str">
        <f>IF($N$1="Piping", IF(ISBLANK(Piping!F126), "", Piping!F126), IF($N$1="Vessels", IF(ISBLANK(Vessels!F126), "", Vessels!F126), ""))</f>
        <v/>
      </c>
      <c r="G126" s="21">
        <f>IF($N$1="Piping", IF(ISBLANK(Piping!G126), "", Piping!G126), IF($N$1="Vessels", IF(ISBLANK(Vessels!G126), "", Vessels!G126), ""))</f>
        <v>0</v>
      </c>
      <c r="H126" s="21" t="str">
        <f>IF($N$1="Piping", IF(ISBLANK(Piping!H126), "", Piping!H126), IF($N$1="Vessels", IF(ISBLANK(Vessels!H126), "", Vessels!H126), ""))</f>
        <v/>
      </c>
      <c r="I126" s="21" t="str">
        <f>IF($N$1="Piping", IF(ISBLANK(Piping!I126), "", Piping!I126), IF($N$1="Vessels", IF(ISBLANK(Vessels!I126), "", Vessels!I126), ""))</f>
        <v/>
      </c>
      <c r="J126" s="21" t="str">
        <f>IF($N$1="Piping", IF(ISBLANK(Piping!J126), "", Piping!J126), IF($N$1="Vessels", IF(ISBLANK(Vessels!J126), "", Vessels!J126), ""))</f>
        <v/>
      </c>
      <c r="K126" s="21" t="str">
        <f>IF($N$1="Piping", IF(ISBLANK(Piping!K126), "", Piping!K126), IF($N$1="Vessels", IF(ISBLANK(Vessels!K126), "", Vessels!K126), ""))</f>
        <v/>
      </c>
      <c r="L126" s="21" t="str">
        <f>IF($N$1="Piping", IF(ISBLANK(Piping!L126), "", Piping!L126), IF($N$1="Vessels", IF(ISBLANK(Vessels!L126), "", Vessels!L126), ""))</f>
        <v/>
      </c>
      <c r="M126" s="21"/>
      <c r="N126" s="21"/>
      <c r="O126" s="21"/>
      <c r="P126" s="21"/>
      <c r="Q126" s="21" t="str">
        <f>IF($N$1="Piping", IF(ISBLANK(Piping!T126), "", Piping!T126), IF($N$1="Vessels", IF(ISBLANK(Vessels!T126), "", Vessels!T126), ""))</f>
        <v/>
      </c>
      <c r="R126" s="51" t="str">
        <f>IF($N$1="Piping", IF(ISBLANK(Piping!U126), "", Piping!U126), IF($N$1="Vessels", IF(ISBLANK(Vessels!U126), "", Vessels!U126), ""))</f>
        <v/>
      </c>
      <c r="S126" s="118" t="str">
        <f>IF(B126&lt;&gt;"",IF($N$1="Piping", IF(ISBLANK(Piping!$J$3), "", Piping!$J$3), IF($N$1="Vessels", IF(ISBLANK(Vessels!$J$3), "", Vessels!$J$3), "")),"")</f>
        <v/>
      </c>
      <c r="T126" s="37"/>
      <c r="U126" s="37"/>
      <c r="V126" s="37"/>
      <c r="W126" s="37"/>
      <c r="X126" s="37"/>
      <c r="Y126" s="37"/>
      <c r="Z126" s="37"/>
    </row>
    <row r="127" spans="1:26" ht="15.75" customHeight="1" x14ac:dyDescent="0.3">
      <c r="A127" s="22">
        <f>IF($N$1="Piping", IF(ISBLANK(Piping!A127), "", Piping!A127), IF($N$1="Vessels", IF(ISBLANK(Vessels!A127), "", Vessels!A127), ""))</f>
        <v>31.2</v>
      </c>
      <c r="B127" s="21" t="str">
        <f>IF($N$1="Piping", IF(ISBLANK(Piping!B127), "", Piping!B127), IF($N$1="Vessels", IF(ISBLANK(Vessels!B127), "", Vessels!B127), ""))</f>
        <v/>
      </c>
      <c r="C127" s="21" t="str">
        <f>IF($N$1="Piping", IF(ISBLANK(Piping!C127), "", Piping!C127), IF($N$1="Vessels", IF(ISBLANK(Vessels!C127), "", Vessels!C127), ""))</f>
        <v>Piping</v>
      </c>
      <c r="D127" s="21" t="str">
        <f>IF($N$1="Piping", IF(ISBLANK(Piping!D127), "", Piping!D127), IF($N$1="Vessels", IF(ISBLANK(Vessels!D127), "", Vessels!D127), ""))</f>
        <v/>
      </c>
      <c r="E127" s="21" t="str">
        <f>IF($N$1="Piping", IF(ISBLANK(Piping!E127), "", Piping!E127), IF($N$1="Vessels", IF(ISBLANK(Vessels!E127), "", Vessels!E127), ""))</f>
        <v/>
      </c>
      <c r="F127" s="21" t="str">
        <f>IF($N$1="Piping", IF(ISBLANK(Piping!F127), "", Piping!F127), IF($N$1="Vessels", IF(ISBLANK(Vessels!F127), "", Vessels!F127), ""))</f>
        <v/>
      </c>
      <c r="G127" s="21">
        <f>IF($N$1="Piping", IF(ISBLANK(Piping!G127), "", Piping!G127), IF($N$1="Vessels", IF(ISBLANK(Vessels!G127), "", Vessels!G127), ""))</f>
        <v>0</v>
      </c>
      <c r="H127" s="21" t="str">
        <f>IF($N$1="Piping", IF(ISBLANK(Piping!H127), "", Piping!H127), IF($N$1="Vessels", IF(ISBLANK(Vessels!H127), "", Vessels!H127), ""))</f>
        <v/>
      </c>
      <c r="I127" s="21" t="str">
        <f>IF($N$1="Piping", IF(ISBLANK(Piping!I127), "", Piping!I127), IF($N$1="Vessels", IF(ISBLANK(Vessels!I127), "", Vessels!I127), ""))</f>
        <v/>
      </c>
      <c r="J127" s="21" t="str">
        <f>IF($N$1="Piping", IF(ISBLANK(Piping!J127), "", Piping!J127), IF($N$1="Vessels", IF(ISBLANK(Vessels!J127), "", Vessels!J127), ""))</f>
        <v/>
      </c>
      <c r="K127" s="21" t="str">
        <f>IF($N$1="Piping", IF(ISBLANK(Piping!K127), "", Piping!K127), IF($N$1="Vessels", IF(ISBLANK(Vessels!K127), "", Vessels!K127), ""))</f>
        <v/>
      </c>
      <c r="L127" s="21" t="str">
        <f>IF($N$1="Piping", IF(ISBLANK(Piping!L127), "", Piping!L127), IF($N$1="Vessels", IF(ISBLANK(Vessels!L127), "", Vessels!L127), ""))</f>
        <v/>
      </c>
      <c r="M127" s="21"/>
      <c r="N127" s="21"/>
      <c r="O127" s="21"/>
      <c r="P127" s="21"/>
      <c r="Q127" s="21" t="str">
        <f>IF($N$1="Piping", IF(ISBLANK(Piping!T127), "", Piping!T127), IF($N$1="Vessels", IF(ISBLANK(Vessels!T127), "", Vessels!T127), ""))</f>
        <v/>
      </c>
      <c r="R127" s="51" t="str">
        <f>IF($N$1="Piping", IF(ISBLANK(Piping!U127), "", Piping!U127), IF($N$1="Vessels", IF(ISBLANK(Vessels!U127), "", Vessels!U127), ""))</f>
        <v/>
      </c>
      <c r="S127" s="118" t="str">
        <f>IF(B127&lt;&gt;"",IF($N$1="Piping", IF(ISBLANK(Piping!$J$3), "", Piping!$J$3), IF($N$1="Vessels", IF(ISBLANK(Vessels!$J$3), "", Vessels!$J$3), "")),"")</f>
        <v/>
      </c>
      <c r="T127" s="37"/>
      <c r="U127" s="37"/>
      <c r="V127" s="37"/>
      <c r="W127" s="37"/>
      <c r="X127" s="37"/>
      <c r="Y127" s="37"/>
      <c r="Z127" s="37"/>
    </row>
    <row r="128" spans="1:26" ht="15.75" customHeight="1" x14ac:dyDescent="0.3">
      <c r="A128" s="22">
        <f>IF($N$1="Piping", IF(ISBLANK(Piping!A128), "", Piping!A128), IF($N$1="Vessels", IF(ISBLANK(Vessels!A128), "", Vessels!A128), ""))</f>
        <v>31.3</v>
      </c>
      <c r="B128" s="21" t="str">
        <f>IF($N$1="Piping", IF(ISBLANK(Piping!B128), "", Piping!B128), IF($N$1="Vessels", IF(ISBLANK(Vessels!B128), "", Vessels!B128), ""))</f>
        <v/>
      </c>
      <c r="C128" s="21" t="str">
        <f>IF($N$1="Piping", IF(ISBLANK(Piping!C128), "", Piping!C128), IF($N$1="Vessels", IF(ISBLANK(Vessels!C128), "", Vessels!C128), ""))</f>
        <v>Piping</v>
      </c>
      <c r="D128" s="21" t="str">
        <f>IF($N$1="Piping", IF(ISBLANK(Piping!D128), "", Piping!D128), IF($N$1="Vessels", IF(ISBLANK(Vessels!D128), "", Vessels!D128), ""))</f>
        <v/>
      </c>
      <c r="E128" s="21" t="str">
        <f>IF($N$1="Piping", IF(ISBLANK(Piping!E128), "", Piping!E128), IF($N$1="Vessels", IF(ISBLANK(Vessels!E128), "", Vessels!E128), ""))</f>
        <v/>
      </c>
      <c r="F128" s="21" t="str">
        <f>IF($N$1="Piping", IF(ISBLANK(Piping!F128), "", Piping!F128), IF($N$1="Vessels", IF(ISBLANK(Vessels!F128), "", Vessels!F128), ""))</f>
        <v/>
      </c>
      <c r="G128" s="21">
        <f>IF($N$1="Piping", IF(ISBLANK(Piping!G128), "", Piping!G128), IF($N$1="Vessels", IF(ISBLANK(Vessels!G128), "", Vessels!G128), ""))</f>
        <v>0</v>
      </c>
      <c r="H128" s="21" t="str">
        <f>IF($N$1="Piping", IF(ISBLANK(Piping!H128), "", Piping!H128), IF($N$1="Vessels", IF(ISBLANK(Vessels!H128), "", Vessels!H128), ""))</f>
        <v/>
      </c>
      <c r="I128" s="21" t="str">
        <f>IF($N$1="Piping", IF(ISBLANK(Piping!I128), "", Piping!I128), IF($N$1="Vessels", IF(ISBLANK(Vessels!I128), "", Vessels!I128), ""))</f>
        <v/>
      </c>
      <c r="J128" s="21" t="str">
        <f>IF($N$1="Piping", IF(ISBLANK(Piping!J128), "", Piping!J128), IF($N$1="Vessels", IF(ISBLANK(Vessels!J128), "", Vessels!J128), ""))</f>
        <v/>
      </c>
      <c r="K128" s="21" t="str">
        <f>IF($N$1="Piping", IF(ISBLANK(Piping!K128), "", Piping!K128), IF($N$1="Vessels", IF(ISBLANK(Vessels!K128), "", Vessels!K128), ""))</f>
        <v/>
      </c>
      <c r="L128" s="21" t="str">
        <f>IF($N$1="Piping", IF(ISBLANK(Piping!L128), "", Piping!L128), IF($N$1="Vessels", IF(ISBLANK(Vessels!L128), "", Vessels!L128), ""))</f>
        <v/>
      </c>
      <c r="M128" s="21"/>
      <c r="N128" s="21"/>
      <c r="O128" s="21"/>
      <c r="P128" s="21"/>
      <c r="Q128" s="21" t="str">
        <f>IF($N$1="Piping", IF(ISBLANK(Piping!T128), "", Piping!T128), IF($N$1="Vessels", IF(ISBLANK(Vessels!T128), "", Vessels!T128), ""))</f>
        <v/>
      </c>
      <c r="R128" s="51" t="str">
        <f>IF($N$1="Piping", IF(ISBLANK(Piping!U128), "", Piping!U128), IF($N$1="Vessels", IF(ISBLANK(Vessels!U128), "", Vessels!U128), ""))</f>
        <v/>
      </c>
      <c r="S128" s="118" t="str">
        <f>IF(B128&lt;&gt;"",IF($N$1="Piping", IF(ISBLANK(Piping!$J$3), "", Piping!$J$3), IF($N$1="Vessels", IF(ISBLANK(Vessels!$J$3), "", Vessels!$J$3), "")),"")</f>
        <v/>
      </c>
      <c r="T128" s="37"/>
      <c r="U128" s="37"/>
      <c r="V128" s="37"/>
      <c r="W128" s="37"/>
      <c r="X128" s="37"/>
      <c r="Y128" s="37"/>
      <c r="Z128" s="37"/>
    </row>
    <row r="129" spans="1:26" ht="15.75" customHeight="1" x14ac:dyDescent="0.3">
      <c r="A129" s="22">
        <f>IF($N$1="Piping", IF(ISBLANK(Piping!A129), "", Piping!A129), IF($N$1="Vessels", IF(ISBLANK(Vessels!A129), "", Vessels!A129), ""))</f>
        <v>31.4</v>
      </c>
      <c r="B129" s="21" t="str">
        <f>IF($N$1="Piping", IF(ISBLANK(Piping!B129), "", Piping!B129), IF($N$1="Vessels", IF(ISBLANK(Vessels!B129), "", Vessels!B129), ""))</f>
        <v/>
      </c>
      <c r="C129" s="21" t="str">
        <f>IF($N$1="Piping", IF(ISBLANK(Piping!C129), "", Piping!C129), IF($N$1="Vessels", IF(ISBLANK(Vessels!C129), "", Vessels!C129), ""))</f>
        <v>Piping</v>
      </c>
      <c r="D129" s="21" t="str">
        <f>IF($N$1="Piping", IF(ISBLANK(Piping!D129), "", Piping!D129), IF($N$1="Vessels", IF(ISBLANK(Vessels!D129), "", Vessels!D129), ""))</f>
        <v/>
      </c>
      <c r="E129" s="21" t="str">
        <f>IF($N$1="Piping", IF(ISBLANK(Piping!E129), "", Piping!E129), IF($N$1="Vessels", IF(ISBLANK(Vessels!E129), "", Vessels!E129), ""))</f>
        <v/>
      </c>
      <c r="F129" s="21" t="str">
        <f>IF($N$1="Piping", IF(ISBLANK(Piping!F129), "", Piping!F129), IF($N$1="Vessels", IF(ISBLANK(Vessels!F129), "", Vessels!F129), ""))</f>
        <v/>
      </c>
      <c r="G129" s="21">
        <f>IF($N$1="Piping", IF(ISBLANK(Piping!G129), "", Piping!G129), IF($N$1="Vessels", IF(ISBLANK(Vessels!G129), "", Vessels!G129), ""))</f>
        <v>0</v>
      </c>
      <c r="H129" s="21" t="str">
        <f>IF($N$1="Piping", IF(ISBLANK(Piping!H129), "", Piping!H129), IF($N$1="Vessels", IF(ISBLANK(Vessels!H129), "", Vessels!H129), ""))</f>
        <v/>
      </c>
      <c r="I129" s="21" t="str">
        <f>IF($N$1="Piping", IF(ISBLANK(Piping!I129), "", Piping!I129), IF($N$1="Vessels", IF(ISBLANK(Vessels!I129), "", Vessels!I129), ""))</f>
        <v/>
      </c>
      <c r="J129" s="21" t="str">
        <f>IF($N$1="Piping", IF(ISBLANK(Piping!J129), "", Piping!J129), IF($N$1="Vessels", IF(ISBLANK(Vessels!J129), "", Vessels!J129), ""))</f>
        <v/>
      </c>
      <c r="K129" s="21" t="str">
        <f>IF($N$1="Piping", IF(ISBLANK(Piping!K129), "", Piping!K129), IF($N$1="Vessels", IF(ISBLANK(Vessels!K129), "", Vessels!K129), ""))</f>
        <v/>
      </c>
      <c r="L129" s="21" t="str">
        <f>IF($N$1="Piping", IF(ISBLANK(Piping!L129), "", Piping!L129), IF($N$1="Vessels", IF(ISBLANK(Vessels!L129), "", Vessels!L129), ""))</f>
        <v/>
      </c>
      <c r="M129" s="21"/>
      <c r="N129" s="21"/>
      <c r="O129" s="21"/>
      <c r="P129" s="21"/>
      <c r="Q129" s="21" t="str">
        <f>IF($N$1="Piping", IF(ISBLANK(Piping!T129), "", Piping!T129), IF($N$1="Vessels", IF(ISBLANK(Vessels!T129), "", Vessels!T129), ""))</f>
        <v/>
      </c>
      <c r="R129" s="51" t="str">
        <f>IF($N$1="Piping", IF(ISBLANK(Piping!U129), "", Piping!U129), IF($N$1="Vessels", IF(ISBLANK(Vessels!U129), "", Vessels!U129), ""))</f>
        <v/>
      </c>
      <c r="S129" s="118" t="str">
        <f>IF(B129&lt;&gt;"",IF($N$1="Piping", IF(ISBLANK(Piping!$J$3), "", Piping!$J$3), IF($N$1="Vessels", IF(ISBLANK(Vessels!$J$3), "", Vessels!$J$3), "")),"")</f>
        <v/>
      </c>
      <c r="T129" s="37"/>
      <c r="U129" s="37"/>
      <c r="V129" s="37"/>
      <c r="W129" s="37"/>
      <c r="X129" s="37"/>
      <c r="Y129" s="37"/>
      <c r="Z129" s="37"/>
    </row>
    <row r="130" spans="1:26" ht="15.75" customHeight="1" x14ac:dyDescent="0.3">
      <c r="A130" s="22">
        <f>IF($N$1="Piping", IF(ISBLANK(Piping!A130), "", Piping!A130), IF($N$1="Vessels", IF(ISBLANK(Vessels!A130), "", Vessels!A130), ""))</f>
        <v>32.1</v>
      </c>
      <c r="B130" s="21" t="str">
        <f>IF($N$1="Piping", IF(ISBLANK(Piping!B130), "", Piping!B130), IF($N$1="Vessels", IF(ISBLANK(Vessels!B130), "", Vessels!B130), ""))</f>
        <v/>
      </c>
      <c r="C130" s="21" t="str">
        <f>IF($N$1="Piping", IF(ISBLANK(Piping!C130), "", Piping!C130), IF($N$1="Vessels", IF(ISBLANK(Vessels!C130), "", Vessels!C130), ""))</f>
        <v>Piping</v>
      </c>
      <c r="D130" s="21" t="str">
        <f>IF($N$1="Piping", IF(ISBLANK(Piping!D130), "", Piping!D130), IF($N$1="Vessels", IF(ISBLANK(Vessels!D130), "", Vessels!D130), ""))</f>
        <v/>
      </c>
      <c r="E130" s="21" t="str">
        <f>IF($N$1="Piping", IF(ISBLANK(Piping!E130), "", Piping!E130), IF($N$1="Vessels", IF(ISBLANK(Vessels!E130), "", Vessels!E130), ""))</f>
        <v/>
      </c>
      <c r="F130" s="21" t="str">
        <f>IF($N$1="Piping", IF(ISBLANK(Piping!F130), "", Piping!F130), IF($N$1="Vessels", IF(ISBLANK(Vessels!F130), "", Vessels!F130), ""))</f>
        <v/>
      </c>
      <c r="G130" s="21">
        <f>IF($N$1="Piping", IF(ISBLANK(Piping!G130), "", Piping!G130), IF($N$1="Vessels", IF(ISBLANK(Vessels!G130), "", Vessels!G130), ""))</f>
        <v>0</v>
      </c>
      <c r="H130" s="21" t="str">
        <f>IF($N$1="Piping", IF(ISBLANK(Piping!H130), "", Piping!H130), IF($N$1="Vessels", IF(ISBLANK(Vessels!H130), "", Vessels!H130), ""))</f>
        <v/>
      </c>
      <c r="I130" s="21" t="str">
        <f>IF($N$1="Piping", IF(ISBLANK(Piping!I130), "", Piping!I130), IF($N$1="Vessels", IF(ISBLANK(Vessels!I130), "", Vessels!I130), ""))</f>
        <v/>
      </c>
      <c r="J130" s="21" t="str">
        <f>IF($N$1="Piping", IF(ISBLANK(Piping!J130), "", Piping!J130), IF($N$1="Vessels", IF(ISBLANK(Vessels!J130), "", Vessels!J130), ""))</f>
        <v/>
      </c>
      <c r="K130" s="21" t="str">
        <f>IF($N$1="Piping", IF(ISBLANK(Piping!K130), "", Piping!K130), IF($N$1="Vessels", IF(ISBLANK(Vessels!K130), "", Vessels!K130), ""))</f>
        <v/>
      </c>
      <c r="L130" s="21" t="str">
        <f>IF($N$1="Piping", IF(ISBLANK(Piping!L130), "", Piping!L130), IF($N$1="Vessels", IF(ISBLANK(Vessels!L130), "", Vessels!L130), ""))</f>
        <v/>
      </c>
      <c r="M130" s="21"/>
      <c r="N130" s="21"/>
      <c r="O130" s="21"/>
      <c r="P130" s="21"/>
      <c r="Q130" s="21" t="str">
        <f>IF($N$1="Piping", IF(ISBLANK(Piping!T130), "", Piping!T130), IF($N$1="Vessels", IF(ISBLANK(Vessels!T130), "", Vessels!T130), ""))</f>
        <v/>
      </c>
      <c r="R130" s="51" t="str">
        <f>IF($N$1="Piping", IF(ISBLANK(Piping!U130), "", Piping!U130), IF($N$1="Vessels", IF(ISBLANK(Vessels!U130), "", Vessels!U130), ""))</f>
        <v/>
      </c>
      <c r="S130" s="118" t="str">
        <f>IF(B130&lt;&gt;"",IF($N$1="Piping", IF(ISBLANK(Piping!$J$3), "", Piping!$J$3), IF($N$1="Vessels", IF(ISBLANK(Vessels!$J$3), "", Vessels!$J$3), "")),"")</f>
        <v/>
      </c>
      <c r="T130" s="37"/>
      <c r="U130" s="37"/>
      <c r="V130" s="37"/>
      <c r="W130" s="37"/>
      <c r="X130" s="37"/>
      <c r="Y130" s="37"/>
      <c r="Z130" s="37"/>
    </row>
    <row r="131" spans="1:26" ht="15.75" customHeight="1" x14ac:dyDescent="0.3">
      <c r="A131" s="22">
        <f>IF($N$1="Piping", IF(ISBLANK(Piping!A131), "", Piping!A131), IF($N$1="Vessels", IF(ISBLANK(Vessels!A131), "", Vessels!A131), ""))</f>
        <v>32.200000000000003</v>
      </c>
      <c r="B131" s="21" t="str">
        <f>IF($N$1="Piping", IF(ISBLANK(Piping!B131), "", Piping!B131), IF($N$1="Vessels", IF(ISBLANK(Vessels!B131), "", Vessels!B131), ""))</f>
        <v/>
      </c>
      <c r="C131" s="21" t="str">
        <f>IF($N$1="Piping", IF(ISBLANK(Piping!C131), "", Piping!C131), IF($N$1="Vessels", IF(ISBLANK(Vessels!C131), "", Vessels!C131), ""))</f>
        <v>Piping</v>
      </c>
      <c r="D131" s="21" t="str">
        <f>IF($N$1="Piping", IF(ISBLANK(Piping!D131), "", Piping!D131), IF($N$1="Vessels", IF(ISBLANK(Vessels!D131), "", Vessels!D131), ""))</f>
        <v/>
      </c>
      <c r="E131" s="21" t="str">
        <f>IF($N$1="Piping", IF(ISBLANK(Piping!E131), "", Piping!E131), IF($N$1="Vessels", IF(ISBLANK(Vessels!E131), "", Vessels!E131), ""))</f>
        <v/>
      </c>
      <c r="F131" s="21" t="str">
        <f>IF($N$1="Piping", IF(ISBLANK(Piping!F131), "", Piping!F131), IF($N$1="Vessels", IF(ISBLANK(Vessels!F131), "", Vessels!F131), ""))</f>
        <v/>
      </c>
      <c r="G131" s="21">
        <f>IF($N$1="Piping", IF(ISBLANK(Piping!G131), "", Piping!G131), IF($N$1="Vessels", IF(ISBLANK(Vessels!G131), "", Vessels!G131), ""))</f>
        <v>0</v>
      </c>
      <c r="H131" s="21" t="str">
        <f>IF($N$1="Piping", IF(ISBLANK(Piping!H131), "", Piping!H131), IF($N$1="Vessels", IF(ISBLANK(Vessels!H131), "", Vessels!H131), ""))</f>
        <v/>
      </c>
      <c r="I131" s="21" t="str">
        <f>IF($N$1="Piping", IF(ISBLANK(Piping!I131), "", Piping!I131), IF($N$1="Vessels", IF(ISBLANK(Vessels!I131), "", Vessels!I131), ""))</f>
        <v/>
      </c>
      <c r="J131" s="21" t="str">
        <f>IF($N$1="Piping", IF(ISBLANK(Piping!J131), "", Piping!J131), IF($N$1="Vessels", IF(ISBLANK(Vessels!J131), "", Vessels!J131), ""))</f>
        <v/>
      </c>
      <c r="K131" s="21" t="str">
        <f>IF($N$1="Piping", IF(ISBLANK(Piping!K131), "", Piping!K131), IF($N$1="Vessels", IF(ISBLANK(Vessels!K131), "", Vessels!K131), ""))</f>
        <v/>
      </c>
      <c r="L131" s="21" t="str">
        <f>IF($N$1="Piping", IF(ISBLANK(Piping!L131), "", Piping!L131), IF($N$1="Vessels", IF(ISBLANK(Vessels!L131), "", Vessels!L131), ""))</f>
        <v/>
      </c>
      <c r="M131" s="21"/>
      <c r="N131" s="21"/>
      <c r="O131" s="21"/>
      <c r="P131" s="21"/>
      <c r="Q131" s="21" t="str">
        <f>IF($N$1="Piping", IF(ISBLANK(Piping!T131), "", Piping!T131), IF($N$1="Vessels", IF(ISBLANK(Vessels!T131), "", Vessels!T131), ""))</f>
        <v/>
      </c>
      <c r="R131" s="51" t="str">
        <f>IF($N$1="Piping", IF(ISBLANK(Piping!U131), "", Piping!U131), IF($N$1="Vessels", IF(ISBLANK(Vessels!U131), "", Vessels!U131), ""))</f>
        <v/>
      </c>
      <c r="S131" s="118" t="str">
        <f>IF(B131&lt;&gt;"",IF($N$1="Piping", IF(ISBLANK(Piping!$J$3), "", Piping!$J$3), IF($N$1="Vessels", IF(ISBLANK(Vessels!$J$3), "", Vessels!$J$3), "")),"")</f>
        <v/>
      </c>
      <c r="T131" s="37"/>
      <c r="U131" s="37"/>
      <c r="V131" s="37"/>
      <c r="W131" s="37"/>
      <c r="X131" s="37"/>
      <c r="Y131" s="37"/>
      <c r="Z131" s="37"/>
    </row>
    <row r="132" spans="1:26" ht="15.75" customHeight="1" x14ac:dyDescent="0.3">
      <c r="A132" s="22">
        <f>IF($N$1="Piping", IF(ISBLANK(Piping!A132), "", Piping!A132), IF($N$1="Vessels", IF(ISBLANK(Vessels!A132), "", Vessels!A132), ""))</f>
        <v>32.299999999999997</v>
      </c>
      <c r="B132" s="21" t="str">
        <f>IF($N$1="Piping", IF(ISBLANK(Piping!B132), "", Piping!B132), IF($N$1="Vessels", IF(ISBLANK(Vessels!B132), "", Vessels!B132), ""))</f>
        <v/>
      </c>
      <c r="C132" s="21" t="str">
        <f>IF($N$1="Piping", IF(ISBLANK(Piping!C132), "", Piping!C132), IF($N$1="Vessels", IF(ISBLANK(Vessels!C132), "", Vessels!C132), ""))</f>
        <v>Piping</v>
      </c>
      <c r="D132" s="21" t="str">
        <f>IF($N$1="Piping", IF(ISBLANK(Piping!D132), "", Piping!D132), IF($N$1="Vessels", IF(ISBLANK(Vessels!D132), "", Vessels!D132), ""))</f>
        <v/>
      </c>
      <c r="E132" s="21" t="str">
        <f>IF($N$1="Piping", IF(ISBLANK(Piping!E132), "", Piping!E132), IF($N$1="Vessels", IF(ISBLANK(Vessels!E132), "", Vessels!E132), ""))</f>
        <v/>
      </c>
      <c r="F132" s="21" t="str">
        <f>IF($N$1="Piping", IF(ISBLANK(Piping!F132), "", Piping!F132), IF($N$1="Vessels", IF(ISBLANK(Vessels!F132), "", Vessels!F132), ""))</f>
        <v/>
      </c>
      <c r="G132" s="21">
        <f>IF($N$1="Piping", IF(ISBLANK(Piping!G132), "", Piping!G132), IF($N$1="Vessels", IF(ISBLANK(Vessels!G132), "", Vessels!G132), ""))</f>
        <v>0</v>
      </c>
      <c r="H132" s="21" t="str">
        <f>IF($N$1="Piping", IF(ISBLANK(Piping!H132), "", Piping!H132), IF($N$1="Vessels", IF(ISBLANK(Vessels!H132), "", Vessels!H132), ""))</f>
        <v/>
      </c>
      <c r="I132" s="21" t="str">
        <f>IF($N$1="Piping", IF(ISBLANK(Piping!I132), "", Piping!I132), IF($N$1="Vessels", IF(ISBLANK(Vessels!I132), "", Vessels!I132), ""))</f>
        <v/>
      </c>
      <c r="J132" s="21" t="str">
        <f>IF($N$1="Piping", IF(ISBLANK(Piping!J132), "", Piping!J132), IF($N$1="Vessels", IF(ISBLANK(Vessels!J132), "", Vessels!J132), ""))</f>
        <v/>
      </c>
      <c r="K132" s="21" t="str">
        <f>IF($N$1="Piping", IF(ISBLANK(Piping!K132), "", Piping!K132), IF($N$1="Vessels", IF(ISBLANK(Vessels!K132), "", Vessels!K132), ""))</f>
        <v/>
      </c>
      <c r="L132" s="21" t="str">
        <f>IF($N$1="Piping", IF(ISBLANK(Piping!L132), "", Piping!L132), IF($N$1="Vessels", IF(ISBLANK(Vessels!L132), "", Vessels!L132), ""))</f>
        <v/>
      </c>
      <c r="M132" s="21"/>
      <c r="N132" s="21"/>
      <c r="O132" s="21"/>
      <c r="P132" s="21"/>
      <c r="Q132" s="21" t="str">
        <f>IF($N$1="Piping", IF(ISBLANK(Piping!T132), "", Piping!T132), IF($N$1="Vessels", IF(ISBLANK(Vessels!T132), "", Vessels!T132), ""))</f>
        <v/>
      </c>
      <c r="R132" s="51" t="str">
        <f>IF($N$1="Piping", IF(ISBLANK(Piping!U132), "", Piping!U132), IF($N$1="Vessels", IF(ISBLANK(Vessels!U132), "", Vessels!U132), ""))</f>
        <v/>
      </c>
      <c r="S132" s="118" t="str">
        <f>IF(B132&lt;&gt;"",IF($N$1="Piping", IF(ISBLANK(Piping!$J$3), "", Piping!$J$3), IF($N$1="Vessels", IF(ISBLANK(Vessels!$J$3), "", Vessels!$J$3), "")),"")</f>
        <v/>
      </c>
      <c r="T132" s="37"/>
      <c r="U132" s="37"/>
      <c r="V132" s="37"/>
      <c r="W132" s="37"/>
      <c r="X132" s="37"/>
      <c r="Y132" s="37"/>
      <c r="Z132" s="37"/>
    </row>
    <row r="133" spans="1:26" ht="15.75" customHeight="1" x14ac:dyDescent="0.3">
      <c r="A133" s="22">
        <f>IF($N$1="Piping", IF(ISBLANK(Piping!A133), "", Piping!A133), IF($N$1="Vessels", IF(ISBLANK(Vessels!A133), "", Vessels!A133), ""))</f>
        <v>32.4</v>
      </c>
      <c r="B133" s="21" t="str">
        <f>IF($N$1="Piping", IF(ISBLANK(Piping!B133), "", Piping!B133), IF($N$1="Vessels", IF(ISBLANK(Vessels!B133), "", Vessels!B133), ""))</f>
        <v/>
      </c>
      <c r="C133" s="21" t="str">
        <f>IF($N$1="Piping", IF(ISBLANK(Piping!C133), "", Piping!C133), IF($N$1="Vessels", IF(ISBLANK(Vessels!C133), "", Vessels!C133), ""))</f>
        <v>Piping</v>
      </c>
      <c r="D133" s="21" t="str">
        <f>IF($N$1="Piping", IF(ISBLANK(Piping!D133), "", Piping!D133), IF($N$1="Vessels", IF(ISBLANK(Vessels!D133), "", Vessels!D133), ""))</f>
        <v/>
      </c>
      <c r="E133" s="21" t="str">
        <f>IF($N$1="Piping", IF(ISBLANK(Piping!E133), "", Piping!E133), IF($N$1="Vessels", IF(ISBLANK(Vessels!E133), "", Vessels!E133), ""))</f>
        <v/>
      </c>
      <c r="F133" s="21" t="str">
        <f>IF($N$1="Piping", IF(ISBLANK(Piping!F133), "", Piping!F133), IF($N$1="Vessels", IF(ISBLANK(Vessels!F133), "", Vessels!F133), ""))</f>
        <v/>
      </c>
      <c r="G133" s="21">
        <f>IF($N$1="Piping", IF(ISBLANK(Piping!G133), "", Piping!G133), IF($N$1="Vessels", IF(ISBLANK(Vessels!G133), "", Vessels!G133), ""))</f>
        <v>0</v>
      </c>
      <c r="H133" s="21" t="str">
        <f>IF($N$1="Piping", IF(ISBLANK(Piping!H133), "", Piping!H133), IF($N$1="Vessels", IF(ISBLANK(Vessels!H133), "", Vessels!H133), ""))</f>
        <v/>
      </c>
      <c r="I133" s="21" t="str">
        <f>IF($N$1="Piping", IF(ISBLANK(Piping!I133), "", Piping!I133), IF($N$1="Vessels", IF(ISBLANK(Vessels!I133), "", Vessels!I133), ""))</f>
        <v/>
      </c>
      <c r="J133" s="21" t="str">
        <f>IF($N$1="Piping", IF(ISBLANK(Piping!J133), "", Piping!J133), IF($N$1="Vessels", IF(ISBLANK(Vessels!J133), "", Vessels!J133), ""))</f>
        <v/>
      </c>
      <c r="K133" s="21" t="str">
        <f>IF($N$1="Piping", IF(ISBLANK(Piping!K133), "", Piping!K133), IF($N$1="Vessels", IF(ISBLANK(Vessels!K133), "", Vessels!K133), ""))</f>
        <v/>
      </c>
      <c r="L133" s="21" t="str">
        <f>IF($N$1="Piping", IF(ISBLANK(Piping!L133), "", Piping!L133), IF($N$1="Vessels", IF(ISBLANK(Vessels!L133), "", Vessels!L133), ""))</f>
        <v/>
      </c>
      <c r="M133" s="21"/>
      <c r="N133" s="21"/>
      <c r="O133" s="21"/>
      <c r="P133" s="21"/>
      <c r="Q133" s="21" t="str">
        <f>IF($N$1="Piping", IF(ISBLANK(Piping!T133), "", Piping!T133), IF($N$1="Vessels", IF(ISBLANK(Vessels!T133), "", Vessels!T133), ""))</f>
        <v/>
      </c>
      <c r="R133" s="51" t="str">
        <f>IF($N$1="Piping", IF(ISBLANK(Piping!U133), "", Piping!U133), IF($N$1="Vessels", IF(ISBLANK(Vessels!U133), "", Vessels!U133), ""))</f>
        <v/>
      </c>
      <c r="S133" s="118" t="str">
        <f>IF(B133&lt;&gt;"",IF($N$1="Piping", IF(ISBLANK(Piping!$J$3), "", Piping!$J$3), IF($N$1="Vessels", IF(ISBLANK(Vessels!$J$3), "", Vessels!$J$3), "")),"")</f>
        <v/>
      </c>
      <c r="T133" s="37"/>
      <c r="U133" s="37"/>
      <c r="V133" s="37"/>
      <c r="W133" s="37"/>
      <c r="X133" s="37"/>
      <c r="Y133" s="37"/>
      <c r="Z133" s="37"/>
    </row>
    <row r="134" spans="1:26" ht="15.75" customHeight="1" x14ac:dyDescent="0.3">
      <c r="A134" s="22">
        <f>IF($N$1="Piping", IF(ISBLANK(Piping!A134), "", Piping!A134), IF($N$1="Vessels", IF(ISBLANK(Vessels!A134), "", Vessels!A134), ""))</f>
        <v>33.1</v>
      </c>
      <c r="B134" s="21" t="str">
        <f>IF($N$1="Piping", IF(ISBLANK(Piping!B134), "", Piping!B134), IF($N$1="Vessels", IF(ISBLANK(Vessels!B134), "", Vessels!B134), ""))</f>
        <v/>
      </c>
      <c r="C134" s="21" t="str">
        <f>IF($N$1="Piping", IF(ISBLANK(Piping!C134), "", Piping!C134), IF($N$1="Vessels", IF(ISBLANK(Vessels!C134), "", Vessels!C134), ""))</f>
        <v>Piping</v>
      </c>
      <c r="D134" s="21" t="str">
        <f>IF($N$1="Piping", IF(ISBLANK(Piping!D134), "", Piping!D134), IF($N$1="Vessels", IF(ISBLANK(Vessels!D134), "", Vessels!D134), ""))</f>
        <v/>
      </c>
      <c r="E134" s="21" t="str">
        <f>IF($N$1="Piping", IF(ISBLANK(Piping!E134), "", Piping!E134), IF($N$1="Vessels", IF(ISBLANK(Vessels!E134), "", Vessels!E134), ""))</f>
        <v/>
      </c>
      <c r="F134" s="21" t="str">
        <f>IF($N$1="Piping", IF(ISBLANK(Piping!F134), "", Piping!F134), IF($N$1="Vessels", IF(ISBLANK(Vessels!F134), "", Vessels!F134), ""))</f>
        <v/>
      </c>
      <c r="G134" s="21">
        <f>IF($N$1="Piping", IF(ISBLANK(Piping!G134), "", Piping!G134), IF($N$1="Vessels", IF(ISBLANK(Vessels!G134), "", Vessels!G134), ""))</f>
        <v>0</v>
      </c>
      <c r="H134" s="21" t="str">
        <f>IF($N$1="Piping", IF(ISBLANK(Piping!H134), "", Piping!H134), IF($N$1="Vessels", IF(ISBLANK(Vessels!H134), "", Vessels!H134), ""))</f>
        <v/>
      </c>
      <c r="I134" s="21" t="str">
        <f>IF($N$1="Piping", IF(ISBLANK(Piping!I134), "", Piping!I134), IF($N$1="Vessels", IF(ISBLANK(Vessels!I134), "", Vessels!I134), ""))</f>
        <v/>
      </c>
      <c r="J134" s="21" t="str">
        <f>IF($N$1="Piping", IF(ISBLANK(Piping!J134), "", Piping!J134), IF($N$1="Vessels", IF(ISBLANK(Vessels!J134), "", Vessels!J134), ""))</f>
        <v/>
      </c>
      <c r="K134" s="21" t="str">
        <f>IF($N$1="Piping", IF(ISBLANK(Piping!K134), "", Piping!K134), IF($N$1="Vessels", IF(ISBLANK(Vessels!K134), "", Vessels!K134), ""))</f>
        <v/>
      </c>
      <c r="L134" s="21" t="str">
        <f>IF($N$1="Piping", IF(ISBLANK(Piping!L134), "", Piping!L134), IF($N$1="Vessels", IF(ISBLANK(Vessels!L134), "", Vessels!L134), ""))</f>
        <v/>
      </c>
      <c r="M134" s="21"/>
      <c r="N134" s="21"/>
      <c r="O134" s="21"/>
      <c r="P134" s="21"/>
      <c r="Q134" s="21" t="str">
        <f>IF($N$1="Piping", IF(ISBLANK(Piping!T134), "", Piping!T134), IF($N$1="Vessels", IF(ISBLANK(Vessels!T134), "", Vessels!T134), ""))</f>
        <v/>
      </c>
      <c r="R134" s="51" t="str">
        <f>IF($N$1="Piping", IF(ISBLANK(Piping!U134), "", Piping!U134), IF($N$1="Vessels", IF(ISBLANK(Vessels!U134), "", Vessels!U134), ""))</f>
        <v/>
      </c>
      <c r="S134" s="118" t="str">
        <f>IF(B134&lt;&gt;"",IF($N$1="Piping", IF(ISBLANK(Piping!$J$3), "", Piping!$J$3), IF($N$1="Vessels", IF(ISBLANK(Vessels!$J$3), "", Vessels!$J$3), "")),"")</f>
        <v/>
      </c>
      <c r="T134" s="37"/>
      <c r="U134" s="37"/>
      <c r="V134" s="37"/>
      <c r="W134" s="37"/>
      <c r="X134" s="37"/>
      <c r="Y134" s="37"/>
      <c r="Z134" s="37"/>
    </row>
    <row r="135" spans="1:26" ht="15.75" customHeight="1" x14ac:dyDescent="0.3">
      <c r="A135" s="22">
        <f>IF($N$1="Piping", IF(ISBLANK(Piping!A135), "", Piping!A135), IF($N$1="Vessels", IF(ISBLANK(Vessels!A135), "", Vessels!A135), ""))</f>
        <v>33.200000000000003</v>
      </c>
      <c r="B135" s="21" t="str">
        <f>IF($N$1="Piping", IF(ISBLANK(Piping!B135), "", Piping!B135), IF($N$1="Vessels", IF(ISBLANK(Vessels!B135), "", Vessels!B135), ""))</f>
        <v/>
      </c>
      <c r="C135" s="21" t="str">
        <f>IF($N$1="Piping", IF(ISBLANK(Piping!C135), "", Piping!C135), IF($N$1="Vessels", IF(ISBLANK(Vessels!C135), "", Vessels!C135), ""))</f>
        <v>Piping</v>
      </c>
      <c r="D135" s="21" t="str">
        <f>IF($N$1="Piping", IF(ISBLANK(Piping!D135), "", Piping!D135), IF($N$1="Vessels", IF(ISBLANK(Vessels!D135), "", Vessels!D135), ""))</f>
        <v/>
      </c>
      <c r="E135" s="21" t="str">
        <f>IF($N$1="Piping", IF(ISBLANK(Piping!E135), "", Piping!E135), IF($N$1="Vessels", IF(ISBLANK(Vessels!E135), "", Vessels!E135), ""))</f>
        <v/>
      </c>
      <c r="F135" s="21" t="str">
        <f>IF($N$1="Piping", IF(ISBLANK(Piping!F135), "", Piping!F135), IF($N$1="Vessels", IF(ISBLANK(Vessels!F135), "", Vessels!F135), ""))</f>
        <v/>
      </c>
      <c r="G135" s="21">
        <f>IF($N$1="Piping", IF(ISBLANK(Piping!G135), "", Piping!G135), IF($N$1="Vessels", IF(ISBLANK(Vessels!G135), "", Vessels!G135), ""))</f>
        <v>0</v>
      </c>
      <c r="H135" s="21" t="str">
        <f>IF($N$1="Piping", IF(ISBLANK(Piping!H135), "", Piping!H135), IF($N$1="Vessels", IF(ISBLANK(Vessels!H135), "", Vessels!H135), ""))</f>
        <v/>
      </c>
      <c r="I135" s="21" t="str">
        <f>IF($N$1="Piping", IF(ISBLANK(Piping!I135), "", Piping!I135), IF($N$1="Vessels", IF(ISBLANK(Vessels!I135), "", Vessels!I135), ""))</f>
        <v/>
      </c>
      <c r="J135" s="21" t="str">
        <f>IF($N$1="Piping", IF(ISBLANK(Piping!J135), "", Piping!J135), IF($N$1="Vessels", IF(ISBLANK(Vessels!J135), "", Vessels!J135), ""))</f>
        <v/>
      </c>
      <c r="K135" s="21" t="str">
        <f>IF($N$1="Piping", IF(ISBLANK(Piping!K135), "", Piping!K135), IF($N$1="Vessels", IF(ISBLANK(Vessels!K135), "", Vessels!K135), ""))</f>
        <v/>
      </c>
      <c r="L135" s="21" t="str">
        <f>IF($N$1="Piping", IF(ISBLANK(Piping!L135), "", Piping!L135), IF($N$1="Vessels", IF(ISBLANK(Vessels!L135), "", Vessels!L135), ""))</f>
        <v/>
      </c>
      <c r="M135" s="21"/>
      <c r="N135" s="21"/>
      <c r="O135" s="21"/>
      <c r="P135" s="21"/>
      <c r="Q135" s="21" t="str">
        <f>IF($N$1="Piping", IF(ISBLANK(Piping!T135), "", Piping!T135), IF($N$1="Vessels", IF(ISBLANK(Vessels!T135), "", Vessels!T135), ""))</f>
        <v/>
      </c>
      <c r="R135" s="51" t="str">
        <f>IF($N$1="Piping", IF(ISBLANK(Piping!U135), "", Piping!U135), IF($N$1="Vessels", IF(ISBLANK(Vessels!U135), "", Vessels!U135), ""))</f>
        <v/>
      </c>
      <c r="S135" s="118" t="str">
        <f>IF(B135&lt;&gt;"",IF($N$1="Piping", IF(ISBLANK(Piping!$J$3), "", Piping!$J$3), IF($N$1="Vessels", IF(ISBLANK(Vessels!$J$3), "", Vessels!$J$3), "")),"")</f>
        <v/>
      </c>
      <c r="T135" s="37"/>
      <c r="U135" s="37"/>
      <c r="V135" s="37"/>
      <c r="W135" s="37"/>
      <c r="X135" s="37"/>
      <c r="Y135" s="37"/>
      <c r="Z135" s="37"/>
    </row>
    <row r="136" spans="1:26" ht="15.75" customHeight="1" x14ac:dyDescent="0.3">
      <c r="A136" s="22">
        <f>IF($N$1="Piping", IF(ISBLANK(Piping!A136), "", Piping!A136), IF($N$1="Vessels", IF(ISBLANK(Vessels!A136), "", Vessels!A136), ""))</f>
        <v>33.299999999999997</v>
      </c>
      <c r="B136" s="21" t="str">
        <f>IF($N$1="Piping", IF(ISBLANK(Piping!B136), "", Piping!B136), IF($N$1="Vessels", IF(ISBLANK(Vessels!B136), "", Vessels!B136), ""))</f>
        <v/>
      </c>
      <c r="C136" s="21" t="str">
        <f>IF($N$1="Piping", IF(ISBLANK(Piping!C136), "", Piping!C136), IF($N$1="Vessels", IF(ISBLANK(Vessels!C136), "", Vessels!C136), ""))</f>
        <v>Piping</v>
      </c>
      <c r="D136" s="21" t="str">
        <f>IF($N$1="Piping", IF(ISBLANK(Piping!D136), "", Piping!D136), IF($N$1="Vessels", IF(ISBLANK(Vessels!D136), "", Vessels!D136), ""))</f>
        <v/>
      </c>
      <c r="E136" s="21" t="str">
        <f>IF($N$1="Piping", IF(ISBLANK(Piping!E136), "", Piping!E136), IF($N$1="Vessels", IF(ISBLANK(Vessels!E136), "", Vessels!E136), ""))</f>
        <v/>
      </c>
      <c r="F136" s="21" t="str">
        <f>IF($N$1="Piping", IF(ISBLANK(Piping!F136), "", Piping!F136), IF($N$1="Vessels", IF(ISBLANK(Vessels!F136), "", Vessels!F136), ""))</f>
        <v/>
      </c>
      <c r="G136" s="21">
        <f>IF($N$1="Piping", IF(ISBLANK(Piping!G136), "", Piping!G136), IF($N$1="Vessels", IF(ISBLANK(Vessels!G136), "", Vessels!G136), ""))</f>
        <v>0</v>
      </c>
      <c r="H136" s="21" t="str">
        <f>IF($N$1="Piping", IF(ISBLANK(Piping!H136), "", Piping!H136), IF($N$1="Vessels", IF(ISBLANK(Vessels!H136), "", Vessels!H136), ""))</f>
        <v/>
      </c>
      <c r="I136" s="21" t="str">
        <f>IF($N$1="Piping", IF(ISBLANK(Piping!I136), "", Piping!I136), IF($N$1="Vessels", IF(ISBLANK(Vessels!I136), "", Vessels!I136), ""))</f>
        <v/>
      </c>
      <c r="J136" s="21" t="str">
        <f>IF($N$1="Piping", IF(ISBLANK(Piping!J136), "", Piping!J136), IF($N$1="Vessels", IF(ISBLANK(Vessels!J136), "", Vessels!J136), ""))</f>
        <v/>
      </c>
      <c r="K136" s="21" t="str">
        <f>IF($N$1="Piping", IF(ISBLANK(Piping!K136), "", Piping!K136), IF($N$1="Vessels", IF(ISBLANK(Vessels!K136), "", Vessels!K136), ""))</f>
        <v/>
      </c>
      <c r="L136" s="21" t="str">
        <f>IF($N$1="Piping", IF(ISBLANK(Piping!L136), "", Piping!L136), IF($N$1="Vessels", IF(ISBLANK(Vessels!L136), "", Vessels!L136), ""))</f>
        <v/>
      </c>
      <c r="M136" s="21"/>
      <c r="N136" s="21"/>
      <c r="O136" s="21"/>
      <c r="P136" s="21"/>
      <c r="Q136" s="21" t="str">
        <f>IF($N$1="Piping", IF(ISBLANK(Piping!T136), "", Piping!T136), IF($N$1="Vessels", IF(ISBLANK(Vessels!T136), "", Vessels!T136), ""))</f>
        <v/>
      </c>
      <c r="R136" s="51" t="str">
        <f>IF($N$1="Piping", IF(ISBLANK(Piping!U136), "", Piping!U136), IF($N$1="Vessels", IF(ISBLANK(Vessels!U136), "", Vessels!U136), ""))</f>
        <v/>
      </c>
      <c r="S136" s="118" t="str">
        <f>IF(B136&lt;&gt;"",IF($N$1="Piping", IF(ISBLANK(Piping!$J$3), "", Piping!$J$3), IF($N$1="Vessels", IF(ISBLANK(Vessels!$J$3), "", Vessels!$J$3), "")),"")</f>
        <v/>
      </c>
      <c r="T136" s="37"/>
      <c r="U136" s="37"/>
      <c r="V136" s="37"/>
      <c r="W136" s="37"/>
      <c r="X136" s="37"/>
      <c r="Y136" s="37"/>
      <c r="Z136" s="37"/>
    </row>
    <row r="137" spans="1:26" ht="15.75" customHeight="1" x14ac:dyDescent="0.3">
      <c r="A137" s="22">
        <f>IF($N$1="Piping", IF(ISBLANK(Piping!A137), "", Piping!A137), IF($N$1="Vessels", IF(ISBLANK(Vessels!A137), "", Vessels!A137), ""))</f>
        <v>33.4</v>
      </c>
      <c r="B137" s="21" t="str">
        <f>IF($N$1="Piping", IF(ISBLANK(Piping!B137), "", Piping!B137), IF($N$1="Vessels", IF(ISBLANK(Vessels!B137), "", Vessels!B137), ""))</f>
        <v/>
      </c>
      <c r="C137" s="21" t="str">
        <f>IF($N$1="Piping", IF(ISBLANK(Piping!C137), "", Piping!C137), IF($N$1="Vessels", IF(ISBLANK(Vessels!C137), "", Vessels!C137), ""))</f>
        <v>Piping</v>
      </c>
      <c r="D137" s="21" t="str">
        <f>IF($N$1="Piping", IF(ISBLANK(Piping!D137), "", Piping!D137), IF($N$1="Vessels", IF(ISBLANK(Vessels!D137), "", Vessels!D137), ""))</f>
        <v/>
      </c>
      <c r="E137" s="21" t="str">
        <f>IF($N$1="Piping", IF(ISBLANK(Piping!E137), "", Piping!E137), IF($N$1="Vessels", IF(ISBLANK(Vessels!E137), "", Vessels!E137), ""))</f>
        <v/>
      </c>
      <c r="F137" s="21" t="str">
        <f>IF($N$1="Piping", IF(ISBLANK(Piping!F137), "", Piping!F137), IF($N$1="Vessels", IF(ISBLANK(Vessels!F137), "", Vessels!F137), ""))</f>
        <v/>
      </c>
      <c r="G137" s="21">
        <f>IF($N$1="Piping", IF(ISBLANK(Piping!G137), "", Piping!G137), IF($N$1="Vessels", IF(ISBLANK(Vessels!G137), "", Vessels!G137), ""))</f>
        <v>0</v>
      </c>
      <c r="H137" s="21" t="str">
        <f>IF($N$1="Piping", IF(ISBLANK(Piping!H137), "", Piping!H137), IF($N$1="Vessels", IF(ISBLANK(Vessels!H137), "", Vessels!H137), ""))</f>
        <v/>
      </c>
      <c r="I137" s="21" t="str">
        <f>IF($N$1="Piping", IF(ISBLANK(Piping!I137), "", Piping!I137), IF($N$1="Vessels", IF(ISBLANK(Vessels!I137), "", Vessels!I137), ""))</f>
        <v/>
      </c>
      <c r="J137" s="21" t="str">
        <f>IF($N$1="Piping", IF(ISBLANK(Piping!J137), "", Piping!J137), IF($N$1="Vessels", IF(ISBLANK(Vessels!J137), "", Vessels!J137), ""))</f>
        <v/>
      </c>
      <c r="K137" s="21" t="str">
        <f>IF($N$1="Piping", IF(ISBLANK(Piping!K137), "", Piping!K137), IF($N$1="Vessels", IF(ISBLANK(Vessels!K137), "", Vessels!K137), ""))</f>
        <v/>
      </c>
      <c r="L137" s="21" t="str">
        <f>IF($N$1="Piping", IF(ISBLANK(Piping!L137), "", Piping!L137), IF($N$1="Vessels", IF(ISBLANK(Vessels!L137), "", Vessels!L137), ""))</f>
        <v/>
      </c>
      <c r="M137" s="21"/>
      <c r="N137" s="21"/>
      <c r="O137" s="21"/>
      <c r="P137" s="21"/>
      <c r="Q137" s="21" t="str">
        <f>IF($N$1="Piping", IF(ISBLANK(Piping!T137), "", Piping!T137), IF($N$1="Vessels", IF(ISBLANK(Vessels!T137), "", Vessels!T137), ""))</f>
        <v/>
      </c>
      <c r="R137" s="51" t="str">
        <f>IF($N$1="Piping", IF(ISBLANK(Piping!U137), "", Piping!U137), IF($N$1="Vessels", IF(ISBLANK(Vessels!U137), "", Vessels!U137), ""))</f>
        <v/>
      </c>
      <c r="S137" s="118" t="str">
        <f>IF(B137&lt;&gt;"",IF($N$1="Piping", IF(ISBLANK(Piping!$J$3), "", Piping!$J$3), IF($N$1="Vessels", IF(ISBLANK(Vessels!$J$3), "", Vessels!$J$3), "")),"")</f>
        <v/>
      </c>
      <c r="T137" s="37"/>
      <c r="U137" s="37"/>
      <c r="V137" s="37"/>
      <c r="W137" s="37"/>
      <c r="X137" s="37"/>
      <c r="Y137" s="37"/>
      <c r="Z137" s="37"/>
    </row>
    <row r="138" spans="1:26" ht="15.75" customHeight="1" x14ac:dyDescent="0.3">
      <c r="A138" s="22">
        <f>IF($N$1="Piping", IF(ISBLANK(Piping!A138), "", Piping!A138), IF($N$1="Vessels", IF(ISBLANK(Vessels!A138), "", Vessels!A138), ""))</f>
        <v>34.1</v>
      </c>
      <c r="B138" s="21" t="str">
        <f>IF($N$1="Piping", IF(ISBLANK(Piping!B138), "", Piping!B138), IF($N$1="Vessels", IF(ISBLANK(Vessels!B138), "", Vessels!B138), ""))</f>
        <v/>
      </c>
      <c r="C138" s="21" t="str">
        <f>IF($N$1="Piping", IF(ISBLANK(Piping!C138), "", Piping!C138), IF($N$1="Vessels", IF(ISBLANK(Vessels!C138), "", Vessels!C138), ""))</f>
        <v>Piping</v>
      </c>
      <c r="D138" s="21" t="str">
        <f>IF($N$1="Piping", IF(ISBLANK(Piping!D138), "", Piping!D138), IF($N$1="Vessels", IF(ISBLANK(Vessels!D138), "", Vessels!D138), ""))</f>
        <v/>
      </c>
      <c r="E138" s="21" t="str">
        <f>IF($N$1="Piping", IF(ISBLANK(Piping!E138), "", Piping!E138), IF($N$1="Vessels", IF(ISBLANK(Vessels!E138), "", Vessels!E138), ""))</f>
        <v/>
      </c>
      <c r="F138" s="21" t="str">
        <f>IF($N$1="Piping", IF(ISBLANK(Piping!F138), "", Piping!F138), IF($N$1="Vessels", IF(ISBLANK(Vessels!F138), "", Vessels!F138), ""))</f>
        <v/>
      </c>
      <c r="G138" s="21">
        <f>IF($N$1="Piping", IF(ISBLANK(Piping!G138), "", Piping!G138), IF($N$1="Vessels", IF(ISBLANK(Vessels!G138), "", Vessels!G138), ""))</f>
        <v>0</v>
      </c>
      <c r="H138" s="21" t="str">
        <f>IF($N$1="Piping", IF(ISBLANK(Piping!H138), "", Piping!H138), IF($N$1="Vessels", IF(ISBLANK(Vessels!H138), "", Vessels!H138), ""))</f>
        <v/>
      </c>
      <c r="I138" s="21" t="str">
        <f>IF($N$1="Piping", IF(ISBLANK(Piping!I138), "", Piping!I138), IF($N$1="Vessels", IF(ISBLANK(Vessels!I138), "", Vessels!I138), ""))</f>
        <v/>
      </c>
      <c r="J138" s="21" t="str">
        <f>IF($N$1="Piping", IF(ISBLANK(Piping!J138), "", Piping!J138), IF($N$1="Vessels", IF(ISBLANK(Vessels!J138), "", Vessels!J138), ""))</f>
        <v/>
      </c>
      <c r="K138" s="21" t="str">
        <f>IF($N$1="Piping", IF(ISBLANK(Piping!K138), "", Piping!K138), IF($N$1="Vessels", IF(ISBLANK(Vessels!K138), "", Vessels!K138), ""))</f>
        <v/>
      </c>
      <c r="L138" s="21" t="str">
        <f>IF($N$1="Piping", IF(ISBLANK(Piping!L138), "", Piping!L138), IF($N$1="Vessels", IF(ISBLANK(Vessels!L138), "", Vessels!L138), ""))</f>
        <v/>
      </c>
      <c r="M138" s="21"/>
      <c r="N138" s="21"/>
      <c r="O138" s="21"/>
      <c r="P138" s="21"/>
      <c r="Q138" s="21" t="str">
        <f>IF($N$1="Piping", IF(ISBLANK(Piping!T138), "", Piping!T138), IF($N$1="Vessels", IF(ISBLANK(Vessels!T138), "", Vessels!T138), ""))</f>
        <v/>
      </c>
      <c r="R138" s="51" t="str">
        <f>IF($N$1="Piping", IF(ISBLANK(Piping!U138), "", Piping!U138), IF($N$1="Vessels", IF(ISBLANK(Vessels!U138), "", Vessels!U138), ""))</f>
        <v/>
      </c>
      <c r="S138" s="118" t="str">
        <f>IF(B138&lt;&gt;"",IF($N$1="Piping", IF(ISBLANK(Piping!$J$3), "", Piping!$J$3), IF($N$1="Vessels", IF(ISBLANK(Vessels!$J$3), "", Vessels!$J$3), "")),"")</f>
        <v/>
      </c>
      <c r="T138" s="37"/>
      <c r="U138" s="37"/>
      <c r="V138" s="37"/>
      <c r="W138" s="37"/>
      <c r="X138" s="37"/>
      <c r="Y138" s="37"/>
      <c r="Z138" s="37"/>
    </row>
    <row r="139" spans="1:26" ht="15.75" customHeight="1" x14ac:dyDescent="0.3">
      <c r="A139" s="22">
        <f>IF($N$1="Piping", IF(ISBLANK(Piping!A139), "", Piping!A139), IF($N$1="Vessels", IF(ISBLANK(Vessels!A139), "", Vessels!A139), ""))</f>
        <v>34.200000000000003</v>
      </c>
      <c r="B139" s="21" t="str">
        <f>IF($N$1="Piping", IF(ISBLANK(Piping!B139), "", Piping!B139), IF($N$1="Vessels", IF(ISBLANK(Vessels!B139), "", Vessels!B139), ""))</f>
        <v/>
      </c>
      <c r="C139" s="21" t="str">
        <f>IF($N$1="Piping", IF(ISBLANK(Piping!C139), "", Piping!C139), IF($N$1="Vessels", IF(ISBLANK(Vessels!C139), "", Vessels!C139), ""))</f>
        <v>Piping</v>
      </c>
      <c r="D139" s="21" t="str">
        <f>IF($N$1="Piping", IF(ISBLANK(Piping!D139), "", Piping!D139), IF($N$1="Vessels", IF(ISBLANK(Vessels!D139), "", Vessels!D139), ""))</f>
        <v/>
      </c>
      <c r="E139" s="21" t="str">
        <f>IF($N$1="Piping", IF(ISBLANK(Piping!E139), "", Piping!E139), IF($N$1="Vessels", IF(ISBLANK(Vessels!E139), "", Vessels!E139), ""))</f>
        <v/>
      </c>
      <c r="F139" s="21" t="str">
        <f>IF($N$1="Piping", IF(ISBLANK(Piping!F139), "", Piping!F139), IF($N$1="Vessels", IF(ISBLANK(Vessels!F139), "", Vessels!F139), ""))</f>
        <v/>
      </c>
      <c r="G139" s="21">
        <f>IF($N$1="Piping", IF(ISBLANK(Piping!G139), "", Piping!G139), IF($N$1="Vessels", IF(ISBLANK(Vessels!G139), "", Vessels!G139), ""))</f>
        <v>0</v>
      </c>
      <c r="H139" s="21" t="str">
        <f>IF($N$1="Piping", IF(ISBLANK(Piping!H139), "", Piping!H139), IF($N$1="Vessels", IF(ISBLANK(Vessels!H139), "", Vessels!H139), ""))</f>
        <v/>
      </c>
      <c r="I139" s="21" t="str">
        <f>IF($N$1="Piping", IF(ISBLANK(Piping!I139), "", Piping!I139), IF($N$1="Vessels", IF(ISBLANK(Vessels!I139), "", Vessels!I139), ""))</f>
        <v/>
      </c>
      <c r="J139" s="21" t="str">
        <f>IF($N$1="Piping", IF(ISBLANK(Piping!J139), "", Piping!J139), IF($N$1="Vessels", IF(ISBLANK(Vessels!J139), "", Vessels!J139), ""))</f>
        <v/>
      </c>
      <c r="K139" s="21" t="str">
        <f>IF($N$1="Piping", IF(ISBLANK(Piping!K139), "", Piping!K139), IF($N$1="Vessels", IF(ISBLANK(Vessels!K139), "", Vessels!K139), ""))</f>
        <v/>
      </c>
      <c r="L139" s="21" t="str">
        <f>IF($N$1="Piping", IF(ISBLANK(Piping!L139), "", Piping!L139), IF($N$1="Vessels", IF(ISBLANK(Vessels!L139), "", Vessels!L139), ""))</f>
        <v/>
      </c>
      <c r="M139" s="21"/>
      <c r="N139" s="21"/>
      <c r="O139" s="21"/>
      <c r="P139" s="21"/>
      <c r="Q139" s="21" t="str">
        <f>IF($N$1="Piping", IF(ISBLANK(Piping!T139), "", Piping!T139), IF($N$1="Vessels", IF(ISBLANK(Vessels!T139), "", Vessels!T139), ""))</f>
        <v/>
      </c>
      <c r="R139" s="51" t="str">
        <f>IF($N$1="Piping", IF(ISBLANK(Piping!U139), "", Piping!U139), IF($N$1="Vessels", IF(ISBLANK(Vessels!U139), "", Vessels!U139), ""))</f>
        <v/>
      </c>
      <c r="S139" s="118" t="str">
        <f>IF(B139&lt;&gt;"",IF($N$1="Piping", IF(ISBLANK(Piping!$J$3), "", Piping!$J$3), IF($N$1="Vessels", IF(ISBLANK(Vessels!$J$3), "", Vessels!$J$3), "")),"")</f>
        <v/>
      </c>
      <c r="T139" s="37"/>
      <c r="U139" s="37"/>
      <c r="V139" s="37"/>
      <c r="W139" s="37"/>
      <c r="X139" s="37"/>
      <c r="Y139" s="37"/>
      <c r="Z139" s="37"/>
    </row>
    <row r="140" spans="1:26" ht="15.75" customHeight="1" x14ac:dyDescent="0.3">
      <c r="A140" s="22">
        <f>IF($N$1="Piping", IF(ISBLANK(Piping!A140), "", Piping!A140), IF($N$1="Vessels", IF(ISBLANK(Vessels!A140), "", Vessels!A140), ""))</f>
        <v>34.299999999999997</v>
      </c>
      <c r="B140" s="21" t="str">
        <f>IF($N$1="Piping", IF(ISBLANK(Piping!B140), "", Piping!B140), IF($N$1="Vessels", IF(ISBLANK(Vessels!B140), "", Vessels!B140), ""))</f>
        <v/>
      </c>
      <c r="C140" s="21" t="str">
        <f>IF($N$1="Piping", IF(ISBLANK(Piping!C140), "", Piping!C140), IF($N$1="Vessels", IF(ISBLANK(Vessels!C140), "", Vessels!C140), ""))</f>
        <v>Piping</v>
      </c>
      <c r="D140" s="21" t="str">
        <f>IF($N$1="Piping", IF(ISBLANK(Piping!D140), "", Piping!D140), IF($N$1="Vessels", IF(ISBLANK(Vessels!D140), "", Vessels!D140), ""))</f>
        <v/>
      </c>
      <c r="E140" s="21" t="str">
        <f>IF($N$1="Piping", IF(ISBLANK(Piping!E140), "", Piping!E140), IF($N$1="Vessels", IF(ISBLANK(Vessels!E140), "", Vessels!E140), ""))</f>
        <v/>
      </c>
      <c r="F140" s="21" t="str">
        <f>IF($N$1="Piping", IF(ISBLANK(Piping!F140), "", Piping!F140), IF($N$1="Vessels", IF(ISBLANK(Vessels!F140), "", Vessels!F140), ""))</f>
        <v/>
      </c>
      <c r="G140" s="21">
        <f>IF($N$1="Piping", IF(ISBLANK(Piping!G140), "", Piping!G140), IF($N$1="Vessels", IF(ISBLANK(Vessels!G140), "", Vessels!G140), ""))</f>
        <v>0</v>
      </c>
      <c r="H140" s="21" t="str">
        <f>IF($N$1="Piping", IF(ISBLANK(Piping!H140), "", Piping!H140), IF($N$1="Vessels", IF(ISBLANK(Vessels!H140), "", Vessels!H140), ""))</f>
        <v/>
      </c>
      <c r="I140" s="21" t="str">
        <f>IF($N$1="Piping", IF(ISBLANK(Piping!I140), "", Piping!I140), IF($N$1="Vessels", IF(ISBLANK(Vessels!I140), "", Vessels!I140), ""))</f>
        <v/>
      </c>
      <c r="J140" s="21" t="str">
        <f>IF($N$1="Piping", IF(ISBLANK(Piping!J140), "", Piping!J140), IF($N$1="Vessels", IF(ISBLANK(Vessels!J140), "", Vessels!J140), ""))</f>
        <v/>
      </c>
      <c r="K140" s="21" t="str">
        <f>IF($N$1="Piping", IF(ISBLANK(Piping!K140), "", Piping!K140), IF($N$1="Vessels", IF(ISBLANK(Vessels!K140), "", Vessels!K140), ""))</f>
        <v/>
      </c>
      <c r="L140" s="21" t="str">
        <f>IF($N$1="Piping", IF(ISBLANK(Piping!L140), "", Piping!L140), IF($N$1="Vessels", IF(ISBLANK(Vessels!L140), "", Vessels!L140), ""))</f>
        <v/>
      </c>
      <c r="M140" s="21"/>
      <c r="N140" s="21"/>
      <c r="O140" s="21"/>
      <c r="P140" s="21"/>
      <c r="Q140" s="21" t="str">
        <f>IF($N$1="Piping", IF(ISBLANK(Piping!T140), "", Piping!T140), IF($N$1="Vessels", IF(ISBLANK(Vessels!T140), "", Vessels!T140), ""))</f>
        <v/>
      </c>
      <c r="R140" s="51" t="str">
        <f>IF($N$1="Piping", IF(ISBLANK(Piping!U140), "", Piping!U140), IF($N$1="Vessels", IF(ISBLANK(Vessels!U140), "", Vessels!U140), ""))</f>
        <v/>
      </c>
      <c r="S140" s="118" t="str">
        <f>IF(B140&lt;&gt;"",IF($N$1="Piping", IF(ISBLANK(Piping!$J$3), "", Piping!$J$3), IF($N$1="Vessels", IF(ISBLANK(Vessels!$J$3), "", Vessels!$J$3), "")),"")</f>
        <v/>
      </c>
      <c r="T140" s="37"/>
      <c r="U140" s="37"/>
      <c r="V140" s="37"/>
      <c r="W140" s="37"/>
      <c r="X140" s="37"/>
      <c r="Y140" s="37"/>
      <c r="Z140" s="37"/>
    </row>
    <row r="141" spans="1:26" ht="15.75" customHeight="1" x14ac:dyDescent="0.3">
      <c r="A141" s="22">
        <f>IF($N$1="Piping", IF(ISBLANK(Piping!A141), "", Piping!A141), IF($N$1="Vessels", IF(ISBLANK(Vessels!A141), "", Vessels!A141), ""))</f>
        <v>34.4</v>
      </c>
      <c r="B141" s="21" t="str">
        <f>IF($N$1="Piping", IF(ISBLANK(Piping!B141), "", Piping!B141), IF($N$1="Vessels", IF(ISBLANK(Vessels!B141), "", Vessels!B141), ""))</f>
        <v/>
      </c>
      <c r="C141" s="21" t="str">
        <f>IF($N$1="Piping", IF(ISBLANK(Piping!C141), "", Piping!C141), IF($N$1="Vessels", IF(ISBLANK(Vessels!C141), "", Vessels!C141), ""))</f>
        <v>Piping</v>
      </c>
      <c r="D141" s="21" t="str">
        <f>IF($N$1="Piping", IF(ISBLANK(Piping!D141), "", Piping!D141), IF($N$1="Vessels", IF(ISBLANK(Vessels!D141), "", Vessels!D141), ""))</f>
        <v/>
      </c>
      <c r="E141" s="21" t="str">
        <f>IF($N$1="Piping", IF(ISBLANK(Piping!E141), "", Piping!E141), IF($N$1="Vessels", IF(ISBLANK(Vessels!E141), "", Vessels!E141), ""))</f>
        <v/>
      </c>
      <c r="F141" s="21" t="str">
        <f>IF($N$1="Piping", IF(ISBLANK(Piping!F141), "", Piping!F141), IF($N$1="Vessels", IF(ISBLANK(Vessels!F141), "", Vessels!F141), ""))</f>
        <v/>
      </c>
      <c r="G141" s="21">
        <f>IF($N$1="Piping", IF(ISBLANK(Piping!G141), "", Piping!G141), IF($N$1="Vessels", IF(ISBLANK(Vessels!G141), "", Vessels!G141), ""))</f>
        <v>0</v>
      </c>
      <c r="H141" s="21" t="str">
        <f>IF($N$1="Piping", IF(ISBLANK(Piping!H141), "", Piping!H141), IF($N$1="Vessels", IF(ISBLANK(Vessels!H141), "", Vessels!H141), ""))</f>
        <v/>
      </c>
      <c r="I141" s="21" t="str">
        <f>IF($N$1="Piping", IF(ISBLANK(Piping!I141), "", Piping!I141), IF($N$1="Vessels", IF(ISBLANK(Vessels!I141), "", Vessels!I141), ""))</f>
        <v/>
      </c>
      <c r="J141" s="21" t="str">
        <f>IF($N$1="Piping", IF(ISBLANK(Piping!J141), "", Piping!J141), IF($N$1="Vessels", IF(ISBLANK(Vessels!J141), "", Vessels!J141), ""))</f>
        <v/>
      </c>
      <c r="K141" s="21" t="str">
        <f>IF($N$1="Piping", IF(ISBLANK(Piping!K141), "", Piping!K141), IF($N$1="Vessels", IF(ISBLANK(Vessels!K141), "", Vessels!K141), ""))</f>
        <v/>
      </c>
      <c r="L141" s="21" t="str">
        <f>IF($N$1="Piping", IF(ISBLANK(Piping!L141), "", Piping!L141), IF($N$1="Vessels", IF(ISBLANK(Vessels!L141), "", Vessels!L141), ""))</f>
        <v/>
      </c>
      <c r="M141" s="21"/>
      <c r="N141" s="21"/>
      <c r="O141" s="21"/>
      <c r="P141" s="21"/>
      <c r="Q141" s="21" t="str">
        <f>IF($N$1="Piping", IF(ISBLANK(Piping!T141), "", Piping!T141), IF($N$1="Vessels", IF(ISBLANK(Vessels!T141), "", Vessels!T141), ""))</f>
        <v/>
      </c>
      <c r="R141" s="51" t="str">
        <f>IF($N$1="Piping", IF(ISBLANK(Piping!U141), "", Piping!U141), IF($N$1="Vessels", IF(ISBLANK(Vessels!U141), "", Vessels!U141), ""))</f>
        <v/>
      </c>
      <c r="S141" s="118" t="str">
        <f>IF(B141&lt;&gt;"",IF($N$1="Piping", IF(ISBLANK(Piping!$J$3), "", Piping!$J$3), IF($N$1="Vessels", IF(ISBLANK(Vessels!$J$3), "", Vessels!$J$3), "")),"")</f>
        <v/>
      </c>
      <c r="T141" s="37"/>
      <c r="U141" s="37"/>
      <c r="V141" s="37"/>
      <c r="W141" s="37"/>
      <c r="X141" s="37"/>
      <c r="Y141" s="37"/>
      <c r="Z141" s="37"/>
    </row>
    <row r="142" spans="1:26" ht="15.75" customHeight="1" x14ac:dyDescent="0.3">
      <c r="A142" s="22">
        <f>IF($N$1="Piping", IF(ISBLANK(Piping!A142), "", Piping!A142), IF($N$1="Vessels", IF(ISBLANK(Vessels!A142), "", Vessels!A142), ""))</f>
        <v>35.1</v>
      </c>
      <c r="B142" s="21" t="str">
        <f>IF($N$1="Piping", IF(ISBLANK(Piping!B142), "", Piping!B142), IF($N$1="Vessels", IF(ISBLANK(Vessels!B142), "", Vessels!B142), ""))</f>
        <v/>
      </c>
      <c r="C142" s="21" t="str">
        <f>IF($N$1="Piping", IF(ISBLANK(Piping!C142), "", Piping!C142), IF($N$1="Vessels", IF(ISBLANK(Vessels!C142), "", Vessels!C142), ""))</f>
        <v>Piping</v>
      </c>
      <c r="D142" s="21" t="str">
        <f>IF($N$1="Piping", IF(ISBLANK(Piping!D142), "", Piping!D142), IF($N$1="Vessels", IF(ISBLANK(Vessels!D142), "", Vessels!D142), ""))</f>
        <v/>
      </c>
      <c r="E142" s="21" t="str">
        <f>IF($N$1="Piping", IF(ISBLANK(Piping!E142), "", Piping!E142), IF($N$1="Vessels", IF(ISBLANK(Vessels!E142), "", Vessels!E142), ""))</f>
        <v/>
      </c>
      <c r="F142" s="21" t="str">
        <f>IF($N$1="Piping", IF(ISBLANK(Piping!F142), "", Piping!F142), IF($N$1="Vessels", IF(ISBLANK(Vessels!F142), "", Vessels!F142), ""))</f>
        <v/>
      </c>
      <c r="G142" s="21">
        <f>IF($N$1="Piping", IF(ISBLANK(Piping!G142), "", Piping!G142), IF($N$1="Vessels", IF(ISBLANK(Vessels!G142), "", Vessels!G142), ""))</f>
        <v>0</v>
      </c>
      <c r="H142" s="21" t="str">
        <f>IF($N$1="Piping", IF(ISBLANK(Piping!H142), "", Piping!H142), IF($N$1="Vessels", IF(ISBLANK(Vessels!H142), "", Vessels!H142), ""))</f>
        <v/>
      </c>
      <c r="I142" s="21" t="str">
        <f>IF($N$1="Piping", IF(ISBLANK(Piping!I142), "", Piping!I142), IF($N$1="Vessels", IF(ISBLANK(Vessels!I142), "", Vessels!I142), ""))</f>
        <v/>
      </c>
      <c r="J142" s="21" t="str">
        <f>IF($N$1="Piping", IF(ISBLANK(Piping!J142), "", Piping!J142), IF($N$1="Vessels", IF(ISBLANK(Vessels!J142), "", Vessels!J142), ""))</f>
        <v/>
      </c>
      <c r="K142" s="21" t="str">
        <f>IF($N$1="Piping", IF(ISBLANK(Piping!K142), "", Piping!K142), IF($N$1="Vessels", IF(ISBLANK(Vessels!K142), "", Vessels!K142), ""))</f>
        <v/>
      </c>
      <c r="L142" s="21" t="str">
        <f>IF($N$1="Piping", IF(ISBLANK(Piping!L142), "", Piping!L142), IF($N$1="Vessels", IF(ISBLANK(Vessels!L142), "", Vessels!L142), ""))</f>
        <v/>
      </c>
      <c r="M142" s="21"/>
      <c r="N142" s="21"/>
      <c r="O142" s="21"/>
      <c r="P142" s="21"/>
      <c r="Q142" s="21" t="str">
        <f>IF($N$1="Piping", IF(ISBLANK(Piping!T142), "", Piping!T142), IF($N$1="Vessels", IF(ISBLANK(Vessels!T142), "", Vessels!T142), ""))</f>
        <v/>
      </c>
      <c r="R142" s="51" t="str">
        <f>IF($N$1="Piping", IF(ISBLANK(Piping!U142), "", Piping!U142), IF($N$1="Vessels", IF(ISBLANK(Vessels!U142), "", Vessels!U142), ""))</f>
        <v/>
      </c>
      <c r="S142" s="118" t="str">
        <f>IF(B142&lt;&gt;"",IF($N$1="Piping", IF(ISBLANK(Piping!$J$3), "", Piping!$J$3), IF($N$1="Vessels", IF(ISBLANK(Vessels!$J$3), "", Vessels!$J$3), "")),"")</f>
        <v/>
      </c>
      <c r="T142" s="37"/>
      <c r="U142" s="37"/>
      <c r="V142" s="37"/>
      <c r="W142" s="37"/>
      <c r="X142" s="37"/>
      <c r="Y142" s="37"/>
      <c r="Z142" s="37"/>
    </row>
    <row r="143" spans="1:26" ht="15.75" customHeight="1" x14ac:dyDescent="0.3">
      <c r="A143" s="22">
        <f>IF($N$1="Piping", IF(ISBLANK(Piping!A143), "", Piping!A143), IF($N$1="Vessels", IF(ISBLANK(Vessels!A143), "", Vessels!A143), ""))</f>
        <v>35.200000000000003</v>
      </c>
      <c r="B143" s="21" t="str">
        <f>IF($N$1="Piping", IF(ISBLANK(Piping!B143), "", Piping!B143), IF($N$1="Vessels", IF(ISBLANK(Vessels!B143), "", Vessels!B143), ""))</f>
        <v/>
      </c>
      <c r="C143" s="21" t="str">
        <f>IF($N$1="Piping", IF(ISBLANK(Piping!C143), "", Piping!C143), IF($N$1="Vessels", IF(ISBLANK(Vessels!C143), "", Vessels!C143), ""))</f>
        <v>Piping</v>
      </c>
      <c r="D143" s="21" t="str">
        <f>IF($N$1="Piping", IF(ISBLANK(Piping!D143), "", Piping!D143), IF($N$1="Vessels", IF(ISBLANK(Vessels!D143), "", Vessels!D143), ""))</f>
        <v/>
      </c>
      <c r="E143" s="21" t="str">
        <f>IF($N$1="Piping", IF(ISBLANK(Piping!E143), "", Piping!E143), IF($N$1="Vessels", IF(ISBLANK(Vessels!E143), "", Vessels!E143), ""))</f>
        <v/>
      </c>
      <c r="F143" s="21" t="str">
        <f>IF($N$1="Piping", IF(ISBLANK(Piping!F143), "", Piping!F143), IF($N$1="Vessels", IF(ISBLANK(Vessels!F143), "", Vessels!F143), ""))</f>
        <v/>
      </c>
      <c r="G143" s="21">
        <f>IF($N$1="Piping", IF(ISBLANK(Piping!G143), "", Piping!G143), IF($N$1="Vessels", IF(ISBLANK(Vessels!G143), "", Vessels!G143), ""))</f>
        <v>0</v>
      </c>
      <c r="H143" s="21" t="str">
        <f>IF($N$1="Piping", IF(ISBLANK(Piping!H143), "", Piping!H143), IF($N$1="Vessels", IF(ISBLANK(Vessels!H143), "", Vessels!H143), ""))</f>
        <v/>
      </c>
      <c r="I143" s="21" t="str">
        <f>IF($N$1="Piping", IF(ISBLANK(Piping!I143), "", Piping!I143), IF($N$1="Vessels", IF(ISBLANK(Vessels!I143), "", Vessels!I143), ""))</f>
        <v/>
      </c>
      <c r="J143" s="21" t="str">
        <f>IF($N$1="Piping", IF(ISBLANK(Piping!J143), "", Piping!J143), IF($N$1="Vessels", IF(ISBLANK(Vessels!J143), "", Vessels!J143), ""))</f>
        <v/>
      </c>
      <c r="K143" s="21" t="str">
        <f>IF($N$1="Piping", IF(ISBLANK(Piping!K143), "", Piping!K143), IF($N$1="Vessels", IF(ISBLANK(Vessels!K143), "", Vessels!K143), ""))</f>
        <v/>
      </c>
      <c r="L143" s="21" t="str">
        <f>IF($N$1="Piping", IF(ISBLANK(Piping!L143), "", Piping!L143), IF($N$1="Vessels", IF(ISBLANK(Vessels!L143), "", Vessels!L143), ""))</f>
        <v/>
      </c>
      <c r="M143" s="21"/>
      <c r="N143" s="21"/>
      <c r="O143" s="21"/>
      <c r="P143" s="21"/>
      <c r="Q143" s="21" t="str">
        <f>IF($N$1="Piping", IF(ISBLANK(Piping!T143), "", Piping!T143), IF($N$1="Vessels", IF(ISBLANK(Vessels!T143), "", Vessels!T143), ""))</f>
        <v/>
      </c>
      <c r="R143" s="51" t="str">
        <f>IF($N$1="Piping", IF(ISBLANK(Piping!U143), "", Piping!U143), IF($N$1="Vessels", IF(ISBLANK(Vessels!U143), "", Vessels!U143), ""))</f>
        <v/>
      </c>
      <c r="S143" s="118" t="str">
        <f>IF(B143&lt;&gt;"",IF($N$1="Piping", IF(ISBLANK(Piping!$J$3), "", Piping!$J$3), IF($N$1="Vessels", IF(ISBLANK(Vessels!$J$3), "", Vessels!$J$3), "")),"")</f>
        <v/>
      </c>
      <c r="T143" s="37"/>
      <c r="U143" s="37"/>
      <c r="V143" s="37"/>
      <c r="W143" s="37"/>
      <c r="X143" s="37"/>
      <c r="Y143" s="37"/>
      <c r="Z143" s="37"/>
    </row>
    <row r="144" spans="1:26" ht="15.75" customHeight="1" x14ac:dyDescent="0.3">
      <c r="A144" s="22">
        <f>IF($N$1="Piping", IF(ISBLANK(Piping!A144), "", Piping!A144), IF($N$1="Vessels", IF(ISBLANK(Vessels!A144), "", Vessels!A144), ""))</f>
        <v>35.299999999999997</v>
      </c>
      <c r="B144" s="21" t="str">
        <f>IF($N$1="Piping", IF(ISBLANK(Piping!B144), "", Piping!B144), IF($N$1="Vessels", IF(ISBLANK(Vessels!B144), "", Vessels!B144), ""))</f>
        <v/>
      </c>
      <c r="C144" s="21" t="str">
        <f>IF($N$1="Piping", IF(ISBLANK(Piping!C144), "", Piping!C144), IF($N$1="Vessels", IF(ISBLANK(Vessels!C144), "", Vessels!C144), ""))</f>
        <v>Piping</v>
      </c>
      <c r="D144" s="21" t="str">
        <f>IF($N$1="Piping", IF(ISBLANK(Piping!D144), "", Piping!D144), IF($N$1="Vessels", IF(ISBLANK(Vessels!D144), "", Vessels!D144), ""))</f>
        <v/>
      </c>
      <c r="E144" s="21" t="str">
        <f>IF($N$1="Piping", IF(ISBLANK(Piping!E144), "", Piping!E144), IF($N$1="Vessels", IF(ISBLANK(Vessels!E144), "", Vessels!E144), ""))</f>
        <v/>
      </c>
      <c r="F144" s="21" t="str">
        <f>IF($N$1="Piping", IF(ISBLANK(Piping!F144), "", Piping!F144), IF($N$1="Vessels", IF(ISBLANK(Vessels!F144), "", Vessels!F144), ""))</f>
        <v/>
      </c>
      <c r="G144" s="21">
        <f>IF($N$1="Piping", IF(ISBLANK(Piping!G144), "", Piping!G144), IF($N$1="Vessels", IF(ISBLANK(Vessels!G144), "", Vessels!G144), ""))</f>
        <v>0</v>
      </c>
      <c r="H144" s="21" t="str">
        <f>IF($N$1="Piping", IF(ISBLANK(Piping!H144), "", Piping!H144), IF($N$1="Vessels", IF(ISBLANK(Vessels!H144), "", Vessels!H144), ""))</f>
        <v/>
      </c>
      <c r="I144" s="21" t="str">
        <f>IF($N$1="Piping", IF(ISBLANK(Piping!I144), "", Piping!I144), IF($N$1="Vessels", IF(ISBLANK(Vessels!I144), "", Vessels!I144), ""))</f>
        <v/>
      </c>
      <c r="J144" s="21" t="str">
        <f>IF($N$1="Piping", IF(ISBLANK(Piping!J144), "", Piping!J144), IF($N$1="Vessels", IF(ISBLANK(Vessels!J144), "", Vessels!J144), ""))</f>
        <v/>
      </c>
      <c r="K144" s="21" t="str">
        <f>IF($N$1="Piping", IF(ISBLANK(Piping!K144), "", Piping!K144), IF($N$1="Vessels", IF(ISBLANK(Vessels!K144), "", Vessels!K144), ""))</f>
        <v/>
      </c>
      <c r="L144" s="21" t="str">
        <f>IF($N$1="Piping", IF(ISBLANK(Piping!L144), "", Piping!L144), IF($N$1="Vessels", IF(ISBLANK(Vessels!L144), "", Vessels!L144), ""))</f>
        <v/>
      </c>
      <c r="M144" s="21"/>
      <c r="N144" s="21"/>
      <c r="O144" s="21"/>
      <c r="P144" s="21"/>
      <c r="Q144" s="21" t="str">
        <f>IF($N$1="Piping", IF(ISBLANK(Piping!T144), "", Piping!T144), IF($N$1="Vessels", IF(ISBLANK(Vessels!T144), "", Vessels!T144), ""))</f>
        <v/>
      </c>
      <c r="R144" s="51" t="str">
        <f>IF($N$1="Piping", IF(ISBLANK(Piping!U144), "", Piping!U144), IF($N$1="Vessels", IF(ISBLANK(Vessels!U144), "", Vessels!U144), ""))</f>
        <v/>
      </c>
      <c r="S144" s="118" t="str">
        <f>IF(B144&lt;&gt;"",IF($N$1="Piping", IF(ISBLANK(Piping!$J$3), "", Piping!$J$3), IF($N$1="Vessels", IF(ISBLANK(Vessels!$J$3), "", Vessels!$J$3), "")),"")</f>
        <v/>
      </c>
      <c r="T144" s="37"/>
      <c r="U144" s="37"/>
      <c r="V144" s="37"/>
      <c r="W144" s="37"/>
      <c r="X144" s="37"/>
      <c r="Y144" s="37"/>
      <c r="Z144" s="37"/>
    </row>
    <row r="145" spans="1:26" ht="15.75" customHeight="1" x14ac:dyDescent="0.3">
      <c r="A145" s="22">
        <f>IF($N$1="Piping", IF(ISBLANK(Piping!A145), "", Piping!A145), IF($N$1="Vessels", IF(ISBLANK(Vessels!A145), "", Vessels!A145), ""))</f>
        <v>35.4</v>
      </c>
      <c r="B145" s="21" t="str">
        <f>IF($N$1="Piping", IF(ISBLANK(Piping!B145), "", Piping!B145), IF($N$1="Vessels", IF(ISBLANK(Vessels!B145), "", Vessels!B145), ""))</f>
        <v/>
      </c>
      <c r="C145" s="21" t="str">
        <f>IF($N$1="Piping", IF(ISBLANK(Piping!C145), "", Piping!C145), IF($N$1="Vessels", IF(ISBLANK(Vessels!C145), "", Vessels!C145), ""))</f>
        <v>Piping</v>
      </c>
      <c r="D145" s="21" t="str">
        <f>IF($N$1="Piping", IF(ISBLANK(Piping!D145), "", Piping!D145), IF($N$1="Vessels", IF(ISBLANK(Vessels!D145), "", Vessels!D145), ""))</f>
        <v/>
      </c>
      <c r="E145" s="21" t="str">
        <f>IF($N$1="Piping", IF(ISBLANK(Piping!E145), "", Piping!E145), IF($N$1="Vessels", IF(ISBLANK(Vessels!E145), "", Vessels!E145), ""))</f>
        <v/>
      </c>
      <c r="F145" s="21" t="str">
        <f>IF($N$1="Piping", IF(ISBLANK(Piping!F145), "", Piping!F145), IF($N$1="Vessels", IF(ISBLANK(Vessels!F145), "", Vessels!F145), ""))</f>
        <v/>
      </c>
      <c r="G145" s="21">
        <f>IF($N$1="Piping", IF(ISBLANK(Piping!G145), "", Piping!G145), IF($N$1="Vessels", IF(ISBLANK(Vessels!G145), "", Vessels!G145), ""))</f>
        <v>0</v>
      </c>
      <c r="H145" s="21" t="str">
        <f>IF($N$1="Piping", IF(ISBLANK(Piping!H145), "", Piping!H145), IF($N$1="Vessels", IF(ISBLANK(Vessels!H145), "", Vessels!H145), ""))</f>
        <v/>
      </c>
      <c r="I145" s="21" t="str">
        <f>IF($N$1="Piping", IF(ISBLANK(Piping!I145), "", Piping!I145), IF($N$1="Vessels", IF(ISBLANK(Vessels!I145), "", Vessels!I145), ""))</f>
        <v/>
      </c>
      <c r="J145" s="21" t="str">
        <f>IF($N$1="Piping", IF(ISBLANK(Piping!J145), "", Piping!J145), IF($N$1="Vessels", IF(ISBLANK(Vessels!J145), "", Vessels!J145), ""))</f>
        <v/>
      </c>
      <c r="K145" s="21" t="str">
        <f>IF($N$1="Piping", IF(ISBLANK(Piping!K145), "", Piping!K145), IF($N$1="Vessels", IF(ISBLANK(Vessels!K145), "", Vessels!K145), ""))</f>
        <v/>
      </c>
      <c r="L145" s="21" t="str">
        <f>IF($N$1="Piping", IF(ISBLANK(Piping!L145), "", Piping!L145), IF($N$1="Vessels", IF(ISBLANK(Vessels!L145), "", Vessels!L145), ""))</f>
        <v/>
      </c>
      <c r="M145" s="21"/>
      <c r="N145" s="21"/>
      <c r="O145" s="21"/>
      <c r="P145" s="21"/>
      <c r="Q145" s="21" t="str">
        <f>IF($N$1="Piping", IF(ISBLANK(Piping!T145), "", Piping!T145), IF($N$1="Vessels", IF(ISBLANK(Vessels!T145), "", Vessels!T145), ""))</f>
        <v/>
      </c>
      <c r="R145" s="51" t="str">
        <f>IF($N$1="Piping", IF(ISBLANK(Piping!U145), "", Piping!U145), IF($N$1="Vessels", IF(ISBLANK(Vessels!U145), "", Vessels!U145), ""))</f>
        <v/>
      </c>
      <c r="S145" s="118" t="str">
        <f>IF(B145&lt;&gt;"",IF($N$1="Piping", IF(ISBLANK(Piping!$J$3), "", Piping!$J$3), IF($N$1="Vessels", IF(ISBLANK(Vessels!$J$3), "", Vessels!$J$3), "")),"")</f>
        <v/>
      </c>
      <c r="T145" s="37"/>
      <c r="U145" s="37"/>
      <c r="V145" s="37"/>
      <c r="W145" s="37"/>
      <c r="X145" s="37"/>
      <c r="Y145" s="37"/>
      <c r="Z145" s="37"/>
    </row>
    <row r="146" spans="1:26" ht="15.75" customHeight="1" x14ac:dyDescent="0.3">
      <c r="A146" s="22">
        <f>IF($N$1="Piping", IF(ISBLANK(Piping!A146), "", Piping!A146), IF($N$1="Vessels", IF(ISBLANK(Vessels!A146), "", Vessels!A146), ""))</f>
        <v>36.1</v>
      </c>
      <c r="B146" s="21" t="str">
        <f>IF($N$1="Piping", IF(ISBLANK(Piping!B146), "", Piping!B146), IF($N$1="Vessels", IF(ISBLANK(Vessels!B146), "", Vessels!B146), ""))</f>
        <v/>
      </c>
      <c r="C146" s="21" t="str">
        <f>IF($N$1="Piping", IF(ISBLANK(Piping!C146), "", Piping!C146), IF($N$1="Vessels", IF(ISBLANK(Vessels!C146), "", Vessels!C146), ""))</f>
        <v>Piping</v>
      </c>
      <c r="D146" s="21" t="str">
        <f>IF($N$1="Piping", IF(ISBLANK(Piping!D146), "", Piping!D146), IF($N$1="Vessels", IF(ISBLANK(Vessels!D146), "", Vessels!D146), ""))</f>
        <v/>
      </c>
      <c r="E146" s="21" t="str">
        <f>IF($N$1="Piping", IF(ISBLANK(Piping!E146), "", Piping!E146), IF($N$1="Vessels", IF(ISBLANK(Vessels!E146), "", Vessels!E146), ""))</f>
        <v/>
      </c>
      <c r="F146" s="21" t="str">
        <f>IF($N$1="Piping", IF(ISBLANK(Piping!F146), "", Piping!F146), IF($N$1="Vessels", IF(ISBLANK(Vessels!F146), "", Vessels!F146), ""))</f>
        <v/>
      </c>
      <c r="G146" s="21">
        <f>IF($N$1="Piping", IF(ISBLANK(Piping!G146), "", Piping!G146), IF($N$1="Vessels", IF(ISBLANK(Vessels!G146), "", Vessels!G146), ""))</f>
        <v>0</v>
      </c>
      <c r="H146" s="21" t="str">
        <f>IF($N$1="Piping", IF(ISBLANK(Piping!H146), "", Piping!H146), IF($N$1="Vessels", IF(ISBLANK(Vessels!H146), "", Vessels!H146), ""))</f>
        <v/>
      </c>
      <c r="I146" s="21" t="str">
        <f>IF($N$1="Piping", IF(ISBLANK(Piping!I146), "", Piping!I146), IF($N$1="Vessels", IF(ISBLANK(Vessels!I146), "", Vessels!I146), ""))</f>
        <v/>
      </c>
      <c r="J146" s="21" t="str">
        <f>IF($N$1="Piping", IF(ISBLANK(Piping!J146), "", Piping!J146), IF($N$1="Vessels", IF(ISBLANK(Vessels!J146), "", Vessels!J146), ""))</f>
        <v/>
      </c>
      <c r="K146" s="21" t="str">
        <f>IF($N$1="Piping", IF(ISBLANK(Piping!K146), "", Piping!K146), IF($N$1="Vessels", IF(ISBLANK(Vessels!K146), "", Vessels!K146), ""))</f>
        <v/>
      </c>
      <c r="L146" s="21" t="str">
        <f>IF($N$1="Piping", IF(ISBLANK(Piping!L146), "", Piping!L146), IF($N$1="Vessels", IF(ISBLANK(Vessels!L146), "", Vessels!L146), ""))</f>
        <v/>
      </c>
      <c r="M146" s="21"/>
      <c r="N146" s="21"/>
      <c r="O146" s="21"/>
      <c r="P146" s="21"/>
      <c r="Q146" s="21" t="str">
        <f>IF($N$1="Piping", IF(ISBLANK(Piping!T146), "", Piping!T146), IF($N$1="Vessels", IF(ISBLANK(Vessels!T146), "", Vessels!T146), ""))</f>
        <v/>
      </c>
      <c r="R146" s="51" t="str">
        <f>IF($N$1="Piping", IF(ISBLANK(Piping!U146), "", Piping!U146), IF($N$1="Vessels", IF(ISBLANK(Vessels!U146), "", Vessels!U146), ""))</f>
        <v/>
      </c>
      <c r="S146" s="118" t="str">
        <f>IF(B146&lt;&gt;"",IF($N$1="Piping", IF(ISBLANK(Piping!$J$3), "", Piping!$J$3), IF($N$1="Vessels", IF(ISBLANK(Vessels!$J$3), "", Vessels!$J$3), "")),"")</f>
        <v/>
      </c>
      <c r="T146" s="37"/>
      <c r="U146" s="37"/>
      <c r="V146" s="37"/>
      <c r="W146" s="37"/>
      <c r="X146" s="37"/>
      <c r="Y146" s="37"/>
      <c r="Z146" s="37"/>
    </row>
    <row r="147" spans="1:26" ht="15.75" customHeight="1" x14ac:dyDescent="0.3">
      <c r="A147" s="22">
        <f>IF($N$1="Piping", IF(ISBLANK(Piping!A147), "", Piping!A147), IF($N$1="Vessels", IF(ISBLANK(Vessels!A147), "", Vessels!A147), ""))</f>
        <v>36.200000000000003</v>
      </c>
      <c r="B147" s="21" t="str">
        <f>IF($N$1="Piping", IF(ISBLANK(Piping!B147), "", Piping!B147), IF($N$1="Vessels", IF(ISBLANK(Vessels!B147), "", Vessels!B147), ""))</f>
        <v/>
      </c>
      <c r="C147" s="21" t="str">
        <f>IF($N$1="Piping", IF(ISBLANK(Piping!C147), "", Piping!C147), IF($N$1="Vessels", IF(ISBLANK(Vessels!C147), "", Vessels!C147), ""))</f>
        <v>Piping</v>
      </c>
      <c r="D147" s="21" t="str">
        <f>IF($N$1="Piping", IF(ISBLANK(Piping!D147), "", Piping!D147), IF($N$1="Vessels", IF(ISBLANK(Vessels!D147), "", Vessels!D147), ""))</f>
        <v/>
      </c>
      <c r="E147" s="21" t="str">
        <f>IF($N$1="Piping", IF(ISBLANK(Piping!E147), "", Piping!E147), IF($N$1="Vessels", IF(ISBLANK(Vessels!E147), "", Vessels!E147), ""))</f>
        <v/>
      </c>
      <c r="F147" s="21" t="str">
        <f>IF($N$1="Piping", IF(ISBLANK(Piping!F147), "", Piping!F147), IF($N$1="Vessels", IF(ISBLANK(Vessels!F147), "", Vessels!F147), ""))</f>
        <v/>
      </c>
      <c r="G147" s="21">
        <f>IF($N$1="Piping", IF(ISBLANK(Piping!G147), "", Piping!G147), IF($N$1="Vessels", IF(ISBLANK(Vessels!G147), "", Vessels!G147), ""))</f>
        <v>0</v>
      </c>
      <c r="H147" s="21" t="str">
        <f>IF($N$1="Piping", IF(ISBLANK(Piping!H147), "", Piping!H147), IF($N$1="Vessels", IF(ISBLANK(Vessels!H147), "", Vessels!H147), ""))</f>
        <v/>
      </c>
      <c r="I147" s="21" t="str">
        <f>IF($N$1="Piping", IF(ISBLANK(Piping!I147), "", Piping!I147), IF($N$1="Vessels", IF(ISBLANK(Vessels!I147), "", Vessels!I147), ""))</f>
        <v/>
      </c>
      <c r="J147" s="21" t="str">
        <f>IF($N$1="Piping", IF(ISBLANK(Piping!J147), "", Piping!J147), IF($N$1="Vessels", IF(ISBLANK(Vessels!J147), "", Vessels!J147), ""))</f>
        <v/>
      </c>
      <c r="K147" s="21" t="str">
        <f>IF($N$1="Piping", IF(ISBLANK(Piping!K147), "", Piping!K147), IF($N$1="Vessels", IF(ISBLANK(Vessels!K147), "", Vessels!K147), ""))</f>
        <v/>
      </c>
      <c r="L147" s="21" t="str">
        <f>IF($N$1="Piping", IF(ISBLANK(Piping!L147), "", Piping!L147), IF($N$1="Vessels", IF(ISBLANK(Vessels!L147), "", Vessels!L147), ""))</f>
        <v/>
      </c>
      <c r="M147" s="21"/>
      <c r="N147" s="21"/>
      <c r="O147" s="21"/>
      <c r="P147" s="21"/>
      <c r="Q147" s="21" t="str">
        <f>IF($N$1="Piping", IF(ISBLANK(Piping!T147), "", Piping!T147), IF($N$1="Vessels", IF(ISBLANK(Vessels!T147), "", Vessels!T147), ""))</f>
        <v/>
      </c>
      <c r="R147" s="51" t="str">
        <f>IF($N$1="Piping", IF(ISBLANK(Piping!U147), "", Piping!U147), IF($N$1="Vessels", IF(ISBLANK(Vessels!U147), "", Vessels!U147), ""))</f>
        <v/>
      </c>
      <c r="S147" s="118" t="str">
        <f>IF(B147&lt;&gt;"",IF($N$1="Piping", IF(ISBLANK(Piping!$J$3), "", Piping!$J$3), IF($N$1="Vessels", IF(ISBLANK(Vessels!$J$3), "", Vessels!$J$3), "")),"")</f>
        <v/>
      </c>
      <c r="T147" s="37"/>
      <c r="U147" s="37"/>
      <c r="V147" s="37"/>
      <c r="W147" s="37"/>
      <c r="X147" s="37"/>
      <c r="Y147" s="37"/>
      <c r="Z147" s="37"/>
    </row>
    <row r="148" spans="1:26" ht="15.75" customHeight="1" x14ac:dyDescent="0.3">
      <c r="A148" s="22">
        <f>IF($N$1="Piping", IF(ISBLANK(Piping!A148), "", Piping!A148), IF($N$1="Vessels", IF(ISBLANK(Vessels!A148), "", Vessels!A148), ""))</f>
        <v>36.299999999999997</v>
      </c>
      <c r="B148" s="21" t="str">
        <f>IF($N$1="Piping", IF(ISBLANK(Piping!B148), "", Piping!B148), IF($N$1="Vessels", IF(ISBLANK(Vessels!B148), "", Vessels!B148), ""))</f>
        <v/>
      </c>
      <c r="C148" s="21" t="str">
        <f>IF($N$1="Piping", IF(ISBLANK(Piping!C148), "", Piping!C148), IF($N$1="Vessels", IF(ISBLANK(Vessels!C148), "", Vessels!C148), ""))</f>
        <v>Piping</v>
      </c>
      <c r="D148" s="21" t="str">
        <f>IF($N$1="Piping", IF(ISBLANK(Piping!D148), "", Piping!D148), IF($N$1="Vessels", IF(ISBLANK(Vessels!D148), "", Vessels!D148), ""))</f>
        <v/>
      </c>
      <c r="E148" s="21" t="str">
        <f>IF($N$1="Piping", IF(ISBLANK(Piping!E148), "", Piping!E148), IF($N$1="Vessels", IF(ISBLANK(Vessels!E148), "", Vessels!E148), ""))</f>
        <v/>
      </c>
      <c r="F148" s="21" t="str">
        <f>IF($N$1="Piping", IF(ISBLANK(Piping!F148), "", Piping!F148), IF($N$1="Vessels", IF(ISBLANK(Vessels!F148), "", Vessels!F148), ""))</f>
        <v/>
      </c>
      <c r="G148" s="21">
        <f>IF($N$1="Piping", IF(ISBLANK(Piping!G148), "", Piping!G148), IF($N$1="Vessels", IF(ISBLANK(Vessels!G148), "", Vessels!G148), ""))</f>
        <v>0</v>
      </c>
      <c r="H148" s="21" t="str">
        <f>IF($N$1="Piping", IF(ISBLANK(Piping!H148), "", Piping!H148), IF($N$1="Vessels", IF(ISBLANK(Vessels!H148), "", Vessels!H148), ""))</f>
        <v/>
      </c>
      <c r="I148" s="21" t="str">
        <f>IF($N$1="Piping", IF(ISBLANK(Piping!I148), "", Piping!I148), IF($N$1="Vessels", IF(ISBLANK(Vessels!I148), "", Vessels!I148), ""))</f>
        <v/>
      </c>
      <c r="J148" s="21" t="str">
        <f>IF($N$1="Piping", IF(ISBLANK(Piping!J148), "", Piping!J148), IF($N$1="Vessels", IF(ISBLANK(Vessels!J148), "", Vessels!J148), ""))</f>
        <v/>
      </c>
      <c r="K148" s="21" t="str">
        <f>IF($N$1="Piping", IF(ISBLANK(Piping!K148), "", Piping!K148), IF($N$1="Vessels", IF(ISBLANK(Vessels!K148), "", Vessels!K148), ""))</f>
        <v/>
      </c>
      <c r="L148" s="21" t="str">
        <f>IF($N$1="Piping", IF(ISBLANK(Piping!L148), "", Piping!L148), IF($N$1="Vessels", IF(ISBLANK(Vessels!L148), "", Vessels!L148), ""))</f>
        <v/>
      </c>
      <c r="M148" s="21"/>
      <c r="N148" s="21"/>
      <c r="O148" s="21"/>
      <c r="P148" s="21"/>
      <c r="Q148" s="21" t="str">
        <f>IF($N$1="Piping", IF(ISBLANK(Piping!T148), "", Piping!T148), IF($N$1="Vessels", IF(ISBLANK(Vessels!T148), "", Vessels!T148), ""))</f>
        <v/>
      </c>
      <c r="R148" s="51" t="str">
        <f>IF($N$1="Piping", IF(ISBLANK(Piping!U148), "", Piping!U148), IF($N$1="Vessels", IF(ISBLANK(Vessels!U148), "", Vessels!U148), ""))</f>
        <v/>
      </c>
      <c r="S148" s="118" t="str">
        <f>IF(B148&lt;&gt;"",IF($N$1="Piping", IF(ISBLANK(Piping!$J$3), "", Piping!$J$3), IF($N$1="Vessels", IF(ISBLANK(Vessels!$J$3), "", Vessels!$J$3), "")),"")</f>
        <v/>
      </c>
      <c r="T148" s="37"/>
      <c r="U148" s="37"/>
      <c r="V148" s="37"/>
      <c r="W148" s="37"/>
      <c r="X148" s="37"/>
      <c r="Y148" s="37"/>
      <c r="Z148" s="37"/>
    </row>
    <row r="149" spans="1:26" ht="15.75" customHeight="1" x14ac:dyDescent="0.3">
      <c r="A149" s="22">
        <f>IF($N$1="Piping", IF(ISBLANK(Piping!A149), "", Piping!A149), IF($N$1="Vessels", IF(ISBLANK(Vessels!A149), "", Vessels!A149), ""))</f>
        <v>36.4</v>
      </c>
      <c r="B149" s="21" t="str">
        <f>IF($N$1="Piping", IF(ISBLANK(Piping!B149), "", Piping!B149), IF($N$1="Vessels", IF(ISBLANK(Vessels!B149), "", Vessels!B149), ""))</f>
        <v/>
      </c>
      <c r="C149" s="21" t="str">
        <f>IF($N$1="Piping", IF(ISBLANK(Piping!C149), "", Piping!C149), IF($N$1="Vessels", IF(ISBLANK(Vessels!C149), "", Vessels!C149), ""))</f>
        <v>Piping</v>
      </c>
      <c r="D149" s="21" t="str">
        <f>IF($N$1="Piping", IF(ISBLANK(Piping!D149), "", Piping!D149), IF($N$1="Vessels", IF(ISBLANK(Vessels!D149), "", Vessels!D149), ""))</f>
        <v/>
      </c>
      <c r="E149" s="21" t="str">
        <f>IF($N$1="Piping", IF(ISBLANK(Piping!E149), "", Piping!E149), IF($N$1="Vessels", IF(ISBLANK(Vessels!E149), "", Vessels!E149), ""))</f>
        <v/>
      </c>
      <c r="F149" s="21" t="str">
        <f>IF($N$1="Piping", IF(ISBLANK(Piping!F149), "", Piping!F149), IF($N$1="Vessels", IF(ISBLANK(Vessels!F149), "", Vessels!F149), ""))</f>
        <v/>
      </c>
      <c r="G149" s="21">
        <f>IF($N$1="Piping", IF(ISBLANK(Piping!G149), "", Piping!G149), IF($N$1="Vessels", IF(ISBLANK(Vessels!G149), "", Vessels!G149), ""))</f>
        <v>0</v>
      </c>
      <c r="H149" s="21" t="str">
        <f>IF($N$1="Piping", IF(ISBLANK(Piping!H149), "", Piping!H149), IF($N$1="Vessels", IF(ISBLANK(Vessels!H149), "", Vessels!H149), ""))</f>
        <v/>
      </c>
      <c r="I149" s="21" t="str">
        <f>IF($N$1="Piping", IF(ISBLANK(Piping!I149), "", Piping!I149), IF($N$1="Vessels", IF(ISBLANK(Vessels!I149), "", Vessels!I149), ""))</f>
        <v/>
      </c>
      <c r="J149" s="21" t="str">
        <f>IF($N$1="Piping", IF(ISBLANK(Piping!J149), "", Piping!J149), IF($N$1="Vessels", IF(ISBLANK(Vessels!J149), "", Vessels!J149), ""))</f>
        <v/>
      </c>
      <c r="K149" s="21" t="str">
        <f>IF($N$1="Piping", IF(ISBLANK(Piping!K149), "", Piping!K149), IF($N$1="Vessels", IF(ISBLANK(Vessels!K149), "", Vessels!K149), ""))</f>
        <v/>
      </c>
      <c r="L149" s="21" t="str">
        <f>IF($N$1="Piping", IF(ISBLANK(Piping!L149), "", Piping!L149), IF($N$1="Vessels", IF(ISBLANK(Vessels!L149), "", Vessels!L149), ""))</f>
        <v/>
      </c>
      <c r="M149" s="21"/>
      <c r="N149" s="21"/>
      <c r="O149" s="21"/>
      <c r="P149" s="21"/>
      <c r="Q149" s="21" t="str">
        <f>IF($N$1="Piping", IF(ISBLANK(Piping!T149), "", Piping!T149), IF($N$1="Vessels", IF(ISBLANK(Vessels!T149), "", Vessels!T149), ""))</f>
        <v/>
      </c>
      <c r="R149" s="51" t="str">
        <f>IF($N$1="Piping", IF(ISBLANK(Piping!U149), "", Piping!U149), IF($N$1="Vessels", IF(ISBLANK(Vessels!U149), "", Vessels!U149), ""))</f>
        <v/>
      </c>
      <c r="S149" s="118" t="str">
        <f>IF(B149&lt;&gt;"",IF($N$1="Piping", IF(ISBLANK(Piping!$J$3), "", Piping!$J$3), IF($N$1="Vessels", IF(ISBLANK(Vessels!$J$3), "", Vessels!$J$3), "")),"")</f>
        <v/>
      </c>
      <c r="T149" s="37"/>
      <c r="U149" s="37"/>
      <c r="V149" s="37"/>
      <c r="W149" s="37"/>
      <c r="X149" s="37"/>
      <c r="Y149" s="37"/>
      <c r="Z149" s="37"/>
    </row>
    <row r="150" spans="1:26" ht="15.75" customHeight="1" x14ac:dyDescent="0.3">
      <c r="A150" s="22">
        <f>IF($N$1="Piping", IF(ISBLANK(Piping!A150), "", Piping!A150), IF($N$1="Vessels", IF(ISBLANK(Vessels!A150), "", Vessels!A150), ""))</f>
        <v>37.1</v>
      </c>
      <c r="B150" s="21" t="str">
        <f>IF($N$1="Piping", IF(ISBLANK(Piping!B150), "", Piping!B150), IF($N$1="Vessels", IF(ISBLANK(Vessels!B150), "", Vessels!B150), ""))</f>
        <v/>
      </c>
      <c r="C150" s="21" t="str">
        <f>IF($N$1="Piping", IF(ISBLANK(Piping!C150), "", Piping!C150), IF($N$1="Vessels", IF(ISBLANK(Vessels!C150), "", Vessels!C150), ""))</f>
        <v>Piping</v>
      </c>
      <c r="D150" s="21" t="str">
        <f>IF($N$1="Piping", IF(ISBLANK(Piping!D150), "", Piping!D150), IF($N$1="Vessels", IF(ISBLANK(Vessels!D150), "", Vessels!D150), ""))</f>
        <v/>
      </c>
      <c r="E150" s="21" t="str">
        <f>IF($N$1="Piping", IF(ISBLANK(Piping!E150), "", Piping!E150), IF($N$1="Vessels", IF(ISBLANK(Vessels!E150), "", Vessels!E150), ""))</f>
        <v/>
      </c>
      <c r="F150" s="21" t="str">
        <f>IF($N$1="Piping", IF(ISBLANK(Piping!F150), "", Piping!F150), IF($N$1="Vessels", IF(ISBLANK(Vessels!F150), "", Vessels!F150), ""))</f>
        <v/>
      </c>
      <c r="G150" s="21">
        <f>IF($N$1="Piping", IF(ISBLANK(Piping!G150), "", Piping!G150), IF($N$1="Vessels", IF(ISBLANK(Vessels!G150), "", Vessels!G150), ""))</f>
        <v>0</v>
      </c>
      <c r="H150" s="21" t="str">
        <f>IF($N$1="Piping", IF(ISBLANK(Piping!H150), "", Piping!H150), IF($N$1="Vessels", IF(ISBLANK(Vessels!H150), "", Vessels!H150), ""))</f>
        <v/>
      </c>
      <c r="I150" s="21" t="str">
        <f>IF($N$1="Piping", IF(ISBLANK(Piping!I150), "", Piping!I150), IF($N$1="Vessels", IF(ISBLANK(Vessels!I150), "", Vessels!I150), ""))</f>
        <v/>
      </c>
      <c r="J150" s="21" t="str">
        <f>IF($N$1="Piping", IF(ISBLANK(Piping!J150), "", Piping!J150), IF($N$1="Vessels", IF(ISBLANK(Vessels!J150), "", Vessels!J150), ""))</f>
        <v/>
      </c>
      <c r="K150" s="21" t="str">
        <f>IF($N$1="Piping", IF(ISBLANK(Piping!K150), "", Piping!K150), IF($N$1="Vessels", IF(ISBLANK(Vessels!K150), "", Vessels!K150), ""))</f>
        <v/>
      </c>
      <c r="L150" s="21" t="str">
        <f>IF($N$1="Piping", IF(ISBLANK(Piping!L150), "", Piping!L150), IF($N$1="Vessels", IF(ISBLANK(Vessels!L150), "", Vessels!L150), ""))</f>
        <v/>
      </c>
      <c r="M150" s="21"/>
      <c r="N150" s="21"/>
      <c r="O150" s="21"/>
      <c r="P150" s="21"/>
      <c r="Q150" s="21" t="str">
        <f>IF($N$1="Piping", IF(ISBLANK(Piping!T150), "", Piping!T150), IF($N$1="Vessels", IF(ISBLANK(Vessels!T150), "", Vessels!T150), ""))</f>
        <v/>
      </c>
      <c r="R150" s="51" t="str">
        <f>IF($N$1="Piping", IF(ISBLANK(Piping!U150), "", Piping!U150), IF($N$1="Vessels", IF(ISBLANK(Vessels!U150), "", Vessels!U150), ""))</f>
        <v/>
      </c>
      <c r="S150" s="118" t="str">
        <f>IF(B150&lt;&gt;"",IF($N$1="Piping", IF(ISBLANK(Piping!$J$3), "", Piping!$J$3), IF($N$1="Vessels", IF(ISBLANK(Vessels!$J$3), "", Vessels!$J$3), "")),"")</f>
        <v/>
      </c>
      <c r="T150" s="37"/>
      <c r="U150" s="37"/>
      <c r="V150" s="37"/>
      <c r="W150" s="37"/>
      <c r="X150" s="37"/>
      <c r="Y150" s="37"/>
      <c r="Z150" s="37"/>
    </row>
    <row r="151" spans="1:26" ht="15.75" customHeight="1" x14ac:dyDescent="0.3">
      <c r="A151" s="22">
        <f>IF($N$1="Piping", IF(ISBLANK(Piping!A151), "", Piping!A151), IF($N$1="Vessels", IF(ISBLANK(Vessels!A151), "", Vessels!A151), ""))</f>
        <v>37.200000000000003</v>
      </c>
      <c r="B151" s="21" t="str">
        <f>IF($N$1="Piping", IF(ISBLANK(Piping!B151), "", Piping!B151), IF($N$1="Vessels", IF(ISBLANK(Vessels!B151), "", Vessels!B151), ""))</f>
        <v/>
      </c>
      <c r="C151" s="21" t="str">
        <f>IF($N$1="Piping", IF(ISBLANK(Piping!C151), "", Piping!C151), IF($N$1="Vessels", IF(ISBLANK(Vessels!C151), "", Vessels!C151), ""))</f>
        <v>Piping</v>
      </c>
      <c r="D151" s="21" t="str">
        <f>IF($N$1="Piping", IF(ISBLANK(Piping!D151), "", Piping!D151), IF($N$1="Vessels", IF(ISBLANK(Vessels!D151), "", Vessels!D151), ""))</f>
        <v/>
      </c>
      <c r="E151" s="21" t="str">
        <f>IF($N$1="Piping", IF(ISBLANK(Piping!E151), "", Piping!E151), IF($N$1="Vessels", IF(ISBLANK(Vessels!E151), "", Vessels!E151), ""))</f>
        <v/>
      </c>
      <c r="F151" s="21" t="str">
        <f>IF($N$1="Piping", IF(ISBLANK(Piping!F151), "", Piping!F151), IF($N$1="Vessels", IF(ISBLANK(Vessels!F151), "", Vessels!F151), ""))</f>
        <v/>
      </c>
      <c r="G151" s="21">
        <f>IF($N$1="Piping", IF(ISBLANK(Piping!G151), "", Piping!G151), IF($N$1="Vessels", IF(ISBLANK(Vessels!G151), "", Vessels!G151), ""))</f>
        <v>0</v>
      </c>
      <c r="H151" s="21" t="str">
        <f>IF($N$1="Piping", IF(ISBLANK(Piping!H151), "", Piping!H151), IF($N$1="Vessels", IF(ISBLANK(Vessels!H151), "", Vessels!H151), ""))</f>
        <v/>
      </c>
      <c r="I151" s="21" t="str">
        <f>IF($N$1="Piping", IF(ISBLANK(Piping!I151), "", Piping!I151), IF($N$1="Vessels", IF(ISBLANK(Vessels!I151), "", Vessels!I151), ""))</f>
        <v/>
      </c>
      <c r="J151" s="21" t="str">
        <f>IF($N$1="Piping", IF(ISBLANK(Piping!J151), "", Piping!J151), IF($N$1="Vessels", IF(ISBLANK(Vessels!J151), "", Vessels!J151), ""))</f>
        <v/>
      </c>
      <c r="K151" s="21" t="str">
        <f>IF($N$1="Piping", IF(ISBLANK(Piping!K151), "", Piping!K151), IF($N$1="Vessels", IF(ISBLANK(Vessels!K151), "", Vessels!K151), ""))</f>
        <v/>
      </c>
      <c r="L151" s="21" t="str">
        <f>IF($N$1="Piping", IF(ISBLANK(Piping!L151), "", Piping!L151), IF($N$1="Vessels", IF(ISBLANK(Vessels!L151), "", Vessels!L151), ""))</f>
        <v/>
      </c>
      <c r="M151" s="21"/>
      <c r="N151" s="21"/>
      <c r="O151" s="21"/>
      <c r="P151" s="21"/>
      <c r="Q151" s="21" t="str">
        <f>IF($N$1="Piping", IF(ISBLANK(Piping!T151), "", Piping!T151), IF($N$1="Vessels", IF(ISBLANK(Vessels!T151), "", Vessels!T151), ""))</f>
        <v/>
      </c>
      <c r="R151" s="51" t="str">
        <f>IF($N$1="Piping", IF(ISBLANK(Piping!U151), "", Piping!U151), IF($N$1="Vessels", IF(ISBLANK(Vessels!U151), "", Vessels!U151), ""))</f>
        <v/>
      </c>
      <c r="S151" s="118" t="str">
        <f>IF(B151&lt;&gt;"",IF($N$1="Piping", IF(ISBLANK(Piping!$J$3), "", Piping!$J$3), IF($N$1="Vessels", IF(ISBLANK(Vessels!$J$3), "", Vessels!$J$3), "")),"")</f>
        <v/>
      </c>
      <c r="T151" s="37"/>
      <c r="U151" s="37"/>
      <c r="V151" s="37"/>
      <c r="W151" s="37"/>
      <c r="X151" s="37"/>
      <c r="Y151" s="37"/>
      <c r="Z151" s="37"/>
    </row>
    <row r="152" spans="1:26" ht="15.75" customHeight="1" x14ac:dyDescent="0.3">
      <c r="A152" s="22">
        <f>IF($N$1="Piping", IF(ISBLANK(Piping!A152), "", Piping!A152), IF($N$1="Vessels", IF(ISBLANK(Vessels!A152), "", Vessels!A152), ""))</f>
        <v>37.299999999999997</v>
      </c>
      <c r="B152" s="21" t="str">
        <f>IF($N$1="Piping", IF(ISBLANK(Piping!B152), "", Piping!B152), IF($N$1="Vessels", IF(ISBLANK(Vessels!B152), "", Vessels!B152), ""))</f>
        <v/>
      </c>
      <c r="C152" s="21" t="str">
        <f>IF($N$1="Piping", IF(ISBLANK(Piping!C152), "", Piping!C152), IF($N$1="Vessels", IF(ISBLANK(Vessels!C152), "", Vessels!C152), ""))</f>
        <v>Piping</v>
      </c>
      <c r="D152" s="21" t="str">
        <f>IF($N$1="Piping", IF(ISBLANK(Piping!D152), "", Piping!D152), IF($N$1="Vessels", IF(ISBLANK(Vessels!D152), "", Vessels!D152), ""))</f>
        <v/>
      </c>
      <c r="E152" s="21" t="str">
        <f>IF($N$1="Piping", IF(ISBLANK(Piping!E152), "", Piping!E152), IF($N$1="Vessels", IF(ISBLANK(Vessels!E152), "", Vessels!E152), ""))</f>
        <v/>
      </c>
      <c r="F152" s="21" t="str">
        <f>IF($N$1="Piping", IF(ISBLANK(Piping!F152), "", Piping!F152), IF($N$1="Vessels", IF(ISBLANK(Vessels!F152), "", Vessels!F152), ""))</f>
        <v/>
      </c>
      <c r="G152" s="21">
        <f>IF($N$1="Piping", IF(ISBLANK(Piping!G152), "", Piping!G152), IF($N$1="Vessels", IF(ISBLANK(Vessels!G152), "", Vessels!G152), ""))</f>
        <v>0</v>
      </c>
      <c r="H152" s="21" t="str">
        <f>IF($N$1="Piping", IF(ISBLANK(Piping!H152), "", Piping!H152), IF($N$1="Vessels", IF(ISBLANK(Vessels!H152), "", Vessels!H152), ""))</f>
        <v/>
      </c>
      <c r="I152" s="21" t="str">
        <f>IF($N$1="Piping", IF(ISBLANK(Piping!I152), "", Piping!I152), IF($N$1="Vessels", IF(ISBLANK(Vessels!I152), "", Vessels!I152), ""))</f>
        <v/>
      </c>
      <c r="J152" s="21" t="str">
        <f>IF($N$1="Piping", IF(ISBLANK(Piping!J152), "", Piping!J152), IF($N$1="Vessels", IF(ISBLANK(Vessels!J152), "", Vessels!J152), ""))</f>
        <v/>
      </c>
      <c r="K152" s="21" t="str">
        <f>IF($N$1="Piping", IF(ISBLANK(Piping!K152), "", Piping!K152), IF($N$1="Vessels", IF(ISBLANK(Vessels!K152), "", Vessels!K152), ""))</f>
        <v/>
      </c>
      <c r="L152" s="21" t="str">
        <f>IF($N$1="Piping", IF(ISBLANK(Piping!L152), "", Piping!L152), IF($N$1="Vessels", IF(ISBLANK(Vessels!L152), "", Vessels!L152), ""))</f>
        <v/>
      </c>
      <c r="M152" s="21"/>
      <c r="N152" s="21"/>
      <c r="O152" s="21"/>
      <c r="P152" s="21"/>
      <c r="Q152" s="21" t="str">
        <f>IF($N$1="Piping", IF(ISBLANK(Piping!T152), "", Piping!T152), IF($N$1="Vessels", IF(ISBLANK(Vessels!T152), "", Vessels!T152), ""))</f>
        <v/>
      </c>
      <c r="R152" s="51" t="str">
        <f>IF($N$1="Piping", IF(ISBLANK(Piping!U152), "", Piping!U152), IF($N$1="Vessels", IF(ISBLANK(Vessels!U152), "", Vessels!U152), ""))</f>
        <v/>
      </c>
      <c r="S152" s="118" t="str">
        <f>IF(B152&lt;&gt;"",IF($N$1="Piping", IF(ISBLANK(Piping!$J$3), "", Piping!$J$3), IF($N$1="Vessels", IF(ISBLANK(Vessels!$J$3), "", Vessels!$J$3), "")),"")</f>
        <v/>
      </c>
      <c r="T152" s="37"/>
      <c r="U152" s="37"/>
      <c r="V152" s="37"/>
      <c r="W152" s="37"/>
      <c r="X152" s="37"/>
      <c r="Y152" s="37"/>
      <c r="Z152" s="37"/>
    </row>
    <row r="153" spans="1:26" ht="15.75" customHeight="1" x14ac:dyDescent="0.3">
      <c r="A153" s="22">
        <f>IF($N$1="Piping", IF(ISBLANK(Piping!A153), "", Piping!A153), IF($N$1="Vessels", IF(ISBLANK(Vessels!A153), "", Vessels!A153), ""))</f>
        <v>37.4</v>
      </c>
      <c r="B153" s="21" t="str">
        <f>IF($N$1="Piping", IF(ISBLANK(Piping!B153), "", Piping!B153), IF($N$1="Vessels", IF(ISBLANK(Vessels!B153), "", Vessels!B153), ""))</f>
        <v/>
      </c>
      <c r="C153" s="21" t="str">
        <f>IF($N$1="Piping", IF(ISBLANK(Piping!C153), "", Piping!C153), IF($N$1="Vessels", IF(ISBLANK(Vessels!C153), "", Vessels!C153), ""))</f>
        <v>Piping</v>
      </c>
      <c r="D153" s="21" t="str">
        <f>IF($N$1="Piping", IF(ISBLANK(Piping!D153), "", Piping!D153), IF($N$1="Vessels", IF(ISBLANK(Vessels!D153), "", Vessels!D153), ""))</f>
        <v/>
      </c>
      <c r="E153" s="21" t="str">
        <f>IF($N$1="Piping", IF(ISBLANK(Piping!E153), "", Piping!E153), IF($N$1="Vessels", IF(ISBLANK(Vessels!E153), "", Vessels!E153), ""))</f>
        <v/>
      </c>
      <c r="F153" s="21" t="str">
        <f>IF($N$1="Piping", IF(ISBLANK(Piping!F153), "", Piping!F153), IF($N$1="Vessels", IF(ISBLANK(Vessels!F153), "", Vessels!F153), ""))</f>
        <v/>
      </c>
      <c r="G153" s="21">
        <f>IF($N$1="Piping", IF(ISBLANK(Piping!G153), "", Piping!G153), IF($N$1="Vessels", IF(ISBLANK(Vessels!G153), "", Vessels!G153), ""))</f>
        <v>0</v>
      </c>
      <c r="H153" s="21" t="str">
        <f>IF($N$1="Piping", IF(ISBLANK(Piping!H153), "", Piping!H153), IF($N$1="Vessels", IF(ISBLANK(Vessels!H153), "", Vessels!H153), ""))</f>
        <v/>
      </c>
      <c r="I153" s="21" t="str">
        <f>IF($N$1="Piping", IF(ISBLANK(Piping!I153), "", Piping!I153), IF($N$1="Vessels", IF(ISBLANK(Vessels!I153), "", Vessels!I153), ""))</f>
        <v/>
      </c>
      <c r="J153" s="21" t="str">
        <f>IF($N$1="Piping", IF(ISBLANK(Piping!J153), "", Piping!J153), IF($N$1="Vessels", IF(ISBLANK(Vessels!J153), "", Vessels!J153), ""))</f>
        <v/>
      </c>
      <c r="K153" s="21" t="str">
        <f>IF($N$1="Piping", IF(ISBLANK(Piping!K153), "", Piping!K153), IF($N$1="Vessels", IF(ISBLANK(Vessels!K153), "", Vessels!K153), ""))</f>
        <v/>
      </c>
      <c r="L153" s="21" t="str">
        <f>IF($N$1="Piping", IF(ISBLANK(Piping!L153), "", Piping!L153), IF($N$1="Vessels", IF(ISBLANK(Vessels!L153), "", Vessels!L153), ""))</f>
        <v/>
      </c>
      <c r="M153" s="21"/>
      <c r="N153" s="21"/>
      <c r="O153" s="21"/>
      <c r="P153" s="21"/>
      <c r="Q153" s="21" t="str">
        <f>IF($N$1="Piping", IF(ISBLANK(Piping!T153), "", Piping!T153), IF($N$1="Vessels", IF(ISBLANK(Vessels!T153), "", Vessels!T153), ""))</f>
        <v/>
      </c>
      <c r="R153" s="51" t="str">
        <f>IF($N$1="Piping", IF(ISBLANK(Piping!U153), "", Piping!U153), IF($N$1="Vessels", IF(ISBLANK(Vessels!U153), "", Vessels!U153), ""))</f>
        <v/>
      </c>
      <c r="S153" s="118" t="str">
        <f>IF(B153&lt;&gt;"",IF($N$1="Piping", IF(ISBLANK(Piping!$J$3), "", Piping!$J$3), IF($N$1="Vessels", IF(ISBLANK(Vessels!$J$3), "", Vessels!$J$3), "")),"")</f>
        <v/>
      </c>
      <c r="T153" s="37"/>
      <c r="U153" s="37"/>
      <c r="V153" s="37"/>
      <c r="W153" s="37"/>
      <c r="X153" s="37"/>
      <c r="Y153" s="37"/>
      <c r="Z153" s="37"/>
    </row>
    <row r="154" spans="1:26" ht="15.75" customHeight="1" x14ac:dyDescent="0.3">
      <c r="A154" s="22">
        <f>IF($N$1="Piping", IF(ISBLANK(Piping!A154), "", Piping!A154), IF($N$1="Vessels", IF(ISBLANK(Vessels!A154), "", Vessels!A154), ""))</f>
        <v>38.1</v>
      </c>
      <c r="B154" s="21" t="str">
        <f>IF($N$1="Piping", IF(ISBLANK(Piping!B154), "", Piping!B154), IF($N$1="Vessels", IF(ISBLANK(Vessels!B154), "", Vessels!B154), ""))</f>
        <v/>
      </c>
      <c r="C154" s="21" t="str">
        <f>IF($N$1="Piping", IF(ISBLANK(Piping!C154), "", Piping!C154), IF($N$1="Vessels", IF(ISBLANK(Vessels!C154), "", Vessels!C154), ""))</f>
        <v>Piping</v>
      </c>
      <c r="D154" s="21" t="str">
        <f>IF($N$1="Piping", IF(ISBLANK(Piping!D154), "", Piping!D154), IF($N$1="Vessels", IF(ISBLANK(Vessels!D154), "", Vessels!D154), ""))</f>
        <v/>
      </c>
      <c r="E154" s="21" t="str">
        <f>IF($N$1="Piping", IF(ISBLANK(Piping!E154), "", Piping!E154), IF($N$1="Vessels", IF(ISBLANK(Vessels!E154), "", Vessels!E154), ""))</f>
        <v/>
      </c>
      <c r="F154" s="21" t="str">
        <f>IF($N$1="Piping", IF(ISBLANK(Piping!F154), "", Piping!F154), IF($N$1="Vessels", IF(ISBLANK(Vessels!F154), "", Vessels!F154), ""))</f>
        <v/>
      </c>
      <c r="G154" s="21">
        <f>IF($N$1="Piping", IF(ISBLANK(Piping!G154), "", Piping!G154), IF($N$1="Vessels", IF(ISBLANK(Vessels!G154), "", Vessels!G154), ""))</f>
        <v>0</v>
      </c>
      <c r="H154" s="21" t="str">
        <f>IF($N$1="Piping", IF(ISBLANK(Piping!H154), "", Piping!H154), IF($N$1="Vessels", IF(ISBLANK(Vessels!H154), "", Vessels!H154), ""))</f>
        <v/>
      </c>
      <c r="I154" s="21" t="str">
        <f>IF($N$1="Piping", IF(ISBLANK(Piping!I154), "", Piping!I154), IF($N$1="Vessels", IF(ISBLANK(Vessels!I154), "", Vessels!I154), ""))</f>
        <v/>
      </c>
      <c r="J154" s="21" t="str">
        <f>IF($N$1="Piping", IF(ISBLANK(Piping!J154), "", Piping!J154), IF($N$1="Vessels", IF(ISBLANK(Vessels!J154), "", Vessels!J154), ""))</f>
        <v/>
      </c>
      <c r="K154" s="21" t="str">
        <f>IF($N$1="Piping", IF(ISBLANK(Piping!K154), "", Piping!K154), IF($N$1="Vessels", IF(ISBLANK(Vessels!K154), "", Vessels!K154), ""))</f>
        <v/>
      </c>
      <c r="L154" s="21" t="str">
        <f>IF($N$1="Piping", IF(ISBLANK(Piping!L154), "", Piping!L154), IF($N$1="Vessels", IF(ISBLANK(Vessels!L154), "", Vessels!L154), ""))</f>
        <v/>
      </c>
      <c r="M154" s="21"/>
      <c r="N154" s="21"/>
      <c r="O154" s="21"/>
      <c r="P154" s="21"/>
      <c r="Q154" s="21" t="str">
        <f>IF($N$1="Piping", IF(ISBLANK(Piping!T154), "", Piping!T154), IF($N$1="Vessels", IF(ISBLANK(Vessels!T154), "", Vessels!T154), ""))</f>
        <v/>
      </c>
      <c r="R154" s="51" t="str">
        <f>IF($N$1="Piping", IF(ISBLANK(Piping!U154), "", Piping!U154), IF($N$1="Vessels", IF(ISBLANK(Vessels!U154), "", Vessels!U154), ""))</f>
        <v/>
      </c>
      <c r="S154" s="118" t="str">
        <f>IF(B154&lt;&gt;"",IF($N$1="Piping", IF(ISBLANK(Piping!$J$3), "", Piping!$J$3), IF($N$1="Vessels", IF(ISBLANK(Vessels!$J$3), "", Vessels!$J$3), "")),"")</f>
        <v/>
      </c>
      <c r="T154" s="37"/>
      <c r="U154" s="37"/>
      <c r="V154" s="37"/>
      <c r="W154" s="37"/>
      <c r="X154" s="37"/>
      <c r="Y154" s="37"/>
      <c r="Z154" s="37"/>
    </row>
    <row r="155" spans="1:26" ht="15.75" customHeight="1" x14ac:dyDescent="0.3">
      <c r="A155" s="22">
        <f>IF($N$1="Piping", IF(ISBLANK(Piping!A155), "", Piping!A155), IF($N$1="Vessels", IF(ISBLANK(Vessels!A155), "", Vessels!A155), ""))</f>
        <v>38.200000000000003</v>
      </c>
      <c r="B155" s="21" t="str">
        <f>IF($N$1="Piping", IF(ISBLANK(Piping!B155), "", Piping!B155), IF($N$1="Vessels", IF(ISBLANK(Vessels!B155), "", Vessels!B155), ""))</f>
        <v/>
      </c>
      <c r="C155" s="21" t="str">
        <f>IF($N$1="Piping", IF(ISBLANK(Piping!C155), "", Piping!C155), IF($N$1="Vessels", IF(ISBLANK(Vessels!C155), "", Vessels!C155), ""))</f>
        <v>Piping</v>
      </c>
      <c r="D155" s="21" t="str">
        <f>IF($N$1="Piping", IF(ISBLANK(Piping!D155), "", Piping!D155), IF($N$1="Vessels", IF(ISBLANK(Vessels!D155), "", Vessels!D155), ""))</f>
        <v/>
      </c>
      <c r="E155" s="21" t="str">
        <f>IF($N$1="Piping", IF(ISBLANK(Piping!E155), "", Piping!E155), IF($N$1="Vessels", IF(ISBLANK(Vessels!E155), "", Vessels!E155), ""))</f>
        <v/>
      </c>
      <c r="F155" s="21" t="str">
        <f>IF($N$1="Piping", IF(ISBLANK(Piping!F155), "", Piping!F155), IF($N$1="Vessels", IF(ISBLANK(Vessels!F155), "", Vessels!F155), ""))</f>
        <v/>
      </c>
      <c r="G155" s="21">
        <f>IF($N$1="Piping", IF(ISBLANK(Piping!G155), "", Piping!G155), IF($N$1="Vessels", IF(ISBLANK(Vessels!G155), "", Vessels!G155), ""))</f>
        <v>0</v>
      </c>
      <c r="H155" s="21" t="str">
        <f>IF($N$1="Piping", IF(ISBLANK(Piping!H155), "", Piping!H155), IF($N$1="Vessels", IF(ISBLANK(Vessels!H155), "", Vessels!H155), ""))</f>
        <v/>
      </c>
      <c r="I155" s="21" t="str">
        <f>IF($N$1="Piping", IF(ISBLANK(Piping!I155), "", Piping!I155), IF($N$1="Vessels", IF(ISBLANK(Vessels!I155), "", Vessels!I155), ""))</f>
        <v/>
      </c>
      <c r="J155" s="21" t="str">
        <f>IF($N$1="Piping", IF(ISBLANK(Piping!J155), "", Piping!J155), IF($N$1="Vessels", IF(ISBLANK(Vessels!J155), "", Vessels!J155), ""))</f>
        <v/>
      </c>
      <c r="K155" s="21" t="str">
        <f>IF($N$1="Piping", IF(ISBLANK(Piping!K155), "", Piping!K155), IF($N$1="Vessels", IF(ISBLANK(Vessels!K155), "", Vessels!K155), ""))</f>
        <v/>
      </c>
      <c r="L155" s="21" t="str">
        <f>IF($N$1="Piping", IF(ISBLANK(Piping!L155), "", Piping!L155), IF($N$1="Vessels", IF(ISBLANK(Vessels!L155), "", Vessels!L155), ""))</f>
        <v/>
      </c>
      <c r="M155" s="21"/>
      <c r="N155" s="21"/>
      <c r="O155" s="21"/>
      <c r="P155" s="21"/>
      <c r="Q155" s="21" t="str">
        <f>IF($N$1="Piping", IF(ISBLANK(Piping!T155), "", Piping!T155), IF($N$1="Vessels", IF(ISBLANK(Vessels!T155), "", Vessels!T155), ""))</f>
        <v/>
      </c>
      <c r="R155" s="51" t="str">
        <f>IF($N$1="Piping", IF(ISBLANK(Piping!U155), "", Piping!U155), IF($N$1="Vessels", IF(ISBLANK(Vessels!U155), "", Vessels!U155), ""))</f>
        <v/>
      </c>
      <c r="S155" s="118" t="str">
        <f>IF(B155&lt;&gt;"",IF($N$1="Piping", IF(ISBLANK(Piping!$J$3), "", Piping!$J$3), IF($N$1="Vessels", IF(ISBLANK(Vessels!$J$3), "", Vessels!$J$3), "")),"")</f>
        <v/>
      </c>
      <c r="T155" s="37"/>
      <c r="U155" s="37"/>
      <c r="V155" s="37"/>
      <c r="W155" s="37"/>
      <c r="X155" s="37"/>
      <c r="Y155" s="37"/>
      <c r="Z155" s="37"/>
    </row>
    <row r="156" spans="1:26" ht="15.75" customHeight="1" x14ac:dyDescent="0.3">
      <c r="A156" s="22">
        <f>IF($N$1="Piping", IF(ISBLANK(Piping!A156), "", Piping!A156), IF($N$1="Vessels", IF(ISBLANK(Vessels!A156), "", Vessels!A156), ""))</f>
        <v>38.299999999999997</v>
      </c>
      <c r="B156" s="21" t="str">
        <f>IF($N$1="Piping", IF(ISBLANK(Piping!B156), "", Piping!B156), IF($N$1="Vessels", IF(ISBLANK(Vessels!B156), "", Vessels!B156), ""))</f>
        <v/>
      </c>
      <c r="C156" s="21" t="str">
        <f>IF($N$1="Piping", IF(ISBLANK(Piping!C156), "", Piping!C156), IF($N$1="Vessels", IF(ISBLANK(Vessels!C156), "", Vessels!C156), ""))</f>
        <v>Piping</v>
      </c>
      <c r="D156" s="21" t="str">
        <f>IF($N$1="Piping", IF(ISBLANK(Piping!D156), "", Piping!D156), IF($N$1="Vessels", IF(ISBLANK(Vessels!D156), "", Vessels!D156), ""))</f>
        <v/>
      </c>
      <c r="E156" s="21" t="str">
        <f>IF($N$1="Piping", IF(ISBLANK(Piping!E156), "", Piping!E156), IF($N$1="Vessels", IF(ISBLANK(Vessels!E156), "", Vessels!E156), ""))</f>
        <v/>
      </c>
      <c r="F156" s="21" t="str">
        <f>IF($N$1="Piping", IF(ISBLANK(Piping!F156), "", Piping!F156), IF($N$1="Vessels", IF(ISBLANK(Vessels!F156), "", Vessels!F156), ""))</f>
        <v/>
      </c>
      <c r="G156" s="21">
        <f>IF($N$1="Piping", IF(ISBLANK(Piping!G156), "", Piping!G156), IF($N$1="Vessels", IF(ISBLANK(Vessels!G156), "", Vessels!G156), ""))</f>
        <v>0</v>
      </c>
      <c r="H156" s="21" t="str">
        <f>IF($N$1="Piping", IF(ISBLANK(Piping!H156), "", Piping!H156), IF($N$1="Vessels", IF(ISBLANK(Vessels!H156), "", Vessels!H156), ""))</f>
        <v/>
      </c>
      <c r="I156" s="21" t="str">
        <f>IF($N$1="Piping", IF(ISBLANK(Piping!I156), "", Piping!I156), IF($N$1="Vessels", IF(ISBLANK(Vessels!I156), "", Vessels!I156), ""))</f>
        <v/>
      </c>
      <c r="J156" s="21" t="str">
        <f>IF($N$1="Piping", IF(ISBLANK(Piping!J156), "", Piping!J156), IF($N$1="Vessels", IF(ISBLANK(Vessels!J156), "", Vessels!J156), ""))</f>
        <v/>
      </c>
      <c r="K156" s="21" t="str">
        <f>IF($N$1="Piping", IF(ISBLANK(Piping!K156), "", Piping!K156), IF($N$1="Vessels", IF(ISBLANK(Vessels!K156), "", Vessels!K156), ""))</f>
        <v/>
      </c>
      <c r="L156" s="21" t="str">
        <f>IF($N$1="Piping", IF(ISBLANK(Piping!L156), "", Piping!L156), IF($N$1="Vessels", IF(ISBLANK(Vessels!L156), "", Vessels!L156), ""))</f>
        <v/>
      </c>
      <c r="M156" s="21"/>
      <c r="N156" s="21"/>
      <c r="O156" s="21"/>
      <c r="P156" s="21"/>
      <c r="Q156" s="21" t="str">
        <f>IF($N$1="Piping", IF(ISBLANK(Piping!T156), "", Piping!T156), IF($N$1="Vessels", IF(ISBLANK(Vessels!T156), "", Vessels!T156), ""))</f>
        <v/>
      </c>
      <c r="R156" s="51" t="str">
        <f>IF($N$1="Piping", IF(ISBLANK(Piping!U156), "", Piping!U156), IF($N$1="Vessels", IF(ISBLANK(Vessels!U156), "", Vessels!U156), ""))</f>
        <v/>
      </c>
      <c r="S156" s="118" t="str">
        <f>IF(B156&lt;&gt;"",IF($N$1="Piping", IF(ISBLANK(Piping!$J$3), "", Piping!$J$3), IF($N$1="Vessels", IF(ISBLANK(Vessels!$J$3), "", Vessels!$J$3), "")),"")</f>
        <v/>
      </c>
      <c r="T156" s="37"/>
      <c r="U156" s="37"/>
      <c r="V156" s="37"/>
      <c r="W156" s="37"/>
      <c r="X156" s="37"/>
      <c r="Y156" s="37"/>
      <c r="Z156" s="37"/>
    </row>
    <row r="157" spans="1:26" ht="15.75" customHeight="1" x14ac:dyDescent="0.3">
      <c r="A157" s="22">
        <f>IF($N$1="Piping", IF(ISBLANK(Piping!A157), "", Piping!A157), IF($N$1="Vessels", IF(ISBLANK(Vessels!A157), "", Vessels!A157), ""))</f>
        <v>38.4</v>
      </c>
      <c r="B157" s="21" t="str">
        <f>IF($N$1="Piping", IF(ISBLANK(Piping!B157), "", Piping!B157), IF($N$1="Vessels", IF(ISBLANK(Vessels!B157), "", Vessels!B157), ""))</f>
        <v/>
      </c>
      <c r="C157" s="21" t="str">
        <f>IF($N$1="Piping", IF(ISBLANK(Piping!C157), "", Piping!C157), IF($N$1="Vessels", IF(ISBLANK(Vessels!C157), "", Vessels!C157), ""))</f>
        <v>Piping</v>
      </c>
      <c r="D157" s="21" t="str">
        <f>IF($N$1="Piping", IF(ISBLANK(Piping!D157), "", Piping!D157), IF($N$1="Vessels", IF(ISBLANK(Vessels!D157), "", Vessels!D157), ""))</f>
        <v/>
      </c>
      <c r="E157" s="21" t="str">
        <f>IF($N$1="Piping", IF(ISBLANK(Piping!E157), "", Piping!E157), IF($N$1="Vessels", IF(ISBLANK(Vessels!E157), "", Vessels!E157), ""))</f>
        <v/>
      </c>
      <c r="F157" s="21" t="str">
        <f>IF($N$1="Piping", IF(ISBLANK(Piping!F157), "", Piping!F157), IF($N$1="Vessels", IF(ISBLANK(Vessels!F157), "", Vessels!F157), ""))</f>
        <v/>
      </c>
      <c r="G157" s="21">
        <f>IF($N$1="Piping", IF(ISBLANK(Piping!G157), "", Piping!G157), IF($N$1="Vessels", IF(ISBLANK(Vessels!G157), "", Vessels!G157), ""))</f>
        <v>0</v>
      </c>
      <c r="H157" s="21" t="str">
        <f>IF($N$1="Piping", IF(ISBLANK(Piping!H157), "", Piping!H157), IF($N$1="Vessels", IF(ISBLANK(Vessels!H157), "", Vessels!H157), ""))</f>
        <v/>
      </c>
      <c r="I157" s="21" t="str">
        <f>IF($N$1="Piping", IF(ISBLANK(Piping!I157), "", Piping!I157), IF($N$1="Vessels", IF(ISBLANK(Vessels!I157), "", Vessels!I157), ""))</f>
        <v/>
      </c>
      <c r="J157" s="21" t="str">
        <f>IF($N$1="Piping", IF(ISBLANK(Piping!J157), "", Piping!J157), IF($N$1="Vessels", IF(ISBLANK(Vessels!J157), "", Vessels!J157), ""))</f>
        <v/>
      </c>
      <c r="K157" s="21" t="str">
        <f>IF($N$1="Piping", IF(ISBLANK(Piping!K157), "", Piping!K157), IF($N$1="Vessels", IF(ISBLANK(Vessels!K157), "", Vessels!K157), ""))</f>
        <v/>
      </c>
      <c r="L157" s="21" t="str">
        <f>IF($N$1="Piping", IF(ISBLANK(Piping!L157), "", Piping!L157), IF($N$1="Vessels", IF(ISBLANK(Vessels!L157), "", Vessels!L157), ""))</f>
        <v/>
      </c>
      <c r="M157" s="21"/>
      <c r="N157" s="21"/>
      <c r="O157" s="21"/>
      <c r="P157" s="21"/>
      <c r="Q157" s="21" t="str">
        <f>IF($N$1="Piping", IF(ISBLANK(Piping!T157), "", Piping!T157), IF($N$1="Vessels", IF(ISBLANK(Vessels!T157), "", Vessels!T157), ""))</f>
        <v/>
      </c>
      <c r="R157" s="51" t="str">
        <f>IF($N$1="Piping", IF(ISBLANK(Piping!U157), "", Piping!U157), IF($N$1="Vessels", IF(ISBLANK(Vessels!U157), "", Vessels!U157), ""))</f>
        <v/>
      </c>
      <c r="S157" s="118" t="str">
        <f>IF(B157&lt;&gt;"",IF($N$1="Piping", IF(ISBLANK(Piping!$J$3), "", Piping!$J$3), IF($N$1="Vessels", IF(ISBLANK(Vessels!$J$3), "", Vessels!$J$3), "")),"")</f>
        <v/>
      </c>
      <c r="T157" s="37"/>
      <c r="U157" s="37"/>
      <c r="V157" s="37"/>
      <c r="W157" s="37"/>
      <c r="X157" s="37"/>
      <c r="Y157" s="37"/>
      <c r="Z157" s="37"/>
    </row>
    <row r="158" spans="1:26" ht="15.75" customHeight="1" x14ac:dyDescent="0.3">
      <c r="A158" s="22">
        <f>IF($N$1="Piping", IF(ISBLANK(Piping!A158), "", Piping!A158), IF($N$1="Vessels", IF(ISBLANK(Vessels!A158), "", Vessels!A158), ""))</f>
        <v>39.1</v>
      </c>
      <c r="B158" s="21" t="str">
        <f>IF($N$1="Piping", IF(ISBLANK(Piping!B158), "", Piping!B158), IF($N$1="Vessels", IF(ISBLANK(Vessels!B158), "", Vessels!B158), ""))</f>
        <v/>
      </c>
      <c r="C158" s="21" t="str">
        <f>IF($N$1="Piping", IF(ISBLANK(Piping!C158), "", Piping!C158), IF($N$1="Vessels", IF(ISBLANK(Vessels!C158), "", Vessels!C158), ""))</f>
        <v>Piping</v>
      </c>
      <c r="D158" s="21" t="str">
        <f>IF($N$1="Piping", IF(ISBLANK(Piping!D158), "", Piping!D158), IF($N$1="Vessels", IF(ISBLANK(Vessels!D158), "", Vessels!D158), ""))</f>
        <v/>
      </c>
      <c r="E158" s="21" t="str">
        <f>IF($N$1="Piping", IF(ISBLANK(Piping!E158), "", Piping!E158), IF($N$1="Vessels", IF(ISBLANK(Vessels!E158), "", Vessels!E158), ""))</f>
        <v/>
      </c>
      <c r="F158" s="21" t="str">
        <f>IF($N$1="Piping", IF(ISBLANK(Piping!F158), "", Piping!F158), IF($N$1="Vessels", IF(ISBLANK(Vessels!F158), "", Vessels!F158), ""))</f>
        <v/>
      </c>
      <c r="G158" s="21">
        <f>IF($N$1="Piping", IF(ISBLANK(Piping!G158), "", Piping!G158), IF($N$1="Vessels", IF(ISBLANK(Vessels!G158), "", Vessels!G158), ""))</f>
        <v>0</v>
      </c>
      <c r="H158" s="21" t="str">
        <f>IF($N$1="Piping", IF(ISBLANK(Piping!H158), "", Piping!H158), IF($N$1="Vessels", IF(ISBLANK(Vessels!H158), "", Vessels!H158), ""))</f>
        <v/>
      </c>
      <c r="I158" s="21" t="str">
        <f>IF($N$1="Piping", IF(ISBLANK(Piping!I158), "", Piping!I158), IF($N$1="Vessels", IF(ISBLANK(Vessels!I158), "", Vessels!I158), ""))</f>
        <v/>
      </c>
      <c r="J158" s="21" t="str">
        <f>IF($N$1="Piping", IF(ISBLANK(Piping!J158), "", Piping!J158), IF($N$1="Vessels", IF(ISBLANK(Vessels!J158), "", Vessels!J158), ""))</f>
        <v/>
      </c>
      <c r="K158" s="21" t="str">
        <f>IF($N$1="Piping", IF(ISBLANK(Piping!K158), "", Piping!K158), IF($N$1="Vessels", IF(ISBLANK(Vessels!K158), "", Vessels!K158), ""))</f>
        <v/>
      </c>
      <c r="L158" s="21" t="str">
        <f>IF($N$1="Piping", IF(ISBLANK(Piping!L158), "", Piping!L158), IF($N$1="Vessels", IF(ISBLANK(Vessels!L158), "", Vessels!L158), ""))</f>
        <v/>
      </c>
      <c r="M158" s="21"/>
      <c r="N158" s="21"/>
      <c r="O158" s="21"/>
      <c r="P158" s="21"/>
      <c r="Q158" s="21" t="str">
        <f>IF($N$1="Piping", IF(ISBLANK(Piping!T158), "", Piping!T158), IF($N$1="Vessels", IF(ISBLANK(Vessels!T158), "", Vessels!T158), ""))</f>
        <v/>
      </c>
      <c r="R158" s="51" t="str">
        <f>IF($N$1="Piping", IF(ISBLANK(Piping!U158), "", Piping!U158), IF($N$1="Vessels", IF(ISBLANK(Vessels!U158), "", Vessels!U158), ""))</f>
        <v/>
      </c>
      <c r="S158" s="118" t="str">
        <f>IF(B158&lt;&gt;"",IF($N$1="Piping", IF(ISBLANK(Piping!$J$3), "", Piping!$J$3), IF($N$1="Vessels", IF(ISBLANK(Vessels!$J$3), "", Vessels!$J$3), "")),"")</f>
        <v/>
      </c>
      <c r="T158" s="37"/>
      <c r="U158" s="37"/>
      <c r="V158" s="37"/>
      <c r="W158" s="37"/>
      <c r="X158" s="37"/>
      <c r="Y158" s="37"/>
      <c r="Z158" s="37"/>
    </row>
    <row r="159" spans="1:26" ht="15.75" customHeight="1" x14ac:dyDescent="0.3">
      <c r="A159" s="22">
        <f>IF($N$1="Piping", IF(ISBLANK(Piping!A159), "", Piping!A159), IF($N$1="Vessels", IF(ISBLANK(Vessels!A159), "", Vessels!A159), ""))</f>
        <v>39.200000000000003</v>
      </c>
      <c r="B159" s="21" t="str">
        <f>IF($N$1="Piping", IF(ISBLANK(Piping!B159), "", Piping!B159), IF($N$1="Vessels", IF(ISBLANK(Vessels!B159), "", Vessels!B159), ""))</f>
        <v/>
      </c>
      <c r="C159" s="21" t="str">
        <f>IF($N$1="Piping", IF(ISBLANK(Piping!C159), "", Piping!C159), IF($N$1="Vessels", IF(ISBLANK(Vessels!C159), "", Vessels!C159), ""))</f>
        <v>Piping</v>
      </c>
      <c r="D159" s="21" t="str">
        <f>IF($N$1="Piping", IF(ISBLANK(Piping!D159), "", Piping!D159), IF($N$1="Vessels", IF(ISBLANK(Vessels!D159), "", Vessels!D159), ""))</f>
        <v/>
      </c>
      <c r="E159" s="21" t="str">
        <f>IF($N$1="Piping", IF(ISBLANK(Piping!E159), "", Piping!E159), IF($N$1="Vessels", IF(ISBLANK(Vessels!E159), "", Vessels!E159), ""))</f>
        <v/>
      </c>
      <c r="F159" s="21" t="str">
        <f>IF($N$1="Piping", IF(ISBLANK(Piping!F159), "", Piping!F159), IF($N$1="Vessels", IF(ISBLANK(Vessels!F159), "", Vessels!F159), ""))</f>
        <v/>
      </c>
      <c r="G159" s="21">
        <f>IF($N$1="Piping", IF(ISBLANK(Piping!G159), "", Piping!G159), IF($N$1="Vessels", IF(ISBLANK(Vessels!G159), "", Vessels!G159), ""))</f>
        <v>0</v>
      </c>
      <c r="H159" s="21" t="str">
        <f>IF($N$1="Piping", IF(ISBLANK(Piping!H159), "", Piping!H159), IF($N$1="Vessels", IF(ISBLANK(Vessels!H159), "", Vessels!H159), ""))</f>
        <v/>
      </c>
      <c r="I159" s="21" t="str">
        <f>IF($N$1="Piping", IF(ISBLANK(Piping!I159), "", Piping!I159), IF($N$1="Vessels", IF(ISBLANK(Vessels!I159), "", Vessels!I159), ""))</f>
        <v/>
      </c>
      <c r="J159" s="21" t="str">
        <f>IF($N$1="Piping", IF(ISBLANK(Piping!J159), "", Piping!J159), IF($N$1="Vessels", IF(ISBLANK(Vessels!J159), "", Vessels!J159), ""))</f>
        <v/>
      </c>
      <c r="K159" s="21" t="str">
        <f>IF($N$1="Piping", IF(ISBLANK(Piping!K159), "", Piping!K159), IF($N$1="Vessels", IF(ISBLANK(Vessels!K159), "", Vessels!K159), ""))</f>
        <v/>
      </c>
      <c r="L159" s="21" t="str">
        <f>IF($N$1="Piping", IF(ISBLANK(Piping!L159), "", Piping!L159), IF($N$1="Vessels", IF(ISBLANK(Vessels!L159), "", Vessels!L159), ""))</f>
        <v/>
      </c>
      <c r="M159" s="21"/>
      <c r="N159" s="21"/>
      <c r="O159" s="21"/>
      <c r="P159" s="21"/>
      <c r="Q159" s="21" t="str">
        <f>IF($N$1="Piping", IF(ISBLANK(Piping!T159), "", Piping!T159), IF($N$1="Vessels", IF(ISBLANK(Vessels!T159), "", Vessels!T159), ""))</f>
        <v/>
      </c>
      <c r="R159" s="51" t="str">
        <f>IF($N$1="Piping", IF(ISBLANK(Piping!U159), "", Piping!U159), IF($N$1="Vessels", IF(ISBLANK(Vessels!U159), "", Vessels!U159), ""))</f>
        <v/>
      </c>
      <c r="S159" s="118" t="str">
        <f>IF(B159&lt;&gt;"",IF($N$1="Piping", IF(ISBLANK(Piping!$J$3), "", Piping!$J$3), IF($N$1="Vessels", IF(ISBLANK(Vessels!$J$3), "", Vessels!$J$3), "")),"")</f>
        <v/>
      </c>
      <c r="T159" s="37"/>
      <c r="U159" s="37"/>
      <c r="V159" s="37"/>
      <c r="W159" s="37"/>
      <c r="X159" s="37"/>
      <c r="Y159" s="37"/>
      <c r="Z159" s="37"/>
    </row>
    <row r="160" spans="1:26" ht="15.75" customHeight="1" x14ac:dyDescent="0.3">
      <c r="A160" s="22">
        <f>IF($N$1="Piping", IF(ISBLANK(Piping!A160), "", Piping!A160), IF($N$1="Vessels", IF(ISBLANK(Vessels!A160), "", Vessels!A160), ""))</f>
        <v>39.299999999999997</v>
      </c>
      <c r="B160" s="21" t="str">
        <f>IF($N$1="Piping", IF(ISBLANK(Piping!B160), "", Piping!B160), IF($N$1="Vessels", IF(ISBLANK(Vessels!B160), "", Vessels!B160), ""))</f>
        <v/>
      </c>
      <c r="C160" s="21" t="str">
        <f>IF($N$1="Piping", IF(ISBLANK(Piping!C160), "", Piping!C160), IF($N$1="Vessels", IF(ISBLANK(Vessels!C160), "", Vessels!C160), ""))</f>
        <v>Piping</v>
      </c>
      <c r="D160" s="21" t="str">
        <f>IF($N$1="Piping", IF(ISBLANK(Piping!D160), "", Piping!D160), IF($N$1="Vessels", IF(ISBLANK(Vessels!D160), "", Vessels!D160), ""))</f>
        <v/>
      </c>
      <c r="E160" s="21" t="str">
        <f>IF($N$1="Piping", IF(ISBLANK(Piping!E160), "", Piping!E160), IF($N$1="Vessels", IF(ISBLANK(Vessels!E160), "", Vessels!E160), ""))</f>
        <v/>
      </c>
      <c r="F160" s="21" t="str">
        <f>IF($N$1="Piping", IF(ISBLANK(Piping!F160), "", Piping!F160), IF($N$1="Vessels", IF(ISBLANK(Vessels!F160), "", Vessels!F160), ""))</f>
        <v/>
      </c>
      <c r="G160" s="21">
        <f>IF($N$1="Piping", IF(ISBLANK(Piping!G160), "", Piping!G160), IF($N$1="Vessels", IF(ISBLANK(Vessels!G160), "", Vessels!G160), ""))</f>
        <v>0</v>
      </c>
      <c r="H160" s="21" t="str">
        <f>IF($N$1="Piping", IF(ISBLANK(Piping!H160), "", Piping!H160), IF($N$1="Vessels", IF(ISBLANK(Vessels!H160), "", Vessels!H160), ""))</f>
        <v/>
      </c>
      <c r="I160" s="21" t="str">
        <f>IF($N$1="Piping", IF(ISBLANK(Piping!I160), "", Piping!I160), IF($N$1="Vessels", IF(ISBLANK(Vessels!I160), "", Vessels!I160), ""))</f>
        <v/>
      </c>
      <c r="J160" s="21" t="str">
        <f>IF($N$1="Piping", IF(ISBLANK(Piping!J160), "", Piping!J160), IF($N$1="Vessels", IF(ISBLANK(Vessels!J160), "", Vessels!J160), ""))</f>
        <v/>
      </c>
      <c r="K160" s="21" t="str">
        <f>IF($N$1="Piping", IF(ISBLANK(Piping!K160), "", Piping!K160), IF($N$1="Vessels", IF(ISBLANK(Vessels!K160), "", Vessels!K160), ""))</f>
        <v/>
      </c>
      <c r="L160" s="21" t="str">
        <f>IF($N$1="Piping", IF(ISBLANK(Piping!L160), "", Piping!L160), IF($N$1="Vessels", IF(ISBLANK(Vessels!L160), "", Vessels!L160), ""))</f>
        <v/>
      </c>
      <c r="M160" s="21"/>
      <c r="N160" s="21"/>
      <c r="O160" s="21"/>
      <c r="P160" s="21"/>
      <c r="Q160" s="21" t="str">
        <f>IF($N$1="Piping", IF(ISBLANK(Piping!T160), "", Piping!T160), IF($N$1="Vessels", IF(ISBLANK(Vessels!T160), "", Vessels!T160), ""))</f>
        <v/>
      </c>
      <c r="R160" s="51" t="str">
        <f>IF($N$1="Piping", IF(ISBLANK(Piping!U160), "", Piping!U160), IF($N$1="Vessels", IF(ISBLANK(Vessels!U160), "", Vessels!U160), ""))</f>
        <v/>
      </c>
      <c r="S160" s="118" t="str">
        <f>IF(B160&lt;&gt;"",IF($N$1="Piping", IF(ISBLANK(Piping!$J$3), "", Piping!$J$3), IF($N$1="Vessels", IF(ISBLANK(Vessels!$J$3), "", Vessels!$J$3), "")),"")</f>
        <v/>
      </c>
      <c r="T160" s="37"/>
      <c r="U160" s="37"/>
      <c r="V160" s="37"/>
      <c r="W160" s="37"/>
      <c r="X160" s="37"/>
      <c r="Y160" s="37"/>
      <c r="Z160" s="37"/>
    </row>
    <row r="161" spans="1:26" ht="15.75" customHeight="1" x14ac:dyDescent="0.3">
      <c r="A161" s="22">
        <f>IF($N$1="Piping", IF(ISBLANK(Piping!A161), "", Piping!A161), IF($N$1="Vessels", IF(ISBLANK(Vessels!A161), "", Vessels!A161), ""))</f>
        <v>39.4</v>
      </c>
      <c r="B161" s="21" t="str">
        <f>IF($N$1="Piping", IF(ISBLANK(Piping!B161), "", Piping!B161), IF($N$1="Vessels", IF(ISBLANK(Vessels!B161), "", Vessels!B161), ""))</f>
        <v/>
      </c>
      <c r="C161" s="21" t="str">
        <f>IF($N$1="Piping", IF(ISBLANK(Piping!C161), "", Piping!C161), IF($N$1="Vessels", IF(ISBLANK(Vessels!C161), "", Vessels!C161), ""))</f>
        <v>Piping</v>
      </c>
      <c r="D161" s="21" t="str">
        <f>IF($N$1="Piping", IF(ISBLANK(Piping!D161), "", Piping!D161), IF($N$1="Vessels", IF(ISBLANK(Vessels!D161), "", Vessels!D161), ""))</f>
        <v/>
      </c>
      <c r="E161" s="21" t="str">
        <f>IF($N$1="Piping", IF(ISBLANK(Piping!E161), "", Piping!E161), IF($N$1="Vessels", IF(ISBLANK(Vessels!E161), "", Vessels!E161), ""))</f>
        <v/>
      </c>
      <c r="F161" s="21" t="str">
        <f>IF($N$1="Piping", IF(ISBLANK(Piping!F161), "", Piping!F161), IF($N$1="Vessels", IF(ISBLANK(Vessels!F161), "", Vessels!F161), ""))</f>
        <v/>
      </c>
      <c r="G161" s="21">
        <f>IF($N$1="Piping", IF(ISBLANK(Piping!G161), "", Piping!G161), IF($N$1="Vessels", IF(ISBLANK(Vessels!G161), "", Vessels!G161), ""))</f>
        <v>0</v>
      </c>
      <c r="H161" s="21" t="str">
        <f>IF($N$1="Piping", IF(ISBLANK(Piping!H161), "", Piping!H161), IF($N$1="Vessels", IF(ISBLANK(Vessels!H161), "", Vessels!H161), ""))</f>
        <v/>
      </c>
      <c r="I161" s="21" t="str">
        <f>IF($N$1="Piping", IF(ISBLANK(Piping!I161), "", Piping!I161), IF($N$1="Vessels", IF(ISBLANK(Vessels!I161), "", Vessels!I161), ""))</f>
        <v/>
      </c>
      <c r="J161" s="21" t="str">
        <f>IF($N$1="Piping", IF(ISBLANK(Piping!J161), "", Piping!J161), IF($N$1="Vessels", IF(ISBLANK(Vessels!J161), "", Vessels!J161), ""))</f>
        <v/>
      </c>
      <c r="K161" s="21" t="str">
        <f>IF($N$1="Piping", IF(ISBLANK(Piping!K161), "", Piping!K161), IF($N$1="Vessels", IF(ISBLANK(Vessels!K161), "", Vessels!K161), ""))</f>
        <v/>
      </c>
      <c r="L161" s="21" t="str">
        <f>IF($N$1="Piping", IF(ISBLANK(Piping!L161), "", Piping!L161), IF($N$1="Vessels", IF(ISBLANK(Vessels!L161), "", Vessels!L161), ""))</f>
        <v/>
      </c>
      <c r="M161" s="21"/>
      <c r="N161" s="21"/>
      <c r="O161" s="21"/>
      <c r="P161" s="21"/>
      <c r="Q161" s="21" t="str">
        <f>IF($N$1="Piping", IF(ISBLANK(Piping!T161), "", Piping!T161), IF($N$1="Vessels", IF(ISBLANK(Vessels!T161), "", Vessels!T161), ""))</f>
        <v/>
      </c>
      <c r="R161" s="51" t="str">
        <f>IF($N$1="Piping", IF(ISBLANK(Piping!U161), "", Piping!U161), IF($N$1="Vessels", IF(ISBLANK(Vessels!U161), "", Vessels!U161), ""))</f>
        <v/>
      </c>
      <c r="S161" s="118" t="str">
        <f>IF(B161&lt;&gt;"",IF($N$1="Piping", IF(ISBLANK(Piping!$J$3), "", Piping!$J$3), IF($N$1="Vessels", IF(ISBLANK(Vessels!$J$3), "", Vessels!$J$3), "")),"")</f>
        <v/>
      </c>
      <c r="T161" s="37"/>
      <c r="U161" s="37"/>
      <c r="V161" s="37"/>
      <c r="W161" s="37"/>
      <c r="X161" s="37"/>
      <c r="Y161" s="37"/>
      <c r="Z161" s="37"/>
    </row>
    <row r="162" spans="1:26" ht="15.75" customHeight="1" x14ac:dyDescent="0.3">
      <c r="A162" s="22">
        <f>IF($N$1="Piping", IF(ISBLANK(Piping!A162), "", Piping!A162), IF($N$1="Vessels", IF(ISBLANK(Vessels!A162), "", Vessels!A162), ""))</f>
        <v>40.1</v>
      </c>
      <c r="B162" s="21" t="str">
        <f>IF($N$1="Piping", IF(ISBLANK(Piping!B162), "", Piping!B162), IF($N$1="Vessels", IF(ISBLANK(Vessels!B162), "", Vessels!B162), ""))</f>
        <v/>
      </c>
      <c r="C162" s="21" t="str">
        <f>IF($N$1="Piping", IF(ISBLANK(Piping!C162), "", Piping!C162), IF($N$1="Vessels", IF(ISBLANK(Vessels!C162), "", Vessels!C162), ""))</f>
        <v>Piping</v>
      </c>
      <c r="D162" s="21" t="str">
        <f>IF($N$1="Piping", IF(ISBLANK(Piping!D162), "", Piping!D162), IF($N$1="Vessels", IF(ISBLANK(Vessels!D162), "", Vessels!D162), ""))</f>
        <v/>
      </c>
      <c r="E162" s="21" t="str">
        <f>IF($N$1="Piping", IF(ISBLANK(Piping!E162), "", Piping!E162), IF($N$1="Vessels", IF(ISBLANK(Vessels!E162), "", Vessels!E162), ""))</f>
        <v/>
      </c>
      <c r="F162" s="21" t="str">
        <f>IF($N$1="Piping", IF(ISBLANK(Piping!F162), "", Piping!F162), IF($N$1="Vessels", IF(ISBLANK(Vessels!F162), "", Vessels!F162), ""))</f>
        <v/>
      </c>
      <c r="G162" s="21">
        <f>IF($N$1="Piping", IF(ISBLANK(Piping!G162), "", Piping!G162), IF($N$1="Vessels", IF(ISBLANK(Vessels!G162), "", Vessels!G162), ""))</f>
        <v>0</v>
      </c>
      <c r="H162" s="21" t="str">
        <f>IF($N$1="Piping", IF(ISBLANK(Piping!H162), "", Piping!H162), IF($N$1="Vessels", IF(ISBLANK(Vessels!H162), "", Vessels!H162), ""))</f>
        <v/>
      </c>
      <c r="I162" s="21" t="str">
        <f>IF($N$1="Piping", IF(ISBLANK(Piping!I162), "", Piping!I162), IF($N$1="Vessels", IF(ISBLANK(Vessels!I162), "", Vessels!I162), ""))</f>
        <v/>
      </c>
      <c r="J162" s="21" t="str">
        <f>IF($N$1="Piping", IF(ISBLANK(Piping!J162), "", Piping!J162), IF($N$1="Vessels", IF(ISBLANK(Vessels!J162), "", Vessels!J162), ""))</f>
        <v/>
      </c>
      <c r="K162" s="21" t="str">
        <f>IF($N$1="Piping", IF(ISBLANK(Piping!K162), "", Piping!K162), IF($N$1="Vessels", IF(ISBLANK(Vessels!K162), "", Vessels!K162), ""))</f>
        <v/>
      </c>
      <c r="L162" s="21" t="str">
        <f>IF($N$1="Piping", IF(ISBLANK(Piping!L162), "", Piping!L162), IF($N$1="Vessels", IF(ISBLANK(Vessels!L162), "", Vessels!L162), ""))</f>
        <v/>
      </c>
      <c r="M162" s="21"/>
      <c r="N162" s="21"/>
      <c r="O162" s="21"/>
      <c r="P162" s="21"/>
      <c r="Q162" s="21" t="str">
        <f>IF($N$1="Piping", IF(ISBLANK(Piping!T162), "", Piping!T162), IF($N$1="Vessels", IF(ISBLANK(Vessels!T162), "", Vessels!T162), ""))</f>
        <v/>
      </c>
      <c r="R162" s="51" t="str">
        <f>IF($N$1="Piping", IF(ISBLANK(Piping!U162), "", Piping!U162), IF($N$1="Vessels", IF(ISBLANK(Vessels!U162), "", Vessels!U162), ""))</f>
        <v/>
      </c>
      <c r="S162" s="118" t="str">
        <f>IF(B162&lt;&gt;"",IF($N$1="Piping", IF(ISBLANK(Piping!$J$3), "", Piping!$J$3), IF($N$1="Vessels", IF(ISBLANK(Vessels!$J$3), "", Vessels!$J$3), "")),"")</f>
        <v/>
      </c>
      <c r="T162" s="37"/>
      <c r="U162" s="37"/>
      <c r="V162" s="37"/>
      <c r="W162" s="37"/>
      <c r="X162" s="37"/>
      <c r="Y162" s="37"/>
      <c r="Z162" s="37"/>
    </row>
    <row r="163" spans="1:26" ht="15.75" customHeight="1" x14ac:dyDescent="0.3">
      <c r="A163" s="22">
        <f>IF($N$1="Piping", IF(ISBLANK(Piping!A163), "", Piping!A163), IF($N$1="Vessels", IF(ISBLANK(Vessels!A163), "", Vessels!A163), ""))</f>
        <v>40.200000000000003</v>
      </c>
      <c r="B163" s="21" t="str">
        <f>IF($N$1="Piping", IF(ISBLANK(Piping!B163), "", Piping!B163), IF($N$1="Vessels", IF(ISBLANK(Vessels!B163), "", Vessels!B163), ""))</f>
        <v/>
      </c>
      <c r="C163" s="21" t="str">
        <f>IF($N$1="Piping", IF(ISBLANK(Piping!C163), "", Piping!C163), IF($N$1="Vessels", IF(ISBLANK(Vessels!C163), "", Vessels!C163), ""))</f>
        <v>Piping</v>
      </c>
      <c r="D163" s="21" t="str">
        <f>IF($N$1="Piping", IF(ISBLANK(Piping!D163), "", Piping!D163), IF($N$1="Vessels", IF(ISBLANK(Vessels!D163), "", Vessels!D163), ""))</f>
        <v/>
      </c>
      <c r="E163" s="21" t="str">
        <f>IF($N$1="Piping", IF(ISBLANK(Piping!E163), "", Piping!E163), IF($N$1="Vessels", IF(ISBLANK(Vessels!E163), "", Vessels!E163), ""))</f>
        <v/>
      </c>
      <c r="F163" s="21" t="str">
        <f>IF($N$1="Piping", IF(ISBLANK(Piping!F163), "", Piping!F163), IF($N$1="Vessels", IF(ISBLANK(Vessels!F163), "", Vessels!F163), ""))</f>
        <v/>
      </c>
      <c r="G163" s="21">
        <f>IF($N$1="Piping", IF(ISBLANK(Piping!G163), "", Piping!G163), IF($N$1="Vessels", IF(ISBLANK(Vessels!G163), "", Vessels!G163), ""))</f>
        <v>0</v>
      </c>
      <c r="H163" s="21" t="str">
        <f>IF($N$1="Piping", IF(ISBLANK(Piping!H163), "", Piping!H163), IF($N$1="Vessels", IF(ISBLANK(Vessels!H163), "", Vessels!H163), ""))</f>
        <v/>
      </c>
      <c r="I163" s="21" t="str">
        <f>IF($N$1="Piping", IF(ISBLANK(Piping!I163), "", Piping!I163), IF($N$1="Vessels", IF(ISBLANK(Vessels!I163), "", Vessels!I163), ""))</f>
        <v/>
      </c>
      <c r="J163" s="21" t="str">
        <f>IF($N$1="Piping", IF(ISBLANK(Piping!J163), "", Piping!J163), IF($N$1="Vessels", IF(ISBLANK(Vessels!J163), "", Vessels!J163), ""))</f>
        <v/>
      </c>
      <c r="K163" s="21" t="str">
        <f>IF($N$1="Piping", IF(ISBLANK(Piping!K163), "", Piping!K163), IF($N$1="Vessels", IF(ISBLANK(Vessels!K163), "", Vessels!K163), ""))</f>
        <v/>
      </c>
      <c r="L163" s="21" t="str">
        <f>IF($N$1="Piping", IF(ISBLANK(Piping!L163), "", Piping!L163), IF($N$1="Vessels", IF(ISBLANK(Vessels!L163), "", Vessels!L163), ""))</f>
        <v/>
      </c>
      <c r="M163" s="21"/>
      <c r="N163" s="21"/>
      <c r="O163" s="21"/>
      <c r="P163" s="21"/>
      <c r="Q163" s="21" t="str">
        <f>IF($N$1="Piping", IF(ISBLANK(Piping!T163), "", Piping!T163), IF($N$1="Vessels", IF(ISBLANK(Vessels!T163), "", Vessels!T163), ""))</f>
        <v/>
      </c>
      <c r="R163" s="51" t="str">
        <f>IF($N$1="Piping", IF(ISBLANK(Piping!U163), "", Piping!U163), IF($N$1="Vessels", IF(ISBLANK(Vessels!U163), "", Vessels!U163), ""))</f>
        <v/>
      </c>
      <c r="S163" s="118" t="str">
        <f>IF(B163&lt;&gt;"",IF($N$1="Piping", IF(ISBLANK(Piping!$J$3), "", Piping!$J$3), IF($N$1="Vessels", IF(ISBLANK(Vessels!$J$3), "", Vessels!$J$3), "")),"")</f>
        <v/>
      </c>
      <c r="T163" s="37"/>
      <c r="U163" s="37"/>
      <c r="V163" s="37"/>
      <c r="W163" s="37"/>
      <c r="X163" s="37"/>
      <c r="Y163" s="37"/>
      <c r="Z163" s="37"/>
    </row>
    <row r="164" spans="1:26" ht="15.75" customHeight="1" x14ac:dyDescent="0.3">
      <c r="A164" s="22">
        <f>IF($N$1="Piping", IF(ISBLANK(Piping!A164), "", Piping!A164), IF($N$1="Vessels", IF(ISBLANK(Vessels!A164), "", Vessels!A164), ""))</f>
        <v>40.299999999999997</v>
      </c>
      <c r="B164" s="21" t="str">
        <f>IF($N$1="Piping", IF(ISBLANK(Piping!B164), "", Piping!B164), IF($N$1="Vessels", IF(ISBLANK(Vessels!B164), "", Vessels!B164), ""))</f>
        <v/>
      </c>
      <c r="C164" s="21" t="str">
        <f>IF($N$1="Piping", IF(ISBLANK(Piping!C164), "", Piping!C164), IF($N$1="Vessels", IF(ISBLANK(Vessels!C164), "", Vessels!C164), ""))</f>
        <v>Piping</v>
      </c>
      <c r="D164" s="21" t="str">
        <f>IF($N$1="Piping", IF(ISBLANK(Piping!D164), "", Piping!D164), IF($N$1="Vessels", IF(ISBLANK(Vessels!D164), "", Vessels!D164), ""))</f>
        <v/>
      </c>
      <c r="E164" s="21" t="str">
        <f>IF($N$1="Piping", IF(ISBLANK(Piping!E164), "", Piping!E164), IF($N$1="Vessels", IF(ISBLANK(Vessels!E164), "", Vessels!E164), ""))</f>
        <v/>
      </c>
      <c r="F164" s="21" t="str">
        <f>IF($N$1="Piping", IF(ISBLANK(Piping!F164), "", Piping!F164), IF($N$1="Vessels", IF(ISBLANK(Vessels!F164), "", Vessels!F164), ""))</f>
        <v/>
      </c>
      <c r="G164" s="21">
        <f>IF($N$1="Piping", IF(ISBLANK(Piping!G164), "", Piping!G164), IF($N$1="Vessels", IF(ISBLANK(Vessels!G164), "", Vessels!G164), ""))</f>
        <v>0</v>
      </c>
      <c r="H164" s="21" t="str">
        <f>IF($N$1="Piping", IF(ISBLANK(Piping!H164), "", Piping!H164), IF($N$1="Vessels", IF(ISBLANK(Vessels!H164), "", Vessels!H164), ""))</f>
        <v/>
      </c>
      <c r="I164" s="21" t="str">
        <f>IF($N$1="Piping", IF(ISBLANK(Piping!I164), "", Piping!I164), IF($N$1="Vessels", IF(ISBLANK(Vessels!I164), "", Vessels!I164), ""))</f>
        <v/>
      </c>
      <c r="J164" s="21" t="str">
        <f>IF($N$1="Piping", IF(ISBLANK(Piping!J164), "", Piping!J164), IF($N$1="Vessels", IF(ISBLANK(Vessels!J164), "", Vessels!J164), ""))</f>
        <v/>
      </c>
      <c r="K164" s="21" t="str">
        <f>IF($N$1="Piping", IF(ISBLANK(Piping!K164), "", Piping!K164), IF($N$1="Vessels", IF(ISBLANK(Vessels!K164), "", Vessels!K164), ""))</f>
        <v/>
      </c>
      <c r="L164" s="21" t="str">
        <f>IF($N$1="Piping", IF(ISBLANK(Piping!L164), "", Piping!L164), IF($N$1="Vessels", IF(ISBLANK(Vessels!L164), "", Vessels!L164), ""))</f>
        <v/>
      </c>
      <c r="M164" s="21"/>
      <c r="N164" s="21"/>
      <c r="O164" s="21"/>
      <c r="P164" s="21"/>
      <c r="Q164" s="21" t="str">
        <f>IF($N$1="Piping", IF(ISBLANK(Piping!T164), "", Piping!T164), IF($N$1="Vessels", IF(ISBLANK(Vessels!T164), "", Vessels!T164), ""))</f>
        <v/>
      </c>
      <c r="R164" s="51" t="str">
        <f>IF($N$1="Piping", IF(ISBLANK(Piping!U164), "", Piping!U164), IF($N$1="Vessels", IF(ISBLANK(Vessels!U164), "", Vessels!U164), ""))</f>
        <v/>
      </c>
      <c r="S164" s="118" t="str">
        <f>IF(B164&lt;&gt;"",IF($N$1="Piping", IF(ISBLANK(Piping!$J$3), "", Piping!$J$3), IF($N$1="Vessels", IF(ISBLANK(Vessels!$J$3), "", Vessels!$J$3), "")),"")</f>
        <v/>
      </c>
      <c r="T164" s="37"/>
      <c r="U164" s="37"/>
      <c r="V164" s="37"/>
      <c r="W164" s="37"/>
      <c r="X164" s="37"/>
      <c r="Y164" s="37"/>
      <c r="Z164" s="37"/>
    </row>
    <row r="165" spans="1:26" ht="15.75" customHeight="1" x14ac:dyDescent="0.3">
      <c r="A165" s="22">
        <f>IF($N$1="Piping", IF(ISBLANK(Piping!A165), "", Piping!A165), IF($N$1="Vessels", IF(ISBLANK(Vessels!A165), "", Vessels!A165), ""))</f>
        <v>40.4</v>
      </c>
      <c r="B165" s="21" t="str">
        <f>IF($N$1="Piping", IF(ISBLANK(Piping!B165), "", Piping!B165), IF($N$1="Vessels", IF(ISBLANK(Vessels!B165), "", Vessels!B165), ""))</f>
        <v/>
      </c>
      <c r="C165" s="21" t="str">
        <f>IF($N$1="Piping", IF(ISBLANK(Piping!C165), "", Piping!C165), IF($N$1="Vessels", IF(ISBLANK(Vessels!C165), "", Vessels!C165), ""))</f>
        <v>Piping</v>
      </c>
      <c r="D165" s="21" t="str">
        <f>IF($N$1="Piping", IF(ISBLANK(Piping!D165), "", Piping!D165), IF($N$1="Vessels", IF(ISBLANK(Vessels!D165), "", Vessels!D165), ""))</f>
        <v/>
      </c>
      <c r="E165" s="21" t="str">
        <f>IF($N$1="Piping", IF(ISBLANK(Piping!E165), "", Piping!E165), IF($N$1="Vessels", IF(ISBLANK(Vessels!E165), "", Vessels!E165), ""))</f>
        <v/>
      </c>
      <c r="F165" s="21" t="str">
        <f>IF($N$1="Piping", IF(ISBLANK(Piping!F165), "", Piping!F165), IF($N$1="Vessels", IF(ISBLANK(Vessels!F165), "", Vessels!F165), ""))</f>
        <v/>
      </c>
      <c r="G165" s="21">
        <f>IF($N$1="Piping", IF(ISBLANK(Piping!G165), "", Piping!G165), IF($N$1="Vessels", IF(ISBLANK(Vessels!G165), "", Vessels!G165), ""))</f>
        <v>0</v>
      </c>
      <c r="H165" s="21" t="str">
        <f>IF($N$1="Piping", IF(ISBLANK(Piping!H165), "", Piping!H165), IF($N$1="Vessels", IF(ISBLANK(Vessels!H165), "", Vessels!H165), ""))</f>
        <v/>
      </c>
      <c r="I165" s="21" t="str">
        <f>IF($N$1="Piping", IF(ISBLANK(Piping!I165), "", Piping!I165), IF($N$1="Vessels", IF(ISBLANK(Vessels!I165), "", Vessels!I165), ""))</f>
        <v/>
      </c>
      <c r="J165" s="21" t="str">
        <f>IF($N$1="Piping", IF(ISBLANK(Piping!J165), "", Piping!J165), IF($N$1="Vessels", IF(ISBLANK(Vessels!J165), "", Vessels!J165), ""))</f>
        <v/>
      </c>
      <c r="K165" s="21" t="str">
        <f>IF($N$1="Piping", IF(ISBLANK(Piping!K165), "", Piping!K165), IF($N$1="Vessels", IF(ISBLANK(Vessels!K165), "", Vessels!K165), ""))</f>
        <v/>
      </c>
      <c r="L165" s="21" t="str">
        <f>IF($N$1="Piping", IF(ISBLANK(Piping!L165), "", Piping!L165), IF($N$1="Vessels", IF(ISBLANK(Vessels!L165), "", Vessels!L165), ""))</f>
        <v/>
      </c>
      <c r="M165" s="21"/>
      <c r="N165" s="21"/>
      <c r="O165" s="21"/>
      <c r="P165" s="21"/>
      <c r="Q165" s="21" t="str">
        <f>IF($N$1="Piping", IF(ISBLANK(Piping!T165), "", Piping!T165), IF($N$1="Vessels", IF(ISBLANK(Vessels!T165), "", Vessels!T165), ""))</f>
        <v/>
      </c>
      <c r="R165" s="51" t="str">
        <f>IF($N$1="Piping", IF(ISBLANK(Piping!U165), "", Piping!U165), IF($N$1="Vessels", IF(ISBLANK(Vessels!U165), "", Vessels!U165), ""))</f>
        <v/>
      </c>
      <c r="S165" s="118" t="str">
        <f>IF(B165&lt;&gt;"",IF($N$1="Piping", IF(ISBLANK(Piping!$J$3), "", Piping!$J$3), IF($N$1="Vessels", IF(ISBLANK(Vessels!$J$3), "", Vessels!$J$3), "")),"")</f>
        <v/>
      </c>
      <c r="T165" s="37"/>
      <c r="U165" s="37"/>
      <c r="V165" s="37"/>
      <c r="W165" s="37"/>
      <c r="X165" s="37"/>
      <c r="Y165" s="37"/>
      <c r="Z165" s="37"/>
    </row>
    <row r="166" spans="1:26" ht="15.75" customHeight="1" x14ac:dyDescent="0.3">
      <c r="A166" s="22">
        <f>IF($N$1="Piping", IF(ISBLANK(Piping!A166), "", Piping!A166), IF($N$1="Vessels", IF(ISBLANK(Vessels!A166), "", Vessels!A166), ""))</f>
        <v>41.1</v>
      </c>
      <c r="B166" s="21" t="str">
        <f>IF($N$1="Piping", IF(ISBLANK(Piping!B166), "", Piping!B166), IF($N$1="Vessels", IF(ISBLANK(Vessels!B166), "", Vessels!B166), ""))</f>
        <v/>
      </c>
      <c r="C166" s="21" t="str">
        <f>IF($N$1="Piping", IF(ISBLANK(Piping!C166), "", Piping!C166), IF($N$1="Vessels", IF(ISBLANK(Vessels!C166), "", Vessels!C166), ""))</f>
        <v>Piping</v>
      </c>
      <c r="D166" s="21" t="str">
        <f>IF($N$1="Piping", IF(ISBLANK(Piping!D166), "", Piping!D166), IF($N$1="Vessels", IF(ISBLANK(Vessels!D166), "", Vessels!D166), ""))</f>
        <v/>
      </c>
      <c r="E166" s="21" t="str">
        <f>IF($N$1="Piping", IF(ISBLANK(Piping!E166), "", Piping!E166), IF($N$1="Vessels", IF(ISBLANK(Vessels!E166), "", Vessels!E166), ""))</f>
        <v/>
      </c>
      <c r="F166" s="21" t="str">
        <f>IF($N$1="Piping", IF(ISBLANK(Piping!F166), "", Piping!F166), IF($N$1="Vessels", IF(ISBLANK(Vessels!F166), "", Vessels!F166), ""))</f>
        <v/>
      </c>
      <c r="G166" s="21">
        <f>IF($N$1="Piping", IF(ISBLANK(Piping!G166), "", Piping!G166), IF($N$1="Vessels", IF(ISBLANK(Vessels!G166), "", Vessels!G166), ""))</f>
        <v>0</v>
      </c>
      <c r="H166" s="21" t="str">
        <f>IF($N$1="Piping", IF(ISBLANK(Piping!H166), "", Piping!H166), IF($N$1="Vessels", IF(ISBLANK(Vessels!H166), "", Vessels!H166), ""))</f>
        <v/>
      </c>
      <c r="I166" s="21" t="str">
        <f>IF($N$1="Piping", IF(ISBLANK(Piping!I166), "", Piping!I166), IF($N$1="Vessels", IF(ISBLANK(Vessels!I166), "", Vessels!I166), ""))</f>
        <v/>
      </c>
      <c r="J166" s="21" t="str">
        <f>IF($N$1="Piping", IF(ISBLANK(Piping!J166), "", Piping!J166), IF($N$1="Vessels", IF(ISBLANK(Vessels!J166), "", Vessels!J166), ""))</f>
        <v/>
      </c>
      <c r="K166" s="21" t="str">
        <f>IF($N$1="Piping", IF(ISBLANK(Piping!K166), "", Piping!K166), IF($N$1="Vessels", IF(ISBLANK(Vessels!K166), "", Vessels!K166), ""))</f>
        <v/>
      </c>
      <c r="L166" s="21" t="str">
        <f>IF($N$1="Piping", IF(ISBLANK(Piping!L166), "", Piping!L166), IF($N$1="Vessels", IF(ISBLANK(Vessels!L166), "", Vessels!L166), ""))</f>
        <v/>
      </c>
      <c r="M166" s="21"/>
      <c r="N166" s="21"/>
      <c r="O166" s="21"/>
      <c r="P166" s="21"/>
      <c r="Q166" s="21" t="str">
        <f>IF($N$1="Piping", IF(ISBLANK(Piping!T166), "", Piping!T166), IF($N$1="Vessels", IF(ISBLANK(Vessels!T166), "", Vessels!T166), ""))</f>
        <v/>
      </c>
      <c r="R166" s="51" t="str">
        <f>IF($N$1="Piping", IF(ISBLANK(Piping!U166), "", Piping!U166), IF($N$1="Vessels", IF(ISBLANK(Vessels!U166), "", Vessels!U166), ""))</f>
        <v/>
      </c>
      <c r="S166" s="118" t="str">
        <f>IF(B166&lt;&gt;"",IF($N$1="Piping", IF(ISBLANK(Piping!$J$3), "", Piping!$J$3), IF($N$1="Vessels", IF(ISBLANK(Vessels!$J$3), "", Vessels!$J$3), "")),"")</f>
        <v/>
      </c>
      <c r="T166" s="37"/>
      <c r="U166" s="37"/>
      <c r="V166" s="37"/>
      <c r="W166" s="37"/>
      <c r="X166" s="37"/>
      <c r="Y166" s="37"/>
      <c r="Z166" s="37"/>
    </row>
    <row r="167" spans="1:26" ht="15.75" customHeight="1" x14ac:dyDescent="0.3">
      <c r="A167" s="22">
        <f>IF($N$1="Piping", IF(ISBLANK(Piping!A167), "", Piping!A167), IF($N$1="Vessels", IF(ISBLANK(Vessels!A167), "", Vessels!A167), ""))</f>
        <v>41.2</v>
      </c>
      <c r="B167" s="21" t="str">
        <f>IF($N$1="Piping", IF(ISBLANK(Piping!B167), "", Piping!B167), IF($N$1="Vessels", IF(ISBLANK(Vessels!B167), "", Vessels!B167), ""))</f>
        <v/>
      </c>
      <c r="C167" s="21" t="str">
        <f>IF($N$1="Piping", IF(ISBLANK(Piping!C167), "", Piping!C167), IF($N$1="Vessels", IF(ISBLANK(Vessels!C167), "", Vessels!C167), ""))</f>
        <v>Piping</v>
      </c>
      <c r="D167" s="21" t="str">
        <f>IF($N$1="Piping", IF(ISBLANK(Piping!D167), "", Piping!D167), IF($N$1="Vessels", IF(ISBLANK(Vessels!D167), "", Vessels!D167), ""))</f>
        <v/>
      </c>
      <c r="E167" s="21" t="str">
        <f>IF($N$1="Piping", IF(ISBLANK(Piping!E167), "", Piping!E167), IF($N$1="Vessels", IF(ISBLANK(Vessels!E167), "", Vessels!E167), ""))</f>
        <v/>
      </c>
      <c r="F167" s="21" t="str">
        <f>IF($N$1="Piping", IF(ISBLANK(Piping!F167), "", Piping!F167), IF($N$1="Vessels", IF(ISBLANK(Vessels!F167), "", Vessels!F167), ""))</f>
        <v/>
      </c>
      <c r="G167" s="21">
        <f>IF($N$1="Piping", IF(ISBLANK(Piping!G167), "", Piping!G167), IF($N$1="Vessels", IF(ISBLANK(Vessels!G167), "", Vessels!G167), ""))</f>
        <v>0</v>
      </c>
      <c r="H167" s="21" t="str">
        <f>IF($N$1="Piping", IF(ISBLANK(Piping!H167), "", Piping!H167), IF($N$1="Vessels", IF(ISBLANK(Vessels!H167), "", Vessels!H167), ""))</f>
        <v/>
      </c>
      <c r="I167" s="21" t="str">
        <f>IF($N$1="Piping", IF(ISBLANK(Piping!I167), "", Piping!I167), IF($N$1="Vessels", IF(ISBLANK(Vessels!I167), "", Vessels!I167), ""))</f>
        <v/>
      </c>
      <c r="J167" s="21" t="str">
        <f>IF($N$1="Piping", IF(ISBLANK(Piping!J167), "", Piping!J167), IF($N$1="Vessels", IF(ISBLANK(Vessels!J167), "", Vessels!J167), ""))</f>
        <v/>
      </c>
      <c r="K167" s="21" t="str">
        <f>IF($N$1="Piping", IF(ISBLANK(Piping!K167), "", Piping!K167), IF($N$1="Vessels", IF(ISBLANK(Vessels!K167), "", Vessels!K167), ""))</f>
        <v/>
      </c>
      <c r="L167" s="21" t="str">
        <f>IF($N$1="Piping", IF(ISBLANK(Piping!L167), "", Piping!L167), IF($N$1="Vessels", IF(ISBLANK(Vessels!L167), "", Vessels!L167), ""))</f>
        <v/>
      </c>
      <c r="M167" s="21"/>
      <c r="N167" s="21"/>
      <c r="O167" s="21"/>
      <c r="P167" s="21"/>
      <c r="Q167" s="21" t="str">
        <f>IF($N$1="Piping", IF(ISBLANK(Piping!T167), "", Piping!T167), IF($N$1="Vessels", IF(ISBLANK(Vessels!T167), "", Vessels!T167), ""))</f>
        <v/>
      </c>
      <c r="R167" s="51" t="str">
        <f>IF($N$1="Piping", IF(ISBLANK(Piping!U167), "", Piping!U167), IF($N$1="Vessels", IF(ISBLANK(Vessels!U167), "", Vessels!U167), ""))</f>
        <v/>
      </c>
      <c r="S167" s="118" t="str">
        <f>IF(B167&lt;&gt;"",IF($N$1="Piping", IF(ISBLANK(Piping!$J$3), "", Piping!$J$3), IF($N$1="Vessels", IF(ISBLANK(Vessels!$J$3), "", Vessels!$J$3), "")),"")</f>
        <v/>
      </c>
      <c r="T167" s="37"/>
      <c r="U167" s="37"/>
      <c r="V167" s="37"/>
      <c r="W167" s="37"/>
      <c r="X167" s="37"/>
      <c r="Y167" s="37"/>
      <c r="Z167" s="37"/>
    </row>
    <row r="168" spans="1:26" ht="15.75" customHeight="1" x14ac:dyDescent="0.3">
      <c r="A168" s="22">
        <f>IF($N$1="Piping", IF(ISBLANK(Piping!A168), "", Piping!A168), IF($N$1="Vessels", IF(ISBLANK(Vessels!A168), "", Vessels!A168), ""))</f>
        <v>41.3</v>
      </c>
      <c r="B168" s="21" t="str">
        <f>IF($N$1="Piping", IF(ISBLANK(Piping!B168), "", Piping!B168), IF($N$1="Vessels", IF(ISBLANK(Vessels!B168), "", Vessels!B168), ""))</f>
        <v/>
      </c>
      <c r="C168" s="21" t="str">
        <f>IF($N$1="Piping", IF(ISBLANK(Piping!C168), "", Piping!C168), IF($N$1="Vessels", IF(ISBLANK(Vessels!C168), "", Vessels!C168), ""))</f>
        <v>Piping</v>
      </c>
      <c r="D168" s="21" t="str">
        <f>IF($N$1="Piping", IF(ISBLANK(Piping!D168), "", Piping!D168), IF($N$1="Vessels", IF(ISBLANK(Vessels!D168), "", Vessels!D168), ""))</f>
        <v/>
      </c>
      <c r="E168" s="21" t="str">
        <f>IF($N$1="Piping", IF(ISBLANK(Piping!E168), "", Piping!E168), IF($N$1="Vessels", IF(ISBLANK(Vessels!E168), "", Vessels!E168), ""))</f>
        <v/>
      </c>
      <c r="F168" s="21" t="str">
        <f>IF($N$1="Piping", IF(ISBLANK(Piping!F168), "", Piping!F168), IF($N$1="Vessels", IF(ISBLANK(Vessels!F168), "", Vessels!F168), ""))</f>
        <v/>
      </c>
      <c r="G168" s="21">
        <f>IF($N$1="Piping", IF(ISBLANK(Piping!G168), "", Piping!G168), IF($N$1="Vessels", IF(ISBLANK(Vessels!G168), "", Vessels!G168), ""))</f>
        <v>0</v>
      </c>
      <c r="H168" s="21" t="str">
        <f>IF($N$1="Piping", IF(ISBLANK(Piping!H168), "", Piping!H168), IF($N$1="Vessels", IF(ISBLANK(Vessels!H168), "", Vessels!H168), ""))</f>
        <v/>
      </c>
      <c r="I168" s="21" t="str">
        <f>IF($N$1="Piping", IF(ISBLANK(Piping!I168), "", Piping!I168), IF($N$1="Vessels", IF(ISBLANK(Vessels!I168), "", Vessels!I168), ""))</f>
        <v/>
      </c>
      <c r="J168" s="21" t="str">
        <f>IF($N$1="Piping", IF(ISBLANK(Piping!J168), "", Piping!J168), IF($N$1="Vessels", IF(ISBLANK(Vessels!J168), "", Vessels!J168), ""))</f>
        <v/>
      </c>
      <c r="K168" s="21" t="str">
        <f>IF($N$1="Piping", IF(ISBLANK(Piping!K168), "", Piping!K168), IF($N$1="Vessels", IF(ISBLANK(Vessels!K168), "", Vessels!K168), ""))</f>
        <v/>
      </c>
      <c r="L168" s="21" t="str">
        <f>IF($N$1="Piping", IF(ISBLANK(Piping!L168), "", Piping!L168), IF($N$1="Vessels", IF(ISBLANK(Vessels!L168), "", Vessels!L168), ""))</f>
        <v/>
      </c>
      <c r="M168" s="21"/>
      <c r="N168" s="21"/>
      <c r="O168" s="21"/>
      <c r="P168" s="21"/>
      <c r="Q168" s="21" t="str">
        <f>IF($N$1="Piping", IF(ISBLANK(Piping!T168), "", Piping!T168), IF($N$1="Vessels", IF(ISBLANK(Vessels!T168), "", Vessels!T168), ""))</f>
        <v/>
      </c>
      <c r="R168" s="51" t="str">
        <f>IF($N$1="Piping", IF(ISBLANK(Piping!U168), "", Piping!U168), IF($N$1="Vessels", IF(ISBLANK(Vessels!U168), "", Vessels!U168), ""))</f>
        <v/>
      </c>
      <c r="S168" s="118" t="str">
        <f>IF(B168&lt;&gt;"",IF($N$1="Piping", IF(ISBLANK(Piping!$J$3), "", Piping!$J$3), IF($N$1="Vessels", IF(ISBLANK(Vessels!$J$3), "", Vessels!$J$3), "")),"")</f>
        <v/>
      </c>
      <c r="T168" s="37"/>
      <c r="U168" s="37"/>
      <c r="V168" s="37"/>
      <c r="W168" s="37"/>
      <c r="X168" s="37"/>
      <c r="Y168" s="37"/>
      <c r="Z168" s="37"/>
    </row>
    <row r="169" spans="1:26" ht="15.75" customHeight="1" x14ac:dyDescent="0.3">
      <c r="A169" s="22">
        <f>IF($N$1="Piping", IF(ISBLANK(Piping!A169), "", Piping!A169), IF($N$1="Vessels", IF(ISBLANK(Vessels!A169), "", Vessels!A169), ""))</f>
        <v>41.4</v>
      </c>
      <c r="B169" s="21" t="str">
        <f>IF($N$1="Piping", IF(ISBLANK(Piping!B169), "", Piping!B169), IF($N$1="Vessels", IF(ISBLANK(Vessels!B169), "", Vessels!B169), ""))</f>
        <v/>
      </c>
      <c r="C169" s="21" t="str">
        <f>IF($N$1="Piping", IF(ISBLANK(Piping!C169), "", Piping!C169), IF($N$1="Vessels", IF(ISBLANK(Vessels!C169), "", Vessels!C169), ""))</f>
        <v>Piping</v>
      </c>
      <c r="D169" s="21" t="str">
        <f>IF($N$1="Piping", IF(ISBLANK(Piping!D169), "", Piping!D169), IF($N$1="Vessels", IF(ISBLANK(Vessels!D169), "", Vessels!D169), ""))</f>
        <v/>
      </c>
      <c r="E169" s="21" t="str">
        <f>IF($N$1="Piping", IF(ISBLANK(Piping!E169), "", Piping!E169), IF($N$1="Vessels", IF(ISBLANK(Vessels!E169), "", Vessels!E169), ""))</f>
        <v/>
      </c>
      <c r="F169" s="21" t="str">
        <f>IF($N$1="Piping", IF(ISBLANK(Piping!F169), "", Piping!F169), IF($N$1="Vessels", IF(ISBLANK(Vessels!F169), "", Vessels!F169), ""))</f>
        <v/>
      </c>
      <c r="G169" s="21">
        <f>IF($N$1="Piping", IF(ISBLANK(Piping!G169), "", Piping!G169), IF($N$1="Vessels", IF(ISBLANK(Vessels!G169), "", Vessels!G169), ""))</f>
        <v>0</v>
      </c>
      <c r="H169" s="21" t="str">
        <f>IF($N$1="Piping", IF(ISBLANK(Piping!H169), "", Piping!H169), IF($N$1="Vessels", IF(ISBLANK(Vessels!H169), "", Vessels!H169), ""))</f>
        <v/>
      </c>
      <c r="I169" s="21" t="str">
        <f>IF($N$1="Piping", IF(ISBLANK(Piping!I169), "", Piping!I169), IF($N$1="Vessels", IF(ISBLANK(Vessels!I169), "", Vessels!I169), ""))</f>
        <v/>
      </c>
      <c r="J169" s="21" t="str">
        <f>IF($N$1="Piping", IF(ISBLANK(Piping!J169), "", Piping!J169), IF($N$1="Vessels", IF(ISBLANK(Vessels!J169), "", Vessels!J169), ""))</f>
        <v/>
      </c>
      <c r="K169" s="21" t="str">
        <f>IF($N$1="Piping", IF(ISBLANK(Piping!K169), "", Piping!K169), IF($N$1="Vessels", IF(ISBLANK(Vessels!K169), "", Vessels!K169), ""))</f>
        <v/>
      </c>
      <c r="L169" s="21" t="str">
        <f>IF($N$1="Piping", IF(ISBLANK(Piping!L169), "", Piping!L169), IF($N$1="Vessels", IF(ISBLANK(Vessels!L169), "", Vessels!L169), ""))</f>
        <v/>
      </c>
      <c r="M169" s="21"/>
      <c r="N169" s="21"/>
      <c r="O169" s="21"/>
      <c r="P169" s="21"/>
      <c r="Q169" s="21" t="str">
        <f>IF($N$1="Piping", IF(ISBLANK(Piping!T169), "", Piping!T169), IF($N$1="Vessels", IF(ISBLANK(Vessels!T169), "", Vessels!T169), ""))</f>
        <v/>
      </c>
      <c r="R169" s="51" t="str">
        <f>IF($N$1="Piping", IF(ISBLANK(Piping!U169), "", Piping!U169), IF($N$1="Vessels", IF(ISBLANK(Vessels!U169), "", Vessels!U169), ""))</f>
        <v/>
      </c>
      <c r="S169" s="118" t="str">
        <f>IF(B169&lt;&gt;"",IF($N$1="Piping", IF(ISBLANK(Piping!$J$3), "", Piping!$J$3), IF($N$1="Vessels", IF(ISBLANK(Vessels!$J$3), "", Vessels!$J$3), "")),"")</f>
        <v/>
      </c>
      <c r="T169" s="37"/>
      <c r="U169" s="37"/>
      <c r="V169" s="37"/>
      <c r="W169" s="37"/>
      <c r="X169" s="37"/>
      <c r="Y169" s="37"/>
      <c r="Z169" s="37"/>
    </row>
    <row r="170" spans="1:26" ht="15.75" customHeight="1" x14ac:dyDescent="0.3">
      <c r="A170" s="22">
        <f>IF($N$1="Piping", IF(ISBLANK(Piping!A170), "", Piping!A170), IF($N$1="Vessels", IF(ISBLANK(Vessels!A170), "", Vessels!A170), ""))</f>
        <v>42.1</v>
      </c>
      <c r="B170" s="21" t="str">
        <f>IF($N$1="Piping", IF(ISBLANK(Piping!B170), "", Piping!B170), IF($N$1="Vessels", IF(ISBLANK(Vessels!B170), "", Vessels!B170), ""))</f>
        <v/>
      </c>
      <c r="C170" s="21" t="str">
        <f>IF($N$1="Piping", IF(ISBLANK(Piping!C170), "", Piping!C170), IF($N$1="Vessels", IF(ISBLANK(Vessels!C170), "", Vessels!C170), ""))</f>
        <v>Piping</v>
      </c>
      <c r="D170" s="21" t="str">
        <f>IF($N$1="Piping", IF(ISBLANK(Piping!D170), "", Piping!D170), IF($N$1="Vessels", IF(ISBLANK(Vessels!D170), "", Vessels!D170), ""))</f>
        <v/>
      </c>
      <c r="E170" s="21" t="str">
        <f>IF($N$1="Piping", IF(ISBLANK(Piping!E170), "", Piping!E170), IF($N$1="Vessels", IF(ISBLANK(Vessels!E170), "", Vessels!E170), ""))</f>
        <v/>
      </c>
      <c r="F170" s="21" t="str">
        <f>IF($N$1="Piping", IF(ISBLANK(Piping!F170), "", Piping!F170), IF($N$1="Vessels", IF(ISBLANK(Vessels!F170), "", Vessels!F170), ""))</f>
        <v/>
      </c>
      <c r="G170" s="21">
        <f>IF($N$1="Piping", IF(ISBLANK(Piping!G170), "", Piping!G170), IF($N$1="Vessels", IF(ISBLANK(Vessels!G170), "", Vessels!G170), ""))</f>
        <v>0</v>
      </c>
      <c r="H170" s="21" t="str">
        <f>IF($N$1="Piping", IF(ISBLANK(Piping!H170), "", Piping!H170), IF($N$1="Vessels", IF(ISBLANK(Vessels!H170), "", Vessels!H170), ""))</f>
        <v/>
      </c>
      <c r="I170" s="21" t="str">
        <f>IF($N$1="Piping", IF(ISBLANK(Piping!I170), "", Piping!I170), IF($N$1="Vessels", IF(ISBLANK(Vessels!I170), "", Vessels!I170), ""))</f>
        <v/>
      </c>
      <c r="J170" s="21" t="str">
        <f>IF($N$1="Piping", IF(ISBLANK(Piping!J170), "", Piping!J170), IF($N$1="Vessels", IF(ISBLANK(Vessels!J170), "", Vessels!J170), ""))</f>
        <v/>
      </c>
      <c r="K170" s="21" t="str">
        <f>IF($N$1="Piping", IF(ISBLANK(Piping!K170), "", Piping!K170), IF($N$1="Vessels", IF(ISBLANK(Vessels!K170), "", Vessels!K170), ""))</f>
        <v/>
      </c>
      <c r="L170" s="21" t="str">
        <f>IF($N$1="Piping", IF(ISBLANK(Piping!L170), "", Piping!L170), IF($N$1="Vessels", IF(ISBLANK(Vessels!L170), "", Vessels!L170), ""))</f>
        <v/>
      </c>
      <c r="M170" s="21"/>
      <c r="N170" s="21"/>
      <c r="O170" s="21"/>
      <c r="P170" s="21"/>
      <c r="Q170" s="21" t="str">
        <f>IF($N$1="Piping", IF(ISBLANK(Piping!T170), "", Piping!T170), IF($N$1="Vessels", IF(ISBLANK(Vessels!T170), "", Vessels!T170), ""))</f>
        <v/>
      </c>
      <c r="R170" s="51" t="str">
        <f>IF($N$1="Piping", IF(ISBLANK(Piping!U170), "", Piping!U170), IF($N$1="Vessels", IF(ISBLANK(Vessels!U170), "", Vessels!U170), ""))</f>
        <v/>
      </c>
      <c r="S170" s="118" t="str">
        <f>IF(B170&lt;&gt;"",IF($N$1="Piping", IF(ISBLANK(Piping!$J$3), "", Piping!$J$3), IF($N$1="Vessels", IF(ISBLANK(Vessels!$J$3), "", Vessels!$J$3), "")),"")</f>
        <v/>
      </c>
      <c r="T170" s="37"/>
      <c r="U170" s="37"/>
      <c r="V170" s="37"/>
      <c r="W170" s="37"/>
      <c r="X170" s="37"/>
      <c r="Y170" s="37"/>
      <c r="Z170" s="37"/>
    </row>
    <row r="171" spans="1:26" ht="15.75" customHeight="1" x14ac:dyDescent="0.3">
      <c r="A171" s="22">
        <f>IF($N$1="Piping", IF(ISBLANK(Piping!A171), "", Piping!A171), IF($N$1="Vessels", IF(ISBLANK(Vessels!A171), "", Vessels!A171), ""))</f>
        <v>42.2</v>
      </c>
      <c r="B171" s="21" t="str">
        <f>IF($N$1="Piping", IF(ISBLANK(Piping!B171), "", Piping!B171), IF($N$1="Vessels", IF(ISBLANK(Vessels!B171), "", Vessels!B171), ""))</f>
        <v/>
      </c>
      <c r="C171" s="21" t="str">
        <f>IF($N$1="Piping", IF(ISBLANK(Piping!C171), "", Piping!C171), IF($N$1="Vessels", IF(ISBLANK(Vessels!C171), "", Vessels!C171), ""))</f>
        <v>Piping</v>
      </c>
      <c r="D171" s="21" t="str">
        <f>IF($N$1="Piping", IF(ISBLANK(Piping!D171), "", Piping!D171), IF($N$1="Vessels", IF(ISBLANK(Vessels!D171), "", Vessels!D171), ""))</f>
        <v/>
      </c>
      <c r="E171" s="21" t="str">
        <f>IF($N$1="Piping", IF(ISBLANK(Piping!E171), "", Piping!E171), IF($N$1="Vessels", IF(ISBLANK(Vessels!E171), "", Vessels!E171), ""))</f>
        <v/>
      </c>
      <c r="F171" s="21" t="str">
        <f>IF($N$1="Piping", IF(ISBLANK(Piping!F171), "", Piping!F171), IF($N$1="Vessels", IF(ISBLANK(Vessels!F171), "", Vessels!F171), ""))</f>
        <v/>
      </c>
      <c r="G171" s="21">
        <f>IF($N$1="Piping", IF(ISBLANK(Piping!G171), "", Piping!G171), IF($N$1="Vessels", IF(ISBLANK(Vessels!G171), "", Vessels!G171), ""))</f>
        <v>0</v>
      </c>
      <c r="H171" s="21" t="str">
        <f>IF($N$1="Piping", IF(ISBLANK(Piping!H171), "", Piping!H171), IF($N$1="Vessels", IF(ISBLANK(Vessels!H171), "", Vessels!H171), ""))</f>
        <v/>
      </c>
      <c r="I171" s="21" t="str">
        <f>IF($N$1="Piping", IF(ISBLANK(Piping!I171), "", Piping!I171), IF($N$1="Vessels", IF(ISBLANK(Vessels!I171), "", Vessels!I171), ""))</f>
        <v/>
      </c>
      <c r="J171" s="21" t="str">
        <f>IF($N$1="Piping", IF(ISBLANK(Piping!J171), "", Piping!J171), IF($N$1="Vessels", IF(ISBLANK(Vessels!J171), "", Vessels!J171), ""))</f>
        <v/>
      </c>
      <c r="K171" s="21" t="str">
        <f>IF($N$1="Piping", IF(ISBLANK(Piping!K171), "", Piping!K171), IF($N$1="Vessels", IF(ISBLANK(Vessels!K171), "", Vessels!K171), ""))</f>
        <v/>
      </c>
      <c r="L171" s="21" t="str">
        <f>IF($N$1="Piping", IF(ISBLANK(Piping!L171), "", Piping!L171), IF($N$1="Vessels", IF(ISBLANK(Vessels!L171), "", Vessels!L171), ""))</f>
        <v/>
      </c>
      <c r="M171" s="21"/>
      <c r="N171" s="21"/>
      <c r="O171" s="21"/>
      <c r="P171" s="21"/>
      <c r="Q171" s="21" t="str">
        <f>IF($N$1="Piping", IF(ISBLANK(Piping!T171), "", Piping!T171), IF($N$1="Vessels", IF(ISBLANK(Vessels!T171), "", Vessels!T171), ""))</f>
        <v/>
      </c>
      <c r="R171" s="51" t="str">
        <f>IF($N$1="Piping", IF(ISBLANK(Piping!U171), "", Piping!U171), IF($N$1="Vessels", IF(ISBLANK(Vessels!U171), "", Vessels!U171), ""))</f>
        <v/>
      </c>
      <c r="S171" s="118" t="str">
        <f>IF(B171&lt;&gt;"",IF($N$1="Piping", IF(ISBLANK(Piping!$J$3), "", Piping!$J$3), IF($N$1="Vessels", IF(ISBLANK(Vessels!$J$3), "", Vessels!$J$3), "")),"")</f>
        <v/>
      </c>
      <c r="T171" s="37"/>
      <c r="U171" s="37"/>
      <c r="V171" s="37"/>
      <c r="W171" s="37"/>
      <c r="X171" s="37"/>
      <c r="Y171" s="37"/>
      <c r="Z171" s="37"/>
    </row>
    <row r="172" spans="1:26" ht="15.75" customHeight="1" x14ac:dyDescent="0.3">
      <c r="A172" s="22">
        <f>IF($N$1="Piping", IF(ISBLANK(Piping!A172), "", Piping!A172), IF($N$1="Vessels", IF(ISBLANK(Vessels!A172), "", Vessels!A172), ""))</f>
        <v>42.3</v>
      </c>
      <c r="B172" s="21" t="str">
        <f>IF($N$1="Piping", IF(ISBLANK(Piping!B172), "", Piping!B172), IF($N$1="Vessels", IF(ISBLANK(Vessels!B172), "", Vessels!B172), ""))</f>
        <v/>
      </c>
      <c r="C172" s="21" t="str">
        <f>IF($N$1="Piping", IF(ISBLANK(Piping!C172), "", Piping!C172), IF($N$1="Vessels", IF(ISBLANK(Vessels!C172), "", Vessels!C172), ""))</f>
        <v>Piping</v>
      </c>
      <c r="D172" s="21" t="str">
        <f>IF($N$1="Piping", IF(ISBLANK(Piping!D172), "", Piping!D172), IF($N$1="Vessels", IF(ISBLANK(Vessels!D172), "", Vessels!D172), ""))</f>
        <v/>
      </c>
      <c r="E172" s="21" t="str">
        <f>IF($N$1="Piping", IF(ISBLANK(Piping!E172), "", Piping!E172), IF($N$1="Vessels", IF(ISBLANK(Vessels!E172), "", Vessels!E172), ""))</f>
        <v/>
      </c>
      <c r="F172" s="21" t="str">
        <f>IF($N$1="Piping", IF(ISBLANK(Piping!F172), "", Piping!F172), IF($N$1="Vessels", IF(ISBLANK(Vessels!F172), "", Vessels!F172), ""))</f>
        <v/>
      </c>
      <c r="G172" s="21">
        <f>IF($N$1="Piping", IF(ISBLANK(Piping!G172), "", Piping!G172), IF($N$1="Vessels", IF(ISBLANK(Vessels!G172), "", Vessels!G172), ""))</f>
        <v>0</v>
      </c>
      <c r="H172" s="21" t="str">
        <f>IF($N$1="Piping", IF(ISBLANK(Piping!H172), "", Piping!H172), IF($N$1="Vessels", IF(ISBLANK(Vessels!H172), "", Vessels!H172), ""))</f>
        <v/>
      </c>
      <c r="I172" s="21" t="str">
        <f>IF($N$1="Piping", IF(ISBLANK(Piping!I172), "", Piping!I172), IF($N$1="Vessels", IF(ISBLANK(Vessels!I172), "", Vessels!I172), ""))</f>
        <v/>
      </c>
      <c r="J172" s="21" t="str">
        <f>IF($N$1="Piping", IF(ISBLANK(Piping!J172), "", Piping!J172), IF($N$1="Vessels", IF(ISBLANK(Vessels!J172), "", Vessels!J172), ""))</f>
        <v/>
      </c>
      <c r="K172" s="21" t="str">
        <f>IF($N$1="Piping", IF(ISBLANK(Piping!K172), "", Piping!K172), IF($N$1="Vessels", IF(ISBLANK(Vessels!K172), "", Vessels!K172), ""))</f>
        <v/>
      </c>
      <c r="L172" s="21" t="str">
        <f>IF($N$1="Piping", IF(ISBLANK(Piping!L172), "", Piping!L172), IF($N$1="Vessels", IF(ISBLANK(Vessels!L172), "", Vessels!L172), ""))</f>
        <v/>
      </c>
      <c r="M172" s="21"/>
      <c r="N172" s="21"/>
      <c r="O172" s="21"/>
      <c r="P172" s="21"/>
      <c r="Q172" s="21" t="str">
        <f>IF($N$1="Piping", IF(ISBLANK(Piping!T172), "", Piping!T172), IF($N$1="Vessels", IF(ISBLANK(Vessels!T172), "", Vessels!T172), ""))</f>
        <v/>
      </c>
      <c r="R172" s="51" t="str">
        <f>IF($N$1="Piping", IF(ISBLANK(Piping!U172), "", Piping!U172), IF($N$1="Vessels", IF(ISBLANK(Vessels!U172), "", Vessels!U172), ""))</f>
        <v/>
      </c>
      <c r="S172" s="118" t="str">
        <f>IF(B172&lt;&gt;"",IF($N$1="Piping", IF(ISBLANK(Piping!$J$3), "", Piping!$J$3), IF($N$1="Vessels", IF(ISBLANK(Vessels!$J$3), "", Vessels!$J$3), "")),"")</f>
        <v/>
      </c>
      <c r="T172" s="37"/>
      <c r="U172" s="37"/>
      <c r="V172" s="37"/>
      <c r="W172" s="37"/>
      <c r="X172" s="37"/>
      <c r="Y172" s="37"/>
      <c r="Z172" s="37"/>
    </row>
    <row r="173" spans="1:26" ht="15.75" customHeight="1" x14ac:dyDescent="0.3">
      <c r="A173" s="22">
        <f>IF($N$1="Piping", IF(ISBLANK(Piping!A173), "", Piping!A173), IF($N$1="Vessels", IF(ISBLANK(Vessels!A173), "", Vessels!A173), ""))</f>
        <v>42.4</v>
      </c>
      <c r="B173" s="21" t="str">
        <f>IF($N$1="Piping", IF(ISBLANK(Piping!B173), "", Piping!B173), IF($N$1="Vessels", IF(ISBLANK(Vessels!B173), "", Vessels!B173), ""))</f>
        <v/>
      </c>
      <c r="C173" s="21" t="str">
        <f>IF($N$1="Piping", IF(ISBLANK(Piping!C173), "", Piping!C173), IF($N$1="Vessels", IF(ISBLANK(Vessels!C173), "", Vessels!C173), ""))</f>
        <v>Piping</v>
      </c>
      <c r="D173" s="21" t="str">
        <f>IF($N$1="Piping", IF(ISBLANK(Piping!D173), "", Piping!D173), IF($N$1="Vessels", IF(ISBLANK(Vessels!D173), "", Vessels!D173), ""))</f>
        <v/>
      </c>
      <c r="E173" s="21" t="str">
        <f>IF($N$1="Piping", IF(ISBLANK(Piping!E173), "", Piping!E173), IF($N$1="Vessels", IF(ISBLANK(Vessels!E173), "", Vessels!E173), ""))</f>
        <v/>
      </c>
      <c r="F173" s="21" t="str">
        <f>IF($N$1="Piping", IF(ISBLANK(Piping!F173), "", Piping!F173), IF($N$1="Vessels", IF(ISBLANK(Vessels!F173), "", Vessels!F173), ""))</f>
        <v/>
      </c>
      <c r="G173" s="21">
        <f>IF($N$1="Piping", IF(ISBLANK(Piping!G173), "", Piping!G173), IF($N$1="Vessels", IF(ISBLANK(Vessels!G173), "", Vessels!G173), ""))</f>
        <v>0</v>
      </c>
      <c r="H173" s="21" t="str">
        <f>IF($N$1="Piping", IF(ISBLANK(Piping!H173), "", Piping!H173), IF($N$1="Vessels", IF(ISBLANK(Vessels!H173), "", Vessels!H173), ""))</f>
        <v/>
      </c>
      <c r="I173" s="21" t="str">
        <f>IF($N$1="Piping", IF(ISBLANK(Piping!I173), "", Piping!I173), IF($N$1="Vessels", IF(ISBLANK(Vessels!I173), "", Vessels!I173), ""))</f>
        <v/>
      </c>
      <c r="J173" s="21" t="str">
        <f>IF($N$1="Piping", IF(ISBLANK(Piping!J173), "", Piping!J173), IF($N$1="Vessels", IF(ISBLANK(Vessels!J173), "", Vessels!J173), ""))</f>
        <v/>
      </c>
      <c r="K173" s="21" t="str">
        <f>IF($N$1="Piping", IF(ISBLANK(Piping!K173), "", Piping!K173), IF($N$1="Vessels", IF(ISBLANK(Vessels!K173), "", Vessels!K173), ""))</f>
        <v/>
      </c>
      <c r="L173" s="21" t="str">
        <f>IF($N$1="Piping", IF(ISBLANK(Piping!L173), "", Piping!L173), IF($N$1="Vessels", IF(ISBLANK(Vessels!L173), "", Vessels!L173), ""))</f>
        <v/>
      </c>
      <c r="M173" s="21"/>
      <c r="N173" s="21"/>
      <c r="O173" s="21"/>
      <c r="P173" s="21"/>
      <c r="Q173" s="21" t="str">
        <f>IF($N$1="Piping", IF(ISBLANK(Piping!T173), "", Piping!T173), IF($N$1="Vessels", IF(ISBLANK(Vessels!T173), "", Vessels!T173), ""))</f>
        <v/>
      </c>
      <c r="R173" s="51" t="str">
        <f>IF($N$1="Piping", IF(ISBLANK(Piping!U173), "", Piping!U173), IF($N$1="Vessels", IF(ISBLANK(Vessels!U173), "", Vessels!U173), ""))</f>
        <v/>
      </c>
      <c r="S173" s="118" t="str">
        <f>IF(B173&lt;&gt;"",IF($N$1="Piping", IF(ISBLANK(Piping!$J$3), "", Piping!$J$3), IF($N$1="Vessels", IF(ISBLANK(Vessels!$J$3), "", Vessels!$J$3), "")),"")</f>
        <v/>
      </c>
      <c r="T173" s="37"/>
      <c r="U173" s="37"/>
      <c r="V173" s="37"/>
      <c r="W173" s="37"/>
      <c r="X173" s="37"/>
      <c r="Y173" s="37"/>
      <c r="Z173" s="37"/>
    </row>
    <row r="174" spans="1:26" ht="15.75" customHeight="1" x14ac:dyDescent="0.3">
      <c r="A174" s="22">
        <f>IF($N$1="Piping", IF(ISBLANK(Piping!A174), "", Piping!A174), IF($N$1="Vessels", IF(ISBLANK(Vessels!A174), "", Vessels!A174), ""))</f>
        <v>43.1</v>
      </c>
      <c r="B174" s="21" t="str">
        <f>IF($N$1="Piping", IF(ISBLANK(Piping!B174), "", Piping!B174), IF($N$1="Vessels", IF(ISBLANK(Vessels!B174), "", Vessels!B174), ""))</f>
        <v/>
      </c>
      <c r="C174" s="21" t="str">
        <f>IF($N$1="Piping", IF(ISBLANK(Piping!C174), "", Piping!C174), IF($N$1="Vessels", IF(ISBLANK(Vessels!C174), "", Vessels!C174), ""))</f>
        <v>Piping</v>
      </c>
      <c r="D174" s="21" t="str">
        <f>IF($N$1="Piping", IF(ISBLANK(Piping!D174), "", Piping!D174), IF($N$1="Vessels", IF(ISBLANK(Vessels!D174), "", Vessels!D174), ""))</f>
        <v/>
      </c>
      <c r="E174" s="21" t="str">
        <f>IF($N$1="Piping", IF(ISBLANK(Piping!E174), "", Piping!E174), IF($N$1="Vessels", IF(ISBLANK(Vessels!E174), "", Vessels!E174), ""))</f>
        <v/>
      </c>
      <c r="F174" s="21" t="str">
        <f>IF($N$1="Piping", IF(ISBLANK(Piping!F174), "", Piping!F174), IF($N$1="Vessels", IF(ISBLANK(Vessels!F174), "", Vessels!F174), ""))</f>
        <v/>
      </c>
      <c r="G174" s="21">
        <f>IF($N$1="Piping", IF(ISBLANK(Piping!G174), "", Piping!G174), IF($N$1="Vessels", IF(ISBLANK(Vessels!G174), "", Vessels!G174), ""))</f>
        <v>0</v>
      </c>
      <c r="H174" s="21" t="str">
        <f>IF($N$1="Piping", IF(ISBLANK(Piping!H174), "", Piping!H174), IF($N$1="Vessels", IF(ISBLANK(Vessels!H174), "", Vessels!H174), ""))</f>
        <v/>
      </c>
      <c r="I174" s="21" t="str">
        <f>IF($N$1="Piping", IF(ISBLANK(Piping!I174), "", Piping!I174), IF($N$1="Vessels", IF(ISBLANK(Vessels!I174), "", Vessels!I174), ""))</f>
        <v/>
      </c>
      <c r="J174" s="21" t="str">
        <f>IF($N$1="Piping", IF(ISBLANK(Piping!J174), "", Piping!J174), IF($N$1="Vessels", IF(ISBLANK(Vessels!J174), "", Vessels!J174), ""))</f>
        <v/>
      </c>
      <c r="K174" s="21" t="str">
        <f>IF($N$1="Piping", IF(ISBLANK(Piping!K174), "", Piping!K174), IF($N$1="Vessels", IF(ISBLANK(Vessels!K174), "", Vessels!K174), ""))</f>
        <v/>
      </c>
      <c r="L174" s="21" t="str">
        <f>IF($N$1="Piping", IF(ISBLANK(Piping!L174), "", Piping!L174), IF($N$1="Vessels", IF(ISBLANK(Vessels!L174), "", Vessels!L174), ""))</f>
        <v/>
      </c>
      <c r="M174" s="21"/>
      <c r="N174" s="21"/>
      <c r="O174" s="21"/>
      <c r="P174" s="21"/>
      <c r="Q174" s="21" t="str">
        <f>IF($N$1="Piping", IF(ISBLANK(Piping!T174), "", Piping!T174), IF($N$1="Vessels", IF(ISBLANK(Vessels!T174), "", Vessels!T174), ""))</f>
        <v/>
      </c>
      <c r="R174" s="51" t="str">
        <f>IF($N$1="Piping", IF(ISBLANK(Piping!U174), "", Piping!U174), IF($N$1="Vessels", IF(ISBLANK(Vessels!U174), "", Vessels!U174), ""))</f>
        <v/>
      </c>
      <c r="S174" s="118" t="str">
        <f>IF(B174&lt;&gt;"",IF($N$1="Piping", IF(ISBLANK(Piping!$J$3), "", Piping!$J$3), IF($N$1="Vessels", IF(ISBLANK(Vessels!$J$3), "", Vessels!$J$3), "")),"")</f>
        <v/>
      </c>
      <c r="T174" s="37"/>
      <c r="U174" s="37"/>
      <c r="V174" s="37"/>
      <c r="W174" s="37"/>
      <c r="X174" s="37"/>
      <c r="Y174" s="37"/>
      <c r="Z174" s="37"/>
    </row>
    <row r="175" spans="1:26" ht="15.75" customHeight="1" x14ac:dyDescent="0.3">
      <c r="A175" s="22">
        <f>IF($N$1="Piping", IF(ISBLANK(Piping!A175), "", Piping!A175), IF($N$1="Vessels", IF(ISBLANK(Vessels!A175), "", Vessels!A175), ""))</f>
        <v>43.2</v>
      </c>
      <c r="B175" s="21" t="str">
        <f>IF($N$1="Piping", IF(ISBLANK(Piping!B175), "", Piping!B175), IF($N$1="Vessels", IF(ISBLANK(Vessels!B175), "", Vessels!B175), ""))</f>
        <v/>
      </c>
      <c r="C175" s="21" t="str">
        <f>IF($N$1="Piping", IF(ISBLANK(Piping!C175), "", Piping!C175), IF($N$1="Vessels", IF(ISBLANK(Vessels!C175), "", Vessels!C175), ""))</f>
        <v>Piping</v>
      </c>
      <c r="D175" s="21" t="str">
        <f>IF($N$1="Piping", IF(ISBLANK(Piping!D175), "", Piping!D175), IF($N$1="Vessels", IF(ISBLANK(Vessels!D175), "", Vessels!D175), ""))</f>
        <v/>
      </c>
      <c r="E175" s="21" t="str">
        <f>IF($N$1="Piping", IF(ISBLANK(Piping!E175), "", Piping!E175), IF($N$1="Vessels", IF(ISBLANK(Vessels!E175), "", Vessels!E175), ""))</f>
        <v/>
      </c>
      <c r="F175" s="21" t="str">
        <f>IF($N$1="Piping", IF(ISBLANK(Piping!F175), "", Piping!F175), IF($N$1="Vessels", IF(ISBLANK(Vessels!F175), "", Vessels!F175), ""))</f>
        <v/>
      </c>
      <c r="G175" s="21">
        <f>IF($N$1="Piping", IF(ISBLANK(Piping!G175), "", Piping!G175), IF($N$1="Vessels", IF(ISBLANK(Vessels!G175), "", Vessels!G175), ""))</f>
        <v>0</v>
      </c>
      <c r="H175" s="21" t="str">
        <f>IF($N$1="Piping", IF(ISBLANK(Piping!H175), "", Piping!H175), IF($N$1="Vessels", IF(ISBLANK(Vessels!H175), "", Vessels!H175), ""))</f>
        <v/>
      </c>
      <c r="I175" s="21" t="str">
        <f>IF($N$1="Piping", IF(ISBLANK(Piping!I175), "", Piping!I175), IF($N$1="Vessels", IF(ISBLANK(Vessels!I175), "", Vessels!I175), ""))</f>
        <v/>
      </c>
      <c r="J175" s="21" t="str">
        <f>IF($N$1="Piping", IF(ISBLANK(Piping!J175), "", Piping!J175), IF($N$1="Vessels", IF(ISBLANK(Vessels!J175), "", Vessels!J175), ""))</f>
        <v/>
      </c>
      <c r="K175" s="21" t="str">
        <f>IF($N$1="Piping", IF(ISBLANK(Piping!K175), "", Piping!K175), IF($N$1="Vessels", IF(ISBLANK(Vessels!K175), "", Vessels!K175), ""))</f>
        <v/>
      </c>
      <c r="L175" s="21" t="str">
        <f>IF($N$1="Piping", IF(ISBLANK(Piping!L175), "", Piping!L175), IF($N$1="Vessels", IF(ISBLANK(Vessels!L175), "", Vessels!L175), ""))</f>
        <v/>
      </c>
      <c r="M175" s="21"/>
      <c r="N175" s="21"/>
      <c r="O175" s="21"/>
      <c r="P175" s="21"/>
      <c r="Q175" s="21" t="str">
        <f>IF($N$1="Piping", IF(ISBLANK(Piping!T175), "", Piping!T175), IF($N$1="Vessels", IF(ISBLANK(Vessels!T175), "", Vessels!T175), ""))</f>
        <v/>
      </c>
      <c r="R175" s="51" t="str">
        <f>IF($N$1="Piping", IF(ISBLANK(Piping!U175), "", Piping!U175), IF($N$1="Vessels", IF(ISBLANK(Vessels!U175), "", Vessels!U175), ""))</f>
        <v/>
      </c>
      <c r="S175" s="118" t="str">
        <f>IF(B175&lt;&gt;"",IF($N$1="Piping", IF(ISBLANK(Piping!$J$3), "", Piping!$J$3), IF($N$1="Vessels", IF(ISBLANK(Vessels!$J$3), "", Vessels!$J$3), "")),"")</f>
        <v/>
      </c>
      <c r="T175" s="37"/>
      <c r="U175" s="37"/>
      <c r="V175" s="37"/>
      <c r="W175" s="37"/>
      <c r="X175" s="37"/>
      <c r="Y175" s="37"/>
      <c r="Z175" s="37"/>
    </row>
    <row r="176" spans="1:26" ht="15.75" customHeight="1" x14ac:dyDescent="0.3">
      <c r="A176" s="22">
        <f>IF($N$1="Piping", IF(ISBLANK(Piping!A176), "", Piping!A176), IF($N$1="Vessels", IF(ISBLANK(Vessels!A176), "", Vessels!A176), ""))</f>
        <v>43.3</v>
      </c>
      <c r="B176" s="21" t="str">
        <f>IF($N$1="Piping", IF(ISBLANK(Piping!B176), "", Piping!B176), IF($N$1="Vessels", IF(ISBLANK(Vessels!B176), "", Vessels!B176), ""))</f>
        <v/>
      </c>
      <c r="C176" s="21" t="str">
        <f>IF($N$1="Piping", IF(ISBLANK(Piping!C176), "", Piping!C176), IF($N$1="Vessels", IF(ISBLANK(Vessels!C176), "", Vessels!C176), ""))</f>
        <v>Piping</v>
      </c>
      <c r="D176" s="21" t="str">
        <f>IF($N$1="Piping", IF(ISBLANK(Piping!D176), "", Piping!D176), IF($N$1="Vessels", IF(ISBLANK(Vessels!D176), "", Vessels!D176), ""))</f>
        <v/>
      </c>
      <c r="E176" s="21" t="str">
        <f>IF($N$1="Piping", IF(ISBLANK(Piping!E176), "", Piping!E176), IF($N$1="Vessels", IF(ISBLANK(Vessels!E176), "", Vessels!E176), ""))</f>
        <v/>
      </c>
      <c r="F176" s="21" t="str">
        <f>IF($N$1="Piping", IF(ISBLANK(Piping!F176), "", Piping!F176), IF($N$1="Vessels", IF(ISBLANK(Vessels!F176), "", Vessels!F176), ""))</f>
        <v/>
      </c>
      <c r="G176" s="21">
        <f>IF($N$1="Piping", IF(ISBLANK(Piping!G176), "", Piping!G176), IF($N$1="Vessels", IF(ISBLANK(Vessels!G176), "", Vessels!G176), ""))</f>
        <v>0</v>
      </c>
      <c r="H176" s="21" t="str">
        <f>IF($N$1="Piping", IF(ISBLANK(Piping!H176), "", Piping!H176), IF($N$1="Vessels", IF(ISBLANK(Vessels!H176), "", Vessels!H176), ""))</f>
        <v/>
      </c>
      <c r="I176" s="21" t="str">
        <f>IF($N$1="Piping", IF(ISBLANK(Piping!I176), "", Piping!I176), IF($N$1="Vessels", IF(ISBLANK(Vessels!I176), "", Vessels!I176), ""))</f>
        <v/>
      </c>
      <c r="J176" s="21" t="str">
        <f>IF($N$1="Piping", IF(ISBLANK(Piping!J176), "", Piping!J176), IF($N$1="Vessels", IF(ISBLANK(Vessels!J176), "", Vessels!J176), ""))</f>
        <v/>
      </c>
      <c r="K176" s="21" t="str">
        <f>IF($N$1="Piping", IF(ISBLANK(Piping!K176), "", Piping!K176), IF($N$1="Vessels", IF(ISBLANK(Vessels!K176), "", Vessels!K176), ""))</f>
        <v/>
      </c>
      <c r="L176" s="21" t="str">
        <f>IF($N$1="Piping", IF(ISBLANK(Piping!L176), "", Piping!L176), IF($N$1="Vessels", IF(ISBLANK(Vessels!L176), "", Vessels!L176), ""))</f>
        <v/>
      </c>
      <c r="M176" s="21"/>
      <c r="N176" s="21"/>
      <c r="O176" s="21"/>
      <c r="P176" s="21"/>
      <c r="Q176" s="21" t="str">
        <f>IF($N$1="Piping", IF(ISBLANK(Piping!T176), "", Piping!T176), IF($N$1="Vessels", IF(ISBLANK(Vessels!T176), "", Vessels!T176), ""))</f>
        <v/>
      </c>
      <c r="R176" s="51" t="str">
        <f>IF($N$1="Piping", IF(ISBLANK(Piping!U176), "", Piping!U176), IF($N$1="Vessels", IF(ISBLANK(Vessels!U176), "", Vessels!U176), ""))</f>
        <v/>
      </c>
      <c r="S176" s="118" t="str">
        <f>IF(B176&lt;&gt;"",IF($N$1="Piping", IF(ISBLANK(Piping!$J$3), "", Piping!$J$3), IF($N$1="Vessels", IF(ISBLANK(Vessels!$J$3), "", Vessels!$J$3), "")),"")</f>
        <v/>
      </c>
      <c r="T176" s="37"/>
      <c r="U176" s="37"/>
      <c r="V176" s="37"/>
      <c r="W176" s="37"/>
      <c r="X176" s="37"/>
      <c r="Y176" s="37"/>
      <c r="Z176" s="37"/>
    </row>
    <row r="177" spans="1:26" ht="15.75" customHeight="1" x14ac:dyDescent="0.3">
      <c r="A177" s="22">
        <f>IF($N$1="Piping", IF(ISBLANK(Piping!A177), "", Piping!A177), IF($N$1="Vessels", IF(ISBLANK(Vessels!A177), "", Vessels!A177), ""))</f>
        <v>43.4</v>
      </c>
      <c r="B177" s="21" t="str">
        <f>IF($N$1="Piping", IF(ISBLANK(Piping!B177), "", Piping!B177), IF($N$1="Vessels", IF(ISBLANK(Vessels!B177), "", Vessels!B177), ""))</f>
        <v/>
      </c>
      <c r="C177" s="21" t="str">
        <f>IF($N$1="Piping", IF(ISBLANK(Piping!C177), "", Piping!C177), IF($N$1="Vessels", IF(ISBLANK(Vessels!C177), "", Vessels!C177), ""))</f>
        <v>Piping</v>
      </c>
      <c r="D177" s="21" t="str">
        <f>IF($N$1="Piping", IF(ISBLANK(Piping!D177), "", Piping!D177), IF($N$1="Vessels", IF(ISBLANK(Vessels!D177), "", Vessels!D177), ""))</f>
        <v/>
      </c>
      <c r="E177" s="21" t="str">
        <f>IF($N$1="Piping", IF(ISBLANK(Piping!E177), "", Piping!E177), IF($N$1="Vessels", IF(ISBLANK(Vessels!E177), "", Vessels!E177), ""))</f>
        <v/>
      </c>
      <c r="F177" s="21" t="str">
        <f>IF($N$1="Piping", IF(ISBLANK(Piping!F177), "", Piping!F177), IF($N$1="Vessels", IF(ISBLANK(Vessels!F177), "", Vessels!F177), ""))</f>
        <v/>
      </c>
      <c r="G177" s="21">
        <f>IF($N$1="Piping", IF(ISBLANK(Piping!G177), "", Piping!G177), IF($N$1="Vessels", IF(ISBLANK(Vessels!G177), "", Vessels!G177), ""))</f>
        <v>0</v>
      </c>
      <c r="H177" s="21" t="str">
        <f>IF($N$1="Piping", IF(ISBLANK(Piping!H177), "", Piping!H177), IF($N$1="Vessels", IF(ISBLANK(Vessels!H177), "", Vessels!H177), ""))</f>
        <v/>
      </c>
      <c r="I177" s="21" t="str">
        <f>IF($N$1="Piping", IF(ISBLANK(Piping!I177), "", Piping!I177), IF($N$1="Vessels", IF(ISBLANK(Vessels!I177), "", Vessels!I177), ""))</f>
        <v/>
      </c>
      <c r="J177" s="21" t="str">
        <f>IF($N$1="Piping", IF(ISBLANK(Piping!J177), "", Piping!J177), IF($N$1="Vessels", IF(ISBLANK(Vessels!J177), "", Vessels!J177), ""))</f>
        <v/>
      </c>
      <c r="K177" s="21" t="str">
        <f>IF($N$1="Piping", IF(ISBLANK(Piping!K177), "", Piping!K177), IF($N$1="Vessels", IF(ISBLANK(Vessels!K177), "", Vessels!K177), ""))</f>
        <v/>
      </c>
      <c r="L177" s="21" t="str">
        <f>IF($N$1="Piping", IF(ISBLANK(Piping!L177), "", Piping!L177), IF($N$1="Vessels", IF(ISBLANK(Vessels!L177), "", Vessels!L177), ""))</f>
        <v/>
      </c>
      <c r="M177" s="21"/>
      <c r="N177" s="21"/>
      <c r="O177" s="21"/>
      <c r="P177" s="21"/>
      <c r="Q177" s="21" t="str">
        <f>IF($N$1="Piping", IF(ISBLANK(Piping!T177), "", Piping!T177), IF($N$1="Vessels", IF(ISBLANK(Vessels!T177), "", Vessels!T177), ""))</f>
        <v/>
      </c>
      <c r="R177" s="51" t="str">
        <f>IF($N$1="Piping", IF(ISBLANK(Piping!U177), "", Piping!U177), IF($N$1="Vessels", IF(ISBLANK(Vessels!U177), "", Vessels!U177), ""))</f>
        <v/>
      </c>
      <c r="S177" s="118" t="str">
        <f>IF(B177&lt;&gt;"",IF($N$1="Piping", IF(ISBLANK(Piping!$J$3), "", Piping!$J$3), IF($N$1="Vessels", IF(ISBLANK(Vessels!$J$3), "", Vessels!$J$3), "")),"")</f>
        <v/>
      </c>
      <c r="T177" s="37"/>
      <c r="U177" s="37"/>
      <c r="V177" s="37"/>
      <c r="W177" s="37"/>
      <c r="X177" s="37"/>
      <c r="Y177" s="37"/>
      <c r="Z177" s="37"/>
    </row>
    <row r="178" spans="1:26" ht="15.75" customHeight="1" x14ac:dyDescent="0.3">
      <c r="A178" s="22">
        <f>IF($N$1="Piping", IF(ISBLANK(Piping!A178), "", Piping!A178), IF($N$1="Vessels", IF(ISBLANK(Vessels!A178), "", Vessels!A178), ""))</f>
        <v>44.1</v>
      </c>
      <c r="B178" s="21" t="str">
        <f>IF($N$1="Piping", IF(ISBLANK(Piping!B178), "", Piping!B178), IF($N$1="Vessels", IF(ISBLANK(Vessels!B178), "", Vessels!B178), ""))</f>
        <v/>
      </c>
      <c r="C178" s="21" t="str">
        <f>IF($N$1="Piping", IF(ISBLANK(Piping!C178), "", Piping!C178), IF($N$1="Vessels", IF(ISBLANK(Vessels!C178), "", Vessels!C178), ""))</f>
        <v>Piping</v>
      </c>
      <c r="D178" s="21" t="str">
        <f>IF($N$1="Piping", IF(ISBLANK(Piping!D178), "", Piping!D178), IF($N$1="Vessels", IF(ISBLANK(Vessels!D178), "", Vessels!D178), ""))</f>
        <v/>
      </c>
      <c r="E178" s="21" t="str">
        <f>IF($N$1="Piping", IF(ISBLANK(Piping!E178), "", Piping!E178), IF($N$1="Vessels", IF(ISBLANK(Vessels!E178), "", Vessels!E178), ""))</f>
        <v/>
      </c>
      <c r="F178" s="21" t="str">
        <f>IF($N$1="Piping", IF(ISBLANK(Piping!F178), "", Piping!F178), IF($N$1="Vessels", IF(ISBLANK(Vessels!F178), "", Vessels!F178), ""))</f>
        <v/>
      </c>
      <c r="G178" s="21">
        <f>IF($N$1="Piping", IF(ISBLANK(Piping!G178), "", Piping!G178), IF($N$1="Vessels", IF(ISBLANK(Vessels!G178), "", Vessels!G178), ""))</f>
        <v>0</v>
      </c>
      <c r="H178" s="21" t="str">
        <f>IF($N$1="Piping", IF(ISBLANK(Piping!H178), "", Piping!H178), IF($N$1="Vessels", IF(ISBLANK(Vessels!H178), "", Vessels!H178), ""))</f>
        <v/>
      </c>
      <c r="I178" s="21" t="str">
        <f>IF($N$1="Piping", IF(ISBLANK(Piping!I178), "", Piping!I178), IF($N$1="Vessels", IF(ISBLANK(Vessels!I178), "", Vessels!I178), ""))</f>
        <v/>
      </c>
      <c r="J178" s="21" t="str">
        <f>IF($N$1="Piping", IF(ISBLANK(Piping!J178), "", Piping!J178), IF($N$1="Vessels", IF(ISBLANK(Vessels!J178), "", Vessels!J178), ""))</f>
        <v/>
      </c>
      <c r="K178" s="21" t="str">
        <f>IF($N$1="Piping", IF(ISBLANK(Piping!K178), "", Piping!K178), IF($N$1="Vessels", IF(ISBLANK(Vessels!K178), "", Vessels!K178), ""))</f>
        <v/>
      </c>
      <c r="L178" s="21" t="str">
        <f>IF($N$1="Piping", IF(ISBLANK(Piping!L178), "", Piping!L178), IF($N$1="Vessels", IF(ISBLANK(Vessels!L178), "", Vessels!L178), ""))</f>
        <v/>
      </c>
      <c r="M178" s="21"/>
      <c r="N178" s="21"/>
      <c r="O178" s="21"/>
      <c r="P178" s="21"/>
      <c r="Q178" s="21" t="str">
        <f>IF($N$1="Piping", IF(ISBLANK(Piping!T178), "", Piping!T178), IF($N$1="Vessels", IF(ISBLANK(Vessels!T178), "", Vessels!T178), ""))</f>
        <v/>
      </c>
      <c r="R178" s="51" t="str">
        <f>IF($N$1="Piping", IF(ISBLANK(Piping!U178), "", Piping!U178), IF($N$1="Vessels", IF(ISBLANK(Vessels!U178), "", Vessels!U178), ""))</f>
        <v/>
      </c>
      <c r="S178" s="118" t="str">
        <f>IF(B178&lt;&gt;"",IF($N$1="Piping", IF(ISBLANK(Piping!$J$3), "", Piping!$J$3), IF($N$1="Vessels", IF(ISBLANK(Vessels!$J$3), "", Vessels!$J$3), "")),"")</f>
        <v/>
      </c>
      <c r="T178" s="37"/>
      <c r="U178" s="37"/>
      <c r="V178" s="37"/>
      <c r="W178" s="37"/>
      <c r="X178" s="37"/>
      <c r="Y178" s="37"/>
      <c r="Z178" s="37"/>
    </row>
    <row r="179" spans="1:26" ht="15.75" customHeight="1" x14ac:dyDescent="0.3">
      <c r="A179" s="22">
        <f>IF($N$1="Piping", IF(ISBLANK(Piping!A179), "", Piping!A179), IF($N$1="Vessels", IF(ISBLANK(Vessels!A179), "", Vessels!A179), ""))</f>
        <v>44.2</v>
      </c>
      <c r="B179" s="21" t="str">
        <f>IF($N$1="Piping", IF(ISBLANK(Piping!B179), "", Piping!B179), IF($N$1="Vessels", IF(ISBLANK(Vessels!B179), "", Vessels!B179), ""))</f>
        <v/>
      </c>
      <c r="C179" s="21" t="str">
        <f>IF($N$1="Piping", IF(ISBLANK(Piping!C179), "", Piping!C179), IF($N$1="Vessels", IF(ISBLANK(Vessels!C179), "", Vessels!C179), ""))</f>
        <v>Piping</v>
      </c>
      <c r="D179" s="21" t="str">
        <f>IF($N$1="Piping", IF(ISBLANK(Piping!D179), "", Piping!D179), IF($N$1="Vessels", IF(ISBLANK(Vessels!D179), "", Vessels!D179), ""))</f>
        <v/>
      </c>
      <c r="E179" s="21" t="str">
        <f>IF($N$1="Piping", IF(ISBLANK(Piping!E179), "", Piping!E179), IF($N$1="Vessels", IF(ISBLANK(Vessels!E179), "", Vessels!E179), ""))</f>
        <v/>
      </c>
      <c r="F179" s="21" t="str">
        <f>IF($N$1="Piping", IF(ISBLANK(Piping!F179), "", Piping!F179), IF($N$1="Vessels", IF(ISBLANK(Vessels!F179), "", Vessels!F179), ""))</f>
        <v/>
      </c>
      <c r="G179" s="21">
        <f>IF($N$1="Piping", IF(ISBLANK(Piping!G179), "", Piping!G179), IF($N$1="Vessels", IF(ISBLANK(Vessels!G179), "", Vessels!G179), ""))</f>
        <v>0</v>
      </c>
      <c r="H179" s="21" t="str">
        <f>IF($N$1="Piping", IF(ISBLANK(Piping!H179), "", Piping!H179), IF($N$1="Vessels", IF(ISBLANK(Vessels!H179), "", Vessels!H179), ""))</f>
        <v/>
      </c>
      <c r="I179" s="21" t="str">
        <f>IF($N$1="Piping", IF(ISBLANK(Piping!I179), "", Piping!I179), IF($N$1="Vessels", IF(ISBLANK(Vessels!I179), "", Vessels!I179), ""))</f>
        <v/>
      </c>
      <c r="J179" s="21" t="str">
        <f>IF($N$1="Piping", IF(ISBLANK(Piping!J179), "", Piping!J179), IF($N$1="Vessels", IF(ISBLANK(Vessels!J179), "", Vessels!J179), ""))</f>
        <v/>
      </c>
      <c r="K179" s="21" t="str">
        <f>IF($N$1="Piping", IF(ISBLANK(Piping!K179), "", Piping!K179), IF($N$1="Vessels", IF(ISBLANK(Vessels!K179), "", Vessels!K179), ""))</f>
        <v/>
      </c>
      <c r="L179" s="21" t="str">
        <f>IF($N$1="Piping", IF(ISBLANK(Piping!L179), "", Piping!L179), IF($N$1="Vessels", IF(ISBLANK(Vessels!L179), "", Vessels!L179), ""))</f>
        <v/>
      </c>
      <c r="M179" s="21"/>
      <c r="N179" s="21"/>
      <c r="O179" s="21"/>
      <c r="P179" s="21"/>
      <c r="Q179" s="21" t="str">
        <f>IF($N$1="Piping", IF(ISBLANK(Piping!T179), "", Piping!T179), IF($N$1="Vessels", IF(ISBLANK(Vessels!T179), "", Vessels!T179), ""))</f>
        <v/>
      </c>
      <c r="R179" s="51" t="str">
        <f>IF($N$1="Piping", IF(ISBLANK(Piping!U179), "", Piping!U179), IF($N$1="Vessels", IF(ISBLANK(Vessels!U179), "", Vessels!U179), ""))</f>
        <v/>
      </c>
      <c r="S179" s="118" t="str">
        <f>IF(B179&lt;&gt;"",IF($N$1="Piping", IF(ISBLANK(Piping!$J$3), "", Piping!$J$3), IF($N$1="Vessels", IF(ISBLANK(Vessels!$J$3), "", Vessels!$J$3), "")),"")</f>
        <v/>
      </c>
      <c r="T179" s="37"/>
      <c r="U179" s="37"/>
      <c r="V179" s="37"/>
      <c r="W179" s="37"/>
      <c r="X179" s="37"/>
      <c r="Y179" s="37"/>
      <c r="Z179" s="37"/>
    </row>
    <row r="180" spans="1:26" ht="15.75" customHeight="1" x14ac:dyDescent="0.3">
      <c r="A180" s="22">
        <f>IF($N$1="Piping", IF(ISBLANK(Piping!A180), "", Piping!A180), IF($N$1="Vessels", IF(ISBLANK(Vessels!A180), "", Vessels!A180), ""))</f>
        <v>44.3</v>
      </c>
      <c r="B180" s="21" t="str">
        <f>IF($N$1="Piping", IF(ISBLANK(Piping!B180), "", Piping!B180), IF($N$1="Vessels", IF(ISBLANK(Vessels!B180), "", Vessels!B180), ""))</f>
        <v/>
      </c>
      <c r="C180" s="21" t="str">
        <f>IF($N$1="Piping", IF(ISBLANK(Piping!C180), "", Piping!C180), IF($N$1="Vessels", IF(ISBLANK(Vessels!C180), "", Vessels!C180), ""))</f>
        <v>Piping</v>
      </c>
      <c r="D180" s="21" t="str">
        <f>IF($N$1="Piping", IF(ISBLANK(Piping!D180), "", Piping!D180), IF($N$1="Vessels", IF(ISBLANK(Vessels!D180), "", Vessels!D180), ""))</f>
        <v/>
      </c>
      <c r="E180" s="21" t="str">
        <f>IF($N$1="Piping", IF(ISBLANK(Piping!E180), "", Piping!E180), IF($N$1="Vessels", IF(ISBLANK(Vessels!E180), "", Vessels!E180), ""))</f>
        <v/>
      </c>
      <c r="F180" s="21" t="str">
        <f>IF($N$1="Piping", IF(ISBLANK(Piping!F180), "", Piping!F180), IF($N$1="Vessels", IF(ISBLANK(Vessels!F180), "", Vessels!F180), ""))</f>
        <v/>
      </c>
      <c r="G180" s="21">
        <f>IF($N$1="Piping", IF(ISBLANK(Piping!G180), "", Piping!G180), IF($N$1="Vessels", IF(ISBLANK(Vessels!G180), "", Vessels!G180), ""))</f>
        <v>0</v>
      </c>
      <c r="H180" s="21" t="str">
        <f>IF($N$1="Piping", IF(ISBLANK(Piping!H180), "", Piping!H180), IF($N$1="Vessels", IF(ISBLANK(Vessels!H180), "", Vessels!H180), ""))</f>
        <v/>
      </c>
      <c r="I180" s="21" t="str">
        <f>IF($N$1="Piping", IF(ISBLANK(Piping!I180), "", Piping!I180), IF($N$1="Vessels", IF(ISBLANK(Vessels!I180), "", Vessels!I180), ""))</f>
        <v/>
      </c>
      <c r="J180" s="21" t="str">
        <f>IF($N$1="Piping", IF(ISBLANK(Piping!J180), "", Piping!J180), IF($N$1="Vessels", IF(ISBLANK(Vessels!J180), "", Vessels!J180), ""))</f>
        <v/>
      </c>
      <c r="K180" s="21" t="str">
        <f>IF($N$1="Piping", IF(ISBLANK(Piping!K180), "", Piping!K180), IF($N$1="Vessels", IF(ISBLANK(Vessels!K180), "", Vessels!K180), ""))</f>
        <v/>
      </c>
      <c r="L180" s="21" t="str">
        <f>IF($N$1="Piping", IF(ISBLANK(Piping!L180), "", Piping!L180), IF($N$1="Vessels", IF(ISBLANK(Vessels!L180), "", Vessels!L180), ""))</f>
        <v/>
      </c>
      <c r="M180" s="21"/>
      <c r="N180" s="21"/>
      <c r="O180" s="21"/>
      <c r="P180" s="21"/>
      <c r="Q180" s="21" t="str">
        <f>IF($N$1="Piping", IF(ISBLANK(Piping!T180), "", Piping!T180), IF($N$1="Vessels", IF(ISBLANK(Vessels!T180), "", Vessels!T180), ""))</f>
        <v/>
      </c>
      <c r="R180" s="51" t="str">
        <f>IF($N$1="Piping", IF(ISBLANK(Piping!U180), "", Piping!U180), IF($N$1="Vessels", IF(ISBLANK(Vessels!U180), "", Vessels!U180), ""))</f>
        <v/>
      </c>
      <c r="S180" s="118" t="str">
        <f>IF(B180&lt;&gt;"",IF($N$1="Piping", IF(ISBLANK(Piping!$J$3), "", Piping!$J$3), IF($N$1="Vessels", IF(ISBLANK(Vessels!$J$3), "", Vessels!$J$3), "")),"")</f>
        <v/>
      </c>
      <c r="T180" s="37"/>
      <c r="U180" s="37"/>
      <c r="V180" s="37"/>
      <c r="W180" s="37"/>
      <c r="X180" s="37"/>
      <c r="Y180" s="37"/>
      <c r="Z180" s="37"/>
    </row>
    <row r="181" spans="1:26" ht="15.75" customHeight="1" x14ac:dyDescent="0.3">
      <c r="A181" s="22">
        <f>IF($N$1="Piping", IF(ISBLANK(Piping!A181), "", Piping!A181), IF($N$1="Vessels", IF(ISBLANK(Vessels!A181), "", Vessels!A181), ""))</f>
        <v>44.4</v>
      </c>
      <c r="B181" s="21" t="str">
        <f>IF($N$1="Piping", IF(ISBLANK(Piping!B181), "", Piping!B181), IF($N$1="Vessels", IF(ISBLANK(Vessels!B181), "", Vessels!B181), ""))</f>
        <v/>
      </c>
      <c r="C181" s="21" t="str">
        <f>IF($N$1="Piping", IF(ISBLANK(Piping!C181), "", Piping!C181), IF($N$1="Vessels", IF(ISBLANK(Vessels!C181), "", Vessels!C181), ""))</f>
        <v>Piping</v>
      </c>
      <c r="D181" s="21" t="str">
        <f>IF($N$1="Piping", IF(ISBLANK(Piping!D181), "", Piping!D181), IF($N$1="Vessels", IF(ISBLANK(Vessels!D181), "", Vessels!D181), ""))</f>
        <v/>
      </c>
      <c r="E181" s="21" t="str">
        <f>IF($N$1="Piping", IF(ISBLANK(Piping!E181), "", Piping!E181), IF($N$1="Vessels", IF(ISBLANK(Vessels!E181), "", Vessels!E181), ""))</f>
        <v/>
      </c>
      <c r="F181" s="21" t="str">
        <f>IF($N$1="Piping", IF(ISBLANK(Piping!F181), "", Piping!F181), IF($N$1="Vessels", IF(ISBLANK(Vessels!F181), "", Vessels!F181), ""))</f>
        <v/>
      </c>
      <c r="G181" s="21">
        <f>IF($N$1="Piping", IF(ISBLANK(Piping!G181), "", Piping!G181), IF($N$1="Vessels", IF(ISBLANK(Vessels!G181), "", Vessels!G181), ""))</f>
        <v>0</v>
      </c>
      <c r="H181" s="21" t="str">
        <f>IF($N$1="Piping", IF(ISBLANK(Piping!H181), "", Piping!H181), IF($N$1="Vessels", IF(ISBLANK(Vessels!H181), "", Vessels!H181), ""))</f>
        <v/>
      </c>
      <c r="I181" s="21" t="str">
        <f>IF($N$1="Piping", IF(ISBLANK(Piping!I181), "", Piping!I181), IF($N$1="Vessels", IF(ISBLANK(Vessels!I181), "", Vessels!I181), ""))</f>
        <v/>
      </c>
      <c r="J181" s="21" t="str">
        <f>IF($N$1="Piping", IF(ISBLANK(Piping!J181), "", Piping!J181), IF($N$1="Vessels", IF(ISBLANK(Vessels!J181), "", Vessels!J181), ""))</f>
        <v/>
      </c>
      <c r="K181" s="21" t="str">
        <f>IF($N$1="Piping", IF(ISBLANK(Piping!K181), "", Piping!K181), IF($N$1="Vessels", IF(ISBLANK(Vessels!K181), "", Vessels!K181), ""))</f>
        <v/>
      </c>
      <c r="L181" s="21" t="str">
        <f>IF($N$1="Piping", IF(ISBLANK(Piping!L181), "", Piping!L181), IF($N$1="Vessels", IF(ISBLANK(Vessels!L181), "", Vessels!L181), ""))</f>
        <v/>
      </c>
      <c r="M181" s="21"/>
      <c r="N181" s="21"/>
      <c r="O181" s="21"/>
      <c r="P181" s="21"/>
      <c r="Q181" s="21" t="str">
        <f>IF($N$1="Piping", IF(ISBLANK(Piping!T181), "", Piping!T181), IF($N$1="Vessels", IF(ISBLANK(Vessels!T181), "", Vessels!T181), ""))</f>
        <v/>
      </c>
      <c r="R181" s="51" t="str">
        <f>IF($N$1="Piping", IF(ISBLANK(Piping!U181), "", Piping!U181), IF($N$1="Vessels", IF(ISBLANK(Vessels!U181), "", Vessels!U181), ""))</f>
        <v/>
      </c>
      <c r="S181" s="118" t="str">
        <f>IF(B181&lt;&gt;"",IF($N$1="Piping", IF(ISBLANK(Piping!$J$3), "", Piping!$J$3), IF($N$1="Vessels", IF(ISBLANK(Vessels!$J$3), "", Vessels!$J$3), "")),"")</f>
        <v/>
      </c>
      <c r="T181" s="37"/>
      <c r="U181" s="37"/>
      <c r="V181" s="37"/>
      <c r="W181" s="37"/>
      <c r="X181" s="37"/>
      <c r="Y181" s="37"/>
      <c r="Z181" s="37"/>
    </row>
    <row r="182" spans="1:26" ht="15.75" customHeight="1" x14ac:dyDescent="0.3">
      <c r="A182" s="22">
        <f>IF($N$1="Piping", IF(ISBLANK(Piping!A182), "", Piping!A182), IF($N$1="Vessels", IF(ISBLANK(Vessels!A182), "", Vessels!A182), ""))</f>
        <v>45.1</v>
      </c>
      <c r="B182" s="21" t="str">
        <f>IF($N$1="Piping", IF(ISBLANK(Piping!B182), "", Piping!B182), IF($N$1="Vessels", IF(ISBLANK(Vessels!B182), "", Vessels!B182), ""))</f>
        <v/>
      </c>
      <c r="C182" s="21" t="str">
        <f>IF($N$1="Piping", IF(ISBLANK(Piping!C182), "", Piping!C182), IF($N$1="Vessels", IF(ISBLANK(Vessels!C182), "", Vessels!C182), ""))</f>
        <v>Piping</v>
      </c>
      <c r="D182" s="21" t="str">
        <f>IF($N$1="Piping", IF(ISBLANK(Piping!D182), "", Piping!D182), IF($N$1="Vessels", IF(ISBLANK(Vessels!D182), "", Vessels!D182), ""))</f>
        <v/>
      </c>
      <c r="E182" s="21" t="str">
        <f>IF($N$1="Piping", IF(ISBLANK(Piping!E182), "", Piping!E182), IF($N$1="Vessels", IF(ISBLANK(Vessels!E182), "", Vessels!E182), ""))</f>
        <v/>
      </c>
      <c r="F182" s="21" t="str">
        <f>IF($N$1="Piping", IF(ISBLANK(Piping!F182), "", Piping!F182), IF($N$1="Vessels", IF(ISBLANK(Vessels!F182), "", Vessels!F182), ""))</f>
        <v/>
      </c>
      <c r="G182" s="21">
        <f>IF($N$1="Piping", IF(ISBLANK(Piping!G182), "", Piping!G182), IF($N$1="Vessels", IF(ISBLANK(Vessels!G182), "", Vessels!G182), ""))</f>
        <v>0</v>
      </c>
      <c r="H182" s="21" t="str">
        <f>IF($N$1="Piping", IF(ISBLANK(Piping!H182), "", Piping!H182), IF($N$1="Vessels", IF(ISBLANK(Vessels!H182), "", Vessels!H182), ""))</f>
        <v/>
      </c>
      <c r="I182" s="21" t="str">
        <f>IF($N$1="Piping", IF(ISBLANK(Piping!I182), "", Piping!I182), IF($N$1="Vessels", IF(ISBLANK(Vessels!I182), "", Vessels!I182), ""))</f>
        <v/>
      </c>
      <c r="J182" s="21" t="str">
        <f>IF($N$1="Piping", IF(ISBLANK(Piping!J182), "", Piping!J182), IF($N$1="Vessels", IF(ISBLANK(Vessels!J182), "", Vessels!J182), ""))</f>
        <v/>
      </c>
      <c r="K182" s="21" t="str">
        <f>IF($N$1="Piping", IF(ISBLANK(Piping!K182), "", Piping!K182), IF($N$1="Vessels", IF(ISBLANK(Vessels!K182), "", Vessels!K182), ""))</f>
        <v/>
      </c>
      <c r="L182" s="21" t="str">
        <f>IF($N$1="Piping", IF(ISBLANK(Piping!L182), "", Piping!L182), IF($N$1="Vessels", IF(ISBLANK(Vessels!L182), "", Vessels!L182), ""))</f>
        <v/>
      </c>
      <c r="M182" s="21"/>
      <c r="N182" s="21"/>
      <c r="O182" s="21"/>
      <c r="P182" s="21"/>
      <c r="Q182" s="21" t="str">
        <f>IF($N$1="Piping", IF(ISBLANK(Piping!T182), "", Piping!T182), IF($N$1="Vessels", IF(ISBLANK(Vessels!T182), "", Vessels!T182), ""))</f>
        <v/>
      </c>
      <c r="R182" s="51" t="str">
        <f>IF($N$1="Piping", IF(ISBLANK(Piping!U182), "", Piping!U182), IF($N$1="Vessels", IF(ISBLANK(Vessels!U182), "", Vessels!U182), ""))</f>
        <v/>
      </c>
      <c r="S182" s="118" t="str">
        <f>IF(B182&lt;&gt;"",IF($N$1="Piping", IF(ISBLANK(Piping!$J$3), "", Piping!$J$3), IF($N$1="Vessels", IF(ISBLANK(Vessels!$J$3), "", Vessels!$J$3), "")),"")</f>
        <v/>
      </c>
      <c r="T182" s="37"/>
      <c r="U182" s="37"/>
      <c r="V182" s="37"/>
      <c r="W182" s="37"/>
      <c r="X182" s="37"/>
      <c r="Y182" s="37"/>
      <c r="Z182" s="37"/>
    </row>
    <row r="183" spans="1:26" ht="15.75" customHeight="1" x14ac:dyDescent="0.3">
      <c r="A183" s="22">
        <f>IF($N$1="Piping", IF(ISBLANK(Piping!A183), "", Piping!A183), IF($N$1="Vessels", IF(ISBLANK(Vessels!A183), "", Vessels!A183), ""))</f>
        <v>45.2</v>
      </c>
      <c r="B183" s="21" t="str">
        <f>IF($N$1="Piping", IF(ISBLANK(Piping!B183), "", Piping!B183), IF($N$1="Vessels", IF(ISBLANK(Vessels!B183), "", Vessels!B183), ""))</f>
        <v/>
      </c>
      <c r="C183" s="21" t="str">
        <f>IF($N$1="Piping", IF(ISBLANK(Piping!C183), "", Piping!C183), IF($N$1="Vessels", IF(ISBLANK(Vessels!C183), "", Vessels!C183), ""))</f>
        <v>Piping</v>
      </c>
      <c r="D183" s="21" t="str">
        <f>IF($N$1="Piping", IF(ISBLANK(Piping!D183), "", Piping!D183), IF($N$1="Vessels", IF(ISBLANK(Vessels!D183), "", Vessels!D183), ""))</f>
        <v/>
      </c>
      <c r="E183" s="21" t="str">
        <f>IF($N$1="Piping", IF(ISBLANK(Piping!E183), "", Piping!E183), IF($N$1="Vessels", IF(ISBLANK(Vessels!E183), "", Vessels!E183), ""))</f>
        <v/>
      </c>
      <c r="F183" s="21" t="str">
        <f>IF($N$1="Piping", IF(ISBLANK(Piping!F183), "", Piping!F183), IF($N$1="Vessels", IF(ISBLANK(Vessels!F183), "", Vessels!F183), ""))</f>
        <v/>
      </c>
      <c r="G183" s="21">
        <f>IF($N$1="Piping", IF(ISBLANK(Piping!G183), "", Piping!G183), IF($N$1="Vessels", IF(ISBLANK(Vessels!G183), "", Vessels!G183), ""))</f>
        <v>0</v>
      </c>
      <c r="H183" s="21" t="str">
        <f>IF($N$1="Piping", IF(ISBLANK(Piping!H183), "", Piping!H183), IF($N$1="Vessels", IF(ISBLANK(Vessels!H183), "", Vessels!H183), ""))</f>
        <v/>
      </c>
      <c r="I183" s="21" t="str">
        <f>IF($N$1="Piping", IF(ISBLANK(Piping!I183), "", Piping!I183), IF($N$1="Vessels", IF(ISBLANK(Vessels!I183), "", Vessels!I183), ""))</f>
        <v/>
      </c>
      <c r="J183" s="21" t="str">
        <f>IF($N$1="Piping", IF(ISBLANK(Piping!J183), "", Piping!J183), IF($N$1="Vessels", IF(ISBLANK(Vessels!J183), "", Vessels!J183), ""))</f>
        <v/>
      </c>
      <c r="K183" s="21" t="str">
        <f>IF($N$1="Piping", IF(ISBLANK(Piping!K183), "", Piping!K183), IF($N$1="Vessels", IF(ISBLANK(Vessels!K183), "", Vessels!K183), ""))</f>
        <v/>
      </c>
      <c r="L183" s="21" t="str">
        <f>IF($N$1="Piping", IF(ISBLANK(Piping!L183), "", Piping!L183), IF($N$1="Vessels", IF(ISBLANK(Vessels!L183), "", Vessels!L183), ""))</f>
        <v/>
      </c>
      <c r="M183" s="21"/>
      <c r="N183" s="21"/>
      <c r="O183" s="21"/>
      <c r="P183" s="21"/>
      <c r="Q183" s="21" t="str">
        <f>IF($N$1="Piping", IF(ISBLANK(Piping!T183), "", Piping!T183), IF($N$1="Vessels", IF(ISBLANK(Vessels!T183), "", Vessels!T183), ""))</f>
        <v/>
      </c>
      <c r="R183" s="51" t="str">
        <f>IF($N$1="Piping", IF(ISBLANK(Piping!U183), "", Piping!U183), IF($N$1="Vessels", IF(ISBLANK(Vessels!U183), "", Vessels!U183), ""))</f>
        <v/>
      </c>
      <c r="S183" s="118" t="str">
        <f>IF(B183&lt;&gt;"",IF($N$1="Piping", IF(ISBLANK(Piping!$J$3), "", Piping!$J$3), IF($N$1="Vessels", IF(ISBLANK(Vessels!$J$3), "", Vessels!$J$3), "")),"")</f>
        <v/>
      </c>
      <c r="T183" s="37"/>
      <c r="U183" s="37"/>
      <c r="V183" s="37"/>
      <c r="W183" s="37"/>
      <c r="X183" s="37"/>
      <c r="Y183" s="37"/>
      <c r="Z183" s="37"/>
    </row>
    <row r="184" spans="1:26" ht="15.75" customHeight="1" x14ac:dyDescent="0.3">
      <c r="A184" s="22">
        <f>IF($N$1="Piping", IF(ISBLANK(Piping!A184), "", Piping!A184), IF($N$1="Vessels", IF(ISBLANK(Vessels!A184), "", Vessels!A184), ""))</f>
        <v>45.3</v>
      </c>
      <c r="B184" s="21" t="str">
        <f>IF($N$1="Piping", IF(ISBLANK(Piping!B184), "", Piping!B184), IF($N$1="Vessels", IF(ISBLANK(Vessels!B184), "", Vessels!B184), ""))</f>
        <v/>
      </c>
      <c r="C184" s="21" t="str">
        <f>IF($N$1="Piping", IF(ISBLANK(Piping!C184), "", Piping!C184), IF($N$1="Vessels", IF(ISBLANK(Vessels!C184), "", Vessels!C184), ""))</f>
        <v>Piping</v>
      </c>
      <c r="D184" s="21" t="str">
        <f>IF($N$1="Piping", IF(ISBLANK(Piping!D184), "", Piping!D184), IF($N$1="Vessels", IF(ISBLANK(Vessels!D184), "", Vessels!D184), ""))</f>
        <v/>
      </c>
      <c r="E184" s="21" t="str">
        <f>IF($N$1="Piping", IF(ISBLANK(Piping!E184), "", Piping!E184), IF($N$1="Vessels", IF(ISBLANK(Vessels!E184), "", Vessels!E184), ""))</f>
        <v/>
      </c>
      <c r="F184" s="21" t="str">
        <f>IF($N$1="Piping", IF(ISBLANK(Piping!F184), "", Piping!F184), IF($N$1="Vessels", IF(ISBLANK(Vessels!F184), "", Vessels!F184), ""))</f>
        <v/>
      </c>
      <c r="G184" s="21">
        <f>IF($N$1="Piping", IF(ISBLANK(Piping!G184), "", Piping!G184), IF($N$1="Vessels", IF(ISBLANK(Vessels!G184), "", Vessels!G184), ""))</f>
        <v>0</v>
      </c>
      <c r="H184" s="21" t="str">
        <f>IF($N$1="Piping", IF(ISBLANK(Piping!H184), "", Piping!H184), IF($N$1="Vessels", IF(ISBLANK(Vessels!H184), "", Vessels!H184), ""))</f>
        <v/>
      </c>
      <c r="I184" s="21" t="str">
        <f>IF($N$1="Piping", IF(ISBLANK(Piping!I184), "", Piping!I184), IF($N$1="Vessels", IF(ISBLANK(Vessels!I184), "", Vessels!I184), ""))</f>
        <v/>
      </c>
      <c r="J184" s="21" t="str">
        <f>IF($N$1="Piping", IF(ISBLANK(Piping!J184), "", Piping!J184), IF($N$1="Vessels", IF(ISBLANK(Vessels!J184), "", Vessels!J184), ""))</f>
        <v/>
      </c>
      <c r="K184" s="21" t="str">
        <f>IF($N$1="Piping", IF(ISBLANK(Piping!K184), "", Piping!K184), IF($N$1="Vessels", IF(ISBLANK(Vessels!K184), "", Vessels!K184), ""))</f>
        <v/>
      </c>
      <c r="L184" s="21" t="str">
        <f>IF($N$1="Piping", IF(ISBLANK(Piping!L184), "", Piping!L184), IF($N$1="Vessels", IF(ISBLANK(Vessels!L184), "", Vessels!L184), ""))</f>
        <v/>
      </c>
      <c r="M184" s="21"/>
      <c r="N184" s="21"/>
      <c r="O184" s="21"/>
      <c r="P184" s="21"/>
      <c r="Q184" s="21" t="str">
        <f>IF($N$1="Piping", IF(ISBLANK(Piping!T184), "", Piping!T184), IF($N$1="Vessels", IF(ISBLANK(Vessels!T184), "", Vessels!T184), ""))</f>
        <v/>
      </c>
      <c r="R184" s="51" t="str">
        <f>IF($N$1="Piping", IF(ISBLANK(Piping!U184), "", Piping!U184), IF($N$1="Vessels", IF(ISBLANK(Vessels!U184), "", Vessels!U184), ""))</f>
        <v/>
      </c>
      <c r="S184" s="118" t="str">
        <f>IF(B184&lt;&gt;"",IF($N$1="Piping", IF(ISBLANK(Piping!$J$3), "", Piping!$J$3), IF($N$1="Vessels", IF(ISBLANK(Vessels!$J$3), "", Vessels!$J$3), "")),"")</f>
        <v/>
      </c>
      <c r="T184" s="37"/>
      <c r="U184" s="37"/>
      <c r="V184" s="37"/>
      <c r="W184" s="37"/>
      <c r="X184" s="37"/>
      <c r="Y184" s="37"/>
      <c r="Z184" s="37"/>
    </row>
    <row r="185" spans="1:26" ht="15.75" customHeight="1" x14ac:dyDescent="0.3">
      <c r="A185" s="22">
        <f>IF($N$1="Piping", IF(ISBLANK(Piping!A185), "", Piping!A185), IF($N$1="Vessels", IF(ISBLANK(Vessels!A185), "", Vessels!A185), ""))</f>
        <v>45.4</v>
      </c>
      <c r="B185" s="21" t="str">
        <f>IF($N$1="Piping", IF(ISBLANK(Piping!B185), "", Piping!B185), IF($N$1="Vessels", IF(ISBLANK(Vessels!B185), "", Vessels!B185), ""))</f>
        <v/>
      </c>
      <c r="C185" s="21" t="str">
        <f>IF($N$1="Piping", IF(ISBLANK(Piping!C185), "", Piping!C185), IF($N$1="Vessels", IF(ISBLANK(Vessels!C185), "", Vessels!C185), ""))</f>
        <v>Piping</v>
      </c>
      <c r="D185" s="21" t="str">
        <f>IF($N$1="Piping", IF(ISBLANK(Piping!D185), "", Piping!D185), IF($N$1="Vessels", IF(ISBLANK(Vessels!D185), "", Vessels!D185), ""))</f>
        <v/>
      </c>
      <c r="E185" s="21" t="str">
        <f>IF($N$1="Piping", IF(ISBLANK(Piping!E185), "", Piping!E185), IF($N$1="Vessels", IF(ISBLANK(Vessels!E185), "", Vessels!E185), ""))</f>
        <v/>
      </c>
      <c r="F185" s="21" t="str">
        <f>IF($N$1="Piping", IF(ISBLANK(Piping!F185), "", Piping!F185), IF($N$1="Vessels", IF(ISBLANK(Vessels!F185), "", Vessels!F185), ""))</f>
        <v/>
      </c>
      <c r="G185" s="21">
        <f>IF($N$1="Piping", IF(ISBLANK(Piping!G185), "", Piping!G185), IF($N$1="Vessels", IF(ISBLANK(Vessels!G185), "", Vessels!G185), ""))</f>
        <v>0</v>
      </c>
      <c r="H185" s="21" t="str">
        <f>IF($N$1="Piping", IF(ISBLANK(Piping!H185), "", Piping!H185), IF($N$1="Vessels", IF(ISBLANK(Vessels!H185), "", Vessels!H185), ""))</f>
        <v/>
      </c>
      <c r="I185" s="21" t="str">
        <f>IF($N$1="Piping", IF(ISBLANK(Piping!I185), "", Piping!I185), IF($N$1="Vessels", IF(ISBLANK(Vessels!I185), "", Vessels!I185), ""))</f>
        <v/>
      </c>
      <c r="J185" s="21" t="str">
        <f>IF($N$1="Piping", IF(ISBLANK(Piping!J185), "", Piping!J185), IF($N$1="Vessels", IF(ISBLANK(Vessels!J185), "", Vessels!J185), ""))</f>
        <v/>
      </c>
      <c r="K185" s="21" t="str">
        <f>IF($N$1="Piping", IF(ISBLANK(Piping!K185), "", Piping!K185), IF($N$1="Vessels", IF(ISBLANK(Vessels!K185), "", Vessels!K185), ""))</f>
        <v/>
      </c>
      <c r="L185" s="21" t="str">
        <f>IF($N$1="Piping", IF(ISBLANK(Piping!L185), "", Piping!L185), IF($N$1="Vessels", IF(ISBLANK(Vessels!L185), "", Vessels!L185), ""))</f>
        <v/>
      </c>
      <c r="M185" s="21"/>
      <c r="N185" s="21"/>
      <c r="O185" s="21"/>
      <c r="P185" s="21"/>
      <c r="Q185" s="21" t="str">
        <f>IF($N$1="Piping", IF(ISBLANK(Piping!T185), "", Piping!T185), IF($N$1="Vessels", IF(ISBLANK(Vessels!T185), "", Vessels!T185), ""))</f>
        <v/>
      </c>
      <c r="R185" s="51" t="str">
        <f>IF($N$1="Piping", IF(ISBLANK(Piping!U185), "", Piping!U185), IF($N$1="Vessels", IF(ISBLANK(Vessels!U185), "", Vessels!U185), ""))</f>
        <v/>
      </c>
      <c r="S185" s="118" t="str">
        <f>IF(B185&lt;&gt;"",IF($N$1="Piping", IF(ISBLANK(Piping!$J$3), "", Piping!$J$3), IF($N$1="Vessels", IF(ISBLANK(Vessels!$J$3), "", Vessels!$J$3), "")),"")</f>
        <v/>
      </c>
      <c r="T185" s="37"/>
      <c r="U185" s="37"/>
      <c r="V185" s="37"/>
      <c r="W185" s="37"/>
      <c r="X185" s="37"/>
      <c r="Y185" s="37"/>
      <c r="Z185" s="37"/>
    </row>
    <row r="186" spans="1:26" ht="15.75" customHeight="1" x14ac:dyDescent="0.3">
      <c r="A186" s="22">
        <f>IF($N$1="Piping", IF(ISBLANK(Piping!A186), "", Piping!A186), IF($N$1="Vessels", IF(ISBLANK(Vessels!A186), "", Vessels!A186), ""))</f>
        <v>46.1</v>
      </c>
      <c r="B186" s="21" t="str">
        <f>IF($N$1="Piping", IF(ISBLANK(Piping!B186), "", Piping!B186), IF($N$1="Vessels", IF(ISBLANK(Vessels!B186), "", Vessels!B186), ""))</f>
        <v/>
      </c>
      <c r="C186" s="21" t="str">
        <f>IF($N$1="Piping", IF(ISBLANK(Piping!C186), "", Piping!C186), IF($N$1="Vessels", IF(ISBLANK(Vessels!C186), "", Vessels!C186), ""))</f>
        <v>Piping</v>
      </c>
      <c r="D186" s="21" t="str">
        <f>IF($N$1="Piping", IF(ISBLANK(Piping!D186), "", Piping!D186), IF($N$1="Vessels", IF(ISBLANK(Vessels!D186), "", Vessels!D186), ""))</f>
        <v/>
      </c>
      <c r="E186" s="21" t="str">
        <f>IF($N$1="Piping", IF(ISBLANK(Piping!E186), "", Piping!E186), IF($N$1="Vessels", IF(ISBLANK(Vessels!E186), "", Vessels!E186), ""))</f>
        <v/>
      </c>
      <c r="F186" s="21" t="str">
        <f>IF($N$1="Piping", IF(ISBLANK(Piping!F186), "", Piping!F186), IF($N$1="Vessels", IF(ISBLANK(Vessels!F186), "", Vessels!F186), ""))</f>
        <v/>
      </c>
      <c r="G186" s="21">
        <f>IF($N$1="Piping", IF(ISBLANK(Piping!G186), "", Piping!G186), IF($N$1="Vessels", IF(ISBLANK(Vessels!G186), "", Vessels!G186), ""))</f>
        <v>0</v>
      </c>
      <c r="H186" s="21" t="str">
        <f>IF($N$1="Piping", IF(ISBLANK(Piping!H186), "", Piping!H186), IF($N$1="Vessels", IF(ISBLANK(Vessels!H186), "", Vessels!H186), ""))</f>
        <v/>
      </c>
      <c r="I186" s="21" t="str">
        <f>IF($N$1="Piping", IF(ISBLANK(Piping!I186), "", Piping!I186), IF($N$1="Vessels", IF(ISBLANK(Vessels!I186), "", Vessels!I186), ""))</f>
        <v/>
      </c>
      <c r="J186" s="21" t="str">
        <f>IF($N$1="Piping", IF(ISBLANK(Piping!J186), "", Piping!J186), IF($N$1="Vessels", IF(ISBLANK(Vessels!J186), "", Vessels!J186), ""))</f>
        <v/>
      </c>
      <c r="K186" s="21" t="str">
        <f>IF($N$1="Piping", IF(ISBLANK(Piping!K186), "", Piping!K186), IF($N$1="Vessels", IF(ISBLANK(Vessels!K186), "", Vessels!K186), ""))</f>
        <v/>
      </c>
      <c r="L186" s="21" t="str">
        <f>IF($N$1="Piping", IF(ISBLANK(Piping!L186), "", Piping!L186), IF($N$1="Vessels", IF(ISBLANK(Vessels!L186), "", Vessels!L186), ""))</f>
        <v/>
      </c>
      <c r="M186" s="21"/>
      <c r="N186" s="21"/>
      <c r="O186" s="21"/>
      <c r="P186" s="21"/>
      <c r="Q186" s="21" t="str">
        <f>IF($N$1="Piping", IF(ISBLANK(Piping!T186), "", Piping!T186), IF($N$1="Vessels", IF(ISBLANK(Vessels!T186), "", Vessels!T186), ""))</f>
        <v/>
      </c>
      <c r="R186" s="51" t="str">
        <f>IF($N$1="Piping", IF(ISBLANK(Piping!U186), "", Piping!U186), IF($N$1="Vessels", IF(ISBLANK(Vessels!U186), "", Vessels!U186), ""))</f>
        <v/>
      </c>
      <c r="S186" s="118" t="str">
        <f>IF(B186&lt;&gt;"",IF($N$1="Piping", IF(ISBLANK(Piping!$J$3), "", Piping!$J$3), IF($N$1="Vessels", IF(ISBLANK(Vessels!$J$3), "", Vessels!$J$3), "")),"")</f>
        <v/>
      </c>
      <c r="T186" s="37"/>
      <c r="U186" s="37"/>
      <c r="V186" s="37"/>
      <c r="W186" s="37"/>
      <c r="X186" s="37"/>
      <c r="Y186" s="37"/>
      <c r="Z186" s="37"/>
    </row>
    <row r="187" spans="1:26" ht="15.75" customHeight="1" x14ac:dyDescent="0.3">
      <c r="A187" s="22">
        <f>IF($N$1="Piping", IF(ISBLANK(Piping!A187), "", Piping!A187), IF($N$1="Vessels", IF(ISBLANK(Vessels!A187), "", Vessels!A187), ""))</f>
        <v>46.2</v>
      </c>
      <c r="B187" s="21" t="str">
        <f>IF($N$1="Piping", IF(ISBLANK(Piping!B187), "", Piping!B187), IF($N$1="Vessels", IF(ISBLANK(Vessels!B187), "", Vessels!B187), ""))</f>
        <v/>
      </c>
      <c r="C187" s="21" t="str">
        <f>IF($N$1="Piping", IF(ISBLANK(Piping!C187), "", Piping!C187), IF($N$1="Vessels", IF(ISBLANK(Vessels!C187), "", Vessels!C187), ""))</f>
        <v>Piping</v>
      </c>
      <c r="D187" s="21" t="str">
        <f>IF($N$1="Piping", IF(ISBLANK(Piping!D187), "", Piping!D187), IF($N$1="Vessels", IF(ISBLANK(Vessels!D187), "", Vessels!D187), ""))</f>
        <v/>
      </c>
      <c r="E187" s="21" t="str">
        <f>IF($N$1="Piping", IF(ISBLANK(Piping!E187), "", Piping!E187), IF($N$1="Vessels", IF(ISBLANK(Vessels!E187), "", Vessels!E187), ""))</f>
        <v/>
      </c>
      <c r="F187" s="21" t="str">
        <f>IF($N$1="Piping", IF(ISBLANK(Piping!F187), "", Piping!F187), IF($N$1="Vessels", IF(ISBLANK(Vessels!F187), "", Vessels!F187), ""))</f>
        <v/>
      </c>
      <c r="G187" s="21">
        <f>IF($N$1="Piping", IF(ISBLANK(Piping!G187), "", Piping!G187), IF($N$1="Vessels", IF(ISBLANK(Vessels!G187), "", Vessels!G187), ""))</f>
        <v>0</v>
      </c>
      <c r="H187" s="21" t="str">
        <f>IF($N$1="Piping", IF(ISBLANK(Piping!H187), "", Piping!H187), IF($N$1="Vessels", IF(ISBLANK(Vessels!H187), "", Vessels!H187), ""))</f>
        <v/>
      </c>
      <c r="I187" s="21" t="str">
        <f>IF($N$1="Piping", IF(ISBLANK(Piping!I187), "", Piping!I187), IF($N$1="Vessels", IF(ISBLANK(Vessels!I187), "", Vessels!I187), ""))</f>
        <v/>
      </c>
      <c r="J187" s="21" t="str">
        <f>IF($N$1="Piping", IF(ISBLANK(Piping!J187), "", Piping!J187), IF($N$1="Vessels", IF(ISBLANK(Vessels!J187), "", Vessels!J187), ""))</f>
        <v/>
      </c>
      <c r="K187" s="21" t="str">
        <f>IF($N$1="Piping", IF(ISBLANK(Piping!K187), "", Piping!K187), IF($N$1="Vessels", IF(ISBLANK(Vessels!K187), "", Vessels!K187), ""))</f>
        <v/>
      </c>
      <c r="L187" s="21" t="str">
        <f>IF($N$1="Piping", IF(ISBLANK(Piping!L187), "", Piping!L187), IF($N$1="Vessels", IF(ISBLANK(Vessels!L187), "", Vessels!L187), ""))</f>
        <v/>
      </c>
      <c r="M187" s="21"/>
      <c r="N187" s="21"/>
      <c r="O187" s="21"/>
      <c r="P187" s="21"/>
      <c r="Q187" s="21" t="str">
        <f>IF($N$1="Piping", IF(ISBLANK(Piping!T187), "", Piping!T187), IF($N$1="Vessels", IF(ISBLANK(Vessels!T187), "", Vessels!T187), ""))</f>
        <v/>
      </c>
      <c r="R187" s="51" t="str">
        <f>IF($N$1="Piping", IF(ISBLANK(Piping!U187), "", Piping!U187), IF($N$1="Vessels", IF(ISBLANK(Vessels!U187), "", Vessels!U187), ""))</f>
        <v/>
      </c>
      <c r="S187" s="118" t="str">
        <f>IF(B187&lt;&gt;"",IF($N$1="Piping", IF(ISBLANK(Piping!$J$3), "", Piping!$J$3), IF($N$1="Vessels", IF(ISBLANK(Vessels!$J$3), "", Vessels!$J$3), "")),"")</f>
        <v/>
      </c>
      <c r="T187" s="37"/>
      <c r="U187" s="37"/>
      <c r="V187" s="37"/>
      <c r="W187" s="37"/>
      <c r="X187" s="37"/>
      <c r="Y187" s="37"/>
      <c r="Z187" s="37"/>
    </row>
    <row r="188" spans="1:26" ht="15.75" customHeight="1" x14ac:dyDescent="0.3">
      <c r="A188" s="22">
        <f>IF($N$1="Piping", IF(ISBLANK(Piping!A188), "", Piping!A188), IF($N$1="Vessels", IF(ISBLANK(Vessels!A188), "", Vessels!A188), ""))</f>
        <v>46.3</v>
      </c>
      <c r="B188" s="21" t="str">
        <f>IF($N$1="Piping", IF(ISBLANK(Piping!B188), "", Piping!B188), IF($N$1="Vessels", IF(ISBLANK(Vessels!B188), "", Vessels!B188), ""))</f>
        <v/>
      </c>
      <c r="C188" s="21" t="str">
        <f>IF($N$1="Piping", IF(ISBLANK(Piping!C188), "", Piping!C188), IF($N$1="Vessels", IF(ISBLANK(Vessels!C188), "", Vessels!C188), ""))</f>
        <v>Piping</v>
      </c>
      <c r="D188" s="21" t="str">
        <f>IF($N$1="Piping", IF(ISBLANK(Piping!D188), "", Piping!D188), IF($N$1="Vessels", IF(ISBLANK(Vessels!D188), "", Vessels!D188), ""))</f>
        <v/>
      </c>
      <c r="E188" s="21" t="str">
        <f>IF($N$1="Piping", IF(ISBLANK(Piping!E188), "", Piping!E188), IF($N$1="Vessels", IF(ISBLANK(Vessels!E188), "", Vessels!E188), ""))</f>
        <v/>
      </c>
      <c r="F188" s="21" t="str">
        <f>IF($N$1="Piping", IF(ISBLANK(Piping!F188), "", Piping!F188), IF($N$1="Vessels", IF(ISBLANK(Vessels!F188), "", Vessels!F188), ""))</f>
        <v/>
      </c>
      <c r="G188" s="21">
        <f>IF($N$1="Piping", IF(ISBLANK(Piping!G188), "", Piping!G188), IF($N$1="Vessels", IF(ISBLANK(Vessels!G188), "", Vessels!G188), ""))</f>
        <v>0</v>
      </c>
      <c r="H188" s="21" t="str">
        <f>IF($N$1="Piping", IF(ISBLANK(Piping!H188), "", Piping!H188), IF($N$1="Vessels", IF(ISBLANK(Vessels!H188), "", Vessels!H188), ""))</f>
        <v/>
      </c>
      <c r="I188" s="21" t="str">
        <f>IF($N$1="Piping", IF(ISBLANK(Piping!I188), "", Piping!I188), IF($N$1="Vessels", IF(ISBLANK(Vessels!I188), "", Vessels!I188), ""))</f>
        <v/>
      </c>
      <c r="J188" s="21" t="str">
        <f>IF($N$1="Piping", IF(ISBLANK(Piping!J188), "", Piping!J188), IF($N$1="Vessels", IF(ISBLANK(Vessels!J188), "", Vessels!J188), ""))</f>
        <v/>
      </c>
      <c r="K188" s="21" t="str">
        <f>IF($N$1="Piping", IF(ISBLANK(Piping!K188), "", Piping!K188), IF($N$1="Vessels", IF(ISBLANK(Vessels!K188), "", Vessels!K188), ""))</f>
        <v/>
      </c>
      <c r="L188" s="21" t="str">
        <f>IF($N$1="Piping", IF(ISBLANK(Piping!L188), "", Piping!L188), IF($N$1="Vessels", IF(ISBLANK(Vessels!L188), "", Vessels!L188), ""))</f>
        <v/>
      </c>
      <c r="M188" s="21"/>
      <c r="N188" s="21"/>
      <c r="O188" s="21"/>
      <c r="P188" s="21"/>
      <c r="Q188" s="21" t="str">
        <f>IF($N$1="Piping", IF(ISBLANK(Piping!T188), "", Piping!T188), IF($N$1="Vessels", IF(ISBLANK(Vessels!T188), "", Vessels!T188), ""))</f>
        <v/>
      </c>
      <c r="R188" s="51" t="str">
        <f>IF($N$1="Piping", IF(ISBLANK(Piping!U188), "", Piping!U188), IF($N$1="Vessels", IF(ISBLANK(Vessels!U188), "", Vessels!U188), ""))</f>
        <v/>
      </c>
      <c r="S188" s="118" t="str">
        <f>IF(B188&lt;&gt;"",IF($N$1="Piping", IF(ISBLANK(Piping!$J$3), "", Piping!$J$3), IF($N$1="Vessels", IF(ISBLANK(Vessels!$J$3), "", Vessels!$J$3), "")),"")</f>
        <v/>
      </c>
      <c r="T188" s="37"/>
      <c r="U188" s="37"/>
      <c r="V188" s="37"/>
      <c r="W188" s="37"/>
      <c r="X188" s="37"/>
      <c r="Y188" s="37"/>
      <c r="Z188" s="37"/>
    </row>
    <row r="189" spans="1:26" ht="15.75" customHeight="1" x14ac:dyDescent="0.3">
      <c r="A189" s="22">
        <f>IF($N$1="Piping", IF(ISBLANK(Piping!A189), "", Piping!A189), IF($N$1="Vessels", IF(ISBLANK(Vessels!A189), "", Vessels!A189), ""))</f>
        <v>46.4</v>
      </c>
      <c r="B189" s="21" t="str">
        <f>IF($N$1="Piping", IF(ISBLANK(Piping!B189), "", Piping!B189), IF($N$1="Vessels", IF(ISBLANK(Vessels!B189), "", Vessels!B189), ""))</f>
        <v/>
      </c>
      <c r="C189" s="21" t="str">
        <f>IF($N$1="Piping", IF(ISBLANK(Piping!C189), "", Piping!C189), IF($N$1="Vessels", IF(ISBLANK(Vessels!C189), "", Vessels!C189), ""))</f>
        <v>Piping</v>
      </c>
      <c r="D189" s="21" t="str">
        <f>IF($N$1="Piping", IF(ISBLANK(Piping!D189), "", Piping!D189), IF($N$1="Vessels", IF(ISBLANK(Vessels!D189), "", Vessels!D189), ""))</f>
        <v/>
      </c>
      <c r="E189" s="21" t="str">
        <f>IF($N$1="Piping", IF(ISBLANK(Piping!E189), "", Piping!E189), IF($N$1="Vessels", IF(ISBLANK(Vessels!E189), "", Vessels!E189), ""))</f>
        <v/>
      </c>
      <c r="F189" s="21" t="str">
        <f>IF($N$1="Piping", IF(ISBLANK(Piping!F189), "", Piping!F189), IF($N$1="Vessels", IF(ISBLANK(Vessels!F189), "", Vessels!F189), ""))</f>
        <v/>
      </c>
      <c r="G189" s="21">
        <f>IF($N$1="Piping", IF(ISBLANK(Piping!G189), "", Piping!G189), IF($N$1="Vessels", IF(ISBLANK(Vessels!G189), "", Vessels!G189), ""))</f>
        <v>0</v>
      </c>
      <c r="H189" s="21" t="str">
        <f>IF($N$1="Piping", IF(ISBLANK(Piping!H189), "", Piping!H189), IF($N$1="Vessels", IF(ISBLANK(Vessels!H189), "", Vessels!H189), ""))</f>
        <v/>
      </c>
      <c r="I189" s="21" t="str">
        <f>IF($N$1="Piping", IF(ISBLANK(Piping!I189), "", Piping!I189), IF($N$1="Vessels", IF(ISBLANK(Vessels!I189), "", Vessels!I189), ""))</f>
        <v/>
      </c>
      <c r="J189" s="21" t="str">
        <f>IF($N$1="Piping", IF(ISBLANK(Piping!J189), "", Piping!J189), IF($N$1="Vessels", IF(ISBLANK(Vessels!J189), "", Vessels!J189), ""))</f>
        <v/>
      </c>
      <c r="K189" s="21" t="str">
        <f>IF($N$1="Piping", IF(ISBLANK(Piping!K189), "", Piping!K189), IF($N$1="Vessels", IF(ISBLANK(Vessels!K189), "", Vessels!K189), ""))</f>
        <v/>
      </c>
      <c r="L189" s="21" t="str">
        <f>IF($N$1="Piping", IF(ISBLANK(Piping!L189), "", Piping!L189), IF($N$1="Vessels", IF(ISBLANK(Vessels!L189), "", Vessels!L189), ""))</f>
        <v/>
      </c>
      <c r="M189" s="21"/>
      <c r="N189" s="21"/>
      <c r="O189" s="21"/>
      <c r="P189" s="21"/>
      <c r="Q189" s="21" t="str">
        <f>IF($N$1="Piping", IF(ISBLANK(Piping!T189), "", Piping!T189), IF($N$1="Vessels", IF(ISBLANK(Vessels!T189), "", Vessels!T189), ""))</f>
        <v/>
      </c>
      <c r="R189" s="51" t="str">
        <f>IF($N$1="Piping", IF(ISBLANK(Piping!U189), "", Piping!U189), IF($N$1="Vessels", IF(ISBLANK(Vessels!U189), "", Vessels!U189), ""))</f>
        <v/>
      </c>
      <c r="S189" s="118" t="str">
        <f>IF(B189&lt;&gt;"",IF($N$1="Piping", IF(ISBLANK(Piping!$J$3), "", Piping!$J$3), IF($N$1="Vessels", IF(ISBLANK(Vessels!$J$3), "", Vessels!$J$3), "")),"")</f>
        <v/>
      </c>
      <c r="T189" s="37"/>
      <c r="U189" s="37"/>
      <c r="V189" s="37"/>
      <c r="W189" s="37"/>
      <c r="X189" s="37"/>
      <c r="Y189" s="37"/>
      <c r="Z189" s="37"/>
    </row>
    <row r="190" spans="1:26" ht="15.75" customHeight="1" x14ac:dyDescent="0.3">
      <c r="A190" s="22">
        <f>IF($N$1="Piping", IF(ISBLANK(Piping!A190), "", Piping!A190), IF($N$1="Vessels", IF(ISBLANK(Vessels!A190), "", Vessels!A190), ""))</f>
        <v>47.1</v>
      </c>
      <c r="B190" s="21" t="str">
        <f>IF($N$1="Piping", IF(ISBLANK(Piping!B190), "", Piping!B190), IF($N$1="Vessels", IF(ISBLANK(Vessels!B190), "", Vessels!B190), ""))</f>
        <v/>
      </c>
      <c r="C190" s="21" t="str">
        <f>IF($N$1="Piping", IF(ISBLANK(Piping!C190), "", Piping!C190), IF($N$1="Vessels", IF(ISBLANK(Vessels!C190), "", Vessels!C190), ""))</f>
        <v>Piping</v>
      </c>
      <c r="D190" s="21" t="str">
        <f>IF($N$1="Piping", IF(ISBLANK(Piping!D190), "", Piping!D190), IF($N$1="Vessels", IF(ISBLANK(Vessels!D190), "", Vessels!D190), ""))</f>
        <v/>
      </c>
      <c r="E190" s="21" t="str">
        <f>IF($N$1="Piping", IF(ISBLANK(Piping!E190), "", Piping!E190), IF($N$1="Vessels", IF(ISBLANK(Vessels!E190), "", Vessels!E190), ""))</f>
        <v/>
      </c>
      <c r="F190" s="21" t="str">
        <f>IF($N$1="Piping", IF(ISBLANK(Piping!F190), "", Piping!F190), IF($N$1="Vessels", IF(ISBLANK(Vessels!F190), "", Vessels!F190), ""))</f>
        <v/>
      </c>
      <c r="G190" s="21">
        <f>IF($N$1="Piping", IF(ISBLANK(Piping!G190), "", Piping!G190), IF($N$1="Vessels", IF(ISBLANK(Vessels!G190), "", Vessels!G190), ""))</f>
        <v>0</v>
      </c>
      <c r="H190" s="21" t="str">
        <f>IF($N$1="Piping", IF(ISBLANK(Piping!H190), "", Piping!H190), IF($N$1="Vessels", IF(ISBLANK(Vessels!H190), "", Vessels!H190), ""))</f>
        <v/>
      </c>
      <c r="I190" s="21" t="str">
        <f>IF($N$1="Piping", IF(ISBLANK(Piping!I190), "", Piping!I190), IF($N$1="Vessels", IF(ISBLANK(Vessels!I190), "", Vessels!I190), ""))</f>
        <v/>
      </c>
      <c r="J190" s="21" t="str">
        <f>IF($N$1="Piping", IF(ISBLANK(Piping!J190), "", Piping!J190), IF($N$1="Vessels", IF(ISBLANK(Vessels!J190), "", Vessels!J190), ""))</f>
        <v/>
      </c>
      <c r="K190" s="21" t="str">
        <f>IF($N$1="Piping", IF(ISBLANK(Piping!K190), "", Piping!K190), IF($N$1="Vessels", IF(ISBLANK(Vessels!K190), "", Vessels!K190), ""))</f>
        <v/>
      </c>
      <c r="L190" s="21" t="str">
        <f>IF($N$1="Piping", IF(ISBLANK(Piping!L190), "", Piping!L190), IF($N$1="Vessels", IF(ISBLANK(Vessels!L190), "", Vessels!L190), ""))</f>
        <v/>
      </c>
      <c r="M190" s="21"/>
      <c r="N190" s="21"/>
      <c r="O190" s="21"/>
      <c r="P190" s="21"/>
      <c r="Q190" s="21" t="str">
        <f>IF($N$1="Piping", IF(ISBLANK(Piping!T190), "", Piping!T190), IF($N$1="Vessels", IF(ISBLANK(Vessels!T190), "", Vessels!T190), ""))</f>
        <v/>
      </c>
      <c r="R190" s="51" t="str">
        <f>IF($N$1="Piping", IF(ISBLANK(Piping!U190), "", Piping!U190), IF($N$1="Vessels", IF(ISBLANK(Vessels!U190), "", Vessels!U190), ""))</f>
        <v/>
      </c>
      <c r="S190" s="118" t="str">
        <f>IF(B190&lt;&gt;"",IF($N$1="Piping", IF(ISBLANK(Piping!$J$3), "", Piping!$J$3), IF($N$1="Vessels", IF(ISBLANK(Vessels!$J$3), "", Vessels!$J$3), "")),"")</f>
        <v/>
      </c>
      <c r="T190" s="37"/>
      <c r="U190" s="37"/>
      <c r="V190" s="37"/>
      <c r="W190" s="37"/>
      <c r="X190" s="37"/>
      <c r="Y190" s="37"/>
      <c r="Z190" s="37"/>
    </row>
    <row r="191" spans="1:26" ht="15.75" customHeight="1" x14ac:dyDescent="0.3">
      <c r="A191" s="22">
        <f>IF($N$1="Piping", IF(ISBLANK(Piping!A191), "", Piping!A191), IF($N$1="Vessels", IF(ISBLANK(Vessels!A191), "", Vessels!A191), ""))</f>
        <v>47.2</v>
      </c>
      <c r="B191" s="21" t="str">
        <f>IF($N$1="Piping", IF(ISBLANK(Piping!B191), "", Piping!B191), IF($N$1="Vessels", IF(ISBLANK(Vessels!B191), "", Vessels!B191), ""))</f>
        <v/>
      </c>
      <c r="C191" s="21" t="str">
        <f>IF($N$1="Piping", IF(ISBLANK(Piping!C191), "", Piping!C191), IF($N$1="Vessels", IF(ISBLANK(Vessels!C191), "", Vessels!C191), ""))</f>
        <v>Piping</v>
      </c>
      <c r="D191" s="21" t="str">
        <f>IF($N$1="Piping", IF(ISBLANK(Piping!D191), "", Piping!D191), IF($N$1="Vessels", IF(ISBLANK(Vessels!D191), "", Vessels!D191), ""))</f>
        <v/>
      </c>
      <c r="E191" s="21" t="str">
        <f>IF($N$1="Piping", IF(ISBLANK(Piping!E191), "", Piping!E191), IF($N$1="Vessels", IF(ISBLANK(Vessels!E191), "", Vessels!E191), ""))</f>
        <v/>
      </c>
      <c r="F191" s="21" t="str">
        <f>IF($N$1="Piping", IF(ISBLANK(Piping!F191), "", Piping!F191), IF($N$1="Vessels", IF(ISBLANK(Vessels!F191), "", Vessels!F191), ""))</f>
        <v/>
      </c>
      <c r="G191" s="21">
        <f>IF($N$1="Piping", IF(ISBLANK(Piping!G191), "", Piping!G191), IF($N$1="Vessels", IF(ISBLANK(Vessels!G191), "", Vessels!G191), ""))</f>
        <v>0</v>
      </c>
      <c r="H191" s="21" t="str">
        <f>IF($N$1="Piping", IF(ISBLANK(Piping!H191), "", Piping!H191), IF($N$1="Vessels", IF(ISBLANK(Vessels!H191), "", Vessels!H191), ""))</f>
        <v/>
      </c>
      <c r="I191" s="21" t="str">
        <f>IF($N$1="Piping", IF(ISBLANK(Piping!I191), "", Piping!I191), IF($N$1="Vessels", IF(ISBLANK(Vessels!I191), "", Vessels!I191), ""))</f>
        <v/>
      </c>
      <c r="J191" s="21" t="str">
        <f>IF($N$1="Piping", IF(ISBLANK(Piping!J191), "", Piping!J191), IF($N$1="Vessels", IF(ISBLANK(Vessels!J191), "", Vessels!J191), ""))</f>
        <v/>
      </c>
      <c r="K191" s="21" t="str">
        <f>IF($N$1="Piping", IF(ISBLANK(Piping!K191), "", Piping!K191), IF($N$1="Vessels", IF(ISBLANK(Vessels!K191), "", Vessels!K191), ""))</f>
        <v/>
      </c>
      <c r="L191" s="21" t="str">
        <f>IF($N$1="Piping", IF(ISBLANK(Piping!L191), "", Piping!L191), IF($N$1="Vessels", IF(ISBLANK(Vessels!L191), "", Vessels!L191), ""))</f>
        <v/>
      </c>
      <c r="M191" s="21"/>
      <c r="N191" s="21"/>
      <c r="O191" s="21"/>
      <c r="P191" s="21"/>
      <c r="Q191" s="21" t="str">
        <f>IF($N$1="Piping", IF(ISBLANK(Piping!T191), "", Piping!T191), IF($N$1="Vessels", IF(ISBLANK(Vessels!T191), "", Vessels!T191), ""))</f>
        <v/>
      </c>
      <c r="R191" s="51" t="str">
        <f>IF($N$1="Piping", IF(ISBLANK(Piping!U191), "", Piping!U191), IF($N$1="Vessels", IF(ISBLANK(Vessels!U191), "", Vessels!U191), ""))</f>
        <v/>
      </c>
      <c r="S191" s="118" t="str">
        <f>IF(B191&lt;&gt;"",IF($N$1="Piping", IF(ISBLANK(Piping!$J$3), "", Piping!$J$3), IF($N$1="Vessels", IF(ISBLANK(Vessels!$J$3), "", Vessels!$J$3), "")),"")</f>
        <v/>
      </c>
      <c r="T191" s="37"/>
      <c r="U191" s="37"/>
      <c r="V191" s="37"/>
      <c r="W191" s="37"/>
      <c r="X191" s="37"/>
      <c r="Y191" s="37"/>
      <c r="Z191" s="37"/>
    </row>
    <row r="192" spans="1:26" ht="15.75" customHeight="1" x14ac:dyDescent="0.3">
      <c r="A192" s="22">
        <f>IF($N$1="Piping", IF(ISBLANK(Piping!A192), "", Piping!A192), IF($N$1="Vessels", IF(ISBLANK(Vessels!A192), "", Vessels!A192), ""))</f>
        <v>47.3</v>
      </c>
      <c r="B192" s="21" t="str">
        <f>IF($N$1="Piping", IF(ISBLANK(Piping!B192), "", Piping!B192), IF($N$1="Vessels", IF(ISBLANK(Vessels!B192), "", Vessels!B192), ""))</f>
        <v/>
      </c>
      <c r="C192" s="21" t="str">
        <f>IF($N$1="Piping", IF(ISBLANK(Piping!C192), "", Piping!C192), IF($N$1="Vessels", IF(ISBLANK(Vessels!C192), "", Vessels!C192), ""))</f>
        <v>Piping</v>
      </c>
      <c r="D192" s="21" t="str">
        <f>IF($N$1="Piping", IF(ISBLANK(Piping!D192), "", Piping!D192), IF($N$1="Vessels", IF(ISBLANK(Vessels!D192), "", Vessels!D192), ""))</f>
        <v/>
      </c>
      <c r="E192" s="21" t="str">
        <f>IF($N$1="Piping", IF(ISBLANK(Piping!E192), "", Piping!E192), IF($N$1="Vessels", IF(ISBLANK(Vessels!E192), "", Vessels!E192), ""))</f>
        <v/>
      </c>
      <c r="F192" s="21" t="str">
        <f>IF($N$1="Piping", IF(ISBLANK(Piping!F192), "", Piping!F192), IF($N$1="Vessels", IF(ISBLANK(Vessels!F192), "", Vessels!F192), ""))</f>
        <v/>
      </c>
      <c r="G192" s="21">
        <f>IF($N$1="Piping", IF(ISBLANK(Piping!G192), "", Piping!G192), IF($N$1="Vessels", IF(ISBLANK(Vessels!G192), "", Vessels!G192), ""))</f>
        <v>0</v>
      </c>
      <c r="H192" s="21" t="str">
        <f>IF($N$1="Piping", IF(ISBLANK(Piping!H192), "", Piping!H192), IF($N$1="Vessels", IF(ISBLANK(Vessels!H192), "", Vessels!H192), ""))</f>
        <v/>
      </c>
      <c r="I192" s="21" t="str">
        <f>IF($N$1="Piping", IF(ISBLANK(Piping!I192), "", Piping!I192), IF($N$1="Vessels", IF(ISBLANK(Vessels!I192), "", Vessels!I192), ""))</f>
        <v/>
      </c>
      <c r="J192" s="21" t="str">
        <f>IF($N$1="Piping", IF(ISBLANK(Piping!J192), "", Piping!J192), IF($N$1="Vessels", IF(ISBLANK(Vessels!J192), "", Vessels!J192), ""))</f>
        <v/>
      </c>
      <c r="K192" s="21" t="str">
        <f>IF($N$1="Piping", IF(ISBLANK(Piping!K192), "", Piping!K192), IF($N$1="Vessels", IF(ISBLANK(Vessels!K192), "", Vessels!K192), ""))</f>
        <v/>
      </c>
      <c r="L192" s="21" t="str">
        <f>IF($N$1="Piping", IF(ISBLANK(Piping!L192), "", Piping!L192), IF($N$1="Vessels", IF(ISBLANK(Vessels!L192), "", Vessels!L192), ""))</f>
        <v/>
      </c>
      <c r="M192" s="21"/>
      <c r="N192" s="21"/>
      <c r="O192" s="21"/>
      <c r="P192" s="21"/>
      <c r="Q192" s="21" t="str">
        <f>IF($N$1="Piping", IF(ISBLANK(Piping!T192), "", Piping!T192), IF($N$1="Vessels", IF(ISBLANK(Vessels!T192), "", Vessels!T192), ""))</f>
        <v/>
      </c>
      <c r="R192" s="51" t="str">
        <f>IF($N$1="Piping", IF(ISBLANK(Piping!U192), "", Piping!U192), IF($N$1="Vessels", IF(ISBLANK(Vessels!U192), "", Vessels!U192), ""))</f>
        <v/>
      </c>
      <c r="S192" s="118" t="str">
        <f>IF(B192&lt;&gt;"",IF($N$1="Piping", IF(ISBLANK(Piping!$J$3), "", Piping!$J$3), IF($N$1="Vessels", IF(ISBLANK(Vessels!$J$3), "", Vessels!$J$3), "")),"")</f>
        <v/>
      </c>
      <c r="T192" s="37"/>
      <c r="U192" s="37"/>
      <c r="V192" s="37"/>
      <c r="W192" s="37"/>
      <c r="X192" s="37"/>
      <c r="Y192" s="37"/>
      <c r="Z192" s="37"/>
    </row>
    <row r="193" spans="1:26" ht="15.75" customHeight="1" x14ac:dyDescent="0.3">
      <c r="A193" s="22">
        <f>IF($N$1="Piping", IF(ISBLANK(Piping!A193), "", Piping!A193), IF($N$1="Vessels", IF(ISBLANK(Vessels!A193), "", Vessels!A193), ""))</f>
        <v>47.4</v>
      </c>
      <c r="B193" s="21" t="str">
        <f>IF($N$1="Piping", IF(ISBLANK(Piping!B193), "", Piping!B193), IF($N$1="Vessels", IF(ISBLANK(Vessels!B193), "", Vessels!B193), ""))</f>
        <v/>
      </c>
      <c r="C193" s="21" t="str">
        <f>IF($N$1="Piping", IF(ISBLANK(Piping!C193), "", Piping!C193), IF($N$1="Vessels", IF(ISBLANK(Vessels!C193), "", Vessels!C193), ""))</f>
        <v>Piping</v>
      </c>
      <c r="D193" s="21" t="str">
        <f>IF($N$1="Piping", IF(ISBLANK(Piping!D193), "", Piping!D193), IF($N$1="Vessels", IF(ISBLANK(Vessels!D193), "", Vessels!D193), ""))</f>
        <v/>
      </c>
      <c r="E193" s="21" t="str">
        <f>IF($N$1="Piping", IF(ISBLANK(Piping!E193), "", Piping!E193), IF($N$1="Vessels", IF(ISBLANK(Vessels!E193), "", Vessels!E193), ""))</f>
        <v/>
      </c>
      <c r="F193" s="21" t="str">
        <f>IF($N$1="Piping", IF(ISBLANK(Piping!F193), "", Piping!F193), IF($N$1="Vessels", IF(ISBLANK(Vessels!F193), "", Vessels!F193), ""))</f>
        <v/>
      </c>
      <c r="G193" s="21">
        <f>IF($N$1="Piping", IF(ISBLANK(Piping!G193), "", Piping!G193), IF($N$1="Vessels", IF(ISBLANK(Vessels!G193), "", Vessels!G193), ""))</f>
        <v>0</v>
      </c>
      <c r="H193" s="21" t="str">
        <f>IF($N$1="Piping", IF(ISBLANK(Piping!H193), "", Piping!H193), IF($N$1="Vessels", IF(ISBLANK(Vessels!H193), "", Vessels!H193), ""))</f>
        <v/>
      </c>
      <c r="I193" s="21" t="str">
        <f>IF($N$1="Piping", IF(ISBLANK(Piping!I193), "", Piping!I193), IF($N$1="Vessels", IF(ISBLANK(Vessels!I193), "", Vessels!I193), ""))</f>
        <v/>
      </c>
      <c r="J193" s="21" t="str">
        <f>IF($N$1="Piping", IF(ISBLANK(Piping!J193), "", Piping!J193), IF($N$1="Vessels", IF(ISBLANK(Vessels!J193), "", Vessels!J193), ""))</f>
        <v/>
      </c>
      <c r="K193" s="21" t="str">
        <f>IF($N$1="Piping", IF(ISBLANK(Piping!K193), "", Piping!K193), IF($N$1="Vessels", IF(ISBLANK(Vessels!K193), "", Vessels!K193), ""))</f>
        <v/>
      </c>
      <c r="L193" s="21" t="str">
        <f>IF($N$1="Piping", IF(ISBLANK(Piping!L193), "", Piping!L193), IF($N$1="Vessels", IF(ISBLANK(Vessels!L193), "", Vessels!L193), ""))</f>
        <v/>
      </c>
      <c r="M193" s="21"/>
      <c r="N193" s="21"/>
      <c r="O193" s="21"/>
      <c r="P193" s="21"/>
      <c r="Q193" s="21" t="str">
        <f>IF($N$1="Piping", IF(ISBLANK(Piping!T193), "", Piping!T193), IF($N$1="Vessels", IF(ISBLANK(Vessels!T193), "", Vessels!T193), ""))</f>
        <v/>
      </c>
      <c r="R193" s="51" t="str">
        <f>IF($N$1="Piping", IF(ISBLANK(Piping!U193), "", Piping!U193), IF($N$1="Vessels", IF(ISBLANK(Vessels!U193), "", Vessels!U193), ""))</f>
        <v/>
      </c>
      <c r="S193" s="118" t="str">
        <f>IF(B193&lt;&gt;"",IF($N$1="Piping", IF(ISBLANK(Piping!$J$3), "", Piping!$J$3), IF($N$1="Vessels", IF(ISBLANK(Vessels!$J$3), "", Vessels!$J$3), "")),"")</f>
        <v/>
      </c>
      <c r="T193" s="37"/>
      <c r="U193" s="37"/>
      <c r="V193" s="37"/>
      <c r="W193" s="37"/>
      <c r="X193" s="37"/>
      <c r="Y193" s="37"/>
      <c r="Z193" s="37"/>
    </row>
    <row r="194" spans="1:26" ht="15.75" customHeight="1" x14ac:dyDescent="0.3">
      <c r="A194" s="22">
        <f>IF($N$1="Piping", IF(ISBLANK(Piping!A194), "", Piping!A194), IF($N$1="Vessels", IF(ISBLANK(Vessels!A194), "", Vessels!A194), ""))</f>
        <v>48.1</v>
      </c>
      <c r="B194" s="21" t="str">
        <f>IF($N$1="Piping", IF(ISBLANK(Piping!B194), "", Piping!B194), IF($N$1="Vessels", IF(ISBLANK(Vessels!B194), "", Vessels!B194), ""))</f>
        <v/>
      </c>
      <c r="C194" s="21" t="str">
        <f>IF($N$1="Piping", IF(ISBLANK(Piping!C194), "", Piping!C194), IF($N$1="Vessels", IF(ISBLANK(Vessels!C194), "", Vessels!C194), ""))</f>
        <v>Piping</v>
      </c>
      <c r="D194" s="21" t="str">
        <f>IF($N$1="Piping", IF(ISBLANK(Piping!D194), "", Piping!D194), IF($N$1="Vessels", IF(ISBLANK(Vessels!D194), "", Vessels!D194), ""))</f>
        <v/>
      </c>
      <c r="E194" s="21" t="str">
        <f>IF($N$1="Piping", IF(ISBLANK(Piping!E194), "", Piping!E194), IF($N$1="Vessels", IF(ISBLANK(Vessels!E194), "", Vessels!E194), ""))</f>
        <v/>
      </c>
      <c r="F194" s="21" t="str">
        <f>IF($N$1="Piping", IF(ISBLANK(Piping!F194), "", Piping!F194), IF($N$1="Vessels", IF(ISBLANK(Vessels!F194), "", Vessels!F194), ""))</f>
        <v/>
      </c>
      <c r="G194" s="21">
        <f>IF($N$1="Piping", IF(ISBLANK(Piping!G194), "", Piping!G194), IF($N$1="Vessels", IF(ISBLANK(Vessels!G194), "", Vessels!G194), ""))</f>
        <v>0</v>
      </c>
      <c r="H194" s="21" t="str">
        <f>IF($N$1="Piping", IF(ISBLANK(Piping!H194), "", Piping!H194), IF($N$1="Vessels", IF(ISBLANK(Vessels!H194), "", Vessels!H194), ""))</f>
        <v/>
      </c>
      <c r="I194" s="21" t="str">
        <f>IF($N$1="Piping", IF(ISBLANK(Piping!I194), "", Piping!I194), IF($N$1="Vessels", IF(ISBLANK(Vessels!I194), "", Vessels!I194), ""))</f>
        <v/>
      </c>
      <c r="J194" s="21" t="str">
        <f>IF($N$1="Piping", IF(ISBLANK(Piping!J194), "", Piping!J194), IF($N$1="Vessels", IF(ISBLANK(Vessels!J194), "", Vessels!J194), ""))</f>
        <v/>
      </c>
      <c r="K194" s="21" t="str">
        <f>IF($N$1="Piping", IF(ISBLANK(Piping!K194), "", Piping!K194), IF($N$1="Vessels", IF(ISBLANK(Vessels!K194), "", Vessels!K194), ""))</f>
        <v/>
      </c>
      <c r="L194" s="21" t="str">
        <f>IF($N$1="Piping", IF(ISBLANK(Piping!L194), "", Piping!L194), IF($N$1="Vessels", IF(ISBLANK(Vessels!L194), "", Vessels!L194), ""))</f>
        <v/>
      </c>
      <c r="M194" s="21"/>
      <c r="N194" s="21"/>
      <c r="O194" s="21"/>
      <c r="P194" s="21"/>
      <c r="Q194" s="21" t="str">
        <f>IF($N$1="Piping", IF(ISBLANK(Piping!T194), "", Piping!T194), IF($N$1="Vessels", IF(ISBLANK(Vessels!T194), "", Vessels!T194), ""))</f>
        <v/>
      </c>
      <c r="R194" s="51" t="str">
        <f>IF($N$1="Piping", IF(ISBLANK(Piping!U194), "", Piping!U194), IF($N$1="Vessels", IF(ISBLANK(Vessels!U194), "", Vessels!U194), ""))</f>
        <v/>
      </c>
      <c r="S194" s="118" t="str">
        <f>IF(B194&lt;&gt;"",IF($N$1="Piping", IF(ISBLANK(Piping!$J$3), "", Piping!$J$3), IF($N$1="Vessels", IF(ISBLANK(Vessels!$J$3), "", Vessels!$J$3), "")),"")</f>
        <v/>
      </c>
      <c r="T194" s="37"/>
      <c r="U194" s="37"/>
      <c r="V194" s="37"/>
      <c r="W194" s="37"/>
      <c r="X194" s="37"/>
      <c r="Y194" s="37"/>
      <c r="Z194" s="37"/>
    </row>
    <row r="195" spans="1:26" ht="15.75" customHeight="1" x14ac:dyDescent="0.3">
      <c r="A195" s="22">
        <f>IF($N$1="Piping", IF(ISBLANK(Piping!A195), "", Piping!A195), IF($N$1="Vessels", IF(ISBLANK(Vessels!A195), "", Vessels!A195), ""))</f>
        <v>48.2</v>
      </c>
      <c r="B195" s="21" t="str">
        <f>IF($N$1="Piping", IF(ISBLANK(Piping!B195), "", Piping!B195), IF($N$1="Vessels", IF(ISBLANK(Vessels!B195), "", Vessels!B195), ""))</f>
        <v/>
      </c>
      <c r="C195" s="21" t="str">
        <f>IF($N$1="Piping", IF(ISBLANK(Piping!C195), "", Piping!C195), IF($N$1="Vessels", IF(ISBLANK(Vessels!C195), "", Vessels!C195), ""))</f>
        <v>Piping</v>
      </c>
      <c r="D195" s="21" t="str">
        <f>IF($N$1="Piping", IF(ISBLANK(Piping!D195), "", Piping!D195), IF($N$1="Vessels", IF(ISBLANK(Vessels!D195), "", Vessels!D195), ""))</f>
        <v/>
      </c>
      <c r="E195" s="21" t="str">
        <f>IF($N$1="Piping", IF(ISBLANK(Piping!E195), "", Piping!E195), IF($N$1="Vessels", IF(ISBLANK(Vessels!E195), "", Vessels!E195), ""))</f>
        <v/>
      </c>
      <c r="F195" s="21" t="str">
        <f>IF($N$1="Piping", IF(ISBLANK(Piping!F195), "", Piping!F195), IF($N$1="Vessels", IF(ISBLANK(Vessels!F195), "", Vessels!F195), ""))</f>
        <v/>
      </c>
      <c r="G195" s="21">
        <f>IF($N$1="Piping", IF(ISBLANK(Piping!G195), "", Piping!G195), IF($N$1="Vessels", IF(ISBLANK(Vessels!G195), "", Vessels!G195), ""))</f>
        <v>0</v>
      </c>
      <c r="H195" s="21" t="str">
        <f>IF($N$1="Piping", IF(ISBLANK(Piping!H195), "", Piping!H195), IF($N$1="Vessels", IF(ISBLANK(Vessels!H195), "", Vessels!H195), ""))</f>
        <v/>
      </c>
      <c r="I195" s="21" t="str">
        <f>IF($N$1="Piping", IF(ISBLANK(Piping!I195), "", Piping!I195), IF($N$1="Vessels", IF(ISBLANK(Vessels!I195), "", Vessels!I195), ""))</f>
        <v/>
      </c>
      <c r="J195" s="21" t="str">
        <f>IF($N$1="Piping", IF(ISBLANK(Piping!J195), "", Piping!J195), IF($N$1="Vessels", IF(ISBLANK(Vessels!J195), "", Vessels!J195), ""))</f>
        <v/>
      </c>
      <c r="K195" s="21" t="str">
        <f>IF($N$1="Piping", IF(ISBLANK(Piping!K195), "", Piping!K195), IF($N$1="Vessels", IF(ISBLANK(Vessels!K195), "", Vessels!K195), ""))</f>
        <v/>
      </c>
      <c r="L195" s="21" t="str">
        <f>IF($N$1="Piping", IF(ISBLANK(Piping!L195), "", Piping!L195), IF($N$1="Vessels", IF(ISBLANK(Vessels!L195), "", Vessels!L195), ""))</f>
        <v/>
      </c>
      <c r="M195" s="21"/>
      <c r="N195" s="21"/>
      <c r="O195" s="21"/>
      <c r="P195" s="21"/>
      <c r="Q195" s="21" t="str">
        <f>IF($N$1="Piping", IF(ISBLANK(Piping!T195), "", Piping!T195), IF($N$1="Vessels", IF(ISBLANK(Vessels!T195), "", Vessels!T195), ""))</f>
        <v/>
      </c>
      <c r="R195" s="51" t="str">
        <f>IF($N$1="Piping", IF(ISBLANK(Piping!U195), "", Piping!U195), IF($N$1="Vessels", IF(ISBLANK(Vessels!U195), "", Vessels!U195), ""))</f>
        <v/>
      </c>
      <c r="S195" s="118" t="str">
        <f>IF(B195&lt;&gt;"",IF($N$1="Piping", IF(ISBLANK(Piping!$J$3), "", Piping!$J$3), IF($N$1="Vessels", IF(ISBLANK(Vessels!$J$3), "", Vessels!$J$3), "")),"")</f>
        <v/>
      </c>
      <c r="T195" s="37"/>
      <c r="U195" s="37"/>
      <c r="V195" s="37"/>
      <c r="W195" s="37"/>
      <c r="X195" s="37"/>
      <c r="Y195" s="37"/>
      <c r="Z195" s="37"/>
    </row>
    <row r="196" spans="1:26" ht="15.75" customHeight="1" x14ac:dyDescent="0.3">
      <c r="A196" s="22">
        <f>IF($N$1="Piping", IF(ISBLANK(Piping!A196), "", Piping!A196), IF($N$1="Vessels", IF(ISBLANK(Vessels!A196), "", Vessels!A196), ""))</f>
        <v>48.3</v>
      </c>
      <c r="B196" s="21" t="str">
        <f>IF($N$1="Piping", IF(ISBLANK(Piping!B196), "", Piping!B196), IF($N$1="Vessels", IF(ISBLANK(Vessels!B196), "", Vessels!B196), ""))</f>
        <v/>
      </c>
      <c r="C196" s="21" t="str">
        <f>IF($N$1="Piping", IF(ISBLANK(Piping!C196), "", Piping!C196), IF($N$1="Vessels", IF(ISBLANK(Vessels!C196), "", Vessels!C196), ""))</f>
        <v>Piping</v>
      </c>
      <c r="D196" s="21" t="str">
        <f>IF($N$1="Piping", IF(ISBLANK(Piping!D196), "", Piping!D196), IF($N$1="Vessels", IF(ISBLANK(Vessels!D196), "", Vessels!D196), ""))</f>
        <v/>
      </c>
      <c r="E196" s="21" t="str">
        <f>IF($N$1="Piping", IF(ISBLANK(Piping!E196), "", Piping!E196), IF($N$1="Vessels", IF(ISBLANK(Vessels!E196), "", Vessels!E196), ""))</f>
        <v/>
      </c>
      <c r="F196" s="21" t="str">
        <f>IF($N$1="Piping", IF(ISBLANK(Piping!F196), "", Piping!F196), IF($N$1="Vessels", IF(ISBLANK(Vessels!F196), "", Vessels!F196), ""))</f>
        <v/>
      </c>
      <c r="G196" s="21">
        <f>IF($N$1="Piping", IF(ISBLANK(Piping!G196), "", Piping!G196), IF($N$1="Vessels", IF(ISBLANK(Vessels!G196), "", Vessels!G196), ""))</f>
        <v>0</v>
      </c>
      <c r="H196" s="21" t="str">
        <f>IF($N$1="Piping", IF(ISBLANK(Piping!H196), "", Piping!H196), IF($N$1="Vessels", IF(ISBLANK(Vessels!H196), "", Vessels!H196), ""))</f>
        <v/>
      </c>
      <c r="I196" s="21" t="str">
        <f>IF($N$1="Piping", IF(ISBLANK(Piping!I196), "", Piping!I196), IF($N$1="Vessels", IF(ISBLANK(Vessels!I196), "", Vessels!I196), ""))</f>
        <v/>
      </c>
      <c r="J196" s="21" t="str">
        <f>IF($N$1="Piping", IF(ISBLANK(Piping!J196), "", Piping!J196), IF($N$1="Vessels", IF(ISBLANK(Vessels!J196), "", Vessels!J196), ""))</f>
        <v/>
      </c>
      <c r="K196" s="21" t="str">
        <f>IF($N$1="Piping", IF(ISBLANK(Piping!K196), "", Piping!K196), IF($N$1="Vessels", IF(ISBLANK(Vessels!K196), "", Vessels!K196), ""))</f>
        <v/>
      </c>
      <c r="L196" s="21" t="str">
        <f>IF($N$1="Piping", IF(ISBLANK(Piping!L196), "", Piping!L196), IF($N$1="Vessels", IF(ISBLANK(Vessels!L196), "", Vessels!L196), ""))</f>
        <v/>
      </c>
      <c r="M196" s="21"/>
      <c r="N196" s="21"/>
      <c r="O196" s="21"/>
      <c r="P196" s="21"/>
      <c r="Q196" s="21" t="str">
        <f>IF($N$1="Piping", IF(ISBLANK(Piping!T196), "", Piping!T196), IF($N$1="Vessels", IF(ISBLANK(Vessels!T196), "", Vessels!T196), ""))</f>
        <v/>
      </c>
      <c r="R196" s="51" t="str">
        <f>IF($N$1="Piping", IF(ISBLANK(Piping!U196), "", Piping!U196), IF($N$1="Vessels", IF(ISBLANK(Vessels!U196), "", Vessels!U196), ""))</f>
        <v/>
      </c>
      <c r="S196" s="118" t="str">
        <f>IF(B196&lt;&gt;"",IF($N$1="Piping", IF(ISBLANK(Piping!$J$3), "", Piping!$J$3), IF($N$1="Vessels", IF(ISBLANK(Vessels!$J$3), "", Vessels!$J$3), "")),"")</f>
        <v/>
      </c>
      <c r="T196" s="37"/>
      <c r="U196" s="37"/>
      <c r="V196" s="37"/>
      <c r="W196" s="37"/>
      <c r="X196" s="37"/>
      <c r="Y196" s="37"/>
      <c r="Z196" s="37"/>
    </row>
    <row r="197" spans="1:26" ht="15.75" customHeight="1" x14ac:dyDescent="0.3">
      <c r="A197" s="22">
        <f>IF($N$1="Piping", IF(ISBLANK(Piping!A197), "", Piping!A197), IF($N$1="Vessels", IF(ISBLANK(Vessels!A197), "", Vessels!A197), ""))</f>
        <v>48.4</v>
      </c>
      <c r="B197" s="21" t="str">
        <f>IF($N$1="Piping", IF(ISBLANK(Piping!B197), "", Piping!B197), IF($N$1="Vessels", IF(ISBLANK(Vessels!B197), "", Vessels!B197), ""))</f>
        <v/>
      </c>
      <c r="C197" s="21" t="str">
        <f>IF($N$1="Piping", IF(ISBLANK(Piping!C197), "", Piping!C197), IF($N$1="Vessels", IF(ISBLANK(Vessels!C197), "", Vessels!C197), ""))</f>
        <v>Piping</v>
      </c>
      <c r="D197" s="21" t="str">
        <f>IF($N$1="Piping", IF(ISBLANK(Piping!D197), "", Piping!D197), IF($N$1="Vessels", IF(ISBLANK(Vessels!D197), "", Vessels!D197), ""))</f>
        <v/>
      </c>
      <c r="E197" s="21" t="str">
        <f>IF($N$1="Piping", IF(ISBLANK(Piping!E197), "", Piping!E197), IF($N$1="Vessels", IF(ISBLANK(Vessels!E197), "", Vessels!E197), ""))</f>
        <v/>
      </c>
      <c r="F197" s="21" t="str">
        <f>IF($N$1="Piping", IF(ISBLANK(Piping!F197), "", Piping!F197), IF($N$1="Vessels", IF(ISBLANK(Vessels!F197), "", Vessels!F197), ""))</f>
        <v/>
      </c>
      <c r="G197" s="21">
        <f>IF($N$1="Piping", IF(ISBLANK(Piping!G197), "", Piping!G197), IF($N$1="Vessels", IF(ISBLANK(Vessels!G197), "", Vessels!G197), ""))</f>
        <v>0</v>
      </c>
      <c r="H197" s="21" t="str">
        <f>IF($N$1="Piping", IF(ISBLANK(Piping!H197), "", Piping!H197), IF($N$1="Vessels", IF(ISBLANK(Vessels!H197), "", Vessels!H197), ""))</f>
        <v/>
      </c>
      <c r="I197" s="21" t="str">
        <f>IF($N$1="Piping", IF(ISBLANK(Piping!I197), "", Piping!I197), IF($N$1="Vessels", IF(ISBLANK(Vessels!I197), "", Vessels!I197), ""))</f>
        <v/>
      </c>
      <c r="J197" s="21" t="str">
        <f>IF($N$1="Piping", IF(ISBLANK(Piping!J197), "", Piping!J197), IF($N$1="Vessels", IF(ISBLANK(Vessels!J197), "", Vessels!J197), ""))</f>
        <v/>
      </c>
      <c r="K197" s="21" t="str">
        <f>IF($N$1="Piping", IF(ISBLANK(Piping!K197), "", Piping!K197), IF($N$1="Vessels", IF(ISBLANK(Vessels!K197), "", Vessels!K197), ""))</f>
        <v/>
      </c>
      <c r="L197" s="21" t="str">
        <f>IF($N$1="Piping", IF(ISBLANK(Piping!L197), "", Piping!L197), IF($N$1="Vessels", IF(ISBLANK(Vessels!L197), "", Vessels!L197), ""))</f>
        <v/>
      </c>
      <c r="M197" s="21"/>
      <c r="N197" s="21"/>
      <c r="O197" s="21"/>
      <c r="P197" s="21"/>
      <c r="Q197" s="21" t="str">
        <f>IF($N$1="Piping", IF(ISBLANK(Piping!T197), "", Piping!T197), IF($N$1="Vessels", IF(ISBLANK(Vessels!T197), "", Vessels!T197), ""))</f>
        <v/>
      </c>
      <c r="R197" s="51" t="str">
        <f>IF($N$1="Piping", IF(ISBLANK(Piping!U197), "", Piping!U197), IF($N$1="Vessels", IF(ISBLANK(Vessels!U197), "", Vessels!U197), ""))</f>
        <v/>
      </c>
      <c r="S197" s="118" t="str">
        <f>IF(B197&lt;&gt;"",IF($N$1="Piping", IF(ISBLANK(Piping!$J$3), "", Piping!$J$3), IF($N$1="Vessels", IF(ISBLANK(Vessels!$J$3), "", Vessels!$J$3), "")),"")</f>
        <v/>
      </c>
      <c r="T197" s="37"/>
      <c r="U197" s="37"/>
      <c r="V197" s="37"/>
      <c r="W197" s="37"/>
      <c r="X197" s="37"/>
      <c r="Y197" s="37"/>
      <c r="Z197" s="37"/>
    </row>
    <row r="198" spans="1:26" ht="15.75" customHeight="1" x14ac:dyDescent="0.3">
      <c r="A198" s="22">
        <f>IF($N$1="Piping", IF(ISBLANK(Piping!A198), "", Piping!A198), IF($N$1="Vessels", IF(ISBLANK(Vessels!A198), "", Vessels!A198), ""))</f>
        <v>49.1</v>
      </c>
      <c r="B198" s="21" t="str">
        <f>IF($N$1="Piping", IF(ISBLANK(Piping!B198), "", Piping!B198), IF($N$1="Vessels", IF(ISBLANK(Vessels!B198), "", Vessels!B198), ""))</f>
        <v/>
      </c>
      <c r="C198" s="21" t="str">
        <f>IF($N$1="Piping", IF(ISBLANK(Piping!C198), "", Piping!C198), IF($N$1="Vessels", IF(ISBLANK(Vessels!C198), "", Vessels!C198), ""))</f>
        <v>Piping</v>
      </c>
      <c r="D198" s="21" t="str">
        <f>IF($N$1="Piping", IF(ISBLANK(Piping!D198), "", Piping!D198), IF($N$1="Vessels", IF(ISBLANK(Vessels!D198), "", Vessels!D198), ""))</f>
        <v/>
      </c>
      <c r="E198" s="21" t="str">
        <f>IF($N$1="Piping", IF(ISBLANK(Piping!E198), "", Piping!E198), IF($N$1="Vessels", IF(ISBLANK(Vessels!E198), "", Vessels!E198), ""))</f>
        <v/>
      </c>
      <c r="F198" s="21" t="str">
        <f>IF($N$1="Piping", IF(ISBLANK(Piping!F198), "", Piping!F198), IF($N$1="Vessels", IF(ISBLANK(Vessels!F198), "", Vessels!F198), ""))</f>
        <v/>
      </c>
      <c r="G198" s="21">
        <f>IF($N$1="Piping", IF(ISBLANK(Piping!G198), "", Piping!G198), IF($N$1="Vessels", IF(ISBLANK(Vessels!G198), "", Vessels!G198), ""))</f>
        <v>0</v>
      </c>
      <c r="H198" s="21" t="str">
        <f>IF($N$1="Piping", IF(ISBLANK(Piping!H198), "", Piping!H198), IF($N$1="Vessels", IF(ISBLANK(Vessels!H198), "", Vessels!H198), ""))</f>
        <v/>
      </c>
      <c r="I198" s="21" t="str">
        <f>IF($N$1="Piping", IF(ISBLANK(Piping!I198), "", Piping!I198), IF($N$1="Vessels", IF(ISBLANK(Vessels!I198), "", Vessels!I198), ""))</f>
        <v/>
      </c>
      <c r="J198" s="21" t="str">
        <f>IF($N$1="Piping", IF(ISBLANK(Piping!J198), "", Piping!J198), IF($N$1="Vessels", IF(ISBLANK(Vessels!J198), "", Vessels!J198), ""))</f>
        <v/>
      </c>
      <c r="K198" s="21" t="str">
        <f>IF($N$1="Piping", IF(ISBLANK(Piping!K198), "", Piping!K198), IF($N$1="Vessels", IF(ISBLANK(Vessels!K198), "", Vessels!K198), ""))</f>
        <v/>
      </c>
      <c r="L198" s="21" t="str">
        <f>IF($N$1="Piping", IF(ISBLANK(Piping!L198), "", Piping!L198), IF($N$1="Vessels", IF(ISBLANK(Vessels!L198), "", Vessels!L198), ""))</f>
        <v/>
      </c>
      <c r="M198" s="21"/>
      <c r="N198" s="21"/>
      <c r="O198" s="21"/>
      <c r="P198" s="21"/>
      <c r="Q198" s="21" t="str">
        <f>IF($N$1="Piping", IF(ISBLANK(Piping!T198), "", Piping!T198), IF($N$1="Vessels", IF(ISBLANK(Vessels!T198), "", Vessels!T198), ""))</f>
        <v/>
      </c>
      <c r="R198" s="51" t="str">
        <f>IF($N$1="Piping", IF(ISBLANK(Piping!U198), "", Piping!U198), IF($N$1="Vessels", IF(ISBLANK(Vessels!U198), "", Vessels!U198), ""))</f>
        <v/>
      </c>
      <c r="S198" s="118" t="str">
        <f>IF(B198&lt;&gt;"",IF($N$1="Piping", IF(ISBLANK(Piping!$J$3), "", Piping!$J$3), IF($N$1="Vessels", IF(ISBLANK(Vessels!$J$3), "", Vessels!$J$3), "")),"")</f>
        <v/>
      </c>
      <c r="T198" s="37"/>
      <c r="U198" s="37"/>
      <c r="V198" s="37"/>
      <c r="W198" s="37"/>
      <c r="X198" s="37"/>
      <c r="Y198" s="37"/>
      <c r="Z198" s="37"/>
    </row>
    <row r="199" spans="1:26" ht="15.75" customHeight="1" x14ac:dyDescent="0.3">
      <c r="A199" s="22">
        <f>IF($N$1="Piping", IF(ISBLANK(Piping!A199), "", Piping!A199), IF($N$1="Vessels", IF(ISBLANK(Vessels!A199), "", Vessels!A199), ""))</f>
        <v>49.2</v>
      </c>
      <c r="B199" s="21" t="str">
        <f>IF($N$1="Piping", IF(ISBLANK(Piping!B199), "", Piping!B199), IF($N$1="Vessels", IF(ISBLANK(Vessels!B199), "", Vessels!B199), ""))</f>
        <v/>
      </c>
      <c r="C199" s="21" t="str">
        <f>IF($N$1="Piping", IF(ISBLANK(Piping!C199), "", Piping!C199), IF($N$1="Vessels", IF(ISBLANK(Vessels!C199), "", Vessels!C199), ""))</f>
        <v>Piping</v>
      </c>
      <c r="D199" s="21" t="str">
        <f>IF($N$1="Piping", IF(ISBLANK(Piping!D199), "", Piping!D199), IF($N$1="Vessels", IF(ISBLANK(Vessels!D199), "", Vessels!D199), ""))</f>
        <v/>
      </c>
      <c r="E199" s="21" t="str">
        <f>IF($N$1="Piping", IF(ISBLANK(Piping!E199), "", Piping!E199), IF($N$1="Vessels", IF(ISBLANK(Vessels!E199), "", Vessels!E199), ""))</f>
        <v/>
      </c>
      <c r="F199" s="21" t="str">
        <f>IF($N$1="Piping", IF(ISBLANK(Piping!F199), "", Piping!F199), IF($N$1="Vessels", IF(ISBLANK(Vessels!F199), "", Vessels!F199), ""))</f>
        <v/>
      </c>
      <c r="G199" s="21">
        <f>IF($N$1="Piping", IF(ISBLANK(Piping!G199), "", Piping!G199), IF($N$1="Vessels", IF(ISBLANK(Vessels!G199), "", Vessels!G199), ""))</f>
        <v>0</v>
      </c>
      <c r="H199" s="21" t="str">
        <f>IF($N$1="Piping", IF(ISBLANK(Piping!H199), "", Piping!H199), IF($N$1="Vessels", IF(ISBLANK(Vessels!H199), "", Vessels!H199), ""))</f>
        <v/>
      </c>
      <c r="I199" s="21" t="str">
        <f>IF($N$1="Piping", IF(ISBLANK(Piping!I199), "", Piping!I199), IF($N$1="Vessels", IF(ISBLANK(Vessels!I199), "", Vessels!I199), ""))</f>
        <v/>
      </c>
      <c r="J199" s="21" t="str">
        <f>IF($N$1="Piping", IF(ISBLANK(Piping!J199), "", Piping!J199), IF($N$1="Vessels", IF(ISBLANK(Vessels!J199), "", Vessels!J199), ""))</f>
        <v/>
      </c>
      <c r="K199" s="21" t="str">
        <f>IF($N$1="Piping", IF(ISBLANK(Piping!K199), "", Piping!K199), IF($N$1="Vessels", IF(ISBLANK(Vessels!K199), "", Vessels!K199), ""))</f>
        <v/>
      </c>
      <c r="L199" s="21" t="str">
        <f>IF($N$1="Piping", IF(ISBLANK(Piping!L199), "", Piping!L199), IF($N$1="Vessels", IF(ISBLANK(Vessels!L199), "", Vessels!L199), ""))</f>
        <v/>
      </c>
      <c r="M199" s="21"/>
      <c r="N199" s="21"/>
      <c r="O199" s="21"/>
      <c r="P199" s="21"/>
      <c r="Q199" s="21" t="str">
        <f>IF($N$1="Piping", IF(ISBLANK(Piping!T199), "", Piping!T199), IF($N$1="Vessels", IF(ISBLANK(Vessels!T199), "", Vessels!T199), ""))</f>
        <v/>
      </c>
      <c r="R199" s="51" t="str">
        <f>IF($N$1="Piping", IF(ISBLANK(Piping!U199), "", Piping!U199), IF($N$1="Vessels", IF(ISBLANK(Vessels!U199), "", Vessels!U199), ""))</f>
        <v/>
      </c>
      <c r="S199" s="118" t="str">
        <f>IF(B199&lt;&gt;"",IF($N$1="Piping", IF(ISBLANK(Piping!$J$3), "", Piping!$J$3), IF($N$1="Vessels", IF(ISBLANK(Vessels!$J$3), "", Vessels!$J$3), "")),"")</f>
        <v/>
      </c>
      <c r="T199" s="37"/>
      <c r="U199" s="37"/>
      <c r="V199" s="37"/>
      <c r="W199" s="37"/>
      <c r="X199" s="37"/>
      <c r="Y199" s="37"/>
      <c r="Z199" s="37"/>
    </row>
    <row r="200" spans="1:26" ht="15.75" customHeight="1" x14ac:dyDescent="0.3">
      <c r="A200" s="22">
        <f>IF($N$1="Piping", IF(ISBLANK(Piping!A200), "", Piping!A200), IF($N$1="Vessels", IF(ISBLANK(Vessels!A200), "", Vessels!A200), ""))</f>
        <v>49.3</v>
      </c>
      <c r="B200" s="21" t="str">
        <f>IF($N$1="Piping", IF(ISBLANK(Piping!B200), "", Piping!B200), IF($N$1="Vessels", IF(ISBLANK(Vessels!B200), "", Vessels!B200), ""))</f>
        <v/>
      </c>
      <c r="C200" s="21" t="str">
        <f>IF($N$1="Piping", IF(ISBLANK(Piping!C200), "", Piping!C200), IF($N$1="Vessels", IF(ISBLANK(Vessels!C200), "", Vessels!C200), ""))</f>
        <v>Piping</v>
      </c>
      <c r="D200" s="21" t="str">
        <f>IF($N$1="Piping", IF(ISBLANK(Piping!D200), "", Piping!D200), IF($N$1="Vessels", IF(ISBLANK(Vessels!D200), "", Vessels!D200), ""))</f>
        <v/>
      </c>
      <c r="E200" s="21" t="str">
        <f>IF($N$1="Piping", IF(ISBLANK(Piping!E200), "", Piping!E200), IF($N$1="Vessels", IF(ISBLANK(Vessels!E200), "", Vessels!E200), ""))</f>
        <v/>
      </c>
      <c r="F200" s="21" t="str">
        <f>IF($N$1="Piping", IF(ISBLANK(Piping!F200), "", Piping!F200), IF($N$1="Vessels", IF(ISBLANK(Vessels!F200), "", Vessels!F200), ""))</f>
        <v/>
      </c>
      <c r="G200" s="21">
        <f>IF($N$1="Piping", IF(ISBLANK(Piping!G200), "", Piping!G200), IF($N$1="Vessels", IF(ISBLANK(Vessels!G200), "", Vessels!G200), ""))</f>
        <v>0</v>
      </c>
      <c r="H200" s="21" t="str">
        <f>IF($N$1="Piping", IF(ISBLANK(Piping!H200), "", Piping!H200), IF($N$1="Vessels", IF(ISBLANK(Vessels!H200), "", Vessels!H200), ""))</f>
        <v/>
      </c>
      <c r="I200" s="21" t="str">
        <f>IF($N$1="Piping", IF(ISBLANK(Piping!I200), "", Piping!I200), IF($N$1="Vessels", IF(ISBLANK(Vessels!I200), "", Vessels!I200), ""))</f>
        <v/>
      </c>
      <c r="J200" s="21" t="str">
        <f>IF($N$1="Piping", IF(ISBLANK(Piping!J200), "", Piping!J200), IF($N$1="Vessels", IF(ISBLANK(Vessels!J200), "", Vessels!J200), ""))</f>
        <v/>
      </c>
      <c r="K200" s="21" t="str">
        <f>IF($N$1="Piping", IF(ISBLANK(Piping!K200), "", Piping!K200), IF($N$1="Vessels", IF(ISBLANK(Vessels!K200), "", Vessels!K200), ""))</f>
        <v/>
      </c>
      <c r="L200" s="21" t="str">
        <f>IF($N$1="Piping", IF(ISBLANK(Piping!L200), "", Piping!L200), IF($N$1="Vessels", IF(ISBLANK(Vessels!L200), "", Vessels!L200), ""))</f>
        <v/>
      </c>
      <c r="M200" s="21"/>
      <c r="N200" s="21"/>
      <c r="O200" s="21"/>
      <c r="P200" s="21"/>
      <c r="Q200" s="21" t="str">
        <f>IF($N$1="Piping", IF(ISBLANK(Piping!T200), "", Piping!T200), IF($N$1="Vessels", IF(ISBLANK(Vessels!T200), "", Vessels!T200), ""))</f>
        <v/>
      </c>
      <c r="R200" s="51" t="str">
        <f>IF($N$1="Piping", IF(ISBLANK(Piping!U200), "", Piping!U200), IF($N$1="Vessels", IF(ISBLANK(Vessels!U200), "", Vessels!U200), ""))</f>
        <v/>
      </c>
      <c r="S200" s="118" t="str">
        <f>IF(B200&lt;&gt;"",IF($N$1="Piping", IF(ISBLANK(Piping!$J$3), "", Piping!$J$3), IF($N$1="Vessels", IF(ISBLANK(Vessels!$J$3), "", Vessels!$J$3), "")),"")</f>
        <v/>
      </c>
      <c r="T200" s="37"/>
      <c r="U200" s="37"/>
      <c r="V200" s="37"/>
      <c r="W200" s="37"/>
      <c r="X200" s="37"/>
      <c r="Y200" s="37"/>
      <c r="Z200" s="37"/>
    </row>
    <row r="201" spans="1:26" ht="15.75" customHeight="1" x14ac:dyDescent="0.3">
      <c r="A201" s="22">
        <f>IF($N$1="Piping", IF(ISBLANK(Piping!A201), "", Piping!A201), IF($N$1="Vessels", IF(ISBLANK(Vessels!A201), "", Vessels!A201), ""))</f>
        <v>49.4</v>
      </c>
      <c r="B201" s="21" t="str">
        <f>IF($N$1="Piping", IF(ISBLANK(Piping!B201), "", Piping!B201), IF($N$1="Vessels", IF(ISBLANK(Vessels!B201), "", Vessels!B201), ""))</f>
        <v/>
      </c>
      <c r="C201" s="21" t="str">
        <f>IF($N$1="Piping", IF(ISBLANK(Piping!C201), "", Piping!C201), IF($N$1="Vessels", IF(ISBLANK(Vessels!C201), "", Vessels!C201), ""))</f>
        <v>Piping</v>
      </c>
      <c r="D201" s="21" t="str">
        <f>IF($N$1="Piping", IF(ISBLANK(Piping!D201), "", Piping!D201), IF($N$1="Vessels", IF(ISBLANK(Vessels!D201), "", Vessels!D201), ""))</f>
        <v/>
      </c>
      <c r="E201" s="21" t="str">
        <f>IF($N$1="Piping", IF(ISBLANK(Piping!E201), "", Piping!E201), IF($N$1="Vessels", IF(ISBLANK(Vessels!E201), "", Vessels!E201), ""))</f>
        <v/>
      </c>
      <c r="F201" s="21" t="str">
        <f>IF($N$1="Piping", IF(ISBLANK(Piping!F201), "", Piping!F201), IF($N$1="Vessels", IF(ISBLANK(Vessels!F201), "", Vessels!F201), ""))</f>
        <v/>
      </c>
      <c r="G201" s="21">
        <f>IF($N$1="Piping", IF(ISBLANK(Piping!G201), "", Piping!G201), IF($N$1="Vessels", IF(ISBLANK(Vessels!G201), "", Vessels!G201), ""))</f>
        <v>0</v>
      </c>
      <c r="H201" s="21" t="str">
        <f>IF($N$1="Piping", IF(ISBLANK(Piping!H201), "", Piping!H201), IF($N$1="Vessels", IF(ISBLANK(Vessels!H201), "", Vessels!H201), ""))</f>
        <v/>
      </c>
      <c r="I201" s="21" t="str">
        <f>IF($N$1="Piping", IF(ISBLANK(Piping!I201), "", Piping!I201), IF($N$1="Vessels", IF(ISBLANK(Vessels!I201), "", Vessels!I201), ""))</f>
        <v/>
      </c>
      <c r="J201" s="21" t="str">
        <f>IF($N$1="Piping", IF(ISBLANK(Piping!J201), "", Piping!J201), IF($N$1="Vessels", IF(ISBLANK(Vessels!J201), "", Vessels!J201), ""))</f>
        <v/>
      </c>
      <c r="K201" s="21" t="str">
        <f>IF($N$1="Piping", IF(ISBLANK(Piping!K201), "", Piping!K201), IF($N$1="Vessels", IF(ISBLANK(Vessels!K201), "", Vessels!K201), ""))</f>
        <v/>
      </c>
      <c r="L201" s="21" t="str">
        <f>IF($N$1="Piping", IF(ISBLANK(Piping!L201), "", Piping!L201), IF($N$1="Vessels", IF(ISBLANK(Vessels!L201), "", Vessels!L201), ""))</f>
        <v/>
      </c>
      <c r="M201" s="21"/>
      <c r="N201" s="21"/>
      <c r="O201" s="21"/>
      <c r="P201" s="21"/>
      <c r="Q201" s="21" t="str">
        <f>IF($N$1="Piping", IF(ISBLANK(Piping!T201), "", Piping!T201), IF($N$1="Vessels", IF(ISBLANK(Vessels!T201), "", Vessels!T201), ""))</f>
        <v/>
      </c>
      <c r="R201" s="51" t="str">
        <f>IF($N$1="Piping", IF(ISBLANK(Piping!U201), "", Piping!U201), IF($N$1="Vessels", IF(ISBLANK(Vessels!U201), "", Vessels!U201), ""))</f>
        <v/>
      </c>
      <c r="S201" s="118" t="str">
        <f>IF(B201&lt;&gt;"",IF($N$1="Piping", IF(ISBLANK(Piping!$J$3), "", Piping!$J$3), IF($N$1="Vessels", IF(ISBLANK(Vessels!$J$3), "", Vessels!$J$3), "")),"")</f>
        <v/>
      </c>
      <c r="T201" s="37"/>
      <c r="U201" s="37"/>
      <c r="V201" s="37"/>
      <c r="W201" s="37"/>
      <c r="X201" s="37"/>
      <c r="Y201" s="37"/>
      <c r="Z201" s="37"/>
    </row>
    <row r="202" spans="1:26" ht="15.75" customHeight="1" x14ac:dyDescent="0.3">
      <c r="A202" s="22">
        <f>IF($N$1="Piping", IF(ISBLANK(Piping!A202), "", Piping!A202), IF($N$1="Vessels", IF(ISBLANK(Vessels!A202), "", Vessels!A202), ""))</f>
        <v>50.1</v>
      </c>
      <c r="B202" s="21" t="str">
        <f>IF($N$1="Piping", IF(ISBLANK(Piping!B202), "", Piping!B202), IF($N$1="Vessels", IF(ISBLANK(Vessels!B202), "", Vessels!B202), ""))</f>
        <v/>
      </c>
      <c r="C202" s="21" t="str">
        <f>IF($N$1="Piping", IF(ISBLANK(Piping!C202), "", Piping!C202), IF($N$1="Vessels", IF(ISBLANK(Vessels!C202), "", Vessels!C202), ""))</f>
        <v>Piping</v>
      </c>
      <c r="D202" s="21" t="str">
        <f>IF($N$1="Piping", IF(ISBLANK(Piping!D202), "", Piping!D202), IF($N$1="Vessels", IF(ISBLANK(Vessels!D202), "", Vessels!D202), ""))</f>
        <v/>
      </c>
      <c r="E202" s="21" t="str">
        <f>IF($N$1="Piping", IF(ISBLANK(Piping!E202), "", Piping!E202), IF($N$1="Vessels", IF(ISBLANK(Vessels!E202), "", Vessels!E202), ""))</f>
        <v/>
      </c>
      <c r="F202" s="21" t="str">
        <f>IF($N$1="Piping", IF(ISBLANK(Piping!F202), "", Piping!F202), IF($N$1="Vessels", IF(ISBLANK(Vessels!F202), "", Vessels!F202), ""))</f>
        <v/>
      </c>
      <c r="G202" s="21">
        <f>IF($N$1="Piping", IF(ISBLANK(Piping!G202), "", Piping!G202), IF($N$1="Vessels", IF(ISBLANK(Vessels!G202), "", Vessels!G202), ""))</f>
        <v>0</v>
      </c>
      <c r="H202" s="21" t="str">
        <f>IF($N$1="Piping", IF(ISBLANK(Piping!H202), "", Piping!H202), IF($N$1="Vessels", IF(ISBLANK(Vessels!H202), "", Vessels!H202), ""))</f>
        <v/>
      </c>
      <c r="I202" s="21" t="str">
        <f>IF($N$1="Piping", IF(ISBLANK(Piping!I202), "", Piping!I202), IF($N$1="Vessels", IF(ISBLANK(Vessels!I202), "", Vessels!I202), ""))</f>
        <v/>
      </c>
      <c r="J202" s="21" t="str">
        <f>IF($N$1="Piping", IF(ISBLANK(Piping!J202), "", Piping!J202), IF($N$1="Vessels", IF(ISBLANK(Vessels!J202), "", Vessels!J202), ""))</f>
        <v/>
      </c>
      <c r="K202" s="21" t="str">
        <f>IF($N$1="Piping", IF(ISBLANK(Piping!K202), "", Piping!K202), IF($N$1="Vessels", IF(ISBLANK(Vessels!K202), "", Vessels!K202), ""))</f>
        <v/>
      </c>
      <c r="L202" s="21" t="str">
        <f>IF($N$1="Piping", IF(ISBLANK(Piping!L202), "", Piping!L202), IF($N$1="Vessels", IF(ISBLANK(Vessels!L202), "", Vessels!L202), ""))</f>
        <v/>
      </c>
      <c r="M202" s="21"/>
      <c r="N202" s="21"/>
      <c r="O202" s="21"/>
      <c r="P202" s="21"/>
      <c r="Q202" s="21" t="str">
        <f>IF($N$1="Piping", IF(ISBLANK(Piping!T202), "", Piping!T202), IF($N$1="Vessels", IF(ISBLANK(Vessels!T202), "", Vessels!T202), ""))</f>
        <v/>
      </c>
      <c r="R202" s="51" t="str">
        <f>IF($N$1="Piping", IF(ISBLANK(Piping!U202), "", Piping!U202), IF($N$1="Vessels", IF(ISBLANK(Vessels!U202), "", Vessels!U202), ""))</f>
        <v/>
      </c>
      <c r="S202" s="118" t="str">
        <f>IF(B202&lt;&gt;"",IF($N$1="Piping", IF(ISBLANK(Piping!$J$3), "", Piping!$J$3), IF($N$1="Vessels", IF(ISBLANK(Vessels!$J$3), "", Vessels!$J$3), "")),"")</f>
        <v/>
      </c>
      <c r="T202" s="37"/>
      <c r="U202" s="37"/>
      <c r="V202" s="37"/>
      <c r="W202" s="37"/>
      <c r="X202" s="37"/>
      <c r="Y202" s="37"/>
      <c r="Z202" s="37"/>
    </row>
    <row r="203" spans="1:26" ht="15.75" customHeight="1" x14ac:dyDescent="0.3">
      <c r="A203" s="22">
        <f>IF($N$1="Piping", IF(ISBLANK(Piping!A203), "", Piping!A203), IF($N$1="Vessels", IF(ISBLANK(Vessels!A203), "", Vessels!A203), ""))</f>
        <v>50.2</v>
      </c>
      <c r="B203" s="21" t="str">
        <f>IF($N$1="Piping", IF(ISBLANK(Piping!B203), "", Piping!B203), IF($N$1="Vessels", IF(ISBLANK(Vessels!B203), "", Vessels!B203), ""))</f>
        <v/>
      </c>
      <c r="C203" s="21" t="str">
        <f>IF($N$1="Piping", IF(ISBLANK(Piping!C203), "", Piping!C203), IF($N$1="Vessels", IF(ISBLANK(Vessels!C203), "", Vessels!C203), ""))</f>
        <v>Piping</v>
      </c>
      <c r="D203" s="21" t="str">
        <f>IF($N$1="Piping", IF(ISBLANK(Piping!D203), "", Piping!D203), IF($N$1="Vessels", IF(ISBLANK(Vessels!D203), "", Vessels!D203), ""))</f>
        <v/>
      </c>
      <c r="E203" s="21" t="str">
        <f>IF($N$1="Piping", IF(ISBLANK(Piping!E203), "", Piping!E203), IF($N$1="Vessels", IF(ISBLANK(Vessels!E203), "", Vessels!E203), ""))</f>
        <v/>
      </c>
      <c r="F203" s="21" t="str">
        <f>IF($N$1="Piping", IF(ISBLANK(Piping!F203), "", Piping!F203), IF($N$1="Vessels", IF(ISBLANK(Vessels!F203), "", Vessels!F203), ""))</f>
        <v/>
      </c>
      <c r="G203" s="21">
        <f>IF($N$1="Piping", IF(ISBLANK(Piping!G203), "", Piping!G203), IF($N$1="Vessels", IF(ISBLANK(Vessels!G203), "", Vessels!G203), ""))</f>
        <v>0</v>
      </c>
      <c r="H203" s="21" t="str">
        <f>IF($N$1="Piping", IF(ISBLANK(Piping!H203), "", Piping!H203), IF($N$1="Vessels", IF(ISBLANK(Vessels!H203), "", Vessels!H203), ""))</f>
        <v/>
      </c>
      <c r="I203" s="21" t="str">
        <f>IF($N$1="Piping", IF(ISBLANK(Piping!I203), "", Piping!I203), IF($N$1="Vessels", IF(ISBLANK(Vessels!I203), "", Vessels!I203), ""))</f>
        <v/>
      </c>
      <c r="J203" s="21" t="str">
        <f>IF($N$1="Piping", IF(ISBLANK(Piping!J203), "", Piping!J203), IF($N$1="Vessels", IF(ISBLANK(Vessels!J203), "", Vessels!J203), ""))</f>
        <v/>
      </c>
      <c r="K203" s="21" t="str">
        <f>IF($N$1="Piping", IF(ISBLANK(Piping!K203), "", Piping!K203), IF($N$1="Vessels", IF(ISBLANK(Vessels!K203), "", Vessels!K203), ""))</f>
        <v/>
      </c>
      <c r="L203" s="21" t="str">
        <f>IF($N$1="Piping", IF(ISBLANK(Piping!L203), "", Piping!L203), IF($N$1="Vessels", IF(ISBLANK(Vessels!L203), "", Vessels!L203), ""))</f>
        <v/>
      </c>
      <c r="M203" s="21"/>
      <c r="N203" s="21"/>
      <c r="O203" s="21"/>
      <c r="P203" s="21"/>
      <c r="Q203" s="21" t="str">
        <f>IF($N$1="Piping", IF(ISBLANK(Piping!T203), "", Piping!T203), IF($N$1="Vessels", IF(ISBLANK(Vessels!T203), "", Vessels!T203), ""))</f>
        <v/>
      </c>
      <c r="R203" s="51" t="str">
        <f>IF($N$1="Piping", IF(ISBLANK(Piping!U203), "", Piping!U203), IF($N$1="Vessels", IF(ISBLANK(Vessels!U203), "", Vessels!U203), ""))</f>
        <v/>
      </c>
      <c r="S203" s="118" t="str">
        <f>IF(B203&lt;&gt;"",IF($N$1="Piping", IF(ISBLANK(Piping!$J$3), "", Piping!$J$3), IF($N$1="Vessels", IF(ISBLANK(Vessels!$J$3), "", Vessels!$J$3), "")),"")</f>
        <v/>
      </c>
      <c r="T203" s="37"/>
      <c r="U203" s="37"/>
      <c r="V203" s="37"/>
      <c r="W203" s="37"/>
      <c r="X203" s="37"/>
      <c r="Y203" s="37"/>
      <c r="Z203" s="37"/>
    </row>
    <row r="204" spans="1:26" ht="15.75" customHeight="1" x14ac:dyDescent="0.3">
      <c r="A204" s="22">
        <f>IF($N$1="Piping", IF(ISBLANK(Piping!A204), "", Piping!A204), IF($N$1="Vessels", IF(ISBLANK(Vessels!A204), "", Vessels!A204), ""))</f>
        <v>50.3</v>
      </c>
      <c r="B204" s="21" t="str">
        <f>IF($N$1="Piping", IF(ISBLANK(Piping!B204), "", Piping!B204), IF($N$1="Vessels", IF(ISBLANK(Vessels!B204), "", Vessels!B204), ""))</f>
        <v/>
      </c>
      <c r="C204" s="21" t="str">
        <f>IF($N$1="Piping", IF(ISBLANK(Piping!C204), "", Piping!C204), IF($N$1="Vessels", IF(ISBLANK(Vessels!C204), "", Vessels!C204), ""))</f>
        <v>Piping</v>
      </c>
      <c r="D204" s="21" t="str">
        <f>IF($N$1="Piping", IF(ISBLANK(Piping!D204), "", Piping!D204), IF($N$1="Vessels", IF(ISBLANK(Vessels!D204), "", Vessels!D204), ""))</f>
        <v/>
      </c>
      <c r="E204" s="21" t="str">
        <f>IF($N$1="Piping", IF(ISBLANK(Piping!E204), "", Piping!E204), IF($N$1="Vessels", IF(ISBLANK(Vessels!E204), "", Vessels!E204), ""))</f>
        <v/>
      </c>
      <c r="F204" s="21" t="str">
        <f>IF($N$1="Piping", IF(ISBLANK(Piping!F204), "", Piping!F204), IF($N$1="Vessels", IF(ISBLANK(Vessels!F204), "", Vessels!F204), ""))</f>
        <v/>
      </c>
      <c r="G204" s="21">
        <f>IF($N$1="Piping", IF(ISBLANK(Piping!G204), "", Piping!G204), IF($N$1="Vessels", IF(ISBLANK(Vessels!G204), "", Vessels!G204), ""))</f>
        <v>0</v>
      </c>
      <c r="H204" s="21" t="str">
        <f>IF($N$1="Piping", IF(ISBLANK(Piping!H204), "", Piping!H204), IF($N$1="Vessels", IF(ISBLANK(Vessels!H204), "", Vessels!H204), ""))</f>
        <v/>
      </c>
      <c r="I204" s="21" t="str">
        <f>IF($N$1="Piping", IF(ISBLANK(Piping!I204), "", Piping!I204), IF($N$1="Vessels", IF(ISBLANK(Vessels!I204), "", Vessels!I204), ""))</f>
        <v/>
      </c>
      <c r="J204" s="21" t="str">
        <f>IF($N$1="Piping", IF(ISBLANK(Piping!J204), "", Piping!J204), IF($N$1="Vessels", IF(ISBLANK(Vessels!J204), "", Vessels!J204), ""))</f>
        <v/>
      </c>
      <c r="K204" s="21" t="str">
        <f>IF($N$1="Piping", IF(ISBLANK(Piping!K204), "", Piping!K204), IF($N$1="Vessels", IF(ISBLANK(Vessels!K204), "", Vessels!K204), ""))</f>
        <v/>
      </c>
      <c r="L204" s="21" t="str">
        <f>IF($N$1="Piping", IF(ISBLANK(Piping!L204), "", Piping!L204), IF($N$1="Vessels", IF(ISBLANK(Vessels!L204), "", Vessels!L204), ""))</f>
        <v/>
      </c>
      <c r="M204" s="21"/>
      <c r="N204" s="21"/>
      <c r="O204" s="21"/>
      <c r="P204" s="21"/>
      <c r="Q204" s="21" t="str">
        <f>IF($N$1="Piping", IF(ISBLANK(Piping!T204), "", Piping!T204), IF($N$1="Vessels", IF(ISBLANK(Vessels!T204), "", Vessels!T204), ""))</f>
        <v/>
      </c>
      <c r="R204" s="51" t="str">
        <f>IF($N$1="Piping", IF(ISBLANK(Piping!U204), "", Piping!U204), IF($N$1="Vessels", IF(ISBLANK(Vessels!U204), "", Vessels!U204), ""))</f>
        <v/>
      </c>
      <c r="S204" s="118" t="str">
        <f>IF(B204&lt;&gt;"",IF($N$1="Piping", IF(ISBLANK(Piping!$J$3), "", Piping!$J$3), IF($N$1="Vessels", IF(ISBLANK(Vessels!$J$3), "", Vessels!$J$3), "")),"")</f>
        <v/>
      </c>
      <c r="T204" s="37"/>
      <c r="U204" s="37"/>
      <c r="V204" s="37"/>
      <c r="W204" s="37"/>
      <c r="X204" s="37"/>
      <c r="Y204" s="37"/>
      <c r="Z204" s="37"/>
    </row>
    <row r="205" spans="1:26" ht="15.75" customHeight="1" x14ac:dyDescent="0.3">
      <c r="A205" s="22">
        <f>IF($N$1="Piping", IF(ISBLANK(Piping!A205), "", Piping!A205), IF($N$1="Vessels", IF(ISBLANK(Vessels!A205), "", Vessels!A205), ""))</f>
        <v>50.4</v>
      </c>
      <c r="B205" s="21" t="str">
        <f>IF($N$1="Piping", IF(ISBLANK(Piping!B205), "", Piping!B205), IF($N$1="Vessels", IF(ISBLANK(Vessels!B205), "", Vessels!B205), ""))</f>
        <v/>
      </c>
      <c r="C205" s="21" t="str">
        <f>IF($N$1="Piping", IF(ISBLANK(Piping!C205), "", Piping!C205), IF($N$1="Vessels", IF(ISBLANK(Vessels!C205), "", Vessels!C205), ""))</f>
        <v>Piping</v>
      </c>
      <c r="D205" s="21" t="str">
        <f>IF($N$1="Piping", IF(ISBLANK(Piping!D205), "", Piping!D205), IF($N$1="Vessels", IF(ISBLANK(Vessels!D205), "", Vessels!D205), ""))</f>
        <v/>
      </c>
      <c r="E205" s="21" t="str">
        <f>IF($N$1="Piping", IF(ISBLANK(Piping!E205), "", Piping!E205), IF($N$1="Vessels", IF(ISBLANK(Vessels!E205), "", Vessels!E205), ""))</f>
        <v/>
      </c>
      <c r="F205" s="21" t="str">
        <f>IF($N$1="Piping", IF(ISBLANK(Piping!F205), "", Piping!F205), IF($N$1="Vessels", IF(ISBLANK(Vessels!F205), "", Vessels!F205), ""))</f>
        <v/>
      </c>
      <c r="G205" s="21">
        <f>IF($N$1="Piping", IF(ISBLANK(Piping!G205), "", Piping!G205), IF($N$1="Vessels", IF(ISBLANK(Vessels!G205), "", Vessels!G205), ""))</f>
        <v>0</v>
      </c>
      <c r="H205" s="21" t="str">
        <f>IF($N$1="Piping", IF(ISBLANK(Piping!H205), "", Piping!H205), IF($N$1="Vessels", IF(ISBLANK(Vessels!H205), "", Vessels!H205), ""))</f>
        <v/>
      </c>
      <c r="I205" s="21" t="str">
        <f>IF($N$1="Piping", IF(ISBLANK(Piping!I205), "", Piping!I205), IF($N$1="Vessels", IF(ISBLANK(Vessels!I205), "", Vessels!I205), ""))</f>
        <v/>
      </c>
      <c r="J205" s="21" t="str">
        <f>IF($N$1="Piping", IF(ISBLANK(Piping!J205), "", Piping!J205), IF($N$1="Vessels", IF(ISBLANK(Vessels!J205), "", Vessels!J205), ""))</f>
        <v/>
      </c>
      <c r="K205" s="21" t="str">
        <f>IF($N$1="Piping", IF(ISBLANK(Piping!K205), "", Piping!K205), IF($N$1="Vessels", IF(ISBLANK(Vessels!K205), "", Vessels!K205), ""))</f>
        <v/>
      </c>
      <c r="L205" s="21" t="str">
        <f>IF($N$1="Piping", IF(ISBLANK(Piping!L205), "", Piping!L205), IF($N$1="Vessels", IF(ISBLANK(Vessels!L205), "", Vessels!L205), ""))</f>
        <v/>
      </c>
      <c r="M205" s="21"/>
      <c r="N205" s="21"/>
      <c r="O205" s="21"/>
      <c r="P205" s="21"/>
      <c r="Q205" s="21" t="str">
        <f>IF($N$1="Piping", IF(ISBLANK(Piping!T205), "", Piping!T205), IF($N$1="Vessels", IF(ISBLANK(Vessels!T205), "", Vessels!T205), ""))</f>
        <v/>
      </c>
      <c r="R205" s="51" t="str">
        <f>IF($N$1="Piping", IF(ISBLANK(Piping!U205), "", Piping!U205), IF($N$1="Vessels", IF(ISBLANK(Vessels!U205), "", Vessels!U205), ""))</f>
        <v/>
      </c>
      <c r="S205" s="118" t="str">
        <f>IF(B205&lt;&gt;"",IF($N$1="Piping", IF(ISBLANK(Piping!$J$3), "", Piping!$J$3), IF($N$1="Vessels", IF(ISBLANK(Vessels!$J$3), "", Vessels!$J$3), "")),"")</f>
        <v/>
      </c>
      <c r="T205" s="37"/>
      <c r="U205" s="37"/>
      <c r="V205" s="37"/>
      <c r="W205" s="37"/>
      <c r="X205" s="37"/>
      <c r="Y205" s="37"/>
      <c r="Z205" s="37"/>
    </row>
    <row r="206" spans="1:26" ht="15.75" customHeight="1" x14ac:dyDescent="0.3">
      <c r="A206" s="22">
        <f>IF($N$1="Piping", IF(ISBLANK(Piping!A206), "", Piping!A206), IF($N$1="Vessels", IF(ISBLANK(Vessels!A206), "", Vessels!A206), ""))</f>
        <v>51.1</v>
      </c>
      <c r="B206" s="21" t="str">
        <f>IF($N$1="Piping", IF(ISBLANK(Piping!B206), "", Piping!B206), IF($N$1="Vessels", IF(ISBLANK(Vessels!B206), "", Vessels!B206), ""))</f>
        <v/>
      </c>
      <c r="C206" s="21" t="str">
        <f>IF($N$1="Piping", IF(ISBLANK(Piping!C206), "", Piping!C206), IF($N$1="Vessels", IF(ISBLANK(Vessels!C206), "", Vessels!C206), ""))</f>
        <v>Piping</v>
      </c>
      <c r="D206" s="21" t="str">
        <f>IF($N$1="Piping", IF(ISBLANK(Piping!D206), "", Piping!D206), IF($N$1="Vessels", IF(ISBLANK(Vessels!D206), "", Vessels!D206), ""))</f>
        <v/>
      </c>
      <c r="E206" s="21" t="str">
        <f>IF($N$1="Piping", IF(ISBLANK(Piping!E206), "", Piping!E206), IF($N$1="Vessels", IF(ISBLANK(Vessels!E206), "", Vessels!E206), ""))</f>
        <v/>
      </c>
      <c r="F206" s="21" t="str">
        <f>IF($N$1="Piping", IF(ISBLANK(Piping!F206), "", Piping!F206), IF($N$1="Vessels", IF(ISBLANK(Vessels!F206), "", Vessels!F206), ""))</f>
        <v/>
      </c>
      <c r="G206" s="21">
        <f>IF($N$1="Piping", IF(ISBLANK(Piping!G206), "", Piping!G206), IF($N$1="Vessels", IF(ISBLANK(Vessels!G206), "", Vessels!G206), ""))</f>
        <v>0</v>
      </c>
      <c r="H206" s="21" t="str">
        <f>IF($N$1="Piping", IF(ISBLANK(Piping!H206), "", Piping!H206), IF($N$1="Vessels", IF(ISBLANK(Vessels!H206), "", Vessels!H206), ""))</f>
        <v/>
      </c>
      <c r="I206" s="21" t="str">
        <f>IF($N$1="Piping", IF(ISBLANK(Piping!I206), "", Piping!I206), IF($N$1="Vessels", IF(ISBLANK(Vessels!I206), "", Vessels!I206), ""))</f>
        <v/>
      </c>
      <c r="J206" s="21" t="str">
        <f>IF($N$1="Piping", IF(ISBLANK(Piping!J206), "", Piping!J206), IF($N$1="Vessels", IF(ISBLANK(Vessels!J206), "", Vessels!J206), ""))</f>
        <v/>
      </c>
      <c r="K206" s="21" t="str">
        <f>IF($N$1="Piping", IF(ISBLANK(Piping!K206), "", Piping!K206), IF($N$1="Vessels", IF(ISBLANK(Vessels!K206), "", Vessels!K206), ""))</f>
        <v/>
      </c>
      <c r="L206" s="21" t="str">
        <f>IF($N$1="Piping", IF(ISBLANK(Piping!L206), "", Piping!L206), IF($N$1="Vessels", IF(ISBLANK(Vessels!L206), "", Vessels!L206), ""))</f>
        <v/>
      </c>
      <c r="M206" s="21"/>
      <c r="N206" s="21"/>
      <c r="O206" s="21"/>
      <c r="P206" s="21"/>
      <c r="Q206" s="21" t="str">
        <f>IF($N$1="Piping", IF(ISBLANK(Piping!T206), "", Piping!T206), IF($N$1="Vessels", IF(ISBLANK(Vessels!T206), "", Vessels!T206), ""))</f>
        <v/>
      </c>
      <c r="R206" s="51" t="str">
        <f>IF($N$1="Piping", IF(ISBLANK(Piping!U206), "", Piping!U206), IF($N$1="Vessels", IF(ISBLANK(Vessels!U206), "", Vessels!U206), ""))</f>
        <v/>
      </c>
      <c r="S206" s="118" t="str">
        <f>IF(B206&lt;&gt;"",IF($N$1="Piping", IF(ISBLANK(Piping!$J$3), "", Piping!$J$3), IF($N$1="Vessels", IF(ISBLANK(Vessels!$J$3), "", Vessels!$J$3), "")),"")</f>
        <v/>
      </c>
      <c r="T206" s="37"/>
      <c r="U206" s="37"/>
      <c r="V206" s="37"/>
      <c r="W206" s="37"/>
      <c r="X206" s="37"/>
      <c r="Y206" s="37"/>
      <c r="Z206" s="37"/>
    </row>
    <row r="207" spans="1:26" ht="15.75" customHeight="1" x14ac:dyDescent="0.3">
      <c r="A207" s="22">
        <f>IF($N$1="Piping", IF(ISBLANK(Piping!A207), "", Piping!A207), IF($N$1="Vessels", IF(ISBLANK(Vessels!A207), "", Vessels!A207), ""))</f>
        <v>51.2</v>
      </c>
      <c r="B207" s="21" t="str">
        <f>IF($N$1="Piping", IF(ISBLANK(Piping!B207), "", Piping!B207), IF($N$1="Vessels", IF(ISBLANK(Vessels!B207), "", Vessels!B207), ""))</f>
        <v/>
      </c>
      <c r="C207" s="21" t="str">
        <f>IF($N$1="Piping", IF(ISBLANK(Piping!C207), "", Piping!C207), IF($N$1="Vessels", IF(ISBLANK(Vessels!C207), "", Vessels!C207), ""))</f>
        <v>Piping</v>
      </c>
      <c r="D207" s="21" t="str">
        <f>IF($N$1="Piping", IF(ISBLANK(Piping!D207), "", Piping!D207), IF($N$1="Vessels", IF(ISBLANK(Vessels!D207), "", Vessels!D207), ""))</f>
        <v/>
      </c>
      <c r="E207" s="21" t="str">
        <f>IF($N$1="Piping", IF(ISBLANK(Piping!E207), "", Piping!E207), IF($N$1="Vessels", IF(ISBLANK(Vessels!E207), "", Vessels!E207), ""))</f>
        <v/>
      </c>
      <c r="F207" s="21" t="str">
        <f>IF($N$1="Piping", IF(ISBLANK(Piping!F207), "", Piping!F207), IF($N$1="Vessels", IF(ISBLANK(Vessels!F207), "", Vessels!F207), ""))</f>
        <v/>
      </c>
      <c r="G207" s="21">
        <f>IF($N$1="Piping", IF(ISBLANK(Piping!G207), "", Piping!G207), IF($N$1="Vessels", IF(ISBLANK(Vessels!G207), "", Vessels!G207), ""))</f>
        <v>0</v>
      </c>
      <c r="H207" s="21" t="str">
        <f>IF($N$1="Piping", IF(ISBLANK(Piping!H207), "", Piping!H207), IF($N$1="Vessels", IF(ISBLANK(Vessels!H207), "", Vessels!H207), ""))</f>
        <v/>
      </c>
      <c r="I207" s="21" t="str">
        <f>IF($N$1="Piping", IF(ISBLANK(Piping!I207), "", Piping!I207), IF($N$1="Vessels", IF(ISBLANK(Vessels!I207), "", Vessels!I207), ""))</f>
        <v/>
      </c>
      <c r="J207" s="21" t="str">
        <f>IF($N$1="Piping", IF(ISBLANK(Piping!J207), "", Piping!J207), IF($N$1="Vessels", IF(ISBLANK(Vessels!J207), "", Vessels!J207), ""))</f>
        <v/>
      </c>
      <c r="K207" s="21" t="str">
        <f>IF($N$1="Piping", IF(ISBLANK(Piping!K207), "", Piping!K207), IF($N$1="Vessels", IF(ISBLANK(Vessels!K207), "", Vessels!K207), ""))</f>
        <v/>
      </c>
      <c r="L207" s="21" t="str">
        <f>IF($N$1="Piping", IF(ISBLANK(Piping!L207), "", Piping!L207), IF($N$1="Vessels", IF(ISBLANK(Vessels!L207), "", Vessels!L207), ""))</f>
        <v/>
      </c>
      <c r="M207" s="21"/>
      <c r="N207" s="21"/>
      <c r="O207" s="21"/>
      <c r="P207" s="21"/>
      <c r="Q207" s="21" t="str">
        <f>IF($N$1="Piping", IF(ISBLANK(Piping!T207), "", Piping!T207), IF($N$1="Vessels", IF(ISBLANK(Vessels!T207), "", Vessels!T207), ""))</f>
        <v/>
      </c>
      <c r="R207" s="51" t="str">
        <f>IF($N$1="Piping", IF(ISBLANK(Piping!U207), "", Piping!U207), IF($N$1="Vessels", IF(ISBLANK(Vessels!U207), "", Vessels!U207), ""))</f>
        <v/>
      </c>
      <c r="S207" s="118" t="str">
        <f>IF(B207&lt;&gt;"",IF($N$1="Piping", IF(ISBLANK(Piping!$J$3), "", Piping!$J$3), IF($N$1="Vessels", IF(ISBLANK(Vessels!$J$3), "", Vessels!$J$3), "")),"")</f>
        <v/>
      </c>
      <c r="T207" s="37"/>
      <c r="U207" s="37"/>
      <c r="V207" s="37"/>
      <c r="W207" s="37"/>
      <c r="X207" s="37"/>
      <c r="Y207" s="37"/>
      <c r="Z207" s="37"/>
    </row>
    <row r="208" spans="1:26" ht="15.75" customHeight="1" x14ac:dyDescent="0.3">
      <c r="A208" s="22">
        <f>IF($N$1="Piping", IF(ISBLANK(Piping!A208), "", Piping!A208), IF($N$1="Vessels", IF(ISBLANK(Vessels!A208), "", Vessels!A208), ""))</f>
        <v>51.3</v>
      </c>
      <c r="B208" s="21" t="str">
        <f>IF($N$1="Piping", IF(ISBLANK(Piping!B208), "", Piping!B208), IF($N$1="Vessels", IF(ISBLANK(Vessels!B208), "", Vessels!B208), ""))</f>
        <v/>
      </c>
      <c r="C208" s="21" t="str">
        <f>IF($N$1="Piping", IF(ISBLANK(Piping!C208), "", Piping!C208), IF($N$1="Vessels", IF(ISBLANK(Vessels!C208), "", Vessels!C208), ""))</f>
        <v>Piping</v>
      </c>
      <c r="D208" s="21" t="str">
        <f>IF($N$1="Piping", IF(ISBLANK(Piping!D208), "", Piping!D208), IF($N$1="Vessels", IF(ISBLANK(Vessels!D208), "", Vessels!D208), ""))</f>
        <v/>
      </c>
      <c r="E208" s="21" t="str">
        <f>IF($N$1="Piping", IF(ISBLANK(Piping!E208), "", Piping!E208), IF($N$1="Vessels", IF(ISBLANK(Vessels!E208), "", Vessels!E208), ""))</f>
        <v/>
      </c>
      <c r="F208" s="21" t="str">
        <f>IF($N$1="Piping", IF(ISBLANK(Piping!F208), "", Piping!F208), IF($N$1="Vessels", IF(ISBLANK(Vessels!F208), "", Vessels!F208), ""))</f>
        <v/>
      </c>
      <c r="G208" s="21">
        <f>IF($N$1="Piping", IF(ISBLANK(Piping!G208), "", Piping!G208), IF($N$1="Vessels", IF(ISBLANK(Vessels!G208), "", Vessels!G208), ""))</f>
        <v>0</v>
      </c>
      <c r="H208" s="21" t="str">
        <f>IF($N$1="Piping", IF(ISBLANK(Piping!H208), "", Piping!H208), IF($N$1="Vessels", IF(ISBLANK(Vessels!H208), "", Vessels!H208), ""))</f>
        <v/>
      </c>
      <c r="I208" s="21" t="str">
        <f>IF($N$1="Piping", IF(ISBLANK(Piping!I208), "", Piping!I208), IF($N$1="Vessels", IF(ISBLANK(Vessels!I208), "", Vessels!I208), ""))</f>
        <v/>
      </c>
      <c r="J208" s="21" t="str">
        <f>IF($N$1="Piping", IF(ISBLANK(Piping!J208), "", Piping!J208), IF($N$1="Vessels", IF(ISBLANK(Vessels!J208), "", Vessels!J208), ""))</f>
        <v/>
      </c>
      <c r="K208" s="21" t="str">
        <f>IF($N$1="Piping", IF(ISBLANK(Piping!K208), "", Piping!K208), IF($N$1="Vessels", IF(ISBLANK(Vessels!K208), "", Vessels!K208), ""))</f>
        <v/>
      </c>
      <c r="L208" s="21" t="str">
        <f>IF($N$1="Piping", IF(ISBLANK(Piping!L208), "", Piping!L208), IF($N$1="Vessels", IF(ISBLANK(Vessels!L208), "", Vessels!L208), ""))</f>
        <v/>
      </c>
      <c r="M208" s="21"/>
      <c r="N208" s="21"/>
      <c r="O208" s="21"/>
      <c r="P208" s="21"/>
      <c r="Q208" s="21" t="str">
        <f>IF($N$1="Piping", IF(ISBLANK(Piping!T208), "", Piping!T208), IF($N$1="Vessels", IF(ISBLANK(Vessels!T208), "", Vessels!T208), ""))</f>
        <v/>
      </c>
      <c r="R208" s="51" t="str">
        <f>IF($N$1="Piping", IF(ISBLANK(Piping!U208), "", Piping!U208), IF($N$1="Vessels", IF(ISBLANK(Vessels!U208), "", Vessels!U208), ""))</f>
        <v/>
      </c>
      <c r="S208" s="118" t="str">
        <f>IF(B208&lt;&gt;"",IF($N$1="Piping", IF(ISBLANK(Piping!$J$3), "", Piping!$J$3), IF($N$1="Vessels", IF(ISBLANK(Vessels!$J$3), "", Vessels!$J$3), "")),"")</f>
        <v/>
      </c>
      <c r="T208" s="37"/>
      <c r="U208" s="37"/>
      <c r="V208" s="37"/>
      <c r="W208" s="37"/>
      <c r="X208" s="37"/>
      <c r="Y208" s="37"/>
      <c r="Z208" s="37"/>
    </row>
    <row r="209" spans="1:26" ht="15.75" customHeight="1" x14ac:dyDescent="0.3">
      <c r="A209" s="22">
        <f>IF($N$1="Piping", IF(ISBLANK(Piping!A209), "", Piping!A209), IF($N$1="Vessels", IF(ISBLANK(Vessels!A209), "", Vessels!A209), ""))</f>
        <v>51.4</v>
      </c>
      <c r="B209" s="21" t="str">
        <f>IF($N$1="Piping", IF(ISBLANK(Piping!B209), "", Piping!B209), IF($N$1="Vessels", IF(ISBLANK(Vessels!B209), "", Vessels!B209), ""))</f>
        <v/>
      </c>
      <c r="C209" s="21" t="str">
        <f>IF($N$1="Piping", IF(ISBLANK(Piping!C209), "", Piping!C209), IF($N$1="Vessels", IF(ISBLANK(Vessels!C209), "", Vessels!C209), ""))</f>
        <v>Piping</v>
      </c>
      <c r="D209" s="21" t="str">
        <f>IF($N$1="Piping", IF(ISBLANK(Piping!D209), "", Piping!D209), IF($N$1="Vessels", IF(ISBLANK(Vessels!D209), "", Vessels!D209), ""))</f>
        <v/>
      </c>
      <c r="E209" s="21" t="str">
        <f>IF($N$1="Piping", IF(ISBLANK(Piping!E209), "", Piping!E209), IF($N$1="Vessels", IF(ISBLANK(Vessels!E209), "", Vessels!E209), ""))</f>
        <v/>
      </c>
      <c r="F209" s="21" t="str">
        <f>IF($N$1="Piping", IF(ISBLANK(Piping!F209), "", Piping!F209), IF($N$1="Vessels", IF(ISBLANK(Vessels!F209), "", Vessels!F209), ""))</f>
        <v/>
      </c>
      <c r="G209" s="21">
        <f>IF($N$1="Piping", IF(ISBLANK(Piping!G209), "", Piping!G209), IF($N$1="Vessels", IF(ISBLANK(Vessels!G209), "", Vessels!G209), ""))</f>
        <v>0</v>
      </c>
      <c r="H209" s="21" t="str">
        <f>IF($N$1="Piping", IF(ISBLANK(Piping!H209), "", Piping!H209), IF($N$1="Vessels", IF(ISBLANK(Vessels!H209), "", Vessels!H209), ""))</f>
        <v/>
      </c>
      <c r="I209" s="21" t="str">
        <f>IF($N$1="Piping", IF(ISBLANK(Piping!I209), "", Piping!I209), IF($N$1="Vessels", IF(ISBLANK(Vessels!I209), "", Vessels!I209), ""))</f>
        <v/>
      </c>
      <c r="J209" s="21" t="str">
        <f>IF($N$1="Piping", IF(ISBLANK(Piping!J209), "", Piping!J209), IF($N$1="Vessels", IF(ISBLANK(Vessels!J209), "", Vessels!J209), ""))</f>
        <v/>
      </c>
      <c r="K209" s="21" t="str">
        <f>IF($N$1="Piping", IF(ISBLANK(Piping!K209), "", Piping!K209), IF($N$1="Vessels", IF(ISBLANK(Vessels!K209), "", Vessels!K209), ""))</f>
        <v/>
      </c>
      <c r="L209" s="21" t="str">
        <f>IF($N$1="Piping", IF(ISBLANK(Piping!L209), "", Piping!L209), IF($N$1="Vessels", IF(ISBLANK(Vessels!L209), "", Vessels!L209), ""))</f>
        <v/>
      </c>
      <c r="M209" s="21"/>
      <c r="N209" s="21"/>
      <c r="O209" s="21"/>
      <c r="P209" s="21"/>
      <c r="Q209" s="21" t="str">
        <f>IF($N$1="Piping", IF(ISBLANK(Piping!T209), "", Piping!T209), IF($N$1="Vessels", IF(ISBLANK(Vessels!T209), "", Vessels!T209), ""))</f>
        <v/>
      </c>
      <c r="R209" s="51" t="str">
        <f>IF($N$1="Piping", IF(ISBLANK(Piping!U209), "", Piping!U209), IF($N$1="Vessels", IF(ISBLANK(Vessels!U209), "", Vessels!U209), ""))</f>
        <v/>
      </c>
      <c r="S209" s="118" t="str">
        <f>IF(B209&lt;&gt;"",IF($N$1="Piping", IF(ISBLANK(Piping!$J$3), "", Piping!$J$3), IF($N$1="Vessels", IF(ISBLANK(Vessels!$J$3), "", Vessels!$J$3), "")),"")</f>
        <v/>
      </c>
      <c r="T209" s="37"/>
      <c r="U209" s="37"/>
      <c r="V209" s="37"/>
      <c r="W209" s="37"/>
      <c r="X209" s="37"/>
      <c r="Y209" s="37"/>
      <c r="Z209" s="37"/>
    </row>
    <row r="210" spans="1:26" ht="15.75" customHeight="1" x14ac:dyDescent="0.3">
      <c r="A210" s="22">
        <f>IF($N$1="Piping", IF(ISBLANK(Piping!A210), "", Piping!A210), IF($N$1="Vessels", IF(ISBLANK(Vessels!A210), "", Vessels!A210), ""))</f>
        <v>52.1</v>
      </c>
      <c r="B210" s="21" t="str">
        <f>IF($N$1="Piping", IF(ISBLANK(Piping!B210), "", Piping!B210), IF($N$1="Vessels", IF(ISBLANK(Vessels!B210), "", Vessels!B210), ""))</f>
        <v/>
      </c>
      <c r="C210" s="21" t="str">
        <f>IF($N$1="Piping", IF(ISBLANK(Piping!C210), "", Piping!C210), IF($N$1="Vessels", IF(ISBLANK(Vessels!C210), "", Vessels!C210), ""))</f>
        <v>Piping</v>
      </c>
      <c r="D210" s="21" t="str">
        <f>IF($N$1="Piping", IF(ISBLANK(Piping!D210), "", Piping!D210), IF($N$1="Vessels", IF(ISBLANK(Vessels!D210), "", Vessels!D210), ""))</f>
        <v/>
      </c>
      <c r="E210" s="21" t="str">
        <f>IF($N$1="Piping", IF(ISBLANK(Piping!E210), "", Piping!E210), IF($N$1="Vessels", IF(ISBLANK(Vessels!E210), "", Vessels!E210), ""))</f>
        <v/>
      </c>
      <c r="F210" s="21" t="str">
        <f>IF($N$1="Piping", IF(ISBLANK(Piping!F210), "", Piping!F210), IF($N$1="Vessels", IF(ISBLANK(Vessels!F210), "", Vessels!F210), ""))</f>
        <v/>
      </c>
      <c r="G210" s="21">
        <f>IF($N$1="Piping", IF(ISBLANK(Piping!G210), "", Piping!G210), IF($N$1="Vessels", IF(ISBLANK(Vessels!G210), "", Vessels!G210), ""))</f>
        <v>0</v>
      </c>
      <c r="H210" s="21" t="str">
        <f>IF($N$1="Piping", IF(ISBLANK(Piping!H210), "", Piping!H210), IF($N$1="Vessels", IF(ISBLANK(Vessels!H210), "", Vessels!H210), ""))</f>
        <v/>
      </c>
      <c r="I210" s="21" t="str">
        <f>IF($N$1="Piping", IF(ISBLANK(Piping!I210), "", Piping!I210), IF($N$1="Vessels", IF(ISBLANK(Vessels!I210), "", Vessels!I210), ""))</f>
        <v/>
      </c>
      <c r="J210" s="21" t="str">
        <f>IF($N$1="Piping", IF(ISBLANK(Piping!J210), "", Piping!J210), IF($N$1="Vessels", IF(ISBLANK(Vessels!J210), "", Vessels!J210), ""))</f>
        <v/>
      </c>
      <c r="K210" s="21" t="str">
        <f>IF($N$1="Piping", IF(ISBLANK(Piping!K210), "", Piping!K210), IF($N$1="Vessels", IF(ISBLANK(Vessels!K210), "", Vessels!K210), ""))</f>
        <v/>
      </c>
      <c r="L210" s="21" t="str">
        <f>IF($N$1="Piping", IF(ISBLANK(Piping!L210), "", Piping!L210), IF($N$1="Vessels", IF(ISBLANK(Vessels!L210), "", Vessels!L210), ""))</f>
        <v/>
      </c>
      <c r="M210" s="21"/>
      <c r="N210" s="21"/>
      <c r="O210" s="21"/>
      <c r="P210" s="21"/>
      <c r="Q210" s="21" t="str">
        <f>IF($N$1="Piping", IF(ISBLANK(Piping!T210), "", Piping!T210), IF($N$1="Vessels", IF(ISBLANK(Vessels!T210), "", Vessels!T210), ""))</f>
        <v/>
      </c>
      <c r="R210" s="51" t="str">
        <f>IF($N$1="Piping", IF(ISBLANK(Piping!U210), "", Piping!U210), IF($N$1="Vessels", IF(ISBLANK(Vessels!U210), "", Vessels!U210), ""))</f>
        <v/>
      </c>
      <c r="S210" s="118" t="str">
        <f>IF(B210&lt;&gt;"",IF($N$1="Piping", IF(ISBLANK(Piping!$J$3), "", Piping!$J$3), IF($N$1="Vessels", IF(ISBLANK(Vessels!$J$3), "", Vessels!$J$3), "")),"")</f>
        <v/>
      </c>
      <c r="T210" s="37"/>
      <c r="U210" s="37"/>
      <c r="V210" s="37"/>
      <c r="W210" s="37"/>
      <c r="X210" s="37"/>
      <c r="Y210" s="37"/>
      <c r="Z210" s="37"/>
    </row>
    <row r="211" spans="1:26" ht="15.75" customHeight="1" x14ac:dyDescent="0.3">
      <c r="A211" s="22">
        <f>IF($N$1="Piping", IF(ISBLANK(Piping!A211), "", Piping!A211), IF($N$1="Vessels", IF(ISBLANK(Vessels!A211), "", Vessels!A211), ""))</f>
        <v>52.2</v>
      </c>
      <c r="B211" s="21" t="str">
        <f>IF($N$1="Piping", IF(ISBLANK(Piping!B211), "", Piping!B211), IF($N$1="Vessels", IF(ISBLANK(Vessels!B211), "", Vessels!B211), ""))</f>
        <v/>
      </c>
      <c r="C211" s="21" t="str">
        <f>IF($N$1="Piping", IF(ISBLANK(Piping!C211), "", Piping!C211), IF($N$1="Vessels", IF(ISBLANK(Vessels!C211), "", Vessels!C211), ""))</f>
        <v>Piping</v>
      </c>
      <c r="D211" s="21" t="str">
        <f>IF($N$1="Piping", IF(ISBLANK(Piping!D211), "", Piping!D211), IF($N$1="Vessels", IF(ISBLANK(Vessels!D211), "", Vessels!D211), ""))</f>
        <v/>
      </c>
      <c r="E211" s="21" t="str">
        <f>IF($N$1="Piping", IF(ISBLANK(Piping!E211), "", Piping!E211), IF($N$1="Vessels", IF(ISBLANK(Vessels!E211), "", Vessels!E211), ""))</f>
        <v/>
      </c>
      <c r="F211" s="21" t="str">
        <f>IF($N$1="Piping", IF(ISBLANK(Piping!F211), "", Piping!F211), IF($N$1="Vessels", IF(ISBLANK(Vessels!F211), "", Vessels!F211), ""))</f>
        <v/>
      </c>
      <c r="G211" s="21">
        <f>IF($N$1="Piping", IF(ISBLANK(Piping!G211), "", Piping!G211), IF($N$1="Vessels", IF(ISBLANK(Vessels!G211), "", Vessels!G211), ""))</f>
        <v>0</v>
      </c>
      <c r="H211" s="21" t="str">
        <f>IF($N$1="Piping", IF(ISBLANK(Piping!H211), "", Piping!H211), IF($N$1="Vessels", IF(ISBLANK(Vessels!H211), "", Vessels!H211), ""))</f>
        <v/>
      </c>
      <c r="I211" s="21" t="str">
        <f>IF($N$1="Piping", IF(ISBLANK(Piping!I211), "", Piping!I211), IF($N$1="Vessels", IF(ISBLANK(Vessels!I211), "", Vessels!I211), ""))</f>
        <v/>
      </c>
      <c r="J211" s="21" t="str">
        <f>IF($N$1="Piping", IF(ISBLANK(Piping!J211), "", Piping!J211), IF($N$1="Vessels", IF(ISBLANK(Vessels!J211), "", Vessels!J211), ""))</f>
        <v/>
      </c>
      <c r="K211" s="21" t="str">
        <f>IF($N$1="Piping", IF(ISBLANK(Piping!K211), "", Piping!K211), IF($N$1="Vessels", IF(ISBLANK(Vessels!K211), "", Vessels!K211), ""))</f>
        <v/>
      </c>
      <c r="L211" s="21" t="str">
        <f>IF($N$1="Piping", IF(ISBLANK(Piping!L211), "", Piping!L211), IF($N$1="Vessels", IF(ISBLANK(Vessels!L211), "", Vessels!L211), ""))</f>
        <v/>
      </c>
      <c r="M211" s="21"/>
      <c r="N211" s="21"/>
      <c r="O211" s="21"/>
      <c r="P211" s="21"/>
      <c r="Q211" s="21" t="str">
        <f>IF($N$1="Piping", IF(ISBLANK(Piping!T211), "", Piping!T211), IF($N$1="Vessels", IF(ISBLANK(Vessels!T211), "", Vessels!T211), ""))</f>
        <v/>
      </c>
      <c r="R211" s="51" t="str">
        <f>IF($N$1="Piping", IF(ISBLANK(Piping!U211), "", Piping!U211), IF($N$1="Vessels", IF(ISBLANK(Vessels!U211), "", Vessels!U211), ""))</f>
        <v/>
      </c>
      <c r="S211" s="118" t="str">
        <f>IF(B211&lt;&gt;"",IF($N$1="Piping", IF(ISBLANK(Piping!$J$3), "", Piping!$J$3), IF($N$1="Vessels", IF(ISBLANK(Vessels!$J$3), "", Vessels!$J$3), "")),"")</f>
        <v/>
      </c>
      <c r="T211" s="37"/>
      <c r="U211" s="37"/>
      <c r="V211" s="37"/>
      <c r="W211" s="37"/>
      <c r="X211" s="37"/>
      <c r="Y211" s="37"/>
      <c r="Z211" s="37"/>
    </row>
    <row r="212" spans="1:26" ht="15.75" customHeight="1" x14ac:dyDescent="0.3">
      <c r="A212" s="22">
        <f>IF($N$1="Piping", IF(ISBLANK(Piping!A212), "", Piping!A212), IF($N$1="Vessels", IF(ISBLANK(Vessels!A212), "", Vessels!A212), ""))</f>
        <v>52.3</v>
      </c>
      <c r="B212" s="21" t="str">
        <f>IF($N$1="Piping", IF(ISBLANK(Piping!B212), "", Piping!B212), IF($N$1="Vessels", IF(ISBLANK(Vessels!B212), "", Vessels!B212), ""))</f>
        <v/>
      </c>
      <c r="C212" s="21" t="str">
        <f>IF($N$1="Piping", IF(ISBLANK(Piping!C212), "", Piping!C212), IF($N$1="Vessels", IF(ISBLANK(Vessels!C212), "", Vessels!C212), ""))</f>
        <v>Piping</v>
      </c>
      <c r="D212" s="21" t="str">
        <f>IF($N$1="Piping", IF(ISBLANK(Piping!D212), "", Piping!D212), IF($N$1="Vessels", IF(ISBLANK(Vessels!D212), "", Vessels!D212), ""))</f>
        <v/>
      </c>
      <c r="E212" s="21" t="str">
        <f>IF($N$1="Piping", IF(ISBLANK(Piping!E212), "", Piping!E212), IF($N$1="Vessels", IF(ISBLANK(Vessels!E212), "", Vessels!E212), ""))</f>
        <v/>
      </c>
      <c r="F212" s="21" t="str">
        <f>IF($N$1="Piping", IF(ISBLANK(Piping!F212), "", Piping!F212), IF($N$1="Vessels", IF(ISBLANK(Vessels!F212), "", Vessels!F212), ""))</f>
        <v/>
      </c>
      <c r="G212" s="21">
        <f>IF($N$1="Piping", IF(ISBLANK(Piping!G212), "", Piping!G212), IF($N$1="Vessels", IF(ISBLANK(Vessels!G212), "", Vessels!G212), ""))</f>
        <v>0</v>
      </c>
      <c r="H212" s="21" t="str">
        <f>IF($N$1="Piping", IF(ISBLANK(Piping!H212), "", Piping!H212), IF($N$1="Vessels", IF(ISBLANK(Vessels!H212), "", Vessels!H212), ""))</f>
        <v/>
      </c>
      <c r="I212" s="21" t="str">
        <f>IF($N$1="Piping", IF(ISBLANK(Piping!I212), "", Piping!I212), IF($N$1="Vessels", IF(ISBLANK(Vessels!I212), "", Vessels!I212), ""))</f>
        <v/>
      </c>
      <c r="J212" s="21" t="str">
        <f>IF($N$1="Piping", IF(ISBLANK(Piping!J212), "", Piping!J212), IF($N$1="Vessels", IF(ISBLANK(Vessels!J212), "", Vessels!J212), ""))</f>
        <v/>
      </c>
      <c r="K212" s="21" t="str">
        <f>IF($N$1="Piping", IF(ISBLANK(Piping!K212), "", Piping!K212), IF($N$1="Vessels", IF(ISBLANK(Vessels!K212), "", Vessels!K212), ""))</f>
        <v/>
      </c>
      <c r="L212" s="21" t="str">
        <f>IF($N$1="Piping", IF(ISBLANK(Piping!L212), "", Piping!L212), IF($N$1="Vessels", IF(ISBLANK(Vessels!L212), "", Vessels!L212), ""))</f>
        <v/>
      </c>
      <c r="M212" s="21"/>
      <c r="N212" s="21"/>
      <c r="O212" s="21"/>
      <c r="P212" s="21"/>
      <c r="Q212" s="21" t="str">
        <f>IF($N$1="Piping", IF(ISBLANK(Piping!T212), "", Piping!T212), IF($N$1="Vessels", IF(ISBLANK(Vessels!T212), "", Vessels!T212), ""))</f>
        <v/>
      </c>
      <c r="R212" s="51" t="str">
        <f>IF($N$1="Piping", IF(ISBLANK(Piping!U212), "", Piping!U212), IF($N$1="Vessels", IF(ISBLANK(Vessels!U212), "", Vessels!U212), ""))</f>
        <v/>
      </c>
      <c r="S212" s="118" t="str">
        <f>IF(B212&lt;&gt;"",IF($N$1="Piping", IF(ISBLANK(Piping!$J$3), "", Piping!$J$3), IF($N$1="Vessels", IF(ISBLANK(Vessels!$J$3), "", Vessels!$J$3), "")),"")</f>
        <v/>
      </c>
      <c r="T212" s="37"/>
      <c r="U212" s="37"/>
      <c r="V212" s="37"/>
      <c r="W212" s="37"/>
      <c r="X212" s="37"/>
      <c r="Y212" s="37"/>
      <c r="Z212" s="37"/>
    </row>
    <row r="213" spans="1:26" ht="15.75" customHeight="1" x14ac:dyDescent="0.3">
      <c r="A213" s="22">
        <f>IF($N$1="Piping", IF(ISBLANK(Piping!A213), "", Piping!A213), IF($N$1="Vessels", IF(ISBLANK(Vessels!A213), "", Vessels!A213), ""))</f>
        <v>52.4</v>
      </c>
      <c r="B213" s="21" t="str">
        <f>IF($N$1="Piping", IF(ISBLANK(Piping!B213), "", Piping!B213), IF($N$1="Vessels", IF(ISBLANK(Vessels!B213), "", Vessels!B213), ""))</f>
        <v/>
      </c>
      <c r="C213" s="21" t="str">
        <f>IF($N$1="Piping", IF(ISBLANK(Piping!C213), "", Piping!C213), IF($N$1="Vessels", IF(ISBLANK(Vessels!C213), "", Vessels!C213), ""))</f>
        <v>Piping</v>
      </c>
      <c r="D213" s="21" t="str">
        <f>IF($N$1="Piping", IF(ISBLANK(Piping!D213), "", Piping!D213), IF($N$1="Vessels", IF(ISBLANK(Vessels!D213), "", Vessels!D213), ""))</f>
        <v/>
      </c>
      <c r="E213" s="21" t="str">
        <f>IF($N$1="Piping", IF(ISBLANK(Piping!E213), "", Piping!E213), IF($N$1="Vessels", IF(ISBLANK(Vessels!E213), "", Vessels!E213), ""))</f>
        <v/>
      </c>
      <c r="F213" s="21" t="str">
        <f>IF($N$1="Piping", IF(ISBLANK(Piping!F213), "", Piping!F213), IF($N$1="Vessels", IF(ISBLANK(Vessels!F213), "", Vessels!F213), ""))</f>
        <v/>
      </c>
      <c r="G213" s="21">
        <f>IF($N$1="Piping", IF(ISBLANK(Piping!G213), "", Piping!G213), IF($N$1="Vessels", IF(ISBLANK(Vessels!G213), "", Vessels!G213), ""))</f>
        <v>0</v>
      </c>
      <c r="H213" s="21" t="str">
        <f>IF($N$1="Piping", IF(ISBLANK(Piping!H213), "", Piping!H213), IF($N$1="Vessels", IF(ISBLANK(Vessels!H213), "", Vessels!H213), ""))</f>
        <v/>
      </c>
      <c r="I213" s="21" t="str">
        <f>IF($N$1="Piping", IF(ISBLANK(Piping!I213), "", Piping!I213), IF($N$1="Vessels", IF(ISBLANK(Vessels!I213), "", Vessels!I213), ""))</f>
        <v/>
      </c>
      <c r="J213" s="21" t="str">
        <f>IF($N$1="Piping", IF(ISBLANK(Piping!J213), "", Piping!J213), IF($N$1="Vessels", IF(ISBLANK(Vessels!J213), "", Vessels!J213), ""))</f>
        <v/>
      </c>
      <c r="K213" s="21" t="str">
        <f>IF($N$1="Piping", IF(ISBLANK(Piping!K213), "", Piping!K213), IF($N$1="Vessels", IF(ISBLANK(Vessels!K213), "", Vessels!K213), ""))</f>
        <v/>
      </c>
      <c r="L213" s="21" t="str">
        <f>IF($N$1="Piping", IF(ISBLANK(Piping!L213), "", Piping!L213), IF($N$1="Vessels", IF(ISBLANK(Vessels!L213), "", Vessels!L213), ""))</f>
        <v/>
      </c>
      <c r="M213" s="21"/>
      <c r="N213" s="21"/>
      <c r="O213" s="21"/>
      <c r="P213" s="21"/>
      <c r="Q213" s="21" t="str">
        <f>IF($N$1="Piping", IF(ISBLANK(Piping!T213), "", Piping!T213), IF($N$1="Vessels", IF(ISBLANK(Vessels!T213), "", Vessels!T213), ""))</f>
        <v/>
      </c>
      <c r="R213" s="51" t="str">
        <f>IF($N$1="Piping", IF(ISBLANK(Piping!U213), "", Piping!U213), IF($N$1="Vessels", IF(ISBLANK(Vessels!U213), "", Vessels!U213), ""))</f>
        <v/>
      </c>
      <c r="S213" s="118" t="str">
        <f>IF(B213&lt;&gt;"",IF($N$1="Piping", IF(ISBLANK(Piping!$J$3), "", Piping!$J$3), IF($N$1="Vessels", IF(ISBLANK(Vessels!$J$3), "", Vessels!$J$3), "")),"")</f>
        <v/>
      </c>
      <c r="T213" s="37"/>
      <c r="U213" s="37"/>
      <c r="V213" s="37"/>
      <c r="W213" s="37"/>
      <c r="X213" s="37"/>
      <c r="Y213" s="37"/>
      <c r="Z213" s="37"/>
    </row>
    <row r="214" spans="1:26" ht="15.75" customHeight="1" x14ac:dyDescent="0.3">
      <c r="A214" s="22">
        <f>IF($N$1="Piping", IF(ISBLANK(Piping!A214), "", Piping!A214), IF($N$1="Vessels", IF(ISBLANK(Vessels!A214), "", Vessels!A214), ""))</f>
        <v>53.1</v>
      </c>
      <c r="B214" s="21" t="str">
        <f>IF($N$1="Piping", IF(ISBLANK(Piping!B214), "", Piping!B214), IF($N$1="Vessels", IF(ISBLANK(Vessels!B214), "", Vessels!B214), ""))</f>
        <v/>
      </c>
      <c r="C214" s="21" t="str">
        <f>IF($N$1="Piping", IF(ISBLANK(Piping!C214), "", Piping!C214), IF($N$1="Vessels", IF(ISBLANK(Vessels!C214), "", Vessels!C214), ""))</f>
        <v>Piping</v>
      </c>
      <c r="D214" s="21" t="str">
        <f>IF($N$1="Piping", IF(ISBLANK(Piping!D214), "", Piping!D214), IF($N$1="Vessels", IF(ISBLANK(Vessels!D214), "", Vessels!D214), ""))</f>
        <v/>
      </c>
      <c r="E214" s="21" t="str">
        <f>IF($N$1="Piping", IF(ISBLANK(Piping!E214), "", Piping!E214), IF($N$1="Vessels", IF(ISBLANK(Vessels!E214), "", Vessels!E214), ""))</f>
        <v/>
      </c>
      <c r="F214" s="21" t="str">
        <f>IF($N$1="Piping", IF(ISBLANK(Piping!F214), "", Piping!F214), IF($N$1="Vessels", IF(ISBLANK(Vessels!F214), "", Vessels!F214), ""))</f>
        <v/>
      </c>
      <c r="G214" s="21">
        <f>IF($N$1="Piping", IF(ISBLANK(Piping!G214), "", Piping!G214), IF($N$1="Vessels", IF(ISBLANK(Vessels!G214), "", Vessels!G214), ""))</f>
        <v>0</v>
      </c>
      <c r="H214" s="21" t="str">
        <f>IF($N$1="Piping", IF(ISBLANK(Piping!H214), "", Piping!H214), IF($N$1="Vessels", IF(ISBLANK(Vessels!H214), "", Vessels!H214), ""))</f>
        <v/>
      </c>
      <c r="I214" s="21" t="str">
        <f>IF($N$1="Piping", IF(ISBLANK(Piping!I214), "", Piping!I214), IF($N$1="Vessels", IF(ISBLANK(Vessels!I214), "", Vessels!I214), ""))</f>
        <v/>
      </c>
      <c r="J214" s="21" t="str">
        <f>IF($N$1="Piping", IF(ISBLANK(Piping!J214), "", Piping!J214), IF($N$1="Vessels", IF(ISBLANK(Vessels!J214), "", Vessels!J214), ""))</f>
        <v/>
      </c>
      <c r="K214" s="21" t="str">
        <f>IF($N$1="Piping", IF(ISBLANK(Piping!K214), "", Piping!K214), IF($N$1="Vessels", IF(ISBLANK(Vessels!K214), "", Vessels!K214), ""))</f>
        <v/>
      </c>
      <c r="L214" s="21" t="str">
        <f>IF($N$1="Piping", IF(ISBLANK(Piping!L214), "", Piping!L214), IF($N$1="Vessels", IF(ISBLANK(Vessels!L214), "", Vessels!L214), ""))</f>
        <v/>
      </c>
      <c r="M214" s="21"/>
      <c r="N214" s="21"/>
      <c r="O214" s="21"/>
      <c r="P214" s="21"/>
      <c r="Q214" s="21" t="str">
        <f>IF($N$1="Piping", IF(ISBLANK(Piping!T214), "", Piping!T214), IF($N$1="Vessels", IF(ISBLANK(Vessels!T214), "", Vessels!T214), ""))</f>
        <v/>
      </c>
      <c r="R214" s="51" t="str">
        <f>IF($N$1="Piping", IF(ISBLANK(Piping!U214), "", Piping!U214), IF($N$1="Vessels", IF(ISBLANK(Vessels!U214), "", Vessels!U214), ""))</f>
        <v/>
      </c>
      <c r="S214" s="118" t="str">
        <f>IF(B214&lt;&gt;"",IF($N$1="Piping", IF(ISBLANK(Piping!$J$3), "", Piping!$J$3), IF($N$1="Vessels", IF(ISBLANK(Vessels!$J$3), "", Vessels!$J$3), "")),"")</f>
        <v/>
      </c>
      <c r="T214" s="37"/>
      <c r="U214" s="37"/>
      <c r="V214" s="37"/>
      <c r="W214" s="37"/>
      <c r="X214" s="37"/>
      <c r="Y214" s="37"/>
      <c r="Z214" s="37"/>
    </row>
    <row r="215" spans="1:26" ht="15.75" customHeight="1" x14ac:dyDescent="0.3">
      <c r="A215" s="22">
        <f>IF($N$1="Piping", IF(ISBLANK(Piping!A215), "", Piping!A215), IF($N$1="Vessels", IF(ISBLANK(Vessels!A215), "", Vessels!A215), ""))</f>
        <v>53.2</v>
      </c>
      <c r="B215" s="21" t="str">
        <f>IF($N$1="Piping", IF(ISBLANK(Piping!B215), "", Piping!B215), IF($N$1="Vessels", IF(ISBLANK(Vessels!B215), "", Vessels!B215), ""))</f>
        <v/>
      </c>
      <c r="C215" s="21" t="str">
        <f>IF($N$1="Piping", IF(ISBLANK(Piping!C215), "", Piping!C215), IF($N$1="Vessels", IF(ISBLANK(Vessels!C215), "", Vessels!C215), ""))</f>
        <v>Piping</v>
      </c>
      <c r="D215" s="21" t="str">
        <f>IF($N$1="Piping", IF(ISBLANK(Piping!D215), "", Piping!D215), IF($N$1="Vessels", IF(ISBLANK(Vessels!D215), "", Vessels!D215), ""))</f>
        <v/>
      </c>
      <c r="E215" s="21" t="str">
        <f>IF($N$1="Piping", IF(ISBLANK(Piping!E215), "", Piping!E215), IF($N$1="Vessels", IF(ISBLANK(Vessels!E215), "", Vessels!E215), ""))</f>
        <v/>
      </c>
      <c r="F215" s="21" t="str">
        <f>IF($N$1="Piping", IF(ISBLANK(Piping!F215), "", Piping!F215), IF($N$1="Vessels", IF(ISBLANK(Vessels!F215), "", Vessels!F215), ""))</f>
        <v/>
      </c>
      <c r="G215" s="21">
        <f>IF($N$1="Piping", IF(ISBLANK(Piping!G215), "", Piping!G215), IF($N$1="Vessels", IF(ISBLANK(Vessels!G215), "", Vessels!G215), ""))</f>
        <v>0</v>
      </c>
      <c r="H215" s="21" t="str">
        <f>IF($N$1="Piping", IF(ISBLANK(Piping!H215), "", Piping!H215), IF($N$1="Vessels", IF(ISBLANK(Vessels!H215), "", Vessels!H215), ""))</f>
        <v/>
      </c>
      <c r="I215" s="21" t="str">
        <f>IF($N$1="Piping", IF(ISBLANK(Piping!I215), "", Piping!I215), IF($N$1="Vessels", IF(ISBLANK(Vessels!I215), "", Vessels!I215), ""))</f>
        <v/>
      </c>
      <c r="J215" s="21" t="str">
        <f>IF($N$1="Piping", IF(ISBLANK(Piping!J215), "", Piping!J215), IF($N$1="Vessels", IF(ISBLANK(Vessels!J215), "", Vessels!J215), ""))</f>
        <v/>
      </c>
      <c r="K215" s="21" t="str">
        <f>IF($N$1="Piping", IF(ISBLANK(Piping!K215), "", Piping!K215), IF($N$1="Vessels", IF(ISBLANK(Vessels!K215), "", Vessels!K215), ""))</f>
        <v/>
      </c>
      <c r="L215" s="21" t="str">
        <f>IF($N$1="Piping", IF(ISBLANK(Piping!L215), "", Piping!L215), IF($N$1="Vessels", IF(ISBLANK(Vessels!L215), "", Vessels!L215), ""))</f>
        <v/>
      </c>
      <c r="M215" s="21"/>
      <c r="N215" s="21"/>
      <c r="O215" s="21"/>
      <c r="P215" s="21"/>
      <c r="Q215" s="21" t="str">
        <f>IF($N$1="Piping", IF(ISBLANK(Piping!T215), "", Piping!T215), IF($N$1="Vessels", IF(ISBLANK(Vessels!T215), "", Vessels!T215), ""))</f>
        <v/>
      </c>
      <c r="R215" s="51" t="str">
        <f>IF($N$1="Piping", IF(ISBLANK(Piping!U215), "", Piping!U215), IF($N$1="Vessels", IF(ISBLANK(Vessels!U215), "", Vessels!U215), ""))</f>
        <v/>
      </c>
      <c r="S215" s="118" t="str">
        <f>IF(B215&lt;&gt;"",IF($N$1="Piping", IF(ISBLANK(Piping!$J$3), "", Piping!$J$3), IF($N$1="Vessels", IF(ISBLANK(Vessels!$J$3), "", Vessels!$J$3), "")),"")</f>
        <v/>
      </c>
      <c r="T215" s="37"/>
      <c r="U215" s="37"/>
      <c r="V215" s="37"/>
      <c r="W215" s="37"/>
      <c r="X215" s="37"/>
      <c r="Y215" s="37"/>
      <c r="Z215" s="37"/>
    </row>
    <row r="216" spans="1:26" ht="15.75" customHeight="1" x14ac:dyDescent="0.3">
      <c r="A216" s="22">
        <f>IF($N$1="Piping", IF(ISBLANK(Piping!A216), "", Piping!A216), IF($N$1="Vessels", IF(ISBLANK(Vessels!A216), "", Vessels!A216), ""))</f>
        <v>53.3</v>
      </c>
      <c r="B216" s="21" t="str">
        <f>IF($N$1="Piping", IF(ISBLANK(Piping!B216), "", Piping!B216), IF($N$1="Vessels", IF(ISBLANK(Vessels!B216), "", Vessels!B216), ""))</f>
        <v/>
      </c>
      <c r="C216" s="21" t="str">
        <f>IF($N$1="Piping", IF(ISBLANK(Piping!C216), "", Piping!C216), IF($N$1="Vessels", IF(ISBLANK(Vessels!C216), "", Vessels!C216), ""))</f>
        <v>Piping</v>
      </c>
      <c r="D216" s="21" t="str">
        <f>IF($N$1="Piping", IF(ISBLANK(Piping!D216), "", Piping!D216), IF($N$1="Vessels", IF(ISBLANK(Vessels!D216), "", Vessels!D216), ""))</f>
        <v/>
      </c>
      <c r="E216" s="21" t="str">
        <f>IF($N$1="Piping", IF(ISBLANK(Piping!E216), "", Piping!E216), IF($N$1="Vessels", IF(ISBLANK(Vessels!E216), "", Vessels!E216), ""))</f>
        <v/>
      </c>
      <c r="F216" s="21" t="str">
        <f>IF($N$1="Piping", IF(ISBLANK(Piping!F216), "", Piping!F216), IF($N$1="Vessels", IF(ISBLANK(Vessels!F216), "", Vessels!F216), ""))</f>
        <v/>
      </c>
      <c r="G216" s="21">
        <f>IF($N$1="Piping", IF(ISBLANK(Piping!G216), "", Piping!G216), IF($N$1="Vessels", IF(ISBLANK(Vessels!G216), "", Vessels!G216), ""))</f>
        <v>0</v>
      </c>
      <c r="H216" s="21" t="str">
        <f>IF($N$1="Piping", IF(ISBLANK(Piping!H216), "", Piping!H216), IF($N$1="Vessels", IF(ISBLANK(Vessels!H216), "", Vessels!H216), ""))</f>
        <v/>
      </c>
      <c r="I216" s="21" t="str">
        <f>IF($N$1="Piping", IF(ISBLANK(Piping!I216), "", Piping!I216), IF($N$1="Vessels", IF(ISBLANK(Vessels!I216), "", Vessels!I216), ""))</f>
        <v/>
      </c>
      <c r="J216" s="21" t="str">
        <f>IF($N$1="Piping", IF(ISBLANK(Piping!J216), "", Piping!J216), IF($N$1="Vessels", IF(ISBLANK(Vessels!J216), "", Vessels!J216), ""))</f>
        <v/>
      </c>
      <c r="K216" s="21" t="str">
        <f>IF($N$1="Piping", IF(ISBLANK(Piping!K216), "", Piping!K216), IF($N$1="Vessels", IF(ISBLANK(Vessels!K216), "", Vessels!K216), ""))</f>
        <v/>
      </c>
      <c r="L216" s="21" t="str">
        <f>IF($N$1="Piping", IF(ISBLANK(Piping!L216), "", Piping!L216), IF($N$1="Vessels", IF(ISBLANK(Vessels!L216), "", Vessels!L216), ""))</f>
        <v/>
      </c>
      <c r="M216" s="21"/>
      <c r="N216" s="21"/>
      <c r="O216" s="21"/>
      <c r="P216" s="21"/>
      <c r="Q216" s="21" t="str">
        <f>IF($N$1="Piping", IF(ISBLANK(Piping!T216), "", Piping!T216), IF($N$1="Vessels", IF(ISBLANK(Vessels!T216), "", Vessels!T216), ""))</f>
        <v/>
      </c>
      <c r="R216" s="51" t="str">
        <f>IF($N$1="Piping", IF(ISBLANK(Piping!U216), "", Piping!U216), IF($N$1="Vessels", IF(ISBLANK(Vessels!U216), "", Vessels!U216), ""))</f>
        <v/>
      </c>
      <c r="S216" s="118" t="str">
        <f>IF(B216&lt;&gt;"",IF($N$1="Piping", IF(ISBLANK(Piping!$J$3), "", Piping!$J$3), IF($N$1="Vessels", IF(ISBLANK(Vessels!$J$3), "", Vessels!$J$3), "")),"")</f>
        <v/>
      </c>
      <c r="T216" s="37"/>
      <c r="U216" s="37"/>
      <c r="V216" s="37"/>
      <c r="W216" s="37"/>
      <c r="X216" s="37"/>
      <c r="Y216" s="37"/>
      <c r="Z216" s="37"/>
    </row>
    <row r="217" spans="1:26" ht="15.75" customHeight="1" x14ac:dyDescent="0.3">
      <c r="A217" s="22">
        <f>IF($N$1="Piping", IF(ISBLANK(Piping!A217), "", Piping!A217), IF($N$1="Vessels", IF(ISBLANK(Vessels!A217), "", Vessels!A217), ""))</f>
        <v>53.4</v>
      </c>
      <c r="B217" s="21" t="str">
        <f>IF($N$1="Piping", IF(ISBLANK(Piping!B217), "", Piping!B217), IF($N$1="Vessels", IF(ISBLANK(Vessels!B217), "", Vessels!B217), ""))</f>
        <v/>
      </c>
      <c r="C217" s="21" t="str">
        <f>IF($N$1="Piping", IF(ISBLANK(Piping!C217), "", Piping!C217), IF($N$1="Vessels", IF(ISBLANK(Vessels!C217), "", Vessels!C217), ""))</f>
        <v>Piping</v>
      </c>
      <c r="D217" s="21" t="str">
        <f>IF($N$1="Piping", IF(ISBLANK(Piping!D217), "", Piping!D217), IF($N$1="Vessels", IF(ISBLANK(Vessels!D217), "", Vessels!D217), ""))</f>
        <v/>
      </c>
      <c r="E217" s="21" t="str">
        <f>IF($N$1="Piping", IF(ISBLANK(Piping!E217), "", Piping!E217), IF($N$1="Vessels", IF(ISBLANK(Vessels!E217), "", Vessels!E217), ""))</f>
        <v/>
      </c>
      <c r="F217" s="21" t="str">
        <f>IF($N$1="Piping", IF(ISBLANK(Piping!F217), "", Piping!F217), IF($N$1="Vessels", IF(ISBLANK(Vessels!F217), "", Vessels!F217), ""))</f>
        <v/>
      </c>
      <c r="G217" s="21">
        <f>IF($N$1="Piping", IF(ISBLANK(Piping!G217), "", Piping!G217), IF($N$1="Vessels", IF(ISBLANK(Vessels!G217), "", Vessels!G217), ""))</f>
        <v>0</v>
      </c>
      <c r="H217" s="21" t="str">
        <f>IF($N$1="Piping", IF(ISBLANK(Piping!H217), "", Piping!H217), IF($N$1="Vessels", IF(ISBLANK(Vessels!H217), "", Vessels!H217), ""))</f>
        <v/>
      </c>
      <c r="I217" s="21" t="str">
        <f>IF($N$1="Piping", IF(ISBLANK(Piping!I217), "", Piping!I217), IF($N$1="Vessels", IF(ISBLANK(Vessels!I217), "", Vessels!I217), ""))</f>
        <v/>
      </c>
      <c r="J217" s="21" t="str">
        <f>IF($N$1="Piping", IF(ISBLANK(Piping!J217), "", Piping!J217), IF($N$1="Vessels", IF(ISBLANK(Vessels!J217), "", Vessels!J217), ""))</f>
        <v/>
      </c>
      <c r="K217" s="21" t="str">
        <f>IF($N$1="Piping", IF(ISBLANK(Piping!K217), "", Piping!K217), IF($N$1="Vessels", IF(ISBLANK(Vessels!K217), "", Vessels!K217), ""))</f>
        <v/>
      </c>
      <c r="L217" s="21" t="str">
        <f>IF($N$1="Piping", IF(ISBLANK(Piping!L217), "", Piping!L217), IF($N$1="Vessels", IF(ISBLANK(Vessels!L217), "", Vessels!L217), ""))</f>
        <v/>
      </c>
      <c r="M217" s="21"/>
      <c r="N217" s="21"/>
      <c r="O217" s="21"/>
      <c r="P217" s="21"/>
      <c r="Q217" s="21" t="str">
        <f>IF($N$1="Piping", IF(ISBLANK(Piping!T217), "", Piping!T217), IF($N$1="Vessels", IF(ISBLANK(Vessels!T217), "", Vessels!T217), ""))</f>
        <v/>
      </c>
      <c r="R217" s="51" t="str">
        <f>IF($N$1="Piping", IF(ISBLANK(Piping!U217), "", Piping!U217), IF($N$1="Vessels", IF(ISBLANK(Vessels!U217), "", Vessels!U217), ""))</f>
        <v/>
      </c>
      <c r="S217" s="118" t="str">
        <f>IF(B217&lt;&gt;"",IF($N$1="Piping", IF(ISBLANK(Piping!$J$3), "", Piping!$J$3), IF($N$1="Vessels", IF(ISBLANK(Vessels!$J$3), "", Vessels!$J$3), "")),"")</f>
        <v/>
      </c>
      <c r="T217" s="37"/>
      <c r="U217" s="37"/>
      <c r="V217" s="37"/>
      <c r="W217" s="37"/>
      <c r="X217" s="37"/>
      <c r="Y217" s="37"/>
      <c r="Z217" s="37"/>
    </row>
    <row r="218" spans="1:26" ht="15.75" customHeight="1" x14ac:dyDescent="0.3">
      <c r="A218" s="22">
        <f>IF($N$1="Piping", IF(ISBLANK(Piping!A218), "", Piping!A218), IF($N$1="Vessels", IF(ISBLANK(Vessels!A218), "", Vessels!A218), ""))</f>
        <v>54.1</v>
      </c>
      <c r="B218" s="21" t="str">
        <f>IF($N$1="Piping", IF(ISBLANK(Piping!B218), "", Piping!B218), IF($N$1="Vessels", IF(ISBLANK(Vessels!B218), "", Vessels!B218), ""))</f>
        <v/>
      </c>
      <c r="C218" s="21" t="str">
        <f>IF($N$1="Piping", IF(ISBLANK(Piping!C218), "", Piping!C218), IF($N$1="Vessels", IF(ISBLANK(Vessels!C218), "", Vessels!C218), ""))</f>
        <v>Piping</v>
      </c>
      <c r="D218" s="21" t="str">
        <f>IF($N$1="Piping", IF(ISBLANK(Piping!D218), "", Piping!D218), IF($N$1="Vessels", IF(ISBLANK(Vessels!D218), "", Vessels!D218), ""))</f>
        <v/>
      </c>
      <c r="E218" s="21" t="str">
        <f>IF($N$1="Piping", IF(ISBLANK(Piping!E218), "", Piping!E218), IF($N$1="Vessels", IF(ISBLANK(Vessels!E218), "", Vessels!E218), ""))</f>
        <v/>
      </c>
      <c r="F218" s="21" t="str">
        <f>IF($N$1="Piping", IF(ISBLANK(Piping!F218), "", Piping!F218), IF($N$1="Vessels", IF(ISBLANK(Vessels!F218), "", Vessels!F218), ""))</f>
        <v/>
      </c>
      <c r="G218" s="21">
        <f>IF($N$1="Piping", IF(ISBLANK(Piping!G218), "", Piping!G218), IF($N$1="Vessels", IF(ISBLANK(Vessels!G218), "", Vessels!G218), ""))</f>
        <v>0</v>
      </c>
      <c r="H218" s="21" t="str">
        <f>IF($N$1="Piping", IF(ISBLANK(Piping!H218), "", Piping!H218), IF($N$1="Vessels", IF(ISBLANK(Vessels!H218), "", Vessels!H218), ""))</f>
        <v/>
      </c>
      <c r="I218" s="21" t="str">
        <f>IF($N$1="Piping", IF(ISBLANK(Piping!I218), "", Piping!I218), IF($N$1="Vessels", IF(ISBLANK(Vessels!I218), "", Vessels!I218), ""))</f>
        <v/>
      </c>
      <c r="J218" s="21" t="str">
        <f>IF($N$1="Piping", IF(ISBLANK(Piping!J218), "", Piping!J218), IF($N$1="Vessels", IF(ISBLANK(Vessels!J218), "", Vessels!J218), ""))</f>
        <v/>
      </c>
      <c r="K218" s="21" t="str">
        <f>IF($N$1="Piping", IF(ISBLANK(Piping!K218), "", Piping!K218), IF($N$1="Vessels", IF(ISBLANK(Vessels!K218), "", Vessels!K218), ""))</f>
        <v/>
      </c>
      <c r="L218" s="21" t="str">
        <f>IF($N$1="Piping", IF(ISBLANK(Piping!L218), "", Piping!L218), IF($N$1="Vessels", IF(ISBLANK(Vessels!L218), "", Vessels!L218), ""))</f>
        <v/>
      </c>
      <c r="M218" s="21"/>
      <c r="N218" s="21"/>
      <c r="O218" s="21"/>
      <c r="P218" s="21"/>
      <c r="Q218" s="21" t="str">
        <f>IF($N$1="Piping", IF(ISBLANK(Piping!T218), "", Piping!T218), IF($N$1="Vessels", IF(ISBLANK(Vessels!T218), "", Vessels!T218), ""))</f>
        <v/>
      </c>
      <c r="R218" s="51" t="str">
        <f>IF($N$1="Piping", IF(ISBLANK(Piping!U218), "", Piping!U218), IF($N$1="Vessels", IF(ISBLANK(Vessels!U218), "", Vessels!U218), ""))</f>
        <v/>
      </c>
      <c r="S218" s="118" t="str">
        <f>IF(B218&lt;&gt;"",IF($N$1="Piping", IF(ISBLANK(Piping!$J$3), "", Piping!$J$3), IF($N$1="Vessels", IF(ISBLANK(Vessels!$J$3), "", Vessels!$J$3), "")),"")</f>
        <v/>
      </c>
      <c r="T218" s="37"/>
      <c r="U218" s="37"/>
      <c r="V218" s="37"/>
      <c r="W218" s="37"/>
      <c r="X218" s="37"/>
      <c r="Y218" s="37"/>
      <c r="Z218" s="37"/>
    </row>
    <row r="219" spans="1:26" ht="15.75" customHeight="1" x14ac:dyDescent="0.3">
      <c r="A219" s="22">
        <f>IF($N$1="Piping", IF(ISBLANK(Piping!A219), "", Piping!A219), IF($N$1="Vessels", IF(ISBLANK(Vessels!A219), "", Vessels!A219), ""))</f>
        <v>54.2</v>
      </c>
      <c r="B219" s="21" t="str">
        <f>IF($N$1="Piping", IF(ISBLANK(Piping!B219), "", Piping!B219), IF($N$1="Vessels", IF(ISBLANK(Vessels!B219), "", Vessels!B219), ""))</f>
        <v/>
      </c>
      <c r="C219" s="21" t="str">
        <f>IF($N$1="Piping", IF(ISBLANK(Piping!C219), "", Piping!C219), IF($N$1="Vessels", IF(ISBLANK(Vessels!C219), "", Vessels!C219), ""))</f>
        <v>Piping</v>
      </c>
      <c r="D219" s="21" t="str">
        <f>IF($N$1="Piping", IF(ISBLANK(Piping!D219), "", Piping!D219), IF($N$1="Vessels", IF(ISBLANK(Vessels!D219), "", Vessels!D219), ""))</f>
        <v/>
      </c>
      <c r="E219" s="21" t="str">
        <f>IF($N$1="Piping", IF(ISBLANK(Piping!E219), "", Piping!E219), IF($N$1="Vessels", IF(ISBLANK(Vessels!E219), "", Vessels!E219), ""))</f>
        <v/>
      </c>
      <c r="F219" s="21" t="str">
        <f>IF($N$1="Piping", IF(ISBLANK(Piping!F219), "", Piping!F219), IF($N$1="Vessels", IF(ISBLANK(Vessels!F219), "", Vessels!F219), ""))</f>
        <v/>
      </c>
      <c r="G219" s="21">
        <f>IF($N$1="Piping", IF(ISBLANK(Piping!G219), "", Piping!G219), IF($N$1="Vessels", IF(ISBLANK(Vessels!G219), "", Vessels!G219), ""))</f>
        <v>0</v>
      </c>
      <c r="H219" s="21" t="str">
        <f>IF($N$1="Piping", IF(ISBLANK(Piping!H219), "", Piping!H219), IF($N$1="Vessels", IF(ISBLANK(Vessels!H219), "", Vessels!H219), ""))</f>
        <v/>
      </c>
      <c r="I219" s="21" t="str">
        <f>IF($N$1="Piping", IF(ISBLANK(Piping!I219), "", Piping!I219), IF($N$1="Vessels", IF(ISBLANK(Vessels!I219), "", Vessels!I219), ""))</f>
        <v/>
      </c>
      <c r="J219" s="21" t="str">
        <f>IF($N$1="Piping", IF(ISBLANK(Piping!J219), "", Piping!J219), IF($N$1="Vessels", IF(ISBLANK(Vessels!J219), "", Vessels!J219), ""))</f>
        <v/>
      </c>
      <c r="K219" s="21" t="str">
        <f>IF($N$1="Piping", IF(ISBLANK(Piping!K219), "", Piping!K219), IF($N$1="Vessels", IF(ISBLANK(Vessels!K219), "", Vessels!K219), ""))</f>
        <v/>
      </c>
      <c r="L219" s="21" t="str">
        <f>IF($N$1="Piping", IF(ISBLANK(Piping!L219), "", Piping!L219), IF($N$1="Vessels", IF(ISBLANK(Vessels!L219), "", Vessels!L219), ""))</f>
        <v/>
      </c>
      <c r="M219" s="21"/>
      <c r="N219" s="21"/>
      <c r="O219" s="21"/>
      <c r="P219" s="21"/>
      <c r="Q219" s="21" t="str">
        <f>IF($N$1="Piping", IF(ISBLANK(Piping!T219), "", Piping!T219), IF($N$1="Vessels", IF(ISBLANK(Vessels!T219), "", Vessels!T219), ""))</f>
        <v/>
      </c>
      <c r="R219" s="51" t="str">
        <f>IF($N$1="Piping", IF(ISBLANK(Piping!U219), "", Piping!U219), IF($N$1="Vessels", IF(ISBLANK(Vessels!U219), "", Vessels!U219), ""))</f>
        <v/>
      </c>
      <c r="S219" s="118" t="str">
        <f>IF(B219&lt;&gt;"",IF($N$1="Piping", IF(ISBLANK(Piping!$J$3), "", Piping!$J$3), IF($N$1="Vessels", IF(ISBLANK(Vessels!$J$3), "", Vessels!$J$3), "")),"")</f>
        <v/>
      </c>
      <c r="T219" s="37"/>
      <c r="U219" s="37"/>
      <c r="V219" s="37"/>
      <c r="W219" s="37"/>
      <c r="X219" s="37"/>
      <c r="Y219" s="37"/>
      <c r="Z219" s="37"/>
    </row>
    <row r="220" spans="1:26" ht="15.75" customHeight="1" x14ac:dyDescent="0.3">
      <c r="A220" s="22">
        <f>IF($N$1="Piping", IF(ISBLANK(Piping!A220), "", Piping!A220), IF($N$1="Vessels", IF(ISBLANK(Vessels!A220), "", Vessels!A220), ""))</f>
        <v>54.3</v>
      </c>
      <c r="B220" s="21" t="str">
        <f>IF($N$1="Piping", IF(ISBLANK(Piping!B220), "", Piping!B220), IF($N$1="Vessels", IF(ISBLANK(Vessels!B220), "", Vessels!B220), ""))</f>
        <v/>
      </c>
      <c r="C220" s="21" t="str">
        <f>IF($N$1="Piping", IF(ISBLANK(Piping!C220), "", Piping!C220), IF($N$1="Vessels", IF(ISBLANK(Vessels!C220), "", Vessels!C220), ""))</f>
        <v>Piping</v>
      </c>
      <c r="D220" s="21" t="str">
        <f>IF($N$1="Piping", IF(ISBLANK(Piping!D220), "", Piping!D220), IF($N$1="Vessels", IF(ISBLANK(Vessels!D220), "", Vessels!D220), ""))</f>
        <v/>
      </c>
      <c r="E220" s="21" t="str">
        <f>IF($N$1="Piping", IF(ISBLANK(Piping!E220), "", Piping!E220), IF($N$1="Vessels", IF(ISBLANK(Vessels!E220), "", Vessels!E220), ""))</f>
        <v/>
      </c>
      <c r="F220" s="21" t="str">
        <f>IF($N$1="Piping", IF(ISBLANK(Piping!F220), "", Piping!F220), IF($N$1="Vessels", IF(ISBLANK(Vessels!F220), "", Vessels!F220), ""))</f>
        <v/>
      </c>
      <c r="G220" s="21">
        <f>IF($N$1="Piping", IF(ISBLANK(Piping!G220), "", Piping!G220), IF($N$1="Vessels", IF(ISBLANK(Vessels!G220), "", Vessels!G220), ""))</f>
        <v>0</v>
      </c>
      <c r="H220" s="21" t="str">
        <f>IF($N$1="Piping", IF(ISBLANK(Piping!H220), "", Piping!H220), IF($N$1="Vessels", IF(ISBLANK(Vessels!H220), "", Vessels!H220), ""))</f>
        <v/>
      </c>
      <c r="I220" s="21" t="str">
        <f>IF($N$1="Piping", IF(ISBLANK(Piping!I220), "", Piping!I220), IF($N$1="Vessels", IF(ISBLANK(Vessels!I220), "", Vessels!I220), ""))</f>
        <v/>
      </c>
      <c r="J220" s="21" t="str">
        <f>IF($N$1="Piping", IF(ISBLANK(Piping!J220), "", Piping!J220), IF($N$1="Vessels", IF(ISBLANK(Vessels!J220), "", Vessels!J220), ""))</f>
        <v/>
      </c>
      <c r="K220" s="21" t="str">
        <f>IF($N$1="Piping", IF(ISBLANK(Piping!K220), "", Piping!K220), IF($N$1="Vessels", IF(ISBLANK(Vessels!K220), "", Vessels!K220), ""))</f>
        <v/>
      </c>
      <c r="L220" s="21" t="str">
        <f>IF($N$1="Piping", IF(ISBLANK(Piping!L220), "", Piping!L220), IF($N$1="Vessels", IF(ISBLANK(Vessels!L220), "", Vessels!L220), ""))</f>
        <v/>
      </c>
      <c r="M220" s="21"/>
      <c r="N220" s="21"/>
      <c r="O220" s="21"/>
      <c r="P220" s="21"/>
      <c r="Q220" s="21" t="str">
        <f>IF($N$1="Piping", IF(ISBLANK(Piping!T220), "", Piping!T220), IF($N$1="Vessels", IF(ISBLANK(Vessels!T220), "", Vessels!T220), ""))</f>
        <v/>
      </c>
      <c r="R220" s="51" t="str">
        <f>IF($N$1="Piping", IF(ISBLANK(Piping!U220), "", Piping!U220), IF($N$1="Vessels", IF(ISBLANK(Vessels!U220), "", Vessels!U220), ""))</f>
        <v/>
      </c>
      <c r="S220" s="118" t="str">
        <f>IF(B220&lt;&gt;"",IF($N$1="Piping", IF(ISBLANK(Piping!$J$3), "", Piping!$J$3), IF($N$1="Vessels", IF(ISBLANK(Vessels!$J$3), "", Vessels!$J$3), "")),"")</f>
        <v/>
      </c>
      <c r="T220" s="37"/>
      <c r="U220" s="37"/>
      <c r="V220" s="37"/>
      <c r="W220" s="37"/>
      <c r="X220" s="37"/>
      <c r="Y220" s="37"/>
      <c r="Z220" s="37"/>
    </row>
    <row r="221" spans="1:26" ht="15.75" customHeight="1" x14ac:dyDescent="0.3">
      <c r="A221" s="22">
        <f>IF($N$1="Piping", IF(ISBLANK(Piping!A221), "", Piping!A221), IF($N$1="Vessels", IF(ISBLANK(Vessels!A221), "", Vessels!A221), ""))</f>
        <v>54.4</v>
      </c>
      <c r="B221" s="21" t="str">
        <f>IF($N$1="Piping", IF(ISBLANK(Piping!B221), "", Piping!B221), IF($N$1="Vessels", IF(ISBLANK(Vessels!B221), "", Vessels!B221), ""))</f>
        <v/>
      </c>
      <c r="C221" s="21" t="str">
        <f>IF($N$1="Piping", IF(ISBLANK(Piping!C221), "", Piping!C221), IF($N$1="Vessels", IF(ISBLANK(Vessels!C221), "", Vessels!C221), ""))</f>
        <v>Piping</v>
      </c>
      <c r="D221" s="21" t="str">
        <f>IF($N$1="Piping", IF(ISBLANK(Piping!D221), "", Piping!D221), IF($N$1="Vessels", IF(ISBLANK(Vessels!D221), "", Vessels!D221), ""))</f>
        <v/>
      </c>
      <c r="E221" s="21" t="str">
        <f>IF($N$1="Piping", IF(ISBLANK(Piping!E221), "", Piping!E221), IF($N$1="Vessels", IF(ISBLANK(Vessels!E221), "", Vessels!E221), ""))</f>
        <v/>
      </c>
      <c r="F221" s="21" t="str">
        <f>IF($N$1="Piping", IF(ISBLANK(Piping!F221), "", Piping!F221), IF($N$1="Vessels", IF(ISBLANK(Vessels!F221), "", Vessels!F221), ""))</f>
        <v/>
      </c>
      <c r="G221" s="21">
        <f>IF($N$1="Piping", IF(ISBLANK(Piping!G221), "", Piping!G221), IF($N$1="Vessels", IF(ISBLANK(Vessels!G221), "", Vessels!G221), ""))</f>
        <v>0</v>
      </c>
      <c r="H221" s="21" t="str">
        <f>IF($N$1="Piping", IF(ISBLANK(Piping!H221), "", Piping!H221), IF($N$1="Vessels", IF(ISBLANK(Vessels!H221), "", Vessels!H221), ""))</f>
        <v/>
      </c>
      <c r="I221" s="21" t="str">
        <f>IF($N$1="Piping", IF(ISBLANK(Piping!I221), "", Piping!I221), IF($N$1="Vessels", IF(ISBLANK(Vessels!I221), "", Vessels!I221), ""))</f>
        <v/>
      </c>
      <c r="J221" s="21" t="str">
        <f>IF($N$1="Piping", IF(ISBLANK(Piping!J221), "", Piping!J221), IF($N$1="Vessels", IF(ISBLANK(Vessels!J221), "", Vessels!J221), ""))</f>
        <v/>
      </c>
      <c r="K221" s="21" t="str">
        <f>IF($N$1="Piping", IF(ISBLANK(Piping!K221), "", Piping!K221), IF($N$1="Vessels", IF(ISBLANK(Vessels!K221), "", Vessels!K221), ""))</f>
        <v/>
      </c>
      <c r="L221" s="21" t="str">
        <f>IF($N$1="Piping", IF(ISBLANK(Piping!L221), "", Piping!L221), IF($N$1="Vessels", IF(ISBLANK(Vessels!L221), "", Vessels!L221), ""))</f>
        <v/>
      </c>
      <c r="M221" s="21"/>
      <c r="N221" s="21"/>
      <c r="O221" s="21"/>
      <c r="P221" s="21"/>
      <c r="Q221" s="21" t="str">
        <f>IF($N$1="Piping", IF(ISBLANK(Piping!T221), "", Piping!T221), IF($N$1="Vessels", IF(ISBLANK(Vessels!T221), "", Vessels!T221), ""))</f>
        <v/>
      </c>
      <c r="R221" s="51" t="str">
        <f>IF($N$1="Piping", IF(ISBLANK(Piping!U221), "", Piping!U221), IF($N$1="Vessels", IF(ISBLANK(Vessels!U221), "", Vessels!U221), ""))</f>
        <v/>
      </c>
      <c r="S221" s="118" t="str">
        <f>IF(B221&lt;&gt;"",IF($N$1="Piping", IF(ISBLANK(Piping!$J$3), "", Piping!$J$3), IF($N$1="Vessels", IF(ISBLANK(Vessels!$J$3), "", Vessels!$J$3), "")),"")</f>
        <v/>
      </c>
      <c r="T221" s="37"/>
      <c r="U221" s="37"/>
      <c r="V221" s="37"/>
      <c r="W221" s="37"/>
      <c r="X221" s="37"/>
      <c r="Y221" s="37"/>
      <c r="Z221" s="37"/>
    </row>
    <row r="222" spans="1:26" ht="15.75" customHeight="1" x14ac:dyDescent="0.3">
      <c r="A222" s="22">
        <f>IF($N$1="Piping", IF(ISBLANK(Piping!A222), "", Piping!A222), IF($N$1="Vessels", IF(ISBLANK(Vessels!A222), "", Vessels!A222), ""))</f>
        <v>55.1</v>
      </c>
      <c r="B222" s="21" t="str">
        <f>IF($N$1="Piping", IF(ISBLANK(Piping!B222), "", Piping!B222), IF($N$1="Vessels", IF(ISBLANK(Vessels!B222), "", Vessels!B222), ""))</f>
        <v/>
      </c>
      <c r="C222" s="21" t="str">
        <f>IF($N$1="Piping", IF(ISBLANK(Piping!C222), "", Piping!C222), IF($N$1="Vessels", IF(ISBLANK(Vessels!C222), "", Vessels!C222), ""))</f>
        <v>Piping</v>
      </c>
      <c r="D222" s="21" t="str">
        <f>IF($N$1="Piping", IF(ISBLANK(Piping!D222), "", Piping!D222), IF($N$1="Vessels", IF(ISBLANK(Vessels!D222), "", Vessels!D222), ""))</f>
        <v/>
      </c>
      <c r="E222" s="21" t="str">
        <f>IF($N$1="Piping", IF(ISBLANK(Piping!E222), "", Piping!E222), IF($N$1="Vessels", IF(ISBLANK(Vessels!E222), "", Vessels!E222), ""))</f>
        <v/>
      </c>
      <c r="F222" s="21" t="str">
        <f>IF($N$1="Piping", IF(ISBLANK(Piping!F222), "", Piping!F222), IF($N$1="Vessels", IF(ISBLANK(Vessels!F222), "", Vessels!F222), ""))</f>
        <v/>
      </c>
      <c r="G222" s="21">
        <f>IF($N$1="Piping", IF(ISBLANK(Piping!G222), "", Piping!G222), IF($N$1="Vessels", IF(ISBLANK(Vessels!G222), "", Vessels!G222), ""))</f>
        <v>0</v>
      </c>
      <c r="H222" s="21" t="str">
        <f>IF($N$1="Piping", IF(ISBLANK(Piping!H222), "", Piping!H222), IF($N$1="Vessels", IF(ISBLANK(Vessels!H222), "", Vessels!H222), ""))</f>
        <v/>
      </c>
      <c r="I222" s="21" t="str">
        <f>IF($N$1="Piping", IF(ISBLANK(Piping!I222), "", Piping!I222), IF($N$1="Vessels", IF(ISBLANK(Vessels!I222), "", Vessels!I222), ""))</f>
        <v/>
      </c>
      <c r="J222" s="21" t="str">
        <f>IF($N$1="Piping", IF(ISBLANK(Piping!J222), "", Piping!J222), IF($N$1="Vessels", IF(ISBLANK(Vessels!J222), "", Vessels!J222), ""))</f>
        <v/>
      </c>
      <c r="K222" s="21" t="str">
        <f>IF($N$1="Piping", IF(ISBLANK(Piping!K222), "", Piping!K222), IF($N$1="Vessels", IF(ISBLANK(Vessels!K222), "", Vessels!K222), ""))</f>
        <v/>
      </c>
      <c r="L222" s="21" t="str">
        <f>IF($N$1="Piping", IF(ISBLANK(Piping!L222), "", Piping!L222), IF($N$1="Vessels", IF(ISBLANK(Vessels!L222), "", Vessels!L222), ""))</f>
        <v/>
      </c>
      <c r="M222" s="21"/>
      <c r="N222" s="21"/>
      <c r="O222" s="21"/>
      <c r="P222" s="21"/>
      <c r="Q222" s="21" t="str">
        <f>IF($N$1="Piping", IF(ISBLANK(Piping!T222), "", Piping!T222), IF($N$1="Vessels", IF(ISBLANK(Vessels!T222), "", Vessels!T222), ""))</f>
        <v/>
      </c>
      <c r="R222" s="51" t="str">
        <f>IF($N$1="Piping", IF(ISBLANK(Piping!U222), "", Piping!U222), IF($N$1="Vessels", IF(ISBLANK(Vessels!U222), "", Vessels!U222), ""))</f>
        <v/>
      </c>
      <c r="S222" s="118" t="str">
        <f>IF(B222&lt;&gt;"",IF($N$1="Piping", IF(ISBLANK(Piping!$J$3), "", Piping!$J$3), IF($N$1="Vessels", IF(ISBLANK(Vessels!$J$3), "", Vessels!$J$3), "")),"")</f>
        <v/>
      </c>
      <c r="T222" s="37"/>
      <c r="U222" s="37"/>
      <c r="V222" s="37"/>
      <c r="W222" s="37"/>
      <c r="X222" s="37"/>
      <c r="Y222" s="37"/>
      <c r="Z222" s="37"/>
    </row>
    <row r="223" spans="1:26" ht="15.75" customHeight="1" x14ac:dyDescent="0.3">
      <c r="A223" s="22">
        <f>IF($N$1="Piping", IF(ISBLANK(Piping!A223), "", Piping!A223), IF($N$1="Vessels", IF(ISBLANK(Vessels!A223), "", Vessels!A223), ""))</f>
        <v>55.2</v>
      </c>
      <c r="B223" s="21" t="str">
        <f>IF($N$1="Piping", IF(ISBLANK(Piping!B223), "", Piping!B223), IF($N$1="Vessels", IF(ISBLANK(Vessels!B223), "", Vessels!B223), ""))</f>
        <v/>
      </c>
      <c r="C223" s="21" t="str">
        <f>IF($N$1="Piping", IF(ISBLANK(Piping!C223), "", Piping!C223), IF($N$1="Vessels", IF(ISBLANK(Vessels!C223), "", Vessels!C223), ""))</f>
        <v>Piping</v>
      </c>
      <c r="D223" s="21" t="str">
        <f>IF($N$1="Piping", IF(ISBLANK(Piping!D223), "", Piping!D223), IF($N$1="Vessels", IF(ISBLANK(Vessels!D223), "", Vessels!D223), ""))</f>
        <v/>
      </c>
      <c r="E223" s="21" t="str">
        <f>IF($N$1="Piping", IF(ISBLANK(Piping!E223), "", Piping!E223), IF($N$1="Vessels", IF(ISBLANK(Vessels!E223), "", Vessels!E223), ""))</f>
        <v/>
      </c>
      <c r="F223" s="21" t="str">
        <f>IF($N$1="Piping", IF(ISBLANK(Piping!F223), "", Piping!F223), IF($N$1="Vessels", IF(ISBLANK(Vessels!F223), "", Vessels!F223), ""))</f>
        <v/>
      </c>
      <c r="G223" s="21">
        <f>IF($N$1="Piping", IF(ISBLANK(Piping!G223), "", Piping!G223), IF($N$1="Vessels", IF(ISBLANK(Vessels!G223), "", Vessels!G223), ""))</f>
        <v>0</v>
      </c>
      <c r="H223" s="21" t="str">
        <f>IF($N$1="Piping", IF(ISBLANK(Piping!H223), "", Piping!H223), IF($N$1="Vessels", IF(ISBLANK(Vessels!H223), "", Vessels!H223), ""))</f>
        <v/>
      </c>
      <c r="I223" s="21" t="str">
        <f>IF($N$1="Piping", IF(ISBLANK(Piping!I223), "", Piping!I223), IF($N$1="Vessels", IF(ISBLANK(Vessels!I223), "", Vessels!I223), ""))</f>
        <v/>
      </c>
      <c r="J223" s="21" t="str">
        <f>IF($N$1="Piping", IF(ISBLANK(Piping!J223), "", Piping!J223), IF($N$1="Vessels", IF(ISBLANK(Vessels!J223), "", Vessels!J223), ""))</f>
        <v/>
      </c>
      <c r="K223" s="21" t="str">
        <f>IF($N$1="Piping", IF(ISBLANK(Piping!K223), "", Piping!K223), IF($N$1="Vessels", IF(ISBLANK(Vessels!K223), "", Vessels!K223), ""))</f>
        <v/>
      </c>
      <c r="L223" s="21" t="str">
        <f>IF($N$1="Piping", IF(ISBLANK(Piping!L223), "", Piping!L223), IF($N$1="Vessels", IF(ISBLANK(Vessels!L223), "", Vessels!L223), ""))</f>
        <v/>
      </c>
      <c r="M223" s="21"/>
      <c r="N223" s="21"/>
      <c r="O223" s="21"/>
      <c r="P223" s="21"/>
      <c r="Q223" s="21" t="str">
        <f>IF($N$1="Piping", IF(ISBLANK(Piping!T223), "", Piping!T223), IF($N$1="Vessels", IF(ISBLANK(Vessels!T223), "", Vessels!T223), ""))</f>
        <v/>
      </c>
      <c r="R223" s="51" t="str">
        <f>IF($N$1="Piping", IF(ISBLANK(Piping!U223), "", Piping!U223), IF($N$1="Vessels", IF(ISBLANK(Vessels!U223), "", Vessels!U223), ""))</f>
        <v/>
      </c>
      <c r="S223" s="118" t="str">
        <f>IF(B223&lt;&gt;"",IF($N$1="Piping", IF(ISBLANK(Piping!$J$3), "", Piping!$J$3), IF($N$1="Vessels", IF(ISBLANK(Vessels!$J$3), "", Vessels!$J$3), "")),"")</f>
        <v/>
      </c>
      <c r="T223" s="37"/>
      <c r="U223" s="37"/>
      <c r="V223" s="37"/>
      <c r="W223" s="37"/>
      <c r="X223" s="37"/>
      <c r="Y223" s="37"/>
      <c r="Z223" s="37"/>
    </row>
    <row r="224" spans="1:26" ht="15.75" customHeight="1" x14ac:dyDescent="0.3">
      <c r="A224" s="22">
        <f>IF($N$1="Piping", IF(ISBLANK(Piping!A224), "", Piping!A224), IF($N$1="Vessels", IF(ISBLANK(Vessels!A224), "", Vessels!A224), ""))</f>
        <v>55.3</v>
      </c>
      <c r="B224" s="21" t="str">
        <f>IF($N$1="Piping", IF(ISBLANK(Piping!B224), "", Piping!B224), IF($N$1="Vessels", IF(ISBLANK(Vessels!B224), "", Vessels!B224), ""))</f>
        <v/>
      </c>
      <c r="C224" s="21" t="str">
        <f>IF($N$1="Piping", IF(ISBLANK(Piping!C224), "", Piping!C224), IF($N$1="Vessels", IF(ISBLANK(Vessels!C224), "", Vessels!C224), ""))</f>
        <v>Piping</v>
      </c>
      <c r="D224" s="21" t="str">
        <f>IF($N$1="Piping", IF(ISBLANK(Piping!D224), "", Piping!D224), IF($N$1="Vessels", IF(ISBLANK(Vessels!D224), "", Vessels!D224), ""))</f>
        <v/>
      </c>
      <c r="E224" s="21" t="str">
        <f>IF($N$1="Piping", IF(ISBLANK(Piping!E224), "", Piping!E224), IF($N$1="Vessels", IF(ISBLANK(Vessels!E224), "", Vessels!E224), ""))</f>
        <v/>
      </c>
      <c r="F224" s="21" t="str">
        <f>IF($N$1="Piping", IF(ISBLANK(Piping!F224), "", Piping!F224), IF($N$1="Vessels", IF(ISBLANK(Vessels!F224), "", Vessels!F224), ""))</f>
        <v/>
      </c>
      <c r="G224" s="21">
        <f>IF($N$1="Piping", IF(ISBLANK(Piping!G224), "", Piping!G224), IF($N$1="Vessels", IF(ISBLANK(Vessels!G224), "", Vessels!G224), ""))</f>
        <v>0</v>
      </c>
      <c r="H224" s="21" t="str">
        <f>IF($N$1="Piping", IF(ISBLANK(Piping!H224), "", Piping!H224), IF($N$1="Vessels", IF(ISBLANK(Vessels!H224), "", Vessels!H224), ""))</f>
        <v/>
      </c>
      <c r="I224" s="21" t="str">
        <f>IF($N$1="Piping", IF(ISBLANK(Piping!I224), "", Piping!I224), IF($N$1="Vessels", IF(ISBLANK(Vessels!I224), "", Vessels!I224), ""))</f>
        <v/>
      </c>
      <c r="J224" s="21" t="str">
        <f>IF($N$1="Piping", IF(ISBLANK(Piping!J224), "", Piping!J224), IF($N$1="Vessels", IF(ISBLANK(Vessels!J224), "", Vessels!J224), ""))</f>
        <v/>
      </c>
      <c r="K224" s="21" t="str">
        <f>IF($N$1="Piping", IF(ISBLANK(Piping!K224), "", Piping!K224), IF($N$1="Vessels", IF(ISBLANK(Vessels!K224), "", Vessels!K224), ""))</f>
        <v/>
      </c>
      <c r="L224" s="21" t="str">
        <f>IF($N$1="Piping", IF(ISBLANK(Piping!L224), "", Piping!L224), IF($N$1="Vessels", IF(ISBLANK(Vessels!L224), "", Vessels!L224), ""))</f>
        <v/>
      </c>
      <c r="M224" s="21"/>
      <c r="N224" s="21"/>
      <c r="O224" s="21"/>
      <c r="P224" s="21"/>
      <c r="Q224" s="21" t="str">
        <f>IF($N$1="Piping", IF(ISBLANK(Piping!T224), "", Piping!T224), IF($N$1="Vessels", IF(ISBLANK(Vessels!T224), "", Vessels!T224), ""))</f>
        <v/>
      </c>
      <c r="R224" s="51" t="str">
        <f>IF($N$1="Piping", IF(ISBLANK(Piping!U224), "", Piping!U224), IF($N$1="Vessels", IF(ISBLANK(Vessels!U224), "", Vessels!U224), ""))</f>
        <v/>
      </c>
      <c r="S224" s="118" t="str">
        <f>IF(B224&lt;&gt;"",IF($N$1="Piping", IF(ISBLANK(Piping!$J$3), "", Piping!$J$3), IF($N$1="Vessels", IF(ISBLANK(Vessels!$J$3), "", Vessels!$J$3), "")),"")</f>
        <v/>
      </c>
      <c r="T224" s="37"/>
      <c r="U224" s="37"/>
      <c r="V224" s="37"/>
      <c r="W224" s="37"/>
      <c r="X224" s="37"/>
      <c r="Y224" s="37"/>
      <c r="Z224" s="37"/>
    </row>
    <row r="225" spans="1:26" ht="15.75" customHeight="1" x14ac:dyDescent="0.3">
      <c r="A225" s="22">
        <f>IF($N$1="Piping", IF(ISBLANK(Piping!A225), "", Piping!A225), IF($N$1="Vessels", IF(ISBLANK(Vessels!A225), "", Vessels!A225), ""))</f>
        <v>55.4</v>
      </c>
      <c r="B225" s="21" t="str">
        <f>IF($N$1="Piping", IF(ISBLANK(Piping!B225), "", Piping!B225), IF($N$1="Vessels", IF(ISBLANK(Vessels!B225), "", Vessels!B225), ""))</f>
        <v/>
      </c>
      <c r="C225" s="21" t="str">
        <f>IF($N$1="Piping", IF(ISBLANK(Piping!C225), "", Piping!C225), IF($N$1="Vessels", IF(ISBLANK(Vessels!C225), "", Vessels!C225), ""))</f>
        <v>Piping</v>
      </c>
      <c r="D225" s="21" t="str">
        <f>IF($N$1="Piping", IF(ISBLANK(Piping!D225), "", Piping!D225), IF($N$1="Vessels", IF(ISBLANK(Vessels!D225), "", Vessels!D225), ""))</f>
        <v/>
      </c>
      <c r="E225" s="21" t="str">
        <f>IF($N$1="Piping", IF(ISBLANK(Piping!E225), "", Piping!E225), IF($N$1="Vessels", IF(ISBLANK(Vessels!E225), "", Vessels!E225), ""))</f>
        <v/>
      </c>
      <c r="F225" s="21" t="str">
        <f>IF($N$1="Piping", IF(ISBLANK(Piping!F225), "", Piping!F225), IF($N$1="Vessels", IF(ISBLANK(Vessels!F225), "", Vessels!F225), ""))</f>
        <v/>
      </c>
      <c r="G225" s="21">
        <f>IF($N$1="Piping", IF(ISBLANK(Piping!G225), "", Piping!G225), IF($N$1="Vessels", IF(ISBLANK(Vessels!G225), "", Vessels!G225), ""))</f>
        <v>0</v>
      </c>
      <c r="H225" s="21" t="str">
        <f>IF($N$1="Piping", IF(ISBLANK(Piping!H225), "", Piping!H225), IF($N$1="Vessels", IF(ISBLANK(Vessels!H225), "", Vessels!H225), ""))</f>
        <v/>
      </c>
      <c r="I225" s="21" t="str">
        <f>IF($N$1="Piping", IF(ISBLANK(Piping!I225), "", Piping!I225), IF($N$1="Vessels", IF(ISBLANK(Vessels!I225), "", Vessels!I225), ""))</f>
        <v/>
      </c>
      <c r="J225" s="21" t="str">
        <f>IF($N$1="Piping", IF(ISBLANK(Piping!J225), "", Piping!J225), IF($N$1="Vessels", IF(ISBLANK(Vessels!J225), "", Vessels!J225), ""))</f>
        <v/>
      </c>
      <c r="K225" s="21" t="str">
        <f>IF($N$1="Piping", IF(ISBLANK(Piping!K225), "", Piping!K225), IF($N$1="Vessels", IF(ISBLANK(Vessels!K225), "", Vessels!K225), ""))</f>
        <v/>
      </c>
      <c r="L225" s="21" t="str">
        <f>IF($N$1="Piping", IF(ISBLANK(Piping!L225), "", Piping!L225), IF($N$1="Vessels", IF(ISBLANK(Vessels!L225), "", Vessels!L225), ""))</f>
        <v/>
      </c>
      <c r="M225" s="21"/>
      <c r="N225" s="21"/>
      <c r="O225" s="21"/>
      <c r="P225" s="21"/>
      <c r="Q225" s="21" t="str">
        <f>IF($N$1="Piping", IF(ISBLANK(Piping!T225), "", Piping!T225), IF($N$1="Vessels", IF(ISBLANK(Vessels!T225), "", Vessels!T225), ""))</f>
        <v/>
      </c>
      <c r="R225" s="51" t="str">
        <f>IF($N$1="Piping", IF(ISBLANK(Piping!U225), "", Piping!U225), IF($N$1="Vessels", IF(ISBLANK(Vessels!U225), "", Vessels!U225), ""))</f>
        <v/>
      </c>
      <c r="S225" s="118" t="str">
        <f>IF(B225&lt;&gt;"",IF($N$1="Piping", IF(ISBLANK(Piping!$J$3), "", Piping!$J$3), IF($N$1="Vessels", IF(ISBLANK(Vessels!$J$3), "", Vessels!$J$3), "")),"")</f>
        <v/>
      </c>
      <c r="T225" s="37"/>
      <c r="U225" s="37"/>
      <c r="V225" s="37"/>
      <c r="W225" s="37"/>
      <c r="X225" s="37"/>
      <c r="Y225" s="37"/>
      <c r="Z225" s="37"/>
    </row>
    <row r="226" spans="1:26" ht="15.75" customHeight="1" x14ac:dyDescent="0.3">
      <c r="A226" s="22">
        <f>IF($N$1="Piping", IF(ISBLANK(Piping!A226), "", Piping!A226), IF($N$1="Vessels", IF(ISBLANK(Vessels!A226), "", Vessels!A226), ""))</f>
        <v>56.1</v>
      </c>
      <c r="B226" s="21" t="str">
        <f>IF($N$1="Piping", IF(ISBLANK(Piping!B226), "", Piping!B226), IF($N$1="Vessels", IF(ISBLANK(Vessels!B226), "", Vessels!B226), ""))</f>
        <v/>
      </c>
      <c r="C226" s="21" t="str">
        <f>IF($N$1="Piping", IF(ISBLANK(Piping!C226), "", Piping!C226), IF($N$1="Vessels", IF(ISBLANK(Vessels!C226), "", Vessels!C226), ""))</f>
        <v>Piping</v>
      </c>
      <c r="D226" s="21" t="str">
        <f>IF($N$1="Piping", IF(ISBLANK(Piping!D226), "", Piping!D226), IF($N$1="Vessels", IF(ISBLANK(Vessels!D226), "", Vessels!D226), ""))</f>
        <v/>
      </c>
      <c r="E226" s="21" t="str">
        <f>IF($N$1="Piping", IF(ISBLANK(Piping!E226), "", Piping!E226), IF($N$1="Vessels", IF(ISBLANK(Vessels!E226), "", Vessels!E226), ""))</f>
        <v/>
      </c>
      <c r="F226" s="21" t="str">
        <f>IF($N$1="Piping", IF(ISBLANK(Piping!F226), "", Piping!F226), IF($N$1="Vessels", IF(ISBLANK(Vessels!F226), "", Vessels!F226), ""))</f>
        <v/>
      </c>
      <c r="G226" s="21">
        <f>IF($N$1="Piping", IF(ISBLANK(Piping!G226), "", Piping!G226), IF($N$1="Vessels", IF(ISBLANK(Vessels!G226), "", Vessels!G226), ""))</f>
        <v>0</v>
      </c>
      <c r="H226" s="21" t="str">
        <f>IF($N$1="Piping", IF(ISBLANK(Piping!H226), "", Piping!H226), IF($N$1="Vessels", IF(ISBLANK(Vessels!H226), "", Vessels!H226), ""))</f>
        <v/>
      </c>
      <c r="I226" s="21" t="str">
        <f>IF($N$1="Piping", IF(ISBLANK(Piping!I226), "", Piping!I226), IF($N$1="Vessels", IF(ISBLANK(Vessels!I226), "", Vessels!I226), ""))</f>
        <v/>
      </c>
      <c r="J226" s="21" t="str">
        <f>IF($N$1="Piping", IF(ISBLANK(Piping!J226), "", Piping!J226), IF($N$1="Vessels", IF(ISBLANK(Vessels!J226), "", Vessels!J226), ""))</f>
        <v/>
      </c>
      <c r="K226" s="21" t="str">
        <f>IF($N$1="Piping", IF(ISBLANK(Piping!K226), "", Piping!K226), IF($N$1="Vessels", IF(ISBLANK(Vessels!K226), "", Vessels!K226), ""))</f>
        <v/>
      </c>
      <c r="L226" s="21" t="str">
        <f>IF($N$1="Piping", IF(ISBLANK(Piping!L226), "", Piping!L226), IF($N$1="Vessels", IF(ISBLANK(Vessels!L226), "", Vessels!L226), ""))</f>
        <v/>
      </c>
      <c r="M226" s="21"/>
      <c r="N226" s="21"/>
      <c r="O226" s="21"/>
      <c r="P226" s="21"/>
      <c r="Q226" s="21" t="str">
        <f>IF($N$1="Piping", IF(ISBLANK(Piping!T226), "", Piping!T226), IF($N$1="Vessels", IF(ISBLANK(Vessels!T226), "", Vessels!T226), ""))</f>
        <v/>
      </c>
      <c r="R226" s="51" t="str">
        <f>IF($N$1="Piping", IF(ISBLANK(Piping!U226), "", Piping!U226), IF($N$1="Vessels", IF(ISBLANK(Vessels!U226), "", Vessels!U226), ""))</f>
        <v/>
      </c>
      <c r="S226" s="118" t="str">
        <f>IF(B226&lt;&gt;"",IF($N$1="Piping", IF(ISBLANK(Piping!$J$3), "", Piping!$J$3), IF($N$1="Vessels", IF(ISBLANK(Vessels!$J$3), "", Vessels!$J$3), "")),"")</f>
        <v/>
      </c>
      <c r="T226" s="37"/>
      <c r="U226" s="37"/>
      <c r="V226" s="37"/>
      <c r="W226" s="37"/>
      <c r="X226" s="37"/>
      <c r="Y226" s="37"/>
      <c r="Z226" s="37"/>
    </row>
    <row r="227" spans="1:26" ht="15.75" customHeight="1" x14ac:dyDescent="0.3">
      <c r="A227" s="22">
        <f>IF($N$1="Piping", IF(ISBLANK(Piping!A227), "", Piping!A227), IF($N$1="Vessels", IF(ISBLANK(Vessels!A227), "", Vessels!A227), ""))</f>
        <v>56.2</v>
      </c>
      <c r="B227" s="21" t="str">
        <f>IF($N$1="Piping", IF(ISBLANK(Piping!B227), "", Piping!B227), IF($N$1="Vessels", IF(ISBLANK(Vessels!B227), "", Vessels!B227), ""))</f>
        <v/>
      </c>
      <c r="C227" s="21" t="str">
        <f>IF($N$1="Piping", IF(ISBLANK(Piping!C227), "", Piping!C227), IF($N$1="Vessels", IF(ISBLANK(Vessels!C227), "", Vessels!C227), ""))</f>
        <v>Piping</v>
      </c>
      <c r="D227" s="21" t="str">
        <f>IF($N$1="Piping", IF(ISBLANK(Piping!D227), "", Piping!D227), IF($N$1="Vessels", IF(ISBLANK(Vessels!D227), "", Vessels!D227), ""))</f>
        <v/>
      </c>
      <c r="E227" s="21" t="str">
        <f>IF($N$1="Piping", IF(ISBLANK(Piping!E227), "", Piping!E227), IF($N$1="Vessels", IF(ISBLANK(Vessels!E227), "", Vessels!E227), ""))</f>
        <v/>
      </c>
      <c r="F227" s="21" t="str">
        <f>IF($N$1="Piping", IF(ISBLANK(Piping!F227), "", Piping!F227), IF($N$1="Vessels", IF(ISBLANK(Vessels!F227), "", Vessels!F227), ""))</f>
        <v/>
      </c>
      <c r="G227" s="21">
        <f>IF($N$1="Piping", IF(ISBLANK(Piping!G227), "", Piping!G227), IF($N$1="Vessels", IF(ISBLANK(Vessels!G227), "", Vessels!G227), ""))</f>
        <v>0</v>
      </c>
      <c r="H227" s="21" t="str">
        <f>IF($N$1="Piping", IF(ISBLANK(Piping!H227), "", Piping!H227), IF($N$1="Vessels", IF(ISBLANK(Vessels!H227), "", Vessels!H227), ""))</f>
        <v/>
      </c>
      <c r="I227" s="21" t="str">
        <f>IF($N$1="Piping", IF(ISBLANK(Piping!I227), "", Piping!I227), IF($N$1="Vessels", IF(ISBLANK(Vessels!I227), "", Vessels!I227), ""))</f>
        <v/>
      </c>
      <c r="J227" s="21" t="str">
        <f>IF($N$1="Piping", IF(ISBLANK(Piping!J227), "", Piping!J227), IF($N$1="Vessels", IF(ISBLANK(Vessels!J227), "", Vessels!J227), ""))</f>
        <v/>
      </c>
      <c r="K227" s="21" t="str">
        <f>IF($N$1="Piping", IF(ISBLANK(Piping!K227), "", Piping!K227), IF($N$1="Vessels", IF(ISBLANK(Vessels!K227), "", Vessels!K227), ""))</f>
        <v/>
      </c>
      <c r="L227" s="21" t="str">
        <f>IF($N$1="Piping", IF(ISBLANK(Piping!L227), "", Piping!L227), IF($N$1="Vessels", IF(ISBLANK(Vessels!L227), "", Vessels!L227), ""))</f>
        <v/>
      </c>
      <c r="M227" s="21"/>
      <c r="N227" s="21"/>
      <c r="O227" s="21"/>
      <c r="P227" s="21"/>
      <c r="Q227" s="21" t="str">
        <f>IF($N$1="Piping", IF(ISBLANK(Piping!T227), "", Piping!T227), IF($N$1="Vessels", IF(ISBLANK(Vessels!T227), "", Vessels!T227), ""))</f>
        <v/>
      </c>
      <c r="R227" s="51" t="str">
        <f>IF($N$1="Piping", IF(ISBLANK(Piping!U227), "", Piping!U227), IF($N$1="Vessels", IF(ISBLANK(Vessels!U227), "", Vessels!U227), ""))</f>
        <v/>
      </c>
      <c r="S227" s="118" t="str">
        <f>IF(B227&lt;&gt;"",IF($N$1="Piping", IF(ISBLANK(Piping!$J$3), "", Piping!$J$3), IF($N$1="Vessels", IF(ISBLANK(Vessels!$J$3), "", Vessels!$J$3), "")),"")</f>
        <v/>
      </c>
      <c r="T227" s="37"/>
      <c r="U227" s="37"/>
      <c r="V227" s="37"/>
      <c r="W227" s="37"/>
      <c r="X227" s="37"/>
      <c r="Y227" s="37"/>
      <c r="Z227" s="37"/>
    </row>
    <row r="228" spans="1:26" ht="15.75" customHeight="1" x14ac:dyDescent="0.3">
      <c r="A228" s="22">
        <f>IF($N$1="Piping", IF(ISBLANK(Piping!A228), "", Piping!A228), IF($N$1="Vessels", IF(ISBLANK(Vessels!A228), "", Vessels!A228), ""))</f>
        <v>56.3</v>
      </c>
      <c r="B228" s="21" t="str">
        <f>IF($N$1="Piping", IF(ISBLANK(Piping!B228), "", Piping!B228), IF($N$1="Vessels", IF(ISBLANK(Vessels!B228), "", Vessels!B228), ""))</f>
        <v/>
      </c>
      <c r="C228" s="21" t="str">
        <f>IF($N$1="Piping", IF(ISBLANK(Piping!C228), "", Piping!C228), IF($N$1="Vessels", IF(ISBLANK(Vessels!C228), "", Vessels!C228), ""))</f>
        <v>Piping</v>
      </c>
      <c r="D228" s="21" t="str">
        <f>IF($N$1="Piping", IF(ISBLANK(Piping!D228), "", Piping!D228), IF($N$1="Vessels", IF(ISBLANK(Vessels!D228), "", Vessels!D228), ""))</f>
        <v/>
      </c>
      <c r="E228" s="21" t="str">
        <f>IF($N$1="Piping", IF(ISBLANK(Piping!E228), "", Piping!E228), IF($N$1="Vessels", IF(ISBLANK(Vessels!E228), "", Vessels!E228), ""))</f>
        <v/>
      </c>
      <c r="F228" s="21" t="str">
        <f>IF($N$1="Piping", IF(ISBLANK(Piping!F228), "", Piping!F228), IF($N$1="Vessels", IF(ISBLANK(Vessels!F228), "", Vessels!F228), ""))</f>
        <v/>
      </c>
      <c r="G228" s="21">
        <f>IF($N$1="Piping", IF(ISBLANK(Piping!G228), "", Piping!G228), IF($N$1="Vessels", IF(ISBLANK(Vessels!G228), "", Vessels!G228), ""))</f>
        <v>0</v>
      </c>
      <c r="H228" s="21" t="str">
        <f>IF($N$1="Piping", IF(ISBLANK(Piping!H228), "", Piping!H228), IF($N$1="Vessels", IF(ISBLANK(Vessels!H228), "", Vessels!H228), ""))</f>
        <v/>
      </c>
      <c r="I228" s="21" t="str">
        <f>IF($N$1="Piping", IF(ISBLANK(Piping!I228), "", Piping!I228), IF($N$1="Vessels", IF(ISBLANK(Vessels!I228), "", Vessels!I228), ""))</f>
        <v/>
      </c>
      <c r="J228" s="21" t="str">
        <f>IF($N$1="Piping", IF(ISBLANK(Piping!J228), "", Piping!J228), IF($N$1="Vessels", IF(ISBLANK(Vessels!J228), "", Vessels!J228), ""))</f>
        <v/>
      </c>
      <c r="K228" s="21" t="str">
        <f>IF($N$1="Piping", IF(ISBLANK(Piping!K228), "", Piping!K228), IF($N$1="Vessels", IF(ISBLANK(Vessels!K228), "", Vessels!K228), ""))</f>
        <v/>
      </c>
      <c r="L228" s="21" t="str">
        <f>IF($N$1="Piping", IF(ISBLANK(Piping!L228), "", Piping!L228), IF($N$1="Vessels", IF(ISBLANK(Vessels!L228), "", Vessels!L228), ""))</f>
        <v/>
      </c>
      <c r="M228" s="21"/>
      <c r="N228" s="21"/>
      <c r="O228" s="21"/>
      <c r="P228" s="21"/>
      <c r="Q228" s="21" t="str">
        <f>IF($N$1="Piping", IF(ISBLANK(Piping!T228), "", Piping!T228), IF($N$1="Vessels", IF(ISBLANK(Vessels!T228), "", Vessels!T228), ""))</f>
        <v/>
      </c>
      <c r="R228" s="51" t="str">
        <f>IF($N$1="Piping", IF(ISBLANK(Piping!U228), "", Piping!U228), IF($N$1="Vessels", IF(ISBLANK(Vessels!U228), "", Vessels!U228), ""))</f>
        <v/>
      </c>
      <c r="S228" s="118" t="str">
        <f>IF(B228&lt;&gt;"",IF($N$1="Piping", IF(ISBLANK(Piping!$J$3), "", Piping!$J$3), IF($N$1="Vessels", IF(ISBLANK(Vessels!$J$3), "", Vessels!$J$3), "")),"")</f>
        <v/>
      </c>
      <c r="T228" s="37"/>
      <c r="U228" s="37"/>
      <c r="V228" s="37"/>
      <c r="W228" s="37"/>
      <c r="X228" s="37"/>
      <c r="Y228" s="37"/>
      <c r="Z228" s="37"/>
    </row>
    <row r="229" spans="1:26" ht="15.75" customHeight="1" x14ac:dyDescent="0.3">
      <c r="A229" s="22">
        <f>IF($N$1="Piping", IF(ISBLANK(Piping!A229), "", Piping!A229), IF($N$1="Vessels", IF(ISBLANK(Vessels!A229), "", Vessels!A229), ""))</f>
        <v>56.4</v>
      </c>
      <c r="B229" s="21" t="str">
        <f>IF($N$1="Piping", IF(ISBLANK(Piping!B229), "", Piping!B229), IF($N$1="Vessels", IF(ISBLANK(Vessels!B229), "", Vessels!B229), ""))</f>
        <v/>
      </c>
      <c r="C229" s="21" t="str">
        <f>IF($N$1="Piping", IF(ISBLANK(Piping!C229), "", Piping!C229), IF($N$1="Vessels", IF(ISBLANK(Vessels!C229), "", Vessels!C229), ""))</f>
        <v>Piping</v>
      </c>
      <c r="D229" s="21" t="str">
        <f>IF($N$1="Piping", IF(ISBLANK(Piping!D229), "", Piping!D229), IF($N$1="Vessels", IF(ISBLANK(Vessels!D229), "", Vessels!D229), ""))</f>
        <v/>
      </c>
      <c r="E229" s="21" t="str">
        <f>IF($N$1="Piping", IF(ISBLANK(Piping!E229), "", Piping!E229), IF($N$1="Vessels", IF(ISBLANK(Vessels!E229), "", Vessels!E229), ""))</f>
        <v/>
      </c>
      <c r="F229" s="21" t="str">
        <f>IF($N$1="Piping", IF(ISBLANK(Piping!F229), "", Piping!F229), IF($N$1="Vessels", IF(ISBLANK(Vessels!F229), "", Vessels!F229), ""))</f>
        <v/>
      </c>
      <c r="G229" s="21">
        <f>IF($N$1="Piping", IF(ISBLANK(Piping!G229), "", Piping!G229), IF($N$1="Vessels", IF(ISBLANK(Vessels!G229), "", Vessels!G229), ""))</f>
        <v>0</v>
      </c>
      <c r="H229" s="21" t="str">
        <f>IF($N$1="Piping", IF(ISBLANK(Piping!H229), "", Piping!H229), IF($N$1="Vessels", IF(ISBLANK(Vessels!H229), "", Vessels!H229), ""))</f>
        <v/>
      </c>
      <c r="I229" s="21" t="str">
        <f>IF($N$1="Piping", IF(ISBLANK(Piping!I229), "", Piping!I229), IF($N$1="Vessels", IF(ISBLANK(Vessels!I229), "", Vessels!I229), ""))</f>
        <v/>
      </c>
      <c r="J229" s="21" t="str">
        <f>IF($N$1="Piping", IF(ISBLANK(Piping!J229), "", Piping!J229), IF($N$1="Vessels", IF(ISBLANK(Vessels!J229), "", Vessels!J229), ""))</f>
        <v/>
      </c>
      <c r="K229" s="21" t="str">
        <f>IF($N$1="Piping", IF(ISBLANK(Piping!K229), "", Piping!K229), IF($N$1="Vessels", IF(ISBLANK(Vessels!K229), "", Vessels!K229), ""))</f>
        <v/>
      </c>
      <c r="L229" s="21" t="str">
        <f>IF($N$1="Piping", IF(ISBLANK(Piping!L229), "", Piping!L229), IF($N$1="Vessels", IF(ISBLANK(Vessels!L229), "", Vessels!L229), ""))</f>
        <v/>
      </c>
      <c r="M229" s="21"/>
      <c r="N229" s="21"/>
      <c r="O229" s="21"/>
      <c r="P229" s="21"/>
      <c r="Q229" s="21" t="str">
        <f>IF($N$1="Piping", IF(ISBLANK(Piping!T229), "", Piping!T229), IF($N$1="Vessels", IF(ISBLANK(Vessels!T229), "", Vessels!T229), ""))</f>
        <v/>
      </c>
      <c r="R229" s="51" t="str">
        <f>IF($N$1="Piping", IF(ISBLANK(Piping!U229), "", Piping!U229), IF($N$1="Vessels", IF(ISBLANK(Vessels!U229), "", Vessels!U229), ""))</f>
        <v/>
      </c>
      <c r="S229" s="118" t="str">
        <f>IF(B229&lt;&gt;"",IF($N$1="Piping", IF(ISBLANK(Piping!$J$3), "", Piping!$J$3), IF($N$1="Vessels", IF(ISBLANK(Vessels!$J$3), "", Vessels!$J$3), "")),"")</f>
        <v/>
      </c>
      <c r="T229" s="37"/>
      <c r="U229" s="37"/>
      <c r="V229" s="37"/>
      <c r="W229" s="37"/>
      <c r="X229" s="37"/>
      <c r="Y229" s="37"/>
      <c r="Z229" s="37"/>
    </row>
    <row r="230" spans="1:26" ht="15.75" customHeight="1" x14ac:dyDescent="0.3">
      <c r="A230" s="22">
        <f>IF($N$1="Piping", IF(ISBLANK(Piping!A230), "", Piping!A230), IF($N$1="Vessels", IF(ISBLANK(Vessels!A230), "", Vessels!A230), ""))</f>
        <v>57.1</v>
      </c>
      <c r="B230" s="21" t="str">
        <f>IF($N$1="Piping", IF(ISBLANK(Piping!B230), "", Piping!B230), IF($N$1="Vessels", IF(ISBLANK(Vessels!B230), "", Vessels!B230), ""))</f>
        <v/>
      </c>
      <c r="C230" s="21" t="str">
        <f>IF($N$1="Piping", IF(ISBLANK(Piping!C230), "", Piping!C230), IF($N$1="Vessels", IF(ISBLANK(Vessels!C230), "", Vessels!C230), ""))</f>
        <v>Piping</v>
      </c>
      <c r="D230" s="21" t="str">
        <f>IF($N$1="Piping", IF(ISBLANK(Piping!D230), "", Piping!D230), IF($N$1="Vessels", IF(ISBLANK(Vessels!D230), "", Vessels!D230), ""))</f>
        <v/>
      </c>
      <c r="E230" s="21" t="str">
        <f>IF($N$1="Piping", IF(ISBLANK(Piping!E230), "", Piping!E230), IF($N$1="Vessels", IF(ISBLANK(Vessels!E230), "", Vessels!E230), ""))</f>
        <v/>
      </c>
      <c r="F230" s="21" t="str">
        <f>IF($N$1="Piping", IF(ISBLANK(Piping!F230), "", Piping!F230), IF($N$1="Vessels", IF(ISBLANK(Vessels!F230), "", Vessels!F230), ""))</f>
        <v/>
      </c>
      <c r="G230" s="21">
        <f>IF($N$1="Piping", IF(ISBLANK(Piping!G230), "", Piping!G230), IF($N$1="Vessels", IF(ISBLANK(Vessels!G230), "", Vessels!G230), ""))</f>
        <v>0</v>
      </c>
      <c r="H230" s="21" t="str">
        <f>IF($N$1="Piping", IF(ISBLANK(Piping!H230), "", Piping!H230), IF($N$1="Vessels", IF(ISBLANK(Vessels!H230), "", Vessels!H230), ""))</f>
        <v/>
      </c>
      <c r="I230" s="21" t="str">
        <f>IF($N$1="Piping", IF(ISBLANK(Piping!I230), "", Piping!I230), IF($N$1="Vessels", IF(ISBLANK(Vessels!I230), "", Vessels!I230), ""))</f>
        <v/>
      </c>
      <c r="J230" s="21" t="str">
        <f>IF($N$1="Piping", IF(ISBLANK(Piping!J230), "", Piping!J230), IF($N$1="Vessels", IF(ISBLANK(Vessels!J230), "", Vessels!J230), ""))</f>
        <v/>
      </c>
      <c r="K230" s="21" t="str">
        <f>IF($N$1="Piping", IF(ISBLANK(Piping!K230), "", Piping!K230), IF($N$1="Vessels", IF(ISBLANK(Vessels!K230), "", Vessels!K230), ""))</f>
        <v/>
      </c>
      <c r="L230" s="21" t="str">
        <f>IF($N$1="Piping", IF(ISBLANK(Piping!L230), "", Piping!L230), IF($N$1="Vessels", IF(ISBLANK(Vessels!L230), "", Vessels!L230), ""))</f>
        <v/>
      </c>
      <c r="M230" s="21"/>
      <c r="N230" s="21"/>
      <c r="O230" s="21"/>
      <c r="P230" s="21"/>
      <c r="Q230" s="21" t="str">
        <f>IF($N$1="Piping", IF(ISBLANK(Piping!T230), "", Piping!T230), IF($N$1="Vessels", IF(ISBLANK(Vessels!T230), "", Vessels!T230), ""))</f>
        <v/>
      </c>
      <c r="R230" s="51" t="str">
        <f>IF($N$1="Piping", IF(ISBLANK(Piping!U230), "", Piping!U230), IF($N$1="Vessels", IF(ISBLANK(Vessels!U230), "", Vessels!U230), ""))</f>
        <v/>
      </c>
      <c r="S230" s="118" t="str">
        <f>IF(B230&lt;&gt;"",IF($N$1="Piping", IF(ISBLANK(Piping!$J$3), "", Piping!$J$3), IF($N$1="Vessels", IF(ISBLANK(Vessels!$J$3), "", Vessels!$J$3), "")),"")</f>
        <v/>
      </c>
      <c r="T230" s="37"/>
      <c r="U230" s="37"/>
      <c r="V230" s="37"/>
      <c r="W230" s="37"/>
      <c r="X230" s="37"/>
      <c r="Y230" s="37"/>
      <c r="Z230" s="37"/>
    </row>
    <row r="231" spans="1:26" ht="15.75" customHeight="1" x14ac:dyDescent="0.3">
      <c r="A231" s="22">
        <f>IF($N$1="Piping", IF(ISBLANK(Piping!A231), "", Piping!A231), IF($N$1="Vessels", IF(ISBLANK(Vessels!A231), "", Vessels!A231), ""))</f>
        <v>57.2</v>
      </c>
      <c r="B231" s="21" t="str">
        <f>IF($N$1="Piping", IF(ISBLANK(Piping!B231), "", Piping!B231), IF($N$1="Vessels", IF(ISBLANK(Vessels!B231), "", Vessels!B231), ""))</f>
        <v/>
      </c>
      <c r="C231" s="21" t="str">
        <f>IF($N$1="Piping", IF(ISBLANK(Piping!C231), "", Piping!C231), IF($N$1="Vessels", IF(ISBLANK(Vessels!C231), "", Vessels!C231), ""))</f>
        <v>Piping</v>
      </c>
      <c r="D231" s="21" t="str">
        <f>IF($N$1="Piping", IF(ISBLANK(Piping!D231), "", Piping!D231), IF($N$1="Vessels", IF(ISBLANK(Vessels!D231), "", Vessels!D231), ""))</f>
        <v/>
      </c>
      <c r="E231" s="21" t="str">
        <f>IF($N$1="Piping", IF(ISBLANK(Piping!E231), "", Piping!E231), IF($N$1="Vessels", IF(ISBLANK(Vessels!E231), "", Vessels!E231), ""))</f>
        <v/>
      </c>
      <c r="F231" s="21" t="str">
        <f>IF($N$1="Piping", IF(ISBLANK(Piping!F231), "", Piping!F231), IF($N$1="Vessels", IF(ISBLANK(Vessels!F231), "", Vessels!F231), ""))</f>
        <v/>
      </c>
      <c r="G231" s="21">
        <f>IF($N$1="Piping", IF(ISBLANK(Piping!G231), "", Piping!G231), IF($N$1="Vessels", IF(ISBLANK(Vessels!G231), "", Vessels!G231), ""))</f>
        <v>0</v>
      </c>
      <c r="H231" s="21" t="str">
        <f>IF($N$1="Piping", IF(ISBLANK(Piping!H231), "", Piping!H231), IF($N$1="Vessels", IF(ISBLANK(Vessels!H231), "", Vessels!H231), ""))</f>
        <v/>
      </c>
      <c r="I231" s="21" t="str">
        <f>IF($N$1="Piping", IF(ISBLANK(Piping!I231), "", Piping!I231), IF($N$1="Vessels", IF(ISBLANK(Vessels!I231), "", Vessels!I231), ""))</f>
        <v/>
      </c>
      <c r="J231" s="21" t="str">
        <f>IF($N$1="Piping", IF(ISBLANK(Piping!J231), "", Piping!J231), IF($N$1="Vessels", IF(ISBLANK(Vessels!J231), "", Vessels!J231), ""))</f>
        <v/>
      </c>
      <c r="K231" s="21" t="str">
        <f>IF($N$1="Piping", IF(ISBLANK(Piping!K231), "", Piping!K231), IF($N$1="Vessels", IF(ISBLANK(Vessels!K231), "", Vessels!K231), ""))</f>
        <v/>
      </c>
      <c r="L231" s="21" t="str">
        <f>IF($N$1="Piping", IF(ISBLANK(Piping!L231), "", Piping!L231), IF($N$1="Vessels", IF(ISBLANK(Vessels!L231), "", Vessels!L231), ""))</f>
        <v/>
      </c>
      <c r="M231" s="21"/>
      <c r="N231" s="21"/>
      <c r="O231" s="21"/>
      <c r="P231" s="21"/>
      <c r="Q231" s="21" t="str">
        <f>IF($N$1="Piping", IF(ISBLANK(Piping!T231), "", Piping!T231), IF($N$1="Vessels", IF(ISBLANK(Vessels!T231), "", Vessels!T231), ""))</f>
        <v/>
      </c>
      <c r="R231" s="51" t="str">
        <f>IF($N$1="Piping", IF(ISBLANK(Piping!U231), "", Piping!U231), IF($N$1="Vessels", IF(ISBLANK(Vessels!U231), "", Vessels!U231), ""))</f>
        <v/>
      </c>
      <c r="S231" s="118" t="str">
        <f>IF(B231&lt;&gt;"",IF($N$1="Piping", IF(ISBLANK(Piping!$J$3), "", Piping!$J$3), IF($N$1="Vessels", IF(ISBLANK(Vessels!$J$3), "", Vessels!$J$3), "")),"")</f>
        <v/>
      </c>
      <c r="T231" s="37"/>
      <c r="U231" s="37"/>
      <c r="V231" s="37"/>
      <c r="W231" s="37"/>
      <c r="X231" s="37"/>
      <c r="Y231" s="37"/>
      <c r="Z231" s="37"/>
    </row>
    <row r="232" spans="1:26" ht="15.75" customHeight="1" x14ac:dyDescent="0.3">
      <c r="A232" s="22">
        <f>IF($N$1="Piping", IF(ISBLANK(Piping!A232), "", Piping!A232), IF($N$1="Vessels", IF(ISBLANK(Vessels!A232), "", Vessels!A232), ""))</f>
        <v>57.3</v>
      </c>
      <c r="B232" s="21" t="str">
        <f>IF($N$1="Piping", IF(ISBLANK(Piping!B232), "", Piping!B232), IF($N$1="Vessels", IF(ISBLANK(Vessels!B232), "", Vessels!B232), ""))</f>
        <v/>
      </c>
      <c r="C232" s="21" t="str">
        <f>IF($N$1="Piping", IF(ISBLANK(Piping!C232), "", Piping!C232), IF($N$1="Vessels", IF(ISBLANK(Vessels!C232), "", Vessels!C232), ""))</f>
        <v>Piping</v>
      </c>
      <c r="D232" s="21" t="str">
        <f>IF($N$1="Piping", IF(ISBLANK(Piping!D232), "", Piping!D232), IF($N$1="Vessels", IF(ISBLANK(Vessels!D232), "", Vessels!D232), ""))</f>
        <v/>
      </c>
      <c r="E232" s="21" t="str">
        <f>IF($N$1="Piping", IF(ISBLANK(Piping!E232), "", Piping!E232), IF($N$1="Vessels", IF(ISBLANK(Vessels!E232), "", Vessels!E232), ""))</f>
        <v/>
      </c>
      <c r="F232" s="21" t="str">
        <f>IF($N$1="Piping", IF(ISBLANK(Piping!F232), "", Piping!F232), IF($N$1="Vessels", IF(ISBLANK(Vessels!F232), "", Vessels!F232), ""))</f>
        <v/>
      </c>
      <c r="G232" s="21">
        <f>IF($N$1="Piping", IF(ISBLANK(Piping!G232), "", Piping!G232), IF($N$1="Vessels", IF(ISBLANK(Vessels!G232), "", Vessels!G232), ""))</f>
        <v>0</v>
      </c>
      <c r="H232" s="21" t="str">
        <f>IF($N$1="Piping", IF(ISBLANK(Piping!H232), "", Piping!H232), IF($N$1="Vessels", IF(ISBLANK(Vessels!H232), "", Vessels!H232), ""))</f>
        <v/>
      </c>
      <c r="I232" s="21" t="str">
        <f>IF($N$1="Piping", IF(ISBLANK(Piping!I232), "", Piping!I232), IF($N$1="Vessels", IF(ISBLANK(Vessels!I232), "", Vessels!I232), ""))</f>
        <v/>
      </c>
      <c r="J232" s="21" t="str">
        <f>IF($N$1="Piping", IF(ISBLANK(Piping!J232), "", Piping!J232), IF($N$1="Vessels", IF(ISBLANK(Vessels!J232), "", Vessels!J232), ""))</f>
        <v/>
      </c>
      <c r="K232" s="21" t="str">
        <f>IF($N$1="Piping", IF(ISBLANK(Piping!K232), "", Piping!K232), IF($N$1="Vessels", IF(ISBLANK(Vessels!K232), "", Vessels!K232), ""))</f>
        <v/>
      </c>
      <c r="L232" s="21" t="str">
        <f>IF($N$1="Piping", IF(ISBLANK(Piping!L232), "", Piping!L232), IF($N$1="Vessels", IF(ISBLANK(Vessels!L232), "", Vessels!L232), ""))</f>
        <v/>
      </c>
      <c r="M232" s="21"/>
      <c r="N232" s="21"/>
      <c r="O232" s="21"/>
      <c r="P232" s="21"/>
      <c r="Q232" s="21" t="str">
        <f>IF($N$1="Piping", IF(ISBLANK(Piping!T232), "", Piping!T232), IF($N$1="Vessels", IF(ISBLANK(Vessels!T232), "", Vessels!T232), ""))</f>
        <v/>
      </c>
      <c r="R232" s="51" t="str">
        <f>IF($N$1="Piping", IF(ISBLANK(Piping!U232), "", Piping!U232), IF($N$1="Vessels", IF(ISBLANK(Vessels!U232), "", Vessels!U232), ""))</f>
        <v/>
      </c>
      <c r="S232" s="118" t="str">
        <f>IF(B232&lt;&gt;"",IF($N$1="Piping", IF(ISBLANK(Piping!$J$3), "", Piping!$J$3), IF($N$1="Vessels", IF(ISBLANK(Vessels!$J$3), "", Vessels!$J$3), "")),"")</f>
        <v/>
      </c>
      <c r="T232" s="37"/>
      <c r="U232" s="37"/>
      <c r="V232" s="37"/>
      <c r="W232" s="37"/>
      <c r="X232" s="37"/>
      <c r="Y232" s="37"/>
      <c r="Z232" s="37"/>
    </row>
    <row r="233" spans="1:26" ht="15.75" customHeight="1" x14ac:dyDescent="0.3">
      <c r="A233" s="22">
        <f>IF($N$1="Piping", IF(ISBLANK(Piping!A233), "", Piping!A233), IF($N$1="Vessels", IF(ISBLANK(Vessels!A233), "", Vessels!A233), ""))</f>
        <v>57.4</v>
      </c>
      <c r="B233" s="21" t="str">
        <f>IF($N$1="Piping", IF(ISBLANK(Piping!B233), "", Piping!B233), IF($N$1="Vessels", IF(ISBLANK(Vessels!B233), "", Vessels!B233), ""))</f>
        <v/>
      </c>
      <c r="C233" s="21" t="str">
        <f>IF($N$1="Piping", IF(ISBLANK(Piping!C233), "", Piping!C233), IF($N$1="Vessels", IF(ISBLANK(Vessels!C233), "", Vessels!C233), ""))</f>
        <v>Piping</v>
      </c>
      <c r="D233" s="21" t="str">
        <f>IF($N$1="Piping", IF(ISBLANK(Piping!D233), "", Piping!D233), IF($N$1="Vessels", IF(ISBLANK(Vessels!D233), "", Vessels!D233), ""))</f>
        <v/>
      </c>
      <c r="E233" s="21" t="str">
        <f>IF($N$1="Piping", IF(ISBLANK(Piping!E233), "", Piping!E233), IF($N$1="Vessels", IF(ISBLANK(Vessels!E233), "", Vessels!E233), ""))</f>
        <v/>
      </c>
      <c r="F233" s="21" t="str">
        <f>IF($N$1="Piping", IF(ISBLANK(Piping!F233), "", Piping!F233), IF($N$1="Vessels", IF(ISBLANK(Vessels!F233), "", Vessels!F233), ""))</f>
        <v/>
      </c>
      <c r="G233" s="21">
        <f>IF($N$1="Piping", IF(ISBLANK(Piping!G233), "", Piping!G233), IF($N$1="Vessels", IF(ISBLANK(Vessels!G233), "", Vessels!G233), ""))</f>
        <v>0</v>
      </c>
      <c r="H233" s="21" t="str">
        <f>IF($N$1="Piping", IF(ISBLANK(Piping!H233), "", Piping!H233), IF($N$1="Vessels", IF(ISBLANK(Vessels!H233), "", Vessels!H233), ""))</f>
        <v/>
      </c>
      <c r="I233" s="21" t="str">
        <f>IF($N$1="Piping", IF(ISBLANK(Piping!I233), "", Piping!I233), IF($N$1="Vessels", IF(ISBLANK(Vessels!I233), "", Vessels!I233), ""))</f>
        <v/>
      </c>
      <c r="J233" s="21" t="str">
        <f>IF($N$1="Piping", IF(ISBLANK(Piping!J233), "", Piping!J233), IF($N$1="Vessels", IF(ISBLANK(Vessels!J233), "", Vessels!J233), ""))</f>
        <v/>
      </c>
      <c r="K233" s="21" t="str">
        <f>IF($N$1="Piping", IF(ISBLANK(Piping!K233), "", Piping!K233), IF($N$1="Vessels", IF(ISBLANK(Vessels!K233), "", Vessels!K233), ""))</f>
        <v/>
      </c>
      <c r="L233" s="21" t="str">
        <f>IF($N$1="Piping", IF(ISBLANK(Piping!L233), "", Piping!L233), IF($N$1="Vessels", IF(ISBLANK(Vessels!L233), "", Vessels!L233), ""))</f>
        <v/>
      </c>
      <c r="M233" s="21"/>
      <c r="N233" s="21"/>
      <c r="O233" s="21"/>
      <c r="P233" s="21"/>
      <c r="Q233" s="21" t="str">
        <f>IF($N$1="Piping", IF(ISBLANK(Piping!T233), "", Piping!T233), IF($N$1="Vessels", IF(ISBLANK(Vessels!T233), "", Vessels!T233), ""))</f>
        <v/>
      </c>
      <c r="R233" s="51" t="str">
        <f>IF($N$1="Piping", IF(ISBLANK(Piping!U233), "", Piping!U233), IF($N$1="Vessels", IF(ISBLANK(Vessels!U233), "", Vessels!U233), ""))</f>
        <v/>
      </c>
      <c r="S233" s="118" t="str">
        <f>IF(B233&lt;&gt;"",IF($N$1="Piping", IF(ISBLANK(Piping!$J$3), "", Piping!$J$3), IF($N$1="Vessels", IF(ISBLANK(Vessels!$J$3), "", Vessels!$J$3), "")),"")</f>
        <v/>
      </c>
      <c r="T233" s="37"/>
      <c r="U233" s="37"/>
      <c r="V233" s="37"/>
      <c r="W233" s="37"/>
      <c r="X233" s="37"/>
      <c r="Y233" s="37"/>
      <c r="Z233" s="37"/>
    </row>
    <row r="234" spans="1:26" ht="15.75" customHeight="1" x14ac:dyDescent="0.3">
      <c r="A234" s="22">
        <f>IF($N$1="Piping", IF(ISBLANK(Piping!A234), "", Piping!A234), IF($N$1="Vessels", IF(ISBLANK(Vessels!A234), "", Vessels!A234), ""))</f>
        <v>58.1</v>
      </c>
      <c r="B234" s="21" t="str">
        <f>IF($N$1="Piping", IF(ISBLANK(Piping!B234), "", Piping!B234), IF($N$1="Vessels", IF(ISBLANK(Vessels!B234), "", Vessels!B234), ""))</f>
        <v/>
      </c>
      <c r="C234" s="21" t="str">
        <f>IF($N$1="Piping", IF(ISBLANK(Piping!C234), "", Piping!C234), IF($N$1="Vessels", IF(ISBLANK(Vessels!C234), "", Vessels!C234), ""))</f>
        <v>Piping</v>
      </c>
      <c r="D234" s="21" t="str">
        <f>IF($N$1="Piping", IF(ISBLANK(Piping!D234), "", Piping!D234), IF($N$1="Vessels", IF(ISBLANK(Vessels!D234), "", Vessels!D234), ""))</f>
        <v/>
      </c>
      <c r="E234" s="21" t="str">
        <f>IF($N$1="Piping", IF(ISBLANK(Piping!E234), "", Piping!E234), IF($N$1="Vessels", IF(ISBLANK(Vessels!E234), "", Vessels!E234), ""))</f>
        <v/>
      </c>
      <c r="F234" s="21" t="str">
        <f>IF($N$1="Piping", IF(ISBLANK(Piping!F234), "", Piping!F234), IF($N$1="Vessels", IF(ISBLANK(Vessels!F234), "", Vessels!F234), ""))</f>
        <v/>
      </c>
      <c r="G234" s="21">
        <f>IF($N$1="Piping", IF(ISBLANK(Piping!G234), "", Piping!G234), IF($N$1="Vessels", IF(ISBLANK(Vessels!G234), "", Vessels!G234), ""))</f>
        <v>0</v>
      </c>
      <c r="H234" s="21" t="str">
        <f>IF($N$1="Piping", IF(ISBLANK(Piping!H234), "", Piping!H234), IF($N$1="Vessels", IF(ISBLANK(Vessels!H234), "", Vessels!H234), ""))</f>
        <v/>
      </c>
      <c r="I234" s="21" t="str">
        <f>IF($N$1="Piping", IF(ISBLANK(Piping!I234), "", Piping!I234), IF($N$1="Vessels", IF(ISBLANK(Vessels!I234), "", Vessels!I234), ""))</f>
        <v/>
      </c>
      <c r="J234" s="21" t="str">
        <f>IF($N$1="Piping", IF(ISBLANK(Piping!J234), "", Piping!J234), IF($N$1="Vessels", IF(ISBLANK(Vessels!J234), "", Vessels!J234), ""))</f>
        <v/>
      </c>
      <c r="K234" s="21" t="str">
        <f>IF($N$1="Piping", IF(ISBLANK(Piping!K234), "", Piping!K234), IF($N$1="Vessels", IF(ISBLANK(Vessels!K234), "", Vessels!K234), ""))</f>
        <v/>
      </c>
      <c r="L234" s="21" t="str">
        <f>IF($N$1="Piping", IF(ISBLANK(Piping!L234), "", Piping!L234), IF($N$1="Vessels", IF(ISBLANK(Vessels!L234), "", Vessels!L234), ""))</f>
        <v/>
      </c>
      <c r="M234" s="21"/>
      <c r="N234" s="21"/>
      <c r="O234" s="21"/>
      <c r="P234" s="21"/>
      <c r="Q234" s="21" t="str">
        <f>IF($N$1="Piping", IF(ISBLANK(Piping!T234), "", Piping!T234), IF($N$1="Vessels", IF(ISBLANK(Vessels!T234), "", Vessels!T234), ""))</f>
        <v/>
      </c>
      <c r="R234" s="51" t="str">
        <f>IF($N$1="Piping", IF(ISBLANK(Piping!U234), "", Piping!U234), IF($N$1="Vessels", IF(ISBLANK(Vessels!U234), "", Vessels!U234), ""))</f>
        <v/>
      </c>
      <c r="S234" s="118" t="str">
        <f>IF(B234&lt;&gt;"",IF($N$1="Piping", IF(ISBLANK(Piping!$J$3), "", Piping!$J$3), IF($N$1="Vessels", IF(ISBLANK(Vessels!$J$3), "", Vessels!$J$3), "")),"")</f>
        <v/>
      </c>
      <c r="T234" s="37"/>
      <c r="U234" s="37"/>
      <c r="V234" s="37"/>
      <c r="W234" s="37"/>
      <c r="X234" s="37"/>
      <c r="Y234" s="37"/>
      <c r="Z234" s="37"/>
    </row>
    <row r="235" spans="1:26" ht="15.75" customHeight="1" x14ac:dyDescent="0.3">
      <c r="A235" s="22">
        <f>IF($N$1="Piping", IF(ISBLANK(Piping!A235), "", Piping!A235), IF($N$1="Vessels", IF(ISBLANK(Vessels!A235), "", Vessels!A235), ""))</f>
        <v>58.2</v>
      </c>
      <c r="B235" s="21" t="str">
        <f>IF($N$1="Piping", IF(ISBLANK(Piping!B235), "", Piping!B235), IF($N$1="Vessels", IF(ISBLANK(Vessels!B235), "", Vessels!B235), ""))</f>
        <v/>
      </c>
      <c r="C235" s="21" t="str">
        <f>IF($N$1="Piping", IF(ISBLANK(Piping!C235), "", Piping!C235), IF($N$1="Vessels", IF(ISBLANK(Vessels!C235), "", Vessels!C235), ""))</f>
        <v>Piping</v>
      </c>
      <c r="D235" s="21" t="str">
        <f>IF($N$1="Piping", IF(ISBLANK(Piping!D235), "", Piping!D235), IF($N$1="Vessels", IF(ISBLANK(Vessels!D235), "", Vessels!D235), ""))</f>
        <v/>
      </c>
      <c r="E235" s="21" t="str">
        <f>IF($N$1="Piping", IF(ISBLANK(Piping!E235), "", Piping!E235), IF($N$1="Vessels", IF(ISBLANK(Vessels!E235), "", Vessels!E235), ""))</f>
        <v/>
      </c>
      <c r="F235" s="21" t="str">
        <f>IF($N$1="Piping", IF(ISBLANK(Piping!F235), "", Piping!F235), IF($N$1="Vessels", IF(ISBLANK(Vessels!F235), "", Vessels!F235), ""))</f>
        <v/>
      </c>
      <c r="G235" s="21">
        <f>IF($N$1="Piping", IF(ISBLANK(Piping!G235), "", Piping!G235), IF($N$1="Vessels", IF(ISBLANK(Vessels!G235), "", Vessels!G235), ""))</f>
        <v>0</v>
      </c>
      <c r="H235" s="21" t="str">
        <f>IF($N$1="Piping", IF(ISBLANK(Piping!H235), "", Piping!H235), IF($N$1="Vessels", IF(ISBLANK(Vessels!H235), "", Vessels!H235), ""))</f>
        <v/>
      </c>
      <c r="I235" s="21" t="str">
        <f>IF($N$1="Piping", IF(ISBLANK(Piping!I235), "", Piping!I235), IF($N$1="Vessels", IF(ISBLANK(Vessels!I235), "", Vessels!I235), ""))</f>
        <v/>
      </c>
      <c r="J235" s="21" t="str">
        <f>IF($N$1="Piping", IF(ISBLANK(Piping!J235), "", Piping!J235), IF($N$1="Vessels", IF(ISBLANK(Vessels!J235), "", Vessels!J235), ""))</f>
        <v/>
      </c>
      <c r="K235" s="21" t="str">
        <f>IF($N$1="Piping", IF(ISBLANK(Piping!K235), "", Piping!K235), IF($N$1="Vessels", IF(ISBLANK(Vessels!K235), "", Vessels!K235), ""))</f>
        <v/>
      </c>
      <c r="L235" s="21" t="str">
        <f>IF($N$1="Piping", IF(ISBLANK(Piping!L235), "", Piping!L235), IF($N$1="Vessels", IF(ISBLANK(Vessels!L235), "", Vessels!L235), ""))</f>
        <v/>
      </c>
      <c r="M235" s="21"/>
      <c r="N235" s="21"/>
      <c r="O235" s="21"/>
      <c r="P235" s="21"/>
      <c r="Q235" s="21" t="str">
        <f>IF($N$1="Piping", IF(ISBLANK(Piping!T235), "", Piping!T235), IF($N$1="Vessels", IF(ISBLANK(Vessels!T235), "", Vessels!T235), ""))</f>
        <v/>
      </c>
      <c r="R235" s="51" t="str">
        <f>IF($N$1="Piping", IF(ISBLANK(Piping!U235), "", Piping!U235), IF($N$1="Vessels", IF(ISBLANK(Vessels!U235), "", Vessels!U235), ""))</f>
        <v/>
      </c>
      <c r="S235" s="118" t="str">
        <f>IF(B235&lt;&gt;"",IF($N$1="Piping", IF(ISBLANK(Piping!$J$3), "", Piping!$J$3), IF($N$1="Vessels", IF(ISBLANK(Vessels!$J$3), "", Vessels!$J$3), "")),"")</f>
        <v/>
      </c>
      <c r="T235" s="37"/>
      <c r="U235" s="37"/>
      <c r="V235" s="37"/>
      <c r="W235" s="37"/>
      <c r="X235" s="37"/>
      <c r="Y235" s="37"/>
      <c r="Z235" s="37"/>
    </row>
    <row r="236" spans="1:26" ht="15.75" customHeight="1" x14ac:dyDescent="0.3">
      <c r="A236" s="22">
        <f>IF($N$1="Piping", IF(ISBLANK(Piping!A236), "", Piping!A236), IF($N$1="Vessels", IF(ISBLANK(Vessels!A236), "", Vessels!A236), ""))</f>
        <v>58.3</v>
      </c>
      <c r="B236" s="21" t="str">
        <f>IF($N$1="Piping", IF(ISBLANK(Piping!B236), "", Piping!B236), IF($N$1="Vessels", IF(ISBLANK(Vessels!B236), "", Vessels!B236), ""))</f>
        <v/>
      </c>
      <c r="C236" s="21" t="str">
        <f>IF($N$1="Piping", IF(ISBLANK(Piping!C236), "", Piping!C236), IF($N$1="Vessels", IF(ISBLANK(Vessels!C236), "", Vessels!C236), ""))</f>
        <v>Piping</v>
      </c>
      <c r="D236" s="21" t="str">
        <f>IF($N$1="Piping", IF(ISBLANK(Piping!D236), "", Piping!D236), IF($N$1="Vessels", IF(ISBLANK(Vessels!D236), "", Vessels!D236), ""))</f>
        <v/>
      </c>
      <c r="E236" s="21" t="str">
        <f>IF($N$1="Piping", IF(ISBLANK(Piping!E236), "", Piping!E236), IF($N$1="Vessels", IF(ISBLANK(Vessels!E236), "", Vessels!E236), ""))</f>
        <v/>
      </c>
      <c r="F236" s="21" t="str">
        <f>IF($N$1="Piping", IF(ISBLANK(Piping!F236), "", Piping!F236), IF($N$1="Vessels", IF(ISBLANK(Vessels!F236), "", Vessels!F236), ""))</f>
        <v/>
      </c>
      <c r="G236" s="21">
        <f>IF($N$1="Piping", IF(ISBLANK(Piping!G236), "", Piping!G236), IF($N$1="Vessels", IF(ISBLANK(Vessels!G236), "", Vessels!G236), ""))</f>
        <v>0</v>
      </c>
      <c r="H236" s="21" t="str">
        <f>IF($N$1="Piping", IF(ISBLANK(Piping!H236), "", Piping!H236), IF($N$1="Vessels", IF(ISBLANK(Vessels!H236), "", Vessels!H236), ""))</f>
        <v/>
      </c>
      <c r="I236" s="21" t="str">
        <f>IF($N$1="Piping", IF(ISBLANK(Piping!I236), "", Piping!I236), IF($N$1="Vessels", IF(ISBLANK(Vessels!I236), "", Vessels!I236), ""))</f>
        <v/>
      </c>
      <c r="J236" s="21" t="str">
        <f>IF($N$1="Piping", IF(ISBLANK(Piping!J236), "", Piping!J236), IF($N$1="Vessels", IF(ISBLANK(Vessels!J236), "", Vessels!J236), ""))</f>
        <v/>
      </c>
      <c r="K236" s="21" t="str">
        <f>IF($N$1="Piping", IF(ISBLANK(Piping!K236), "", Piping!K236), IF($N$1="Vessels", IF(ISBLANK(Vessels!K236), "", Vessels!K236), ""))</f>
        <v/>
      </c>
      <c r="L236" s="21" t="str">
        <f>IF($N$1="Piping", IF(ISBLANK(Piping!L236), "", Piping!L236), IF($N$1="Vessels", IF(ISBLANK(Vessels!L236), "", Vessels!L236), ""))</f>
        <v/>
      </c>
      <c r="M236" s="21"/>
      <c r="N236" s="21"/>
      <c r="O236" s="21"/>
      <c r="P236" s="21"/>
      <c r="Q236" s="21" t="str">
        <f>IF($N$1="Piping", IF(ISBLANK(Piping!T236), "", Piping!T236), IF($N$1="Vessels", IF(ISBLANK(Vessels!T236), "", Vessels!T236), ""))</f>
        <v/>
      </c>
      <c r="R236" s="51" t="str">
        <f>IF($N$1="Piping", IF(ISBLANK(Piping!U236), "", Piping!U236), IF($N$1="Vessels", IF(ISBLANK(Vessels!U236), "", Vessels!U236), ""))</f>
        <v/>
      </c>
      <c r="S236" s="118" t="str">
        <f>IF(B236&lt;&gt;"",IF($N$1="Piping", IF(ISBLANK(Piping!$J$3), "", Piping!$J$3), IF($N$1="Vessels", IF(ISBLANK(Vessels!$J$3), "", Vessels!$J$3), "")),"")</f>
        <v/>
      </c>
      <c r="T236" s="37"/>
      <c r="U236" s="37"/>
      <c r="V236" s="37"/>
      <c r="W236" s="37"/>
      <c r="X236" s="37"/>
      <c r="Y236" s="37"/>
      <c r="Z236" s="37"/>
    </row>
    <row r="237" spans="1:26" ht="15.75" customHeight="1" x14ac:dyDescent="0.3">
      <c r="A237" s="22">
        <f>IF($N$1="Piping", IF(ISBLANK(Piping!A237), "", Piping!A237), IF($N$1="Vessels", IF(ISBLANK(Vessels!A237), "", Vessels!A237), ""))</f>
        <v>58.4</v>
      </c>
      <c r="B237" s="21" t="str">
        <f>IF($N$1="Piping", IF(ISBLANK(Piping!B237), "", Piping!B237), IF($N$1="Vessels", IF(ISBLANK(Vessels!B237), "", Vessels!B237), ""))</f>
        <v/>
      </c>
      <c r="C237" s="21" t="str">
        <f>IF($N$1="Piping", IF(ISBLANK(Piping!C237), "", Piping!C237), IF($N$1="Vessels", IF(ISBLANK(Vessels!C237), "", Vessels!C237), ""))</f>
        <v>Piping</v>
      </c>
      <c r="D237" s="21" t="str">
        <f>IF($N$1="Piping", IF(ISBLANK(Piping!D237), "", Piping!D237), IF($N$1="Vessels", IF(ISBLANK(Vessels!D237), "", Vessels!D237), ""))</f>
        <v/>
      </c>
      <c r="E237" s="21" t="str">
        <f>IF($N$1="Piping", IF(ISBLANK(Piping!E237), "", Piping!E237), IF($N$1="Vessels", IF(ISBLANK(Vessels!E237), "", Vessels!E237), ""))</f>
        <v/>
      </c>
      <c r="F237" s="21" t="str">
        <f>IF($N$1="Piping", IF(ISBLANK(Piping!F237), "", Piping!F237), IF($N$1="Vessels", IF(ISBLANK(Vessels!F237), "", Vessels!F237), ""))</f>
        <v/>
      </c>
      <c r="G237" s="21">
        <f>IF($N$1="Piping", IF(ISBLANK(Piping!G237), "", Piping!G237), IF($N$1="Vessels", IF(ISBLANK(Vessels!G237), "", Vessels!G237), ""))</f>
        <v>0</v>
      </c>
      <c r="H237" s="21" t="str">
        <f>IF($N$1="Piping", IF(ISBLANK(Piping!H237), "", Piping!H237), IF($N$1="Vessels", IF(ISBLANK(Vessels!H237), "", Vessels!H237), ""))</f>
        <v/>
      </c>
      <c r="I237" s="21" t="str">
        <f>IF($N$1="Piping", IF(ISBLANK(Piping!I237), "", Piping!I237), IF($N$1="Vessels", IF(ISBLANK(Vessels!I237), "", Vessels!I237), ""))</f>
        <v/>
      </c>
      <c r="J237" s="21" t="str">
        <f>IF($N$1="Piping", IF(ISBLANK(Piping!J237), "", Piping!J237), IF($N$1="Vessels", IF(ISBLANK(Vessels!J237), "", Vessels!J237), ""))</f>
        <v/>
      </c>
      <c r="K237" s="21" t="str">
        <f>IF($N$1="Piping", IF(ISBLANK(Piping!K237), "", Piping!K237), IF($N$1="Vessels", IF(ISBLANK(Vessels!K237), "", Vessels!K237), ""))</f>
        <v/>
      </c>
      <c r="L237" s="21" t="str">
        <f>IF($N$1="Piping", IF(ISBLANK(Piping!L237), "", Piping!L237), IF($N$1="Vessels", IF(ISBLANK(Vessels!L237), "", Vessels!L237), ""))</f>
        <v/>
      </c>
      <c r="M237" s="21"/>
      <c r="N237" s="21"/>
      <c r="O237" s="21"/>
      <c r="P237" s="21"/>
      <c r="Q237" s="21" t="str">
        <f>IF($N$1="Piping", IF(ISBLANK(Piping!T237), "", Piping!T237), IF($N$1="Vessels", IF(ISBLANK(Vessels!T237), "", Vessels!T237), ""))</f>
        <v/>
      </c>
      <c r="R237" s="51" t="str">
        <f>IF($N$1="Piping", IF(ISBLANK(Piping!U237), "", Piping!U237), IF($N$1="Vessels", IF(ISBLANK(Vessels!U237), "", Vessels!U237), ""))</f>
        <v/>
      </c>
      <c r="S237" s="118" t="str">
        <f>IF(B237&lt;&gt;"",IF($N$1="Piping", IF(ISBLANK(Piping!$J$3), "", Piping!$J$3), IF($N$1="Vessels", IF(ISBLANK(Vessels!$J$3), "", Vessels!$J$3), "")),"")</f>
        <v/>
      </c>
      <c r="T237" s="37"/>
      <c r="U237" s="37"/>
      <c r="V237" s="37"/>
      <c r="W237" s="37"/>
      <c r="X237" s="37"/>
      <c r="Y237" s="37"/>
      <c r="Z237" s="37"/>
    </row>
    <row r="238" spans="1:26" ht="15.75" customHeight="1" x14ac:dyDescent="0.3">
      <c r="A238" s="22">
        <f>IF($N$1="Piping", IF(ISBLANK(Piping!A238), "", Piping!A238), IF($N$1="Vessels", IF(ISBLANK(Vessels!A238), "", Vessels!A238), ""))</f>
        <v>59.1</v>
      </c>
      <c r="B238" s="21" t="str">
        <f>IF($N$1="Piping", IF(ISBLANK(Piping!B238), "", Piping!B238), IF($N$1="Vessels", IF(ISBLANK(Vessels!B238), "", Vessels!B238), ""))</f>
        <v/>
      </c>
      <c r="C238" s="21" t="str">
        <f>IF($N$1="Piping", IF(ISBLANK(Piping!C238), "", Piping!C238), IF($N$1="Vessels", IF(ISBLANK(Vessels!C238), "", Vessels!C238), ""))</f>
        <v>Piping</v>
      </c>
      <c r="D238" s="21" t="str">
        <f>IF($N$1="Piping", IF(ISBLANK(Piping!D238), "", Piping!D238), IF($N$1="Vessels", IF(ISBLANK(Vessels!D238), "", Vessels!D238), ""))</f>
        <v/>
      </c>
      <c r="E238" s="21" t="str">
        <f>IF($N$1="Piping", IF(ISBLANK(Piping!E238), "", Piping!E238), IF($N$1="Vessels", IF(ISBLANK(Vessels!E238), "", Vessels!E238), ""))</f>
        <v/>
      </c>
      <c r="F238" s="21" t="str">
        <f>IF($N$1="Piping", IF(ISBLANK(Piping!F238), "", Piping!F238), IF($N$1="Vessels", IF(ISBLANK(Vessels!F238), "", Vessels!F238), ""))</f>
        <v/>
      </c>
      <c r="G238" s="21">
        <f>IF($N$1="Piping", IF(ISBLANK(Piping!G238), "", Piping!G238), IF($N$1="Vessels", IF(ISBLANK(Vessels!G238), "", Vessels!G238), ""))</f>
        <v>0</v>
      </c>
      <c r="H238" s="21" t="str">
        <f>IF($N$1="Piping", IF(ISBLANK(Piping!H238), "", Piping!H238), IF($N$1="Vessels", IF(ISBLANK(Vessels!H238), "", Vessels!H238), ""))</f>
        <v/>
      </c>
      <c r="I238" s="21" t="str">
        <f>IF($N$1="Piping", IF(ISBLANK(Piping!I238), "", Piping!I238), IF($N$1="Vessels", IF(ISBLANK(Vessels!I238), "", Vessels!I238), ""))</f>
        <v/>
      </c>
      <c r="J238" s="21" t="str">
        <f>IF($N$1="Piping", IF(ISBLANK(Piping!J238), "", Piping!J238), IF($N$1="Vessels", IF(ISBLANK(Vessels!J238), "", Vessels!J238), ""))</f>
        <v/>
      </c>
      <c r="K238" s="21" t="str">
        <f>IF($N$1="Piping", IF(ISBLANK(Piping!K238), "", Piping!K238), IF($N$1="Vessels", IF(ISBLANK(Vessels!K238), "", Vessels!K238), ""))</f>
        <v/>
      </c>
      <c r="L238" s="21" t="str">
        <f>IF($N$1="Piping", IF(ISBLANK(Piping!L238), "", Piping!L238), IF($N$1="Vessels", IF(ISBLANK(Vessels!L238), "", Vessels!L238), ""))</f>
        <v/>
      </c>
      <c r="M238" s="21"/>
      <c r="N238" s="21"/>
      <c r="O238" s="21"/>
      <c r="P238" s="21"/>
      <c r="Q238" s="21" t="str">
        <f>IF($N$1="Piping", IF(ISBLANK(Piping!T238), "", Piping!T238), IF($N$1="Vessels", IF(ISBLANK(Vessels!T238), "", Vessels!T238), ""))</f>
        <v/>
      </c>
      <c r="R238" s="51" t="str">
        <f>IF($N$1="Piping", IF(ISBLANK(Piping!U238), "", Piping!U238), IF($N$1="Vessels", IF(ISBLANK(Vessels!U238), "", Vessels!U238), ""))</f>
        <v/>
      </c>
      <c r="S238" s="118" t="str">
        <f>IF(B238&lt;&gt;"",IF($N$1="Piping", IF(ISBLANK(Piping!$J$3), "", Piping!$J$3), IF($N$1="Vessels", IF(ISBLANK(Vessels!$J$3), "", Vessels!$J$3), "")),"")</f>
        <v/>
      </c>
      <c r="T238" s="37"/>
      <c r="U238" s="37"/>
      <c r="V238" s="37"/>
      <c r="W238" s="37"/>
      <c r="X238" s="37"/>
      <c r="Y238" s="37"/>
      <c r="Z238" s="37"/>
    </row>
    <row r="239" spans="1:26" ht="15.75" customHeight="1" x14ac:dyDescent="0.3">
      <c r="A239" s="22">
        <f>IF($N$1="Piping", IF(ISBLANK(Piping!A239), "", Piping!A239), IF($N$1="Vessels", IF(ISBLANK(Vessels!A239), "", Vessels!A239), ""))</f>
        <v>59.2</v>
      </c>
      <c r="B239" s="21" t="str">
        <f>IF($N$1="Piping", IF(ISBLANK(Piping!B239), "", Piping!B239), IF($N$1="Vessels", IF(ISBLANK(Vessels!B239), "", Vessels!B239), ""))</f>
        <v/>
      </c>
      <c r="C239" s="21" t="str">
        <f>IF($N$1="Piping", IF(ISBLANK(Piping!C239), "", Piping!C239), IF($N$1="Vessels", IF(ISBLANK(Vessels!C239), "", Vessels!C239), ""))</f>
        <v>Piping</v>
      </c>
      <c r="D239" s="21" t="str">
        <f>IF($N$1="Piping", IF(ISBLANK(Piping!D239), "", Piping!D239), IF($N$1="Vessels", IF(ISBLANK(Vessels!D239), "", Vessels!D239), ""))</f>
        <v/>
      </c>
      <c r="E239" s="21" t="str">
        <f>IF($N$1="Piping", IF(ISBLANK(Piping!E239), "", Piping!E239), IF($N$1="Vessels", IF(ISBLANK(Vessels!E239), "", Vessels!E239), ""))</f>
        <v/>
      </c>
      <c r="F239" s="21" t="str">
        <f>IF($N$1="Piping", IF(ISBLANK(Piping!F239), "", Piping!F239), IF($N$1="Vessels", IF(ISBLANK(Vessels!F239), "", Vessels!F239), ""))</f>
        <v/>
      </c>
      <c r="G239" s="21">
        <f>IF($N$1="Piping", IF(ISBLANK(Piping!G239), "", Piping!G239), IF($N$1="Vessels", IF(ISBLANK(Vessels!G239), "", Vessels!G239), ""))</f>
        <v>0</v>
      </c>
      <c r="H239" s="21" t="str">
        <f>IF($N$1="Piping", IF(ISBLANK(Piping!H239), "", Piping!H239), IF($N$1="Vessels", IF(ISBLANK(Vessels!H239), "", Vessels!H239), ""))</f>
        <v/>
      </c>
      <c r="I239" s="21" t="str">
        <f>IF($N$1="Piping", IF(ISBLANK(Piping!I239), "", Piping!I239), IF($N$1="Vessels", IF(ISBLANK(Vessels!I239), "", Vessels!I239), ""))</f>
        <v/>
      </c>
      <c r="J239" s="21" t="str">
        <f>IF($N$1="Piping", IF(ISBLANK(Piping!J239), "", Piping!J239), IF($N$1="Vessels", IF(ISBLANK(Vessels!J239), "", Vessels!J239), ""))</f>
        <v/>
      </c>
      <c r="K239" s="21" t="str">
        <f>IF($N$1="Piping", IF(ISBLANK(Piping!K239), "", Piping!K239), IF($N$1="Vessels", IF(ISBLANK(Vessels!K239), "", Vessels!K239), ""))</f>
        <v/>
      </c>
      <c r="L239" s="21" t="str">
        <f>IF($N$1="Piping", IF(ISBLANK(Piping!L239), "", Piping!L239), IF($N$1="Vessels", IF(ISBLANK(Vessels!L239), "", Vessels!L239), ""))</f>
        <v/>
      </c>
      <c r="M239" s="21"/>
      <c r="N239" s="21"/>
      <c r="O239" s="21"/>
      <c r="P239" s="21"/>
      <c r="Q239" s="21" t="str">
        <f>IF($N$1="Piping", IF(ISBLANK(Piping!T239), "", Piping!T239), IF($N$1="Vessels", IF(ISBLANK(Vessels!T239), "", Vessels!T239), ""))</f>
        <v/>
      </c>
      <c r="R239" s="51" t="str">
        <f>IF($N$1="Piping", IF(ISBLANK(Piping!U239), "", Piping!U239), IF($N$1="Vessels", IF(ISBLANK(Vessels!U239), "", Vessels!U239), ""))</f>
        <v/>
      </c>
      <c r="S239" s="118" t="str">
        <f>IF(B239&lt;&gt;"",IF($N$1="Piping", IF(ISBLANK(Piping!$J$3), "", Piping!$J$3), IF($N$1="Vessels", IF(ISBLANK(Vessels!$J$3), "", Vessels!$J$3), "")),"")</f>
        <v/>
      </c>
      <c r="T239" s="37"/>
      <c r="U239" s="37"/>
      <c r="V239" s="37"/>
      <c r="W239" s="37"/>
      <c r="X239" s="37"/>
      <c r="Y239" s="37"/>
      <c r="Z239" s="37"/>
    </row>
    <row r="240" spans="1:26" ht="15.75" customHeight="1" x14ac:dyDescent="0.3">
      <c r="A240" s="22">
        <f>IF($N$1="Piping", IF(ISBLANK(Piping!A240), "", Piping!A240), IF($N$1="Vessels", IF(ISBLANK(Vessels!A240), "", Vessels!A240), ""))</f>
        <v>59.3</v>
      </c>
      <c r="B240" s="21" t="str">
        <f>IF($N$1="Piping", IF(ISBLANK(Piping!B240), "", Piping!B240), IF($N$1="Vessels", IF(ISBLANK(Vessels!B240), "", Vessels!B240), ""))</f>
        <v/>
      </c>
      <c r="C240" s="21" t="str">
        <f>IF($N$1="Piping", IF(ISBLANK(Piping!C240), "", Piping!C240), IF($N$1="Vessels", IF(ISBLANK(Vessels!C240), "", Vessels!C240), ""))</f>
        <v>Piping</v>
      </c>
      <c r="D240" s="21" t="str">
        <f>IF($N$1="Piping", IF(ISBLANK(Piping!D240), "", Piping!D240), IF($N$1="Vessels", IF(ISBLANK(Vessels!D240), "", Vessels!D240), ""))</f>
        <v/>
      </c>
      <c r="E240" s="21" t="str">
        <f>IF($N$1="Piping", IF(ISBLANK(Piping!E240), "", Piping!E240), IF($N$1="Vessels", IF(ISBLANK(Vessels!E240), "", Vessels!E240), ""))</f>
        <v/>
      </c>
      <c r="F240" s="21" t="str">
        <f>IF($N$1="Piping", IF(ISBLANK(Piping!F240), "", Piping!F240), IF($N$1="Vessels", IF(ISBLANK(Vessels!F240), "", Vessels!F240), ""))</f>
        <v/>
      </c>
      <c r="G240" s="21">
        <f>IF($N$1="Piping", IF(ISBLANK(Piping!G240), "", Piping!G240), IF($N$1="Vessels", IF(ISBLANK(Vessels!G240), "", Vessels!G240), ""))</f>
        <v>0</v>
      </c>
      <c r="H240" s="21" t="str">
        <f>IF($N$1="Piping", IF(ISBLANK(Piping!H240), "", Piping!H240), IF($N$1="Vessels", IF(ISBLANK(Vessels!H240), "", Vessels!H240), ""))</f>
        <v/>
      </c>
      <c r="I240" s="21" t="str">
        <f>IF($N$1="Piping", IF(ISBLANK(Piping!I240), "", Piping!I240), IF($N$1="Vessels", IF(ISBLANK(Vessels!I240), "", Vessels!I240), ""))</f>
        <v/>
      </c>
      <c r="J240" s="21" t="str">
        <f>IF($N$1="Piping", IF(ISBLANK(Piping!J240), "", Piping!J240), IF($N$1="Vessels", IF(ISBLANK(Vessels!J240), "", Vessels!J240), ""))</f>
        <v/>
      </c>
      <c r="K240" s="21" t="str">
        <f>IF($N$1="Piping", IF(ISBLANK(Piping!K240), "", Piping!K240), IF($N$1="Vessels", IF(ISBLANK(Vessels!K240), "", Vessels!K240), ""))</f>
        <v/>
      </c>
      <c r="L240" s="21" t="str">
        <f>IF($N$1="Piping", IF(ISBLANK(Piping!L240), "", Piping!L240), IF($N$1="Vessels", IF(ISBLANK(Vessels!L240), "", Vessels!L240), ""))</f>
        <v/>
      </c>
      <c r="M240" s="21"/>
      <c r="N240" s="21"/>
      <c r="O240" s="21"/>
      <c r="P240" s="21"/>
      <c r="Q240" s="21" t="str">
        <f>IF($N$1="Piping", IF(ISBLANK(Piping!T240), "", Piping!T240), IF($N$1="Vessels", IF(ISBLANK(Vessels!T240), "", Vessels!T240), ""))</f>
        <v/>
      </c>
      <c r="R240" s="51" t="str">
        <f>IF($N$1="Piping", IF(ISBLANK(Piping!U240), "", Piping!U240), IF($N$1="Vessels", IF(ISBLANK(Vessels!U240), "", Vessels!U240), ""))</f>
        <v/>
      </c>
      <c r="S240" s="118" t="str">
        <f>IF(B240&lt;&gt;"",IF($N$1="Piping", IF(ISBLANK(Piping!$J$3), "", Piping!$J$3), IF($N$1="Vessels", IF(ISBLANK(Vessels!$J$3), "", Vessels!$J$3), "")),"")</f>
        <v/>
      </c>
      <c r="T240" s="37"/>
      <c r="U240" s="37"/>
      <c r="V240" s="37"/>
      <c r="W240" s="37"/>
      <c r="X240" s="37"/>
      <c r="Y240" s="37"/>
      <c r="Z240" s="37"/>
    </row>
    <row r="241" spans="1:26" ht="15.75" customHeight="1" x14ac:dyDescent="0.3">
      <c r="A241" s="22">
        <f>IF($N$1="Piping", IF(ISBLANK(Piping!A241), "", Piping!A241), IF($N$1="Vessels", IF(ISBLANK(Vessels!A241), "", Vessels!A241), ""))</f>
        <v>59.4</v>
      </c>
      <c r="B241" s="21" t="str">
        <f>IF($N$1="Piping", IF(ISBLANK(Piping!B241), "", Piping!B241), IF($N$1="Vessels", IF(ISBLANK(Vessels!B241), "", Vessels!B241), ""))</f>
        <v/>
      </c>
      <c r="C241" s="21" t="str">
        <f>IF($N$1="Piping", IF(ISBLANK(Piping!C241), "", Piping!C241), IF($N$1="Vessels", IF(ISBLANK(Vessels!C241), "", Vessels!C241), ""))</f>
        <v>Piping</v>
      </c>
      <c r="D241" s="21" t="str">
        <f>IF($N$1="Piping", IF(ISBLANK(Piping!D241), "", Piping!D241), IF($N$1="Vessels", IF(ISBLANK(Vessels!D241), "", Vessels!D241), ""))</f>
        <v/>
      </c>
      <c r="E241" s="21" t="str">
        <f>IF($N$1="Piping", IF(ISBLANK(Piping!E241), "", Piping!E241), IF($N$1="Vessels", IF(ISBLANK(Vessels!E241), "", Vessels!E241), ""))</f>
        <v/>
      </c>
      <c r="F241" s="21" t="str">
        <f>IF($N$1="Piping", IF(ISBLANK(Piping!F241), "", Piping!F241), IF($N$1="Vessels", IF(ISBLANK(Vessels!F241), "", Vessels!F241), ""))</f>
        <v/>
      </c>
      <c r="G241" s="21">
        <f>IF($N$1="Piping", IF(ISBLANK(Piping!G241), "", Piping!G241), IF($N$1="Vessels", IF(ISBLANK(Vessels!G241), "", Vessels!G241), ""))</f>
        <v>0</v>
      </c>
      <c r="H241" s="21" t="str">
        <f>IF($N$1="Piping", IF(ISBLANK(Piping!H241), "", Piping!H241), IF($N$1="Vessels", IF(ISBLANK(Vessels!H241), "", Vessels!H241), ""))</f>
        <v/>
      </c>
      <c r="I241" s="21" t="str">
        <f>IF($N$1="Piping", IF(ISBLANK(Piping!I241), "", Piping!I241), IF($N$1="Vessels", IF(ISBLANK(Vessels!I241), "", Vessels!I241), ""))</f>
        <v/>
      </c>
      <c r="J241" s="21" t="str">
        <f>IF($N$1="Piping", IF(ISBLANK(Piping!J241), "", Piping!J241), IF($N$1="Vessels", IF(ISBLANK(Vessels!J241), "", Vessels!J241), ""))</f>
        <v/>
      </c>
      <c r="K241" s="21" t="str">
        <f>IF($N$1="Piping", IF(ISBLANK(Piping!K241), "", Piping!K241), IF($N$1="Vessels", IF(ISBLANK(Vessels!K241), "", Vessels!K241), ""))</f>
        <v/>
      </c>
      <c r="L241" s="21" t="str">
        <f>IF($N$1="Piping", IF(ISBLANK(Piping!L241), "", Piping!L241), IF($N$1="Vessels", IF(ISBLANK(Vessels!L241), "", Vessels!L241), ""))</f>
        <v/>
      </c>
      <c r="M241" s="21"/>
      <c r="N241" s="21"/>
      <c r="O241" s="21"/>
      <c r="P241" s="21"/>
      <c r="Q241" s="21" t="str">
        <f>IF($N$1="Piping", IF(ISBLANK(Piping!T241), "", Piping!T241), IF($N$1="Vessels", IF(ISBLANK(Vessels!T241), "", Vessels!T241), ""))</f>
        <v/>
      </c>
      <c r="R241" s="51" t="str">
        <f>IF($N$1="Piping", IF(ISBLANK(Piping!U241), "", Piping!U241), IF($N$1="Vessels", IF(ISBLANK(Vessels!U241), "", Vessels!U241), ""))</f>
        <v/>
      </c>
      <c r="S241" s="118" t="str">
        <f>IF(B241&lt;&gt;"",IF($N$1="Piping", IF(ISBLANK(Piping!$J$3), "", Piping!$J$3), IF($N$1="Vessels", IF(ISBLANK(Vessels!$J$3), "", Vessels!$J$3), "")),"")</f>
        <v/>
      </c>
      <c r="T241" s="37"/>
      <c r="U241" s="37"/>
      <c r="V241" s="37"/>
      <c r="W241" s="37"/>
      <c r="X241" s="37"/>
      <c r="Y241" s="37"/>
      <c r="Z241" s="37"/>
    </row>
    <row r="242" spans="1:26" ht="15.75" customHeight="1" x14ac:dyDescent="0.3">
      <c r="A242" s="22">
        <f>IF($N$1="Piping", IF(ISBLANK(Piping!A242), "", Piping!A242), IF($N$1="Vessels", IF(ISBLANK(Vessels!A242), "", Vessels!A242), ""))</f>
        <v>60.1</v>
      </c>
      <c r="B242" s="21" t="str">
        <f>IF($N$1="Piping", IF(ISBLANK(Piping!B242), "", Piping!B242), IF($N$1="Vessels", IF(ISBLANK(Vessels!B242), "", Vessels!B242), ""))</f>
        <v/>
      </c>
      <c r="C242" s="21" t="str">
        <f>IF($N$1="Piping", IF(ISBLANK(Piping!C242), "", Piping!C242), IF($N$1="Vessels", IF(ISBLANK(Vessels!C242), "", Vessels!C242), ""))</f>
        <v>Piping</v>
      </c>
      <c r="D242" s="21" t="str">
        <f>IF($N$1="Piping", IF(ISBLANK(Piping!D242), "", Piping!D242), IF($N$1="Vessels", IF(ISBLANK(Vessels!D242), "", Vessels!D242), ""))</f>
        <v/>
      </c>
      <c r="E242" s="21" t="str">
        <f>IF($N$1="Piping", IF(ISBLANK(Piping!E242), "", Piping!E242), IF($N$1="Vessels", IF(ISBLANK(Vessels!E242), "", Vessels!E242), ""))</f>
        <v/>
      </c>
      <c r="F242" s="21" t="str">
        <f>IF($N$1="Piping", IF(ISBLANK(Piping!F242), "", Piping!F242), IF($N$1="Vessels", IF(ISBLANK(Vessels!F242), "", Vessels!F242), ""))</f>
        <v/>
      </c>
      <c r="G242" s="21">
        <f>IF($N$1="Piping", IF(ISBLANK(Piping!G242), "", Piping!G242), IF($N$1="Vessels", IF(ISBLANK(Vessels!G242), "", Vessels!G242), ""))</f>
        <v>0</v>
      </c>
      <c r="H242" s="21" t="str">
        <f>IF($N$1="Piping", IF(ISBLANK(Piping!H242), "", Piping!H242), IF($N$1="Vessels", IF(ISBLANK(Vessels!H242), "", Vessels!H242), ""))</f>
        <v/>
      </c>
      <c r="I242" s="21" t="str">
        <f>IF($N$1="Piping", IF(ISBLANK(Piping!I242), "", Piping!I242), IF($N$1="Vessels", IF(ISBLANK(Vessels!I242), "", Vessels!I242), ""))</f>
        <v/>
      </c>
      <c r="J242" s="21" t="str">
        <f>IF($N$1="Piping", IF(ISBLANK(Piping!J242), "", Piping!J242), IF($N$1="Vessels", IF(ISBLANK(Vessels!J242), "", Vessels!J242), ""))</f>
        <v/>
      </c>
      <c r="K242" s="21" t="str">
        <f>IF($N$1="Piping", IF(ISBLANK(Piping!K242), "", Piping!K242), IF($N$1="Vessels", IF(ISBLANK(Vessels!K242), "", Vessels!K242), ""))</f>
        <v/>
      </c>
      <c r="L242" s="21" t="str">
        <f>IF($N$1="Piping", IF(ISBLANK(Piping!L242), "", Piping!L242), IF($N$1="Vessels", IF(ISBLANK(Vessels!L242), "", Vessels!L242), ""))</f>
        <v/>
      </c>
      <c r="M242" s="21"/>
      <c r="N242" s="21"/>
      <c r="O242" s="21"/>
      <c r="P242" s="21"/>
      <c r="Q242" s="21" t="str">
        <f>IF($N$1="Piping", IF(ISBLANK(Piping!T242), "", Piping!T242), IF($N$1="Vessels", IF(ISBLANK(Vessels!T242), "", Vessels!T242), ""))</f>
        <v/>
      </c>
      <c r="R242" s="51" t="str">
        <f>IF($N$1="Piping", IF(ISBLANK(Piping!U242), "", Piping!U242), IF($N$1="Vessels", IF(ISBLANK(Vessels!U242), "", Vessels!U242), ""))</f>
        <v/>
      </c>
      <c r="S242" s="118" t="str">
        <f>IF(B242&lt;&gt;"",IF($N$1="Piping", IF(ISBLANK(Piping!$J$3), "", Piping!$J$3), IF($N$1="Vessels", IF(ISBLANK(Vessels!$J$3), "", Vessels!$J$3), "")),"")</f>
        <v/>
      </c>
      <c r="T242" s="37"/>
      <c r="U242" s="37"/>
      <c r="V242" s="37"/>
      <c r="W242" s="37"/>
      <c r="X242" s="37"/>
      <c r="Y242" s="37"/>
      <c r="Z242" s="37"/>
    </row>
    <row r="243" spans="1:26" ht="15.75" customHeight="1" x14ac:dyDescent="0.3">
      <c r="A243" s="22">
        <f>IF($N$1="Piping", IF(ISBLANK(Piping!A243), "", Piping!A243), IF($N$1="Vessels", IF(ISBLANK(Vessels!A243), "", Vessels!A243), ""))</f>
        <v>60.2</v>
      </c>
      <c r="B243" s="21" t="str">
        <f>IF($N$1="Piping", IF(ISBLANK(Piping!B243), "", Piping!B243), IF($N$1="Vessels", IF(ISBLANK(Vessels!B243), "", Vessels!B243), ""))</f>
        <v/>
      </c>
      <c r="C243" s="21" t="str">
        <f>IF($N$1="Piping", IF(ISBLANK(Piping!C243), "", Piping!C243), IF($N$1="Vessels", IF(ISBLANK(Vessels!C243), "", Vessels!C243), ""))</f>
        <v>Piping</v>
      </c>
      <c r="D243" s="21" t="str">
        <f>IF($N$1="Piping", IF(ISBLANK(Piping!D243), "", Piping!D243), IF($N$1="Vessels", IF(ISBLANK(Vessels!D243), "", Vessels!D243), ""))</f>
        <v/>
      </c>
      <c r="E243" s="21" t="str">
        <f>IF($N$1="Piping", IF(ISBLANK(Piping!E243), "", Piping!E243), IF($N$1="Vessels", IF(ISBLANK(Vessels!E243), "", Vessels!E243), ""))</f>
        <v/>
      </c>
      <c r="F243" s="21" t="str">
        <f>IF($N$1="Piping", IF(ISBLANK(Piping!F243), "", Piping!F243), IF($N$1="Vessels", IF(ISBLANK(Vessels!F243), "", Vessels!F243), ""))</f>
        <v/>
      </c>
      <c r="G243" s="21">
        <f>IF($N$1="Piping", IF(ISBLANK(Piping!G243), "", Piping!G243), IF($N$1="Vessels", IF(ISBLANK(Vessels!G243), "", Vessels!G243), ""))</f>
        <v>0</v>
      </c>
      <c r="H243" s="21" t="str">
        <f>IF($N$1="Piping", IF(ISBLANK(Piping!H243), "", Piping!H243), IF($N$1="Vessels", IF(ISBLANK(Vessels!H243), "", Vessels!H243), ""))</f>
        <v/>
      </c>
      <c r="I243" s="21" t="str">
        <f>IF($N$1="Piping", IF(ISBLANK(Piping!I243), "", Piping!I243), IF($N$1="Vessels", IF(ISBLANK(Vessels!I243), "", Vessels!I243), ""))</f>
        <v/>
      </c>
      <c r="J243" s="21" t="str">
        <f>IF($N$1="Piping", IF(ISBLANK(Piping!J243), "", Piping!J243), IF($N$1="Vessels", IF(ISBLANK(Vessels!J243), "", Vessels!J243), ""))</f>
        <v/>
      </c>
      <c r="K243" s="21" t="str">
        <f>IF($N$1="Piping", IF(ISBLANK(Piping!K243), "", Piping!K243), IF($N$1="Vessels", IF(ISBLANK(Vessels!K243), "", Vessels!K243), ""))</f>
        <v/>
      </c>
      <c r="L243" s="21" t="str">
        <f>IF($N$1="Piping", IF(ISBLANK(Piping!L243), "", Piping!L243), IF($N$1="Vessels", IF(ISBLANK(Vessels!L243), "", Vessels!L243), ""))</f>
        <v/>
      </c>
      <c r="M243" s="21"/>
      <c r="N243" s="21"/>
      <c r="O243" s="21"/>
      <c r="P243" s="21"/>
      <c r="Q243" s="21" t="str">
        <f>IF($N$1="Piping", IF(ISBLANK(Piping!T243), "", Piping!T243), IF($N$1="Vessels", IF(ISBLANK(Vessels!T243), "", Vessels!T243), ""))</f>
        <v/>
      </c>
      <c r="R243" s="51" t="str">
        <f>IF($N$1="Piping", IF(ISBLANK(Piping!U243), "", Piping!U243), IF($N$1="Vessels", IF(ISBLANK(Vessels!U243), "", Vessels!U243), ""))</f>
        <v/>
      </c>
      <c r="S243" s="118" t="str">
        <f>IF(B243&lt;&gt;"",IF($N$1="Piping", IF(ISBLANK(Piping!$J$3), "", Piping!$J$3), IF($N$1="Vessels", IF(ISBLANK(Vessels!$J$3), "", Vessels!$J$3), "")),"")</f>
        <v/>
      </c>
      <c r="T243" s="37"/>
      <c r="U243" s="37"/>
      <c r="V243" s="37"/>
      <c r="W243" s="37"/>
      <c r="X243" s="37"/>
      <c r="Y243" s="37"/>
      <c r="Z243" s="37"/>
    </row>
    <row r="244" spans="1:26" ht="15.75" customHeight="1" x14ac:dyDescent="0.3">
      <c r="A244" s="22">
        <f>IF($N$1="Piping", IF(ISBLANK(Piping!A244), "", Piping!A244), IF($N$1="Vessels", IF(ISBLANK(Vessels!A244), "", Vessels!A244), ""))</f>
        <v>60.3</v>
      </c>
      <c r="B244" s="21" t="str">
        <f>IF($N$1="Piping", IF(ISBLANK(Piping!B244), "", Piping!B244), IF($N$1="Vessels", IF(ISBLANK(Vessels!B244), "", Vessels!B244), ""))</f>
        <v/>
      </c>
      <c r="C244" s="21" t="str">
        <f>IF($N$1="Piping", IF(ISBLANK(Piping!C244), "", Piping!C244), IF($N$1="Vessels", IF(ISBLANK(Vessels!C244), "", Vessels!C244), ""))</f>
        <v>Piping</v>
      </c>
      <c r="D244" s="21" t="str">
        <f>IF($N$1="Piping", IF(ISBLANK(Piping!D244), "", Piping!D244), IF($N$1="Vessels", IF(ISBLANK(Vessels!D244), "", Vessels!D244), ""))</f>
        <v/>
      </c>
      <c r="E244" s="21" t="str">
        <f>IF($N$1="Piping", IF(ISBLANK(Piping!E244), "", Piping!E244), IF($N$1="Vessels", IF(ISBLANK(Vessels!E244), "", Vessels!E244), ""))</f>
        <v/>
      </c>
      <c r="F244" s="21" t="str">
        <f>IF($N$1="Piping", IF(ISBLANK(Piping!F244), "", Piping!F244), IF($N$1="Vessels", IF(ISBLANK(Vessels!F244), "", Vessels!F244), ""))</f>
        <v/>
      </c>
      <c r="G244" s="21">
        <f>IF($N$1="Piping", IF(ISBLANK(Piping!G244), "", Piping!G244), IF($N$1="Vessels", IF(ISBLANK(Vessels!G244), "", Vessels!G244), ""))</f>
        <v>0</v>
      </c>
      <c r="H244" s="21" t="str">
        <f>IF($N$1="Piping", IF(ISBLANK(Piping!H244), "", Piping!H244), IF($N$1="Vessels", IF(ISBLANK(Vessels!H244), "", Vessels!H244), ""))</f>
        <v/>
      </c>
      <c r="I244" s="21" t="str">
        <f>IF($N$1="Piping", IF(ISBLANK(Piping!I244), "", Piping!I244), IF($N$1="Vessels", IF(ISBLANK(Vessels!I244), "", Vessels!I244), ""))</f>
        <v/>
      </c>
      <c r="J244" s="21" t="str">
        <f>IF($N$1="Piping", IF(ISBLANK(Piping!J244), "", Piping!J244), IF($N$1="Vessels", IF(ISBLANK(Vessels!J244), "", Vessels!J244), ""))</f>
        <v/>
      </c>
      <c r="K244" s="21" t="str">
        <f>IF($N$1="Piping", IF(ISBLANK(Piping!K244), "", Piping!K244), IF($N$1="Vessels", IF(ISBLANK(Vessels!K244), "", Vessels!K244), ""))</f>
        <v/>
      </c>
      <c r="L244" s="21" t="str">
        <f>IF($N$1="Piping", IF(ISBLANK(Piping!L244), "", Piping!L244), IF($N$1="Vessels", IF(ISBLANK(Vessels!L244), "", Vessels!L244), ""))</f>
        <v/>
      </c>
      <c r="M244" s="21"/>
      <c r="N244" s="21"/>
      <c r="O244" s="21"/>
      <c r="P244" s="21"/>
      <c r="Q244" s="21" t="str">
        <f>IF($N$1="Piping", IF(ISBLANK(Piping!T244), "", Piping!T244), IF($N$1="Vessels", IF(ISBLANK(Vessels!T244), "", Vessels!T244), ""))</f>
        <v/>
      </c>
      <c r="R244" s="51" t="str">
        <f>IF($N$1="Piping", IF(ISBLANK(Piping!U244), "", Piping!U244), IF($N$1="Vessels", IF(ISBLANK(Vessels!U244), "", Vessels!U244), ""))</f>
        <v/>
      </c>
      <c r="S244" s="118" t="str">
        <f>IF(B244&lt;&gt;"",IF($N$1="Piping", IF(ISBLANK(Piping!$J$3), "", Piping!$J$3), IF($N$1="Vessels", IF(ISBLANK(Vessels!$J$3), "", Vessels!$J$3), "")),"")</f>
        <v/>
      </c>
      <c r="T244" s="37"/>
      <c r="U244" s="37"/>
      <c r="V244" s="37"/>
      <c r="W244" s="37"/>
      <c r="X244" s="37"/>
      <c r="Y244" s="37"/>
      <c r="Z244" s="37"/>
    </row>
    <row r="245" spans="1:26" ht="15.75" customHeight="1" x14ac:dyDescent="0.3">
      <c r="A245" s="22">
        <f>IF($N$1="Piping", IF(ISBLANK(Piping!A245), "", Piping!A245), IF($N$1="Vessels", IF(ISBLANK(Vessels!A245), "", Vessels!A245), ""))</f>
        <v>60.4</v>
      </c>
      <c r="B245" s="21" t="str">
        <f>IF($N$1="Piping", IF(ISBLANK(Piping!B245), "", Piping!B245), IF($N$1="Vessels", IF(ISBLANK(Vessels!B245), "", Vessels!B245), ""))</f>
        <v/>
      </c>
      <c r="C245" s="21" t="str">
        <f>IF($N$1="Piping", IF(ISBLANK(Piping!C245), "", Piping!C245), IF($N$1="Vessels", IF(ISBLANK(Vessels!C245), "", Vessels!C245), ""))</f>
        <v>Piping</v>
      </c>
      <c r="D245" s="21" t="str">
        <f>IF($N$1="Piping", IF(ISBLANK(Piping!D245), "", Piping!D245), IF($N$1="Vessels", IF(ISBLANK(Vessels!D245), "", Vessels!D245), ""))</f>
        <v/>
      </c>
      <c r="E245" s="21" t="str">
        <f>IF($N$1="Piping", IF(ISBLANK(Piping!E245), "", Piping!E245), IF($N$1="Vessels", IF(ISBLANK(Vessels!E245), "", Vessels!E245), ""))</f>
        <v/>
      </c>
      <c r="F245" s="21" t="str">
        <f>IF($N$1="Piping", IF(ISBLANK(Piping!F245), "", Piping!F245), IF($N$1="Vessels", IF(ISBLANK(Vessels!F245), "", Vessels!F245), ""))</f>
        <v/>
      </c>
      <c r="G245" s="21">
        <f>IF($N$1="Piping", IF(ISBLANK(Piping!G245), "", Piping!G245), IF($N$1="Vessels", IF(ISBLANK(Vessels!G245), "", Vessels!G245), ""))</f>
        <v>0</v>
      </c>
      <c r="H245" s="21" t="str">
        <f>IF($N$1="Piping", IF(ISBLANK(Piping!H245), "", Piping!H245), IF($N$1="Vessels", IF(ISBLANK(Vessels!H245), "", Vessels!H245), ""))</f>
        <v/>
      </c>
      <c r="I245" s="21" t="str">
        <f>IF($N$1="Piping", IF(ISBLANK(Piping!I245), "", Piping!I245), IF($N$1="Vessels", IF(ISBLANK(Vessels!I245), "", Vessels!I245), ""))</f>
        <v/>
      </c>
      <c r="J245" s="21" t="str">
        <f>IF($N$1="Piping", IF(ISBLANK(Piping!J245), "", Piping!J245), IF($N$1="Vessels", IF(ISBLANK(Vessels!J245), "", Vessels!J245), ""))</f>
        <v/>
      </c>
      <c r="K245" s="21" t="str">
        <f>IF($N$1="Piping", IF(ISBLANK(Piping!K245), "", Piping!K245), IF($N$1="Vessels", IF(ISBLANK(Vessels!K245), "", Vessels!K245), ""))</f>
        <v/>
      </c>
      <c r="L245" s="21" t="str">
        <f>IF($N$1="Piping", IF(ISBLANK(Piping!L245), "", Piping!L245), IF($N$1="Vessels", IF(ISBLANK(Vessels!L245), "", Vessels!L245), ""))</f>
        <v/>
      </c>
      <c r="M245" s="21"/>
      <c r="N245" s="21"/>
      <c r="O245" s="21"/>
      <c r="P245" s="21"/>
      <c r="Q245" s="21" t="str">
        <f>IF($N$1="Piping", IF(ISBLANK(Piping!T245), "", Piping!T245), IF($N$1="Vessels", IF(ISBLANK(Vessels!T245), "", Vessels!T245), ""))</f>
        <v/>
      </c>
      <c r="R245" s="51" t="str">
        <f>IF($N$1="Piping", IF(ISBLANK(Piping!U245), "", Piping!U245), IF($N$1="Vessels", IF(ISBLANK(Vessels!U245), "", Vessels!U245), ""))</f>
        <v/>
      </c>
      <c r="S245" s="118" t="str">
        <f>IF(B245&lt;&gt;"",IF($N$1="Piping", IF(ISBLANK(Piping!$J$3), "", Piping!$J$3), IF($N$1="Vessels", IF(ISBLANK(Vessels!$J$3), "", Vessels!$J$3), "")),"")</f>
        <v/>
      </c>
      <c r="T245" s="37"/>
      <c r="U245" s="37"/>
      <c r="V245" s="37"/>
      <c r="W245" s="37"/>
      <c r="X245" s="37"/>
      <c r="Y245" s="37"/>
      <c r="Z245" s="37"/>
    </row>
    <row r="246" spans="1:26" ht="15.75" customHeight="1" x14ac:dyDescent="0.3">
      <c r="A246" s="22">
        <f>IF($N$1="Piping", IF(ISBLANK(Piping!A246), "", Piping!A246), IF($N$1="Vessels", IF(ISBLANK(Vessels!A246), "", Vessels!A246), ""))</f>
        <v>61.1</v>
      </c>
      <c r="B246" s="21" t="str">
        <f>IF($N$1="Piping", IF(ISBLANK(Piping!B246), "", Piping!B246), IF($N$1="Vessels", IF(ISBLANK(Vessels!B246), "", Vessels!B246), ""))</f>
        <v/>
      </c>
      <c r="C246" s="21" t="str">
        <f>IF($N$1="Piping", IF(ISBLANK(Piping!C246), "", Piping!C246), IF($N$1="Vessels", IF(ISBLANK(Vessels!C246), "", Vessels!C246), ""))</f>
        <v>Piping</v>
      </c>
      <c r="D246" s="21" t="str">
        <f>IF($N$1="Piping", IF(ISBLANK(Piping!D246), "", Piping!D246), IF($N$1="Vessels", IF(ISBLANK(Vessels!D246), "", Vessels!D246), ""))</f>
        <v/>
      </c>
      <c r="E246" s="21" t="str">
        <f>IF($N$1="Piping", IF(ISBLANK(Piping!E246), "", Piping!E246), IF($N$1="Vessels", IF(ISBLANK(Vessels!E246), "", Vessels!E246), ""))</f>
        <v/>
      </c>
      <c r="F246" s="21" t="str">
        <f>IF($N$1="Piping", IF(ISBLANK(Piping!F246), "", Piping!F246), IF($N$1="Vessels", IF(ISBLANK(Vessels!F246), "", Vessels!F246), ""))</f>
        <v/>
      </c>
      <c r="G246" s="21">
        <f>IF($N$1="Piping", IF(ISBLANK(Piping!G246), "", Piping!G246), IF($N$1="Vessels", IF(ISBLANK(Vessels!G246), "", Vessels!G246), ""))</f>
        <v>0</v>
      </c>
      <c r="H246" s="21" t="str">
        <f>IF($N$1="Piping", IF(ISBLANK(Piping!H246), "", Piping!H246), IF($N$1="Vessels", IF(ISBLANK(Vessels!H246), "", Vessels!H246), ""))</f>
        <v/>
      </c>
      <c r="I246" s="21" t="str">
        <f>IF($N$1="Piping", IF(ISBLANK(Piping!I246), "", Piping!I246), IF($N$1="Vessels", IF(ISBLANK(Vessels!I246), "", Vessels!I246), ""))</f>
        <v/>
      </c>
      <c r="J246" s="21" t="str">
        <f>IF($N$1="Piping", IF(ISBLANK(Piping!J246), "", Piping!J246), IF($N$1="Vessels", IF(ISBLANK(Vessels!J246), "", Vessels!J246), ""))</f>
        <v/>
      </c>
      <c r="K246" s="21" t="str">
        <f>IF($N$1="Piping", IF(ISBLANK(Piping!K246), "", Piping!K246), IF($N$1="Vessels", IF(ISBLANK(Vessels!K246), "", Vessels!K246), ""))</f>
        <v/>
      </c>
      <c r="L246" s="21" t="str">
        <f>IF($N$1="Piping", IF(ISBLANK(Piping!L246), "", Piping!L246), IF($N$1="Vessels", IF(ISBLANK(Vessels!L246), "", Vessels!L246), ""))</f>
        <v/>
      </c>
      <c r="M246" s="21"/>
      <c r="N246" s="21"/>
      <c r="O246" s="21"/>
      <c r="P246" s="21"/>
      <c r="Q246" s="21" t="str">
        <f>IF($N$1="Piping", IF(ISBLANK(Piping!T246), "", Piping!T246), IF($N$1="Vessels", IF(ISBLANK(Vessels!T246), "", Vessels!T246), ""))</f>
        <v/>
      </c>
      <c r="R246" s="51" t="str">
        <f>IF($N$1="Piping", IF(ISBLANK(Piping!U246), "", Piping!U246), IF($N$1="Vessels", IF(ISBLANK(Vessels!U246), "", Vessels!U246), ""))</f>
        <v/>
      </c>
      <c r="S246" s="118" t="str">
        <f>IF(B246&lt;&gt;"",IF($N$1="Piping", IF(ISBLANK(Piping!$J$3), "", Piping!$J$3), IF($N$1="Vessels", IF(ISBLANK(Vessels!$J$3), "", Vessels!$J$3), "")),"")</f>
        <v/>
      </c>
      <c r="T246" s="37"/>
      <c r="U246" s="37"/>
      <c r="V246" s="37"/>
      <c r="W246" s="37"/>
      <c r="X246" s="37"/>
      <c r="Y246" s="37"/>
      <c r="Z246" s="37"/>
    </row>
    <row r="247" spans="1:26" ht="15.75" customHeight="1" x14ac:dyDescent="0.3">
      <c r="A247" s="22">
        <f>IF($N$1="Piping", IF(ISBLANK(Piping!A247), "", Piping!A247), IF($N$1="Vessels", IF(ISBLANK(Vessels!A247), "", Vessels!A247), ""))</f>
        <v>61.2</v>
      </c>
      <c r="B247" s="21" t="str">
        <f>IF($N$1="Piping", IF(ISBLANK(Piping!B247), "", Piping!B247), IF($N$1="Vessels", IF(ISBLANK(Vessels!B247), "", Vessels!B247), ""))</f>
        <v/>
      </c>
      <c r="C247" s="21" t="str">
        <f>IF($N$1="Piping", IF(ISBLANK(Piping!C247), "", Piping!C247), IF($N$1="Vessels", IF(ISBLANK(Vessels!C247), "", Vessels!C247), ""))</f>
        <v>Piping</v>
      </c>
      <c r="D247" s="21" t="str">
        <f>IF($N$1="Piping", IF(ISBLANK(Piping!D247), "", Piping!D247), IF($N$1="Vessels", IF(ISBLANK(Vessels!D247), "", Vessels!D247), ""))</f>
        <v/>
      </c>
      <c r="E247" s="21" t="str">
        <f>IF($N$1="Piping", IF(ISBLANK(Piping!E247), "", Piping!E247), IF($N$1="Vessels", IF(ISBLANK(Vessels!E247), "", Vessels!E247), ""))</f>
        <v/>
      </c>
      <c r="F247" s="21" t="str">
        <f>IF($N$1="Piping", IF(ISBLANK(Piping!F247), "", Piping!F247), IF($N$1="Vessels", IF(ISBLANK(Vessels!F247), "", Vessels!F247), ""))</f>
        <v/>
      </c>
      <c r="G247" s="21">
        <f>IF($N$1="Piping", IF(ISBLANK(Piping!G247), "", Piping!G247), IF($N$1="Vessels", IF(ISBLANK(Vessels!G247), "", Vessels!G247), ""))</f>
        <v>0</v>
      </c>
      <c r="H247" s="21" t="str">
        <f>IF($N$1="Piping", IF(ISBLANK(Piping!H247), "", Piping!H247), IF($N$1="Vessels", IF(ISBLANK(Vessels!H247), "", Vessels!H247), ""))</f>
        <v/>
      </c>
      <c r="I247" s="21" t="str">
        <f>IF($N$1="Piping", IF(ISBLANK(Piping!I247), "", Piping!I247), IF($N$1="Vessels", IF(ISBLANK(Vessels!I247), "", Vessels!I247), ""))</f>
        <v/>
      </c>
      <c r="J247" s="21" t="str">
        <f>IF($N$1="Piping", IF(ISBLANK(Piping!J247), "", Piping!J247), IF($N$1="Vessels", IF(ISBLANK(Vessels!J247), "", Vessels!J247), ""))</f>
        <v/>
      </c>
      <c r="K247" s="21" t="str">
        <f>IF($N$1="Piping", IF(ISBLANK(Piping!K247), "", Piping!K247), IF($N$1="Vessels", IF(ISBLANK(Vessels!K247), "", Vessels!K247), ""))</f>
        <v/>
      </c>
      <c r="L247" s="21" t="str">
        <f>IF($N$1="Piping", IF(ISBLANK(Piping!L247), "", Piping!L247), IF($N$1="Vessels", IF(ISBLANK(Vessels!L247), "", Vessels!L247), ""))</f>
        <v/>
      </c>
      <c r="M247" s="21"/>
      <c r="N247" s="21"/>
      <c r="O247" s="21"/>
      <c r="P247" s="21"/>
      <c r="Q247" s="21" t="str">
        <f>IF($N$1="Piping", IF(ISBLANK(Piping!T247), "", Piping!T247), IF($N$1="Vessels", IF(ISBLANK(Vessels!T247), "", Vessels!T247), ""))</f>
        <v/>
      </c>
      <c r="R247" s="51" t="str">
        <f>IF($N$1="Piping", IF(ISBLANK(Piping!U247), "", Piping!U247), IF($N$1="Vessels", IF(ISBLANK(Vessels!U247), "", Vessels!U247), ""))</f>
        <v/>
      </c>
      <c r="S247" s="118" t="str">
        <f>IF(B247&lt;&gt;"",IF($N$1="Piping", IF(ISBLANK(Piping!$J$3), "", Piping!$J$3), IF($N$1="Vessels", IF(ISBLANK(Vessels!$J$3), "", Vessels!$J$3), "")),"")</f>
        <v/>
      </c>
      <c r="T247" s="37"/>
      <c r="U247" s="37"/>
      <c r="V247" s="37"/>
      <c r="W247" s="37"/>
      <c r="X247" s="37"/>
      <c r="Y247" s="37"/>
      <c r="Z247" s="37"/>
    </row>
    <row r="248" spans="1:26" ht="15.75" customHeight="1" x14ac:dyDescent="0.3">
      <c r="A248" s="22">
        <f>IF($N$1="Piping", IF(ISBLANK(Piping!A248), "", Piping!A248), IF($N$1="Vessels", IF(ISBLANK(Vessels!A248), "", Vessels!A248), ""))</f>
        <v>61.3</v>
      </c>
      <c r="B248" s="21" t="str">
        <f>IF($N$1="Piping", IF(ISBLANK(Piping!B248), "", Piping!B248), IF($N$1="Vessels", IF(ISBLANK(Vessels!B248), "", Vessels!B248), ""))</f>
        <v/>
      </c>
      <c r="C248" s="21" t="str">
        <f>IF($N$1="Piping", IF(ISBLANK(Piping!C248), "", Piping!C248), IF($N$1="Vessels", IF(ISBLANK(Vessels!C248), "", Vessels!C248), ""))</f>
        <v>Piping</v>
      </c>
      <c r="D248" s="21" t="str">
        <f>IF($N$1="Piping", IF(ISBLANK(Piping!D248), "", Piping!D248), IF($N$1="Vessels", IF(ISBLANK(Vessels!D248), "", Vessels!D248), ""))</f>
        <v/>
      </c>
      <c r="E248" s="21" t="str">
        <f>IF($N$1="Piping", IF(ISBLANK(Piping!E248), "", Piping!E248), IF($N$1="Vessels", IF(ISBLANK(Vessels!E248), "", Vessels!E248), ""))</f>
        <v/>
      </c>
      <c r="F248" s="21" t="str">
        <f>IF($N$1="Piping", IF(ISBLANK(Piping!F248), "", Piping!F248), IF($N$1="Vessels", IF(ISBLANK(Vessels!F248), "", Vessels!F248), ""))</f>
        <v/>
      </c>
      <c r="G248" s="21">
        <f>IF($N$1="Piping", IF(ISBLANK(Piping!G248), "", Piping!G248), IF($N$1="Vessels", IF(ISBLANK(Vessels!G248), "", Vessels!G248), ""))</f>
        <v>0</v>
      </c>
      <c r="H248" s="21" t="str">
        <f>IF($N$1="Piping", IF(ISBLANK(Piping!H248), "", Piping!H248), IF($N$1="Vessels", IF(ISBLANK(Vessels!H248), "", Vessels!H248), ""))</f>
        <v/>
      </c>
      <c r="I248" s="21" t="str">
        <f>IF($N$1="Piping", IF(ISBLANK(Piping!I248), "", Piping!I248), IF($N$1="Vessels", IF(ISBLANK(Vessels!I248), "", Vessels!I248), ""))</f>
        <v/>
      </c>
      <c r="J248" s="21" t="str">
        <f>IF($N$1="Piping", IF(ISBLANK(Piping!J248), "", Piping!J248), IF($N$1="Vessels", IF(ISBLANK(Vessels!J248), "", Vessels!J248), ""))</f>
        <v/>
      </c>
      <c r="K248" s="21" t="str">
        <f>IF($N$1="Piping", IF(ISBLANK(Piping!K248), "", Piping!K248), IF($N$1="Vessels", IF(ISBLANK(Vessels!K248), "", Vessels!K248), ""))</f>
        <v/>
      </c>
      <c r="L248" s="21" t="str">
        <f>IF($N$1="Piping", IF(ISBLANK(Piping!L248), "", Piping!L248), IF($N$1="Vessels", IF(ISBLANK(Vessels!L248), "", Vessels!L248), ""))</f>
        <v/>
      </c>
      <c r="M248" s="21"/>
      <c r="N248" s="21"/>
      <c r="O248" s="21"/>
      <c r="P248" s="21"/>
      <c r="Q248" s="21" t="str">
        <f>IF($N$1="Piping", IF(ISBLANK(Piping!T248), "", Piping!T248), IF($N$1="Vessels", IF(ISBLANK(Vessels!T248), "", Vessels!T248), ""))</f>
        <v/>
      </c>
      <c r="R248" s="51" t="str">
        <f>IF($N$1="Piping", IF(ISBLANK(Piping!U248), "", Piping!U248), IF($N$1="Vessels", IF(ISBLANK(Vessels!U248), "", Vessels!U248), ""))</f>
        <v/>
      </c>
      <c r="S248" s="118" t="str">
        <f>IF(B248&lt;&gt;"",IF($N$1="Piping", IF(ISBLANK(Piping!$J$3), "", Piping!$J$3), IF($N$1="Vessels", IF(ISBLANK(Vessels!$J$3), "", Vessels!$J$3), "")),"")</f>
        <v/>
      </c>
      <c r="T248" s="37"/>
      <c r="U248" s="37"/>
      <c r="V248" s="37"/>
      <c r="W248" s="37"/>
      <c r="X248" s="37"/>
      <c r="Y248" s="37"/>
      <c r="Z248" s="37"/>
    </row>
    <row r="249" spans="1:26" ht="15.75" customHeight="1" x14ac:dyDescent="0.3">
      <c r="A249" s="22">
        <f>IF($N$1="Piping", IF(ISBLANK(Piping!A249), "", Piping!A249), IF($N$1="Vessels", IF(ISBLANK(Vessels!A249), "", Vessels!A249), ""))</f>
        <v>61.4</v>
      </c>
      <c r="B249" s="21" t="str">
        <f>IF($N$1="Piping", IF(ISBLANK(Piping!B249), "", Piping!B249), IF($N$1="Vessels", IF(ISBLANK(Vessels!B249), "", Vessels!B249), ""))</f>
        <v/>
      </c>
      <c r="C249" s="21" t="str">
        <f>IF($N$1="Piping", IF(ISBLANK(Piping!C249), "", Piping!C249), IF($N$1="Vessels", IF(ISBLANK(Vessels!C249), "", Vessels!C249), ""))</f>
        <v>Piping</v>
      </c>
      <c r="D249" s="21" t="str">
        <f>IF($N$1="Piping", IF(ISBLANK(Piping!D249), "", Piping!D249), IF($N$1="Vessels", IF(ISBLANK(Vessels!D249), "", Vessels!D249), ""))</f>
        <v/>
      </c>
      <c r="E249" s="21" t="str">
        <f>IF($N$1="Piping", IF(ISBLANK(Piping!E249), "", Piping!E249), IF($N$1="Vessels", IF(ISBLANK(Vessels!E249), "", Vessels!E249), ""))</f>
        <v/>
      </c>
      <c r="F249" s="21" t="str">
        <f>IF($N$1="Piping", IF(ISBLANK(Piping!F249), "", Piping!F249), IF($N$1="Vessels", IF(ISBLANK(Vessels!F249), "", Vessels!F249), ""))</f>
        <v/>
      </c>
      <c r="G249" s="21">
        <f>IF($N$1="Piping", IF(ISBLANK(Piping!G249), "", Piping!G249), IF($N$1="Vessels", IF(ISBLANK(Vessels!G249), "", Vessels!G249), ""))</f>
        <v>0</v>
      </c>
      <c r="H249" s="21" t="str">
        <f>IF($N$1="Piping", IF(ISBLANK(Piping!H249), "", Piping!H249), IF($N$1="Vessels", IF(ISBLANK(Vessels!H249), "", Vessels!H249), ""))</f>
        <v/>
      </c>
      <c r="I249" s="21" t="str">
        <f>IF($N$1="Piping", IF(ISBLANK(Piping!I249), "", Piping!I249), IF($N$1="Vessels", IF(ISBLANK(Vessels!I249), "", Vessels!I249), ""))</f>
        <v/>
      </c>
      <c r="J249" s="21" t="str">
        <f>IF($N$1="Piping", IF(ISBLANK(Piping!J249), "", Piping!J249), IF($N$1="Vessels", IF(ISBLANK(Vessels!J249), "", Vessels!J249), ""))</f>
        <v/>
      </c>
      <c r="K249" s="21" t="str">
        <f>IF($N$1="Piping", IF(ISBLANK(Piping!K249), "", Piping!K249), IF($N$1="Vessels", IF(ISBLANK(Vessels!K249), "", Vessels!K249), ""))</f>
        <v/>
      </c>
      <c r="L249" s="21" t="str">
        <f>IF($N$1="Piping", IF(ISBLANK(Piping!L249), "", Piping!L249), IF($N$1="Vessels", IF(ISBLANK(Vessels!L249), "", Vessels!L249), ""))</f>
        <v/>
      </c>
      <c r="M249" s="21"/>
      <c r="N249" s="21"/>
      <c r="O249" s="21"/>
      <c r="P249" s="21"/>
      <c r="Q249" s="21" t="str">
        <f>IF($N$1="Piping", IF(ISBLANK(Piping!T249), "", Piping!T249), IF($N$1="Vessels", IF(ISBLANK(Vessels!T249), "", Vessels!T249), ""))</f>
        <v/>
      </c>
      <c r="R249" s="51" t="str">
        <f>IF($N$1="Piping", IF(ISBLANK(Piping!U249), "", Piping!U249), IF($N$1="Vessels", IF(ISBLANK(Vessels!U249), "", Vessels!U249), ""))</f>
        <v/>
      </c>
      <c r="S249" s="118" t="str">
        <f>IF(B249&lt;&gt;"",IF($N$1="Piping", IF(ISBLANK(Piping!$J$3), "", Piping!$J$3), IF($N$1="Vessels", IF(ISBLANK(Vessels!$J$3), "", Vessels!$J$3), "")),"")</f>
        <v/>
      </c>
      <c r="T249" s="37"/>
      <c r="U249" s="37"/>
      <c r="V249" s="37"/>
      <c r="W249" s="37"/>
      <c r="X249" s="37"/>
      <c r="Y249" s="37"/>
      <c r="Z249" s="37"/>
    </row>
    <row r="250" spans="1:26" ht="15.75" customHeight="1" x14ac:dyDescent="0.3">
      <c r="A250" s="22">
        <f>IF($N$1="Piping", IF(ISBLANK(Piping!A250), "", Piping!A250), IF($N$1="Vessels", IF(ISBLANK(Vessels!A250), "", Vessels!A250), ""))</f>
        <v>62.1</v>
      </c>
      <c r="B250" s="21" t="str">
        <f>IF($N$1="Piping", IF(ISBLANK(Piping!B250), "", Piping!B250), IF($N$1="Vessels", IF(ISBLANK(Vessels!B250), "", Vessels!B250), ""))</f>
        <v/>
      </c>
      <c r="C250" s="21" t="str">
        <f>IF($N$1="Piping", IF(ISBLANK(Piping!C250), "", Piping!C250), IF($N$1="Vessels", IF(ISBLANK(Vessels!C250), "", Vessels!C250), ""))</f>
        <v>Piping</v>
      </c>
      <c r="D250" s="21" t="str">
        <f>IF($N$1="Piping", IF(ISBLANK(Piping!D250), "", Piping!D250), IF($N$1="Vessels", IF(ISBLANK(Vessels!D250), "", Vessels!D250), ""))</f>
        <v/>
      </c>
      <c r="E250" s="21" t="str">
        <f>IF($N$1="Piping", IF(ISBLANK(Piping!E250), "", Piping!E250), IF($N$1="Vessels", IF(ISBLANK(Vessels!E250), "", Vessels!E250), ""))</f>
        <v/>
      </c>
      <c r="F250" s="21" t="str">
        <f>IF($N$1="Piping", IF(ISBLANK(Piping!F250), "", Piping!F250), IF($N$1="Vessels", IF(ISBLANK(Vessels!F250), "", Vessels!F250), ""))</f>
        <v/>
      </c>
      <c r="G250" s="21">
        <f>IF($N$1="Piping", IF(ISBLANK(Piping!G250), "", Piping!G250), IF($N$1="Vessels", IF(ISBLANK(Vessels!G250), "", Vessels!G250), ""))</f>
        <v>0</v>
      </c>
      <c r="H250" s="21" t="str">
        <f>IF($N$1="Piping", IF(ISBLANK(Piping!H250), "", Piping!H250), IF($N$1="Vessels", IF(ISBLANK(Vessels!H250), "", Vessels!H250), ""))</f>
        <v/>
      </c>
      <c r="I250" s="21" t="str">
        <f>IF($N$1="Piping", IF(ISBLANK(Piping!I250), "", Piping!I250), IF($N$1="Vessels", IF(ISBLANK(Vessels!I250), "", Vessels!I250), ""))</f>
        <v/>
      </c>
      <c r="J250" s="21" t="str">
        <f>IF($N$1="Piping", IF(ISBLANK(Piping!J250), "", Piping!J250), IF($N$1="Vessels", IF(ISBLANK(Vessels!J250), "", Vessels!J250), ""))</f>
        <v/>
      </c>
      <c r="K250" s="21" t="str">
        <f>IF($N$1="Piping", IF(ISBLANK(Piping!K250), "", Piping!K250), IF($N$1="Vessels", IF(ISBLANK(Vessels!K250), "", Vessels!K250), ""))</f>
        <v/>
      </c>
      <c r="L250" s="21" t="str">
        <f>IF($N$1="Piping", IF(ISBLANK(Piping!L250), "", Piping!L250), IF($N$1="Vessels", IF(ISBLANK(Vessels!L250), "", Vessels!L250), ""))</f>
        <v/>
      </c>
      <c r="M250" s="21"/>
      <c r="N250" s="21"/>
      <c r="O250" s="21"/>
      <c r="P250" s="21"/>
      <c r="Q250" s="21" t="str">
        <f>IF($N$1="Piping", IF(ISBLANK(Piping!T250), "", Piping!T250), IF($N$1="Vessels", IF(ISBLANK(Vessels!T250), "", Vessels!T250), ""))</f>
        <v/>
      </c>
      <c r="R250" s="51" t="str">
        <f>IF($N$1="Piping", IF(ISBLANK(Piping!U250), "", Piping!U250), IF($N$1="Vessels", IF(ISBLANK(Vessels!U250), "", Vessels!U250), ""))</f>
        <v/>
      </c>
      <c r="S250" s="118" t="str">
        <f>IF(B250&lt;&gt;"",IF($N$1="Piping", IF(ISBLANK(Piping!$J$3), "", Piping!$J$3), IF($N$1="Vessels", IF(ISBLANK(Vessels!$J$3), "", Vessels!$J$3), "")),"")</f>
        <v/>
      </c>
      <c r="T250" s="37"/>
      <c r="U250" s="37"/>
      <c r="V250" s="37"/>
      <c r="W250" s="37"/>
      <c r="X250" s="37"/>
      <c r="Y250" s="37"/>
      <c r="Z250" s="37"/>
    </row>
    <row r="251" spans="1:26" ht="15.75" customHeight="1" x14ac:dyDescent="0.3">
      <c r="A251" s="22">
        <f>IF($N$1="Piping", IF(ISBLANK(Piping!A251), "", Piping!A251), IF($N$1="Vessels", IF(ISBLANK(Vessels!A251), "", Vessels!A251), ""))</f>
        <v>62.2</v>
      </c>
      <c r="B251" s="21" t="str">
        <f>IF($N$1="Piping", IF(ISBLANK(Piping!B251), "", Piping!B251), IF($N$1="Vessels", IF(ISBLANK(Vessels!B251), "", Vessels!B251), ""))</f>
        <v/>
      </c>
      <c r="C251" s="21" t="str">
        <f>IF($N$1="Piping", IF(ISBLANK(Piping!C251), "", Piping!C251), IF($N$1="Vessels", IF(ISBLANK(Vessels!C251), "", Vessels!C251), ""))</f>
        <v>Piping</v>
      </c>
      <c r="D251" s="21" t="str">
        <f>IF($N$1="Piping", IF(ISBLANK(Piping!D251), "", Piping!D251), IF($N$1="Vessels", IF(ISBLANK(Vessels!D251), "", Vessels!D251), ""))</f>
        <v/>
      </c>
      <c r="E251" s="21" t="str">
        <f>IF($N$1="Piping", IF(ISBLANK(Piping!E251), "", Piping!E251), IF($N$1="Vessels", IF(ISBLANK(Vessels!E251), "", Vessels!E251), ""))</f>
        <v/>
      </c>
      <c r="F251" s="21" t="str">
        <f>IF($N$1="Piping", IF(ISBLANK(Piping!F251), "", Piping!F251), IF($N$1="Vessels", IF(ISBLANK(Vessels!F251), "", Vessels!F251), ""))</f>
        <v/>
      </c>
      <c r="G251" s="21">
        <f>IF($N$1="Piping", IF(ISBLANK(Piping!G251), "", Piping!G251), IF($N$1="Vessels", IF(ISBLANK(Vessels!G251), "", Vessels!G251), ""))</f>
        <v>0</v>
      </c>
      <c r="H251" s="21" t="str">
        <f>IF($N$1="Piping", IF(ISBLANK(Piping!H251), "", Piping!H251), IF($N$1="Vessels", IF(ISBLANK(Vessels!H251), "", Vessels!H251), ""))</f>
        <v/>
      </c>
      <c r="I251" s="21" t="str">
        <f>IF($N$1="Piping", IF(ISBLANK(Piping!I251), "", Piping!I251), IF($N$1="Vessels", IF(ISBLANK(Vessels!I251), "", Vessels!I251), ""))</f>
        <v/>
      </c>
      <c r="J251" s="21" t="str">
        <f>IF($N$1="Piping", IF(ISBLANK(Piping!J251), "", Piping!J251), IF($N$1="Vessels", IF(ISBLANK(Vessels!J251), "", Vessels!J251), ""))</f>
        <v/>
      </c>
      <c r="K251" s="21" t="str">
        <f>IF($N$1="Piping", IF(ISBLANK(Piping!K251), "", Piping!K251), IF($N$1="Vessels", IF(ISBLANK(Vessels!K251), "", Vessels!K251), ""))</f>
        <v/>
      </c>
      <c r="L251" s="21" t="str">
        <f>IF($N$1="Piping", IF(ISBLANK(Piping!L251), "", Piping!L251), IF($N$1="Vessels", IF(ISBLANK(Vessels!L251), "", Vessels!L251), ""))</f>
        <v/>
      </c>
      <c r="M251" s="21"/>
      <c r="N251" s="21"/>
      <c r="O251" s="21"/>
      <c r="P251" s="21"/>
      <c r="Q251" s="21" t="str">
        <f>IF($N$1="Piping", IF(ISBLANK(Piping!T251), "", Piping!T251), IF($N$1="Vessels", IF(ISBLANK(Vessels!T251), "", Vessels!T251), ""))</f>
        <v/>
      </c>
      <c r="R251" s="51" t="str">
        <f>IF($N$1="Piping", IF(ISBLANK(Piping!U251), "", Piping!U251), IF($N$1="Vessels", IF(ISBLANK(Vessels!U251), "", Vessels!U251), ""))</f>
        <v/>
      </c>
      <c r="S251" s="118" t="str">
        <f>IF(B251&lt;&gt;"",IF($N$1="Piping", IF(ISBLANK(Piping!$J$3), "", Piping!$J$3), IF($N$1="Vessels", IF(ISBLANK(Vessels!$J$3), "", Vessels!$J$3), "")),"")</f>
        <v/>
      </c>
      <c r="T251" s="37"/>
      <c r="U251" s="37"/>
      <c r="V251" s="37"/>
      <c r="W251" s="37"/>
      <c r="X251" s="37"/>
      <c r="Y251" s="37"/>
      <c r="Z251" s="37"/>
    </row>
    <row r="252" spans="1:26" ht="15.75" customHeight="1" x14ac:dyDescent="0.3">
      <c r="A252" s="22">
        <f>IF($N$1="Piping", IF(ISBLANK(Piping!A252), "", Piping!A252), IF($N$1="Vessels", IF(ISBLANK(Vessels!A252), "", Vessels!A252), ""))</f>
        <v>62.3</v>
      </c>
      <c r="B252" s="21" t="str">
        <f>IF($N$1="Piping", IF(ISBLANK(Piping!B252), "", Piping!B252), IF($N$1="Vessels", IF(ISBLANK(Vessels!B252), "", Vessels!B252), ""))</f>
        <v/>
      </c>
      <c r="C252" s="21" t="str">
        <f>IF($N$1="Piping", IF(ISBLANK(Piping!C252), "", Piping!C252), IF($N$1="Vessels", IF(ISBLANK(Vessels!C252), "", Vessels!C252), ""))</f>
        <v>Piping</v>
      </c>
      <c r="D252" s="21" t="str">
        <f>IF($N$1="Piping", IF(ISBLANK(Piping!D252), "", Piping!D252), IF($N$1="Vessels", IF(ISBLANK(Vessels!D252), "", Vessels!D252), ""))</f>
        <v/>
      </c>
      <c r="E252" s="21" t="str">
        <f>IF($N$1="Piping", IF(ISBLANK(Piping!E252), "", Piping!E252), IF($N$1="Vessels", IF(ISBLANK(Vessels!E252), "", Vessels!E252), ""))</f>
        <v/>
      </c>
      <c r="F252" s="21" t="str">
        <f>IF($N$1="Piping", IF(ISBLANK(Piping!F252), "", Piping!F252), IF($N$1="Vessels", IF(ISBLANK(Vessels!F252), "", Vessels!F252), ""))</f>
        <v/>
      </c>
      <c r="G252" s="21">
        <f>IF($N$1="Piping", IF(ISBLANK(Piping!G252), "", Piping!G252), IF($N$1="Vessels", IF(ISBLANK(Vessels!G252), "", Vessels!G252), ""))</f>
        <v>0</v>
      </c>
      <c r="H252" s="21" t="str">
        <f>IF($N$1="Piping", IF(ISBLANK(Piping!H252), "", Piping!H252), IF($N$1="Vessels", IF(ISBLANK(Vessels!H252), "", Vessels!H252), ""))</f>
        <v/>
      </c>
      <c r="I252" s="21" t="str">
        <f>IF($N$1="Piping", IF(ISBLANK(Piping!I252), "", Piping!I252), IF($N$1="Vessels", IF(ISBLANK(Vessels!I252), "", Vessels!I252), ""))</f>
        <v/>
      </c>
      <c r="J252" s="21" t="str">
        <f>IF($N$1="Piping", IF(ISBLANK(Piping!J252), "", Piping!J252), IF($N$1="Vessels", IF(ISBLANK(Vessels!J252), "", Vessels!J252), ""))</f>
        <v/>
      </c>
      <c r="K252" s="21" t="str">
        <f>IF($N$1="Piping", IF(ISBLANK(Piping!K252), "", Piping!K252), IF($N$1="Vessels", IF(ISBLANK(Vessels!K252), "", Vessels!K252), ""))</f>
        <v/>
      </c>
      <c r="L252" s="21" t="str">
        <f>IF($N$1="Piping", IF(ISBLANK(Piping!L252), "", Piping!L252), IF($N$1="Vessels", IF(ISBLANK(Vessels!L252), "", Vessels!L252), ""))</f>
        <v/>
      </c>
      <c r="M252" s="21"/>
      <c r="N252" s="21"/>
      <c r="O252" s="21"/>
      <c r="P252" s="21"/>
      <c r="Q252" s="21" t="str">
        <f>IF($N$1="Piping", IF(ISBLANK(Piping!T252), "", Piping!T252), IF($N$1="Vessels", IF(ISBLANK(Vessels!T252), "", Vessels!T252), ""))</f>
        <v/>
      </c>
      <c r="R252" s="51" t="str">
        <f>IF($N$1="Piping", IF(ISBLANK(Piping!U252), "", Piping!U252), IF($N$1="Vessels", IF(ISBLANK(Vessels!U252), "", Vessels!U252), ""))</f>
        <v/>
      </c>
      <c r="S252" s="118" t="str">
        <f>IF(B252&lt;&gt;"",IF($N$1="Piping", IF(ISBLANK(Piping!$J$3), "", Piping!$J$3), IF($N$1="Vessels", IF(ISBLANK(Vessels!$J$3), "", Vessels!$J$3), "")),"")</f>
        <v/>
      </c>
      <c r="T252" s="37"/>
      <c r="U252" s="37"/>
      <c r="V252" s="37"/>
      <c r="W252" s="37"/>
      <c r="X252" s="37"/>
      <c r="Y252" s="37"/>
      <c r="Z252" s="37"/>
    </row>
    <row r="253" spans="1:26" ht="15.75" customHeight="1" x14ac:dyDescent="0.3">
      <c r="A253" s="22">
        <f>IF($N$1="Piping", IF(ISBLANK(Piping!A253), "", Piping!A253), IF($N$1="Vessels", IF(ISBLANK(Vessels!A253), "", Vessels!A253), ""))</f>
        <v>62.4</v>
      </c>
      <c r="B253" s="21" t="str">
        <f>IF($N$1="Piping", IF(ISBLANK(Piping!B253), "", Piping!B253), IF($N$1="Vessels", IF(ISBLANK(Vessels!B253), "", Vessels!B253), ""))</f>
        <v/>
      </c>
      <c r="C253" s="21" t="str">
        <f>IF($N$1="Piping", IF(ISBLANK(Piping!C253), "", Piping!C253), IF($N$1="Vessels", IF(ISBLANK(Vessels!C253), "", Vessels!C253), ""))</f>
        <v>Piping</v>
      </c>
      <c r="D253" s="21" t="str">
        <f>IF($N$1="Piping", IF(ISBLANK(Piping!D253), "", Piping!D253), IF($N$1="Vessels", IF(ISBLANK(Vessels!D253), "", Vessels!D253), ""))</f>
        <v/>
      </c>
      <c r="E253" s="21" t="str">
        <f>IF($N$1="Piping", IF(ISBLANK(Piping!E253), "", Piping!E253), IF($N$1="Vessels", IF(ISBLANK(Vessels!E253), "", Vessels!E253), ""))</f>
        <v/>
      </c>
      <c r="F253" s="21" t="str">
        <f>IF($N$1="Piping", IF(ISBLANK(Piping!F253), "", Piping!F253), IF($N$1="Vessels", IF(ISBLANK(Vessels!F253), "", Vessels!F253), ""))</f>
        <v/>
      </c>
      <c r="G253" s="21">
        <f>IF($N$1="Piping", IF(ISBLANK(Piping!G253), "", Piping!G253), IF($N$1="Vessels", IF(ISBLANK(Vessels!G253), "", Vessels!G253), ""))</f>
        <v>0</v>
      </c>
      <c r="H253" s="21" t="str">
        <f>IF($N$1="Piping", IF(ISBLANK(Piping!H253), "", Piping!H253), IF($N$1="Vessels", IF(ISBLANK(Vessels!H253), "", Vessels!H253), ""))</f>
        <v/>
      </c>
      <c r="I253" s="21" t="str">
        <f>IF($N$1="Piping", IF(ISBLANK(Piping!I253), "", Piping!I253), IF($N$1="Vessels", IF(ISBLANK(Vessels!I253), "", Vessels!I253), ""))</f>
        <v/>
      </c>
      <c r="J253" s="21" t="str">
        <f>IF($N$1="Piping", IF(ISBLANK(Piping!J253), "", Piping!J253), IF($N$1="Vessels", IF(ISBLANK(Vessels!J253), "", Vessels!J253), ""))</f>
        <v/>
      </c>
      <c r="K253" s="21" t="str">
        <f>IF($N$1="Piping", IF(ISBLANK(Piping!K253), "", Piping!K253), IF($N$1="Vessels", IF(ISBLANK(Vessels!K253), "", Vessels!K253), ""))</f>
        <v/>
      </c>
      <c r="L253" s="21" t="str">
        <f>IF($N$1="Piping", IF(ISBLANK(Piping!L253), "", Piping!L253), IF($N$1="Vessels", IF(ISBLANK(Vessels!L253), "", Vessels!L253), ""))</f>
        <v/>
      </c>
      <c r="M253" s="21"/>
      <c r="N253" s="21"/>
      <c r="O253" s="21"/>
      <c r="P253" s="21"/>
      <c r="Q253" s="21" t="str">
        <f>IF($N$1="Piping", IF(ISBLANK(Piping!T253), "", Piping!T253), IF($N$1="Vessels", IF(ISBLANK(Vessels!T253), "", Vessels!T253), ""))</f>
        <v/>
      </c>
      <c r="R253" s="51" t="str">
        <f>IF($N$1="Piping", IF(ISBLANK(Piping!U253), "", Piping!U253), IF($N$1="Vessels", IF(ISBLANK(Vessels!U253), "", Vessels!U253), ""))</f>
        <v/>
      </c>
      <c r="S253" s="118" t="str">
        <f>IF(B253&lt;&gt;"",IF($N$1="Piping", IF(ISBLANK(Piping!$J$3), "", Piping!$J$3), IF($N$1="Vessels", IF(ISBLANK(Vessels!$J$3), "", Vessels!$J$3), "")),"")</f>
        <v/>
      </c>
      <c r="T253" s="37"/>
      <c r="U253" s="37"/>
      <c r="V253" s="37"/>
      <c r="W253" s="37"/>
      <c r="X253" s="37"/>
      <c r="Y253" s="37"/>
      <c r="Z253" s="37"/>
    </row>
    <row r="254" spans="1:26" ht="15.75" customHeight="1" x14ac:dyDescent="0.3">
      <c r="A254" s="22">
        <f>IF($N$1="Piping", IF(ISBLANK(Piping!A254), "", Piping!A254), IF($N$1="Vessels", IF(ISBLANK(Vessels!A254), "", Vessels!A254), ""))</f>
        <v>63.1</v>
      </c>
      <c r="B254" s="21" t="str">
        <f>IF($N$1="Piping", IF(ISBLANK(Piping!B254), "", Piping!B254), IF($N$1="Vessels", IF(ISBLANK(Vessels!B254), "", Vessels!B254), ""))</f>
        <v/>
      </c>
      <c r="C254" s="21" t="str">
        <f>IF($N$1="Piping", IF(ISBLANK(Piping!C254), "", Piping!C254), IF($N$1="Vessels", IF(ISBLANK(Vessels!C254), "", Vessels!C254), ""))</f>
        <v>Piping</v>
      </c>
      <c r="D254" s="21" t="str">
        <f>IF($N$1="Piping", IF(ISBLANK(Piping!D254), "", Piping!D254), IF($N$1="Vessels", IF(ISBLANK(Vessels!D254), "", Vessels!D254), ""))</f>
        <v/>
      </c>
      <c r="E254" s="21" t="str">
        <f>IF($N$1="Piping", IF(ISBLANK(Piping!E254), "", Piping!E254), IF($N$1="Vessels", IF(ISBLANK(Vessels!E254), "", Vessels!E254), ""))</f>
        <v/>
      </c>
      <c r="F254" s="21" t="str">
        <f>IF($N$1="Piping", IF(ISBLANK(Piping!F254), "", Piping!F254), IF($N$1="Vessels", IF(ISBLANK(Vessels!F254), "", Vessels!F254), ""))</f>
        <v/>
      </c>
      <c r="G254" s="21">
        <f>IF($N$1="Piping", IF(ISBLANK(Piping!G254), "", Piping!G254), IF($N$1="Vessels", IF(ISBLANK(Vessels!G254), "", Vessels!G254), ""))</f>
        <v>0</v>
      </c>
      <c r="H254" s="21" t="str">
        <f>IF($N$1="Piping", IF(ISBLANK(Piping!H254), "", Piping!H254), IF($N$1="Vessels", IF(ISBLANK(Vessels!H254), "", Vessels!H254), ""))</f>
        <v/>
      </c>
      <c r="I254" s="21" t="str">
        <f>IF($N$1="Piping", IF(ISBLANK(Piping!I254), "", Piping!I254), IF($N$1="Vessels", IF(ISBLANK(Vessels!I254), "", Vessels!I254), ""))</f>
        <v/>
      </c>
      <c r="J254" s="21" t="str">
        <f>IF($N$1="Piping", IF(ISBLANK(Piping!J254), "", Piping!J254), IF($N$1="Vessels", IF(ISBLANK(Vessels!J254), "", Vessels!J254), ""))</f>
        <v/>
      </c>
      <c r="K254" s="21" t="str">
        <f>IF($N$1="Piping", IF(ISBLANK(Piping!K254), "", Piping!K254), IF($N$1="Vessels", IF(ISBLANK(Vessels!K254), "", Vessels!K254), ""))</f>
        <v/>
      </c>
      <c r="L254" s="21" t="str">
        <f>IF($N$1="Piping", IF(ISBLANK(Piping!L254), "", Piping!L254), IF($N$1="Vessels", IF(ISBLANK(Vessels!L254), "", Vessels!L254), ""))</f>
        <v/>
      </c>
      <c r="M254" s="21"/>
      <c r="N254" s="21"/>
      <c r="O254" s="21"/>
      <c r="P254" s="21"/>
      <c r="Q254" s="21" t="str">
        <f>IF($N$1="Piping", IF(ISBLANK(Piping!T254), "", Piping!T254), IF($N$1="Vessels", IF(ISBLANK(Vessels!T254), "", Vessels!T254), ""))</f>
        <v/>
      </c>
      <c r="R254" s="51" t="str">
        <f>IF($N$1="Piping", IF(ISBLANK(Piping!U254), "", Piping!U254), IF($N$1="Vessels", IF(ISBLANK(Vessels!U254), "", Vessels!U254), ""))</f>
        <v/>
      </c>
      <c r="S254" s="118" t="str">
        <f>IF(B254&lt;&gt;"",IF($N$1="Piping", IF(ISBLANK(Piping!$J$3), "", Piping!$J$3), IF($N$1="Vessels", IF(ISBLANK(Vessels!$J$3), "", Vessels!$J$3), "")),"")</f>
        <v/>
      </c>
      <c r="T254" s="37"/>
      <c r="U254" s="37"/>
      <c r="V254" s="37"/>
      <c r="W254" s="37"/>
      <c r="X254" s="37"/>
      <c r="Y254" s="37"/>
      <c r="Z254" s="37"/>
    </row>
    <row r="255" spans="1:26" ht="15.75" customHeight="1" x14ac:dyDescent="0.3">
      <c r="A255" s="22">
        <f>IF($N$1="Piping", IF(ISBLANK(Piping!A255), "", Piping!A255), IF($N$1="Vessels", IF(ISBLANK(Vessels!A255), "", Vessels!A255), ""))</f>
        <v>63.2</v>
      </c>
      <c r="B255" s="21" t="str">
        <f>IF($N$1="Piping", IF(ISBLANK(Piping!B255), "", Piping!B255), IF($N$1="Vessels", IF(ISBLANK(Vessels!B255), "", Vessels!B255), ""))</f>
        <v/>
      </c>
      <c r="C255" s="21" t="str">
        <f>IF($N$1="Piping", IF(ISBLANK(Piping!C255), "", Piping!C255), IF($N$1="Vessels", IF(ISBLANK(Vessels!C255), "", Vessels!C255), ""))</f>
        <v>Piping</v>
      </c>
      <c r="D255" s="21" t="str">
        <f>IF($N$1="Piping", IF(ISBLANK(Piping!D255), "", Piping!D255), IF($N$1="Vessels", IF(ISBLANK(Vessels!D255), "", Vessels!D255), ""))</f>
        <v/>
      </c>
      <c r="E255" s="21" t="str">
        <f>IF($N$1="Piping", IF(ISBLANK(Piping!E255), "", Piping!E255), IF($N$1="Vessels", IF(ISBLANK(Vessels!E255), "", Vessels!E255), ""))</f>
        <v/>
      </c>
      <c r="F255" s="21" t="str">
        <f>IF($N$1="Piping", IF(ISBLANK(Piping!F255), "", Piping!F255), IF($N$1="Vessels", IF(ISBLANK(Vessels!F255), "", Vessels!F255), ""))</f>
        <v/>
      </c>
      <c r="G255" s="21">
        <f>IF($N$1="Piping", IF(ISBLANK(Piping!G255), "", Piping!G255), IF($N$1="Vessels", IF(ISBLANK(Vessels!G255), "", Vessels!G255), ""))</f>
        <v>0</v>
      </c>
      <c r="H255" s="21" t="str">
        <f>IF($N$1="Piping", IF(ISBLANK(Piping!H255), "", Piping!H255), IF($N$1="Vessels", IF(ISBLANK(Vessels!H255), "", Vessels!H255), ""))</f>
        <v/>
      </c>
      <c r="I255" s="21" t="str">
        <f>IF($N$1="Piping", IF(ISBLANK(Piping!I255), "", Piping!I255), IF($N$1="Vessels", IF(ISBLANK(Vessels!I255), "", Vessels!I255), ""))</f>
        <v/>
      </c>
      <c r="J255" s="21" t="str">
        <f>IF($N$1="Piping", IF(ISBLANK(Piping!J255), "", Piping!J255), IF($N$1="Vessels", IF(ISBLANK(Vessels!J255), "", Vessels!J255), ""))</f>
        <v/>
      </c>
      <c r="K255" s="21" t="str">
        <f>IF($N$1="Piping", IF(ISBLANK(Piping!K255), "", Piping!K255), IF($N$1="Vessels", IF(ISBLANK(Vessels!K255), "", Vessels!K255), ""))</f>
        <v/>
      </c>
      <c r="L255" s="21" t="str">
        <f>IF($N$1="Piping", IF(ISBLANK(Piping!L255), "", Piping!L255), IF($N$1="Vessels", IF(ISBLANK(Vessels!L255), "", Vessels!L255), ""))</f>
        <v/>
      </c>
      <c r="M255" s="21"/>
      <c r="N255" s="21"/>
      <c r="O255" s="21"/>
      <c r="P255" s="21"/>
      <c r="Q255" s="21" t="str">
        <f>IF($N$1="Piping", IF(ISBLANK(Piping!T255), "", Piping!T255), IF($N$1="Vessels", IF(ISBLANK(Vessels!T255), "", Vessels!T255), ""))</f>
        <v/>
      </c>
      <c r="R255" s="51" t="str">
        <f>IF($N$1="Piping", IF(ISBLANK(Piping!U255), "", Piping!U255), IF($N$1="Vessels", IF(ISBLANK(Vessels!U255), "", Vessels!U255), ""))</f>
        <v/>
      </c>
      <c r="S255" s="118" t="str">
        <f>IF(B255&lt;&gt;"",IF($N$1="Piping", IF(ISBLANK(Piping!$J$3), "", Piping!$J$3), IF($N$1="Vessels", IF(ISBLANK(Vessels!$J$3), "", Vessels!$J$3), "")),"")</f>
        <v/>
      </c>
      <c r="T255" s="37"/>
      <c r="U255" s="37"/>
      <c r="V255" s="37"/>
      <c r="W255" s="37"/>
      <c r="X255" s="37"/>
      <c r="Y255" s="37"/>
      <c r="Z255" s="37"/>
    </row>
    <row r="256" spans="1:26" ht="15.75" customHeight="1" x14ac:dyDescent="0.3">
      <c r="A256" s="22">
        <f>IF($N$1="Piping", IF(ISBLANK(Piping!A256), "", Piping!A256), IF($N$1="Vessels", IF(ISBLANK(Vessels!A256), "", Vessels!A256), ""))</f>
        <v>63.3</v>
      </c>
      <c r="B256" s="21" t="str">
        <f>IF($N$1="Piping", IF(ISBLANK(Piping!B256), "", Piping!B256), IF($N$1="Vessels", IF(ISBLANK(Vessels!B256), "", Vessels!B256), ""))</f>
        <v/>
      </c>
      <c r="C256" s="21" t="str">
        <f>IF($N$1="Piping", IF(ISBLANK(Piping!C256), "", Piping!C256), IF($N$1="Vessels", IF(ISBLANK(Vessels!C256), "", Vessels!C256), ""))</f>
        <v>Piping</v>
      </c>
      <c r="D256" s="21" t="str">
        <f>IF($N$1="Piping", IF(ISBLANK(Piping!D256), "", Piping!D256), IF($N$1="Vessels", IF(ISBLANK(Vessels!D256), "", Vessels!D256), ""))</f>
        <v/>
      </c>
      <c r="E256" s="21" t="str">
        <f>IF($N$1="Piping", IF(ISBLANK(Piping!E256), "", Piping!E256), IF($N$1="Vessels", IF(ISBLANK(Vessels!E256), "", Vessels!E256), ""))</f>
        <v/>
      </c>
      <c r="F256" s="21" t="str">
        <f>IF($N$1="Piping", IF(ISBLANK(Piping!F256), "", Piping!F256), IF($N$1="Vessels", IF(ISBLANK(Vessels!F256), "", Vessels!F256), ""))</f>
        <v/>
      </c>
      <c r="G256" s="21">
        <f>IF($N$1="Piping", IF(ISBLANK(Piping!G256), "", Piping!G256), IF($N$1="Vessels", IF(ISBLANK(Vessels!G256), "", Vessels!G256), ""))</f>
        <v>0</v>
      </c>
      <c r="H256" s="21" t="str">
        <f>IF($N$1="Piping", IF(ISBLANK(Piping!H256), "", Piping!H256), IF($N$1="Vessels", IF(ISBLANK(Vessels!H256), "", Vessels!H256), ""))</f>
        <v/>
      </c>
      <c r="I256" s="21" t="str">
        <f>IF($N$1="Piping", IF(ISBLANK(Piping!I256), "", Piping!I256), IF($N$1="Vessels", IF(ISBLANK(Vessels!I256), "", Vessels!I256), ""))</f>
        <v/>
      </c>
      <c r="J256" s="21" t="str">
        <f>IF($N$1="Piping", IF(ISBLANK(Piping!J256), "", Piping!J256), IF($N$1="Vessels", IF(ISBLANK(Vessels!J256), "", Vessels!J256), ""))</f>
        <v/>
      </c>
      <c r="K256" s="21" t="str">
        <f>IF($N$1="Piping", IF(ISBLANK(Piping!K256), "", Piping!K256), IF($N$1="Vessels", IF(ISBLANK(Vessels!K256), "", Vessels!K256), ""))</f>
        <v/>
      </c>
      <c r="L256" s="21" t="str">
        <f>IF($N$1="Piping", IF(ISBLANK(Piping!L256), "", Piping!L256), IF($N$1="Vessels", IF(ISBLANK(Vessels!L256), "", Vessels!L256), ""))</f>
        <v/>
      </c>
      <c r="M256" s="21"/>
      <c r="N256" s="21"/>
      <c r="O256" s="21"/>
      <c r="P256" s="21"/>
      <c r="Q256" s="21" t="str">
        <f>IF($N$1="Piping", IF(ISBLANK(Piping!T256), "", Piping!T256), IF($N$1="Vessels", IF(ISBLANK(Vessels!T256), "", Vessels!T256), ""))</f>
        <v/>
      </c>
      <c r="R256" s="51" t="str">
        <f>IF($N$1="Piping", IF(ISBLANK(Piping!U256), "", Piping!U256), IF($N$1="Vessels", IF(ISBLANK(Vessels!U256), "", Vessels!U256), ""))</f>
        <v/>
      </c>
      <c r="S256" s="118" t="str">
        <f>IF(B256&lt;&gt;"",IF($N$1="Piping", IF(ISBLANK(Piping!$J$3), "", Piping!$J$3), IF($N$1="Vessels", IF(ISBLANK(Vessels!$J$3), "", Vessels!$J$3), "")),"")</f>
        <v/>
      </c>
      <c r="T256" s="37"/>
      <c r="U256" s="37"/>
      <c r="V256" s="37"/>
      <c r="W256" s="37"/>
      <c r="X256" s="37"/>
      <c r="Y256" s="37"/>
      <c r="Z256" s="37"/>
    </row>
    <row r="257" spans="1:26" ht="15.75" customHeight="1" x14ac:dyDescent="0.3">
      <c r="A257" s="22">
        <f>IF($N$1="Piping", IF(ISBLANK(Piping!A257), "", Piping!A257), IF($N$1="Vessels", IF(ISBLANK(Vessels!A257), "", Vessels!A257), ""))</f>
        <v>63.4</v>
      </c>
      <c r="B257" s="21" t="str">
        <f>IF($N$1="Piping", IF(ISBLANK(Piping!B257), "", Piping!B257), IF($N$1="Vessels", IF(ISBLANK(Vessels!B257), "", Vessels!B257), ""))</f>
        <v/>
      </c>
      <c r="C257" s="21" t="str">
        <f>IF($N$1="Piping", IF(ISBLANK(Piping!C257), "", Piping!C257), IF($N$1="Vessels", IF(ISBLANK(Vessels!C257), "", Vessels!C257), ""))</f>
        <v>Piping</v>
      </c>
      <c r="D257" s="21" t="str">
        <f>IF($N$1="Piping", IF(ISBLANK(Piping!D257), "", Piping!D257), IF($N$1="Vessels", IF(ISBLANK(Vessels!D257), "", Vessels!D257), ""))</f>
        <v/>
      </c>
      <c r="E257" s="21" t="str">
        <f>IF($N$1="Piping", IF(ISBLANK(Piping!E257), "", Piping!E257), IF($N$1="Vessels", IF(ISBLANK(Vessels!E257), "", Vessels!E257), ""))</f>
        <v/>
      </c>
      <c r="F257" s="21" t="str">
        <f>IF($N$1="Piping", IF(ISBLANK(Piping!F257), "", Piping!F257), IF($N$1="Vessels", IF(ISBLANK(Vessels!F257), "", Vessels!F257), ""))</f>
        <v/>
      </c>
      <c r="G257" s="21">
        <f>IF($N$1="Piping", IF(ISBLANK(Piping!G257), "", Piping!G257), IF($N$1="Vessels", IF(ISBLANK(Vessels!G257), "", Vessels!G257), ""))</f>
        <v>0</v>
      </c>
      <c r="H257" s="21" t="str">
        <f>IF($N$1="Piping", IF(ISBLANK(Piping!H257), "", Piping!H257), IF($N$1="Vessels", IF(ISBLANK(Vessels!H257), "", Vessels!H257), ""))</f>
        <v/>
      </c>
      <c r="I257" s="21" t="str">
        <f>IF($N$1="Piping", IF(ISBLANK(Piping!I257), "", Piping!I257), IF($N$1="Vessels", IF(ISBLANK(Vessels!I257), "", Vessels!I257), ""))</f>
        <v/>
      </c>
      <c r="J257" s="21" t="str">
        <f>IF($N$1="Piping", IF(ISBLANK(Piping!J257), "", Piping!J257), IF($N$1="Vessels", IF(ISBLANK(Vessels!J257), "", Vessels!J257), ""))</f>
        <v/>
      </c>
      <c r="K257" s="21" t="str">
        <f>IF($N$1="Piping", IF(ISBLANK(Piping!K257), "", Piping!K257), IF($N$1="Vessels", IF(ISBLANK(Vessels!K257), "", Vessels!K257), ""))</f>
        <v/>
      </c>
      <c r="L257" s="21" t="str">
        <f>IF($N$1="Piping", IF(ISBLANK(Piping!L257), "", Piping!L257), IF($N$1="Vessels", IF(ISBLANK(Vessels!L257), "", Vessels!L257), ""))</f>
        <v/>
      </c>
      <c r="M257" s="21"/>
      <c r="N257" s="21"/>
      <c r="O257" s="21"/>
      <c r="P257" s="21"/>
      <c r="Q257" s="21" t="str">
        <f>IF($N$1="Piping", IF(ISBLANK(Piping!T257), "", Piping!T257), IF($N$1="Vessels", IF(ISBLANK(Vessels!T257), "", Vessels!T257), ""))</f>
        <v/>
      </c>
      <c r="R257" s="51" t="str">
        <f>IF($N$1="Piping", IF(ISBLANK(Piping!U257), "", Piping!U257), IF($N$1="Vessels", IF(ISBLANK(Vessels!U257), "", Vessels!U257), ""))</f>
        <v/>
      </c>
      <c r="S257" s="118" t="str">
        <f>IF(B257&lt;&gt;"",IF($N$1="Piping", IF(ISBLANK(Piping!$J$3), "", Piping!$J$3), IF($N$1="Vessels", IF(ISBLANK(Vessels!$J$3), "", Vessels!$J$3), "")),"")</f>
        <v/>
      </c>
      <c r="T257" s="37"/>
      <c r="U257" s="37"/>
      <c r="V257" s="37"/>
      <c r="W257" s="37"/>
      <c r="X257" s="37"/>
      <c r="Y257" s="37"/>
      <c r="Z257" s="37"/>
    </row>
    <row r="258" spans="1:26" ht="15.75" customHeight="1" x14ac:dyDescent="0.3">
      <c r="A258" s="22">
        <f>IF($N$1="Piping", IF(ISBLANK(Piping!A258), "", Piping!A258), IF($N$1="Vessels", IF(ISBLANK(Vessels!A258), "", Vessels!A258), ""))</f>
        <v>64.099999999999994</v>
      </c>
      <c r="B258" s="21" t="str">
        <f>IF($N$1="Piping", IF(ISBLANK(Piping!B258), "", Piping!B258), IF($N$1="Vessels", IF(ISBLANK(Vessels!B258), "", Vessels!B258), ""))</f>
        <v/>
      </c>
      <c r="C258" s="21" t="str">
        <f>IF($N$1="Piping", IF(ISBLANK(Piping!C258), "", Piping!C258), IF($N$1="Vessels", IF(ISBLANK(Vessels!C258), "", Vessels!C258), ""))</f>
        <v>Piping</v>
      </c>
      <c r="D258" s="21" t="str">
        <f>IF($N$1="Piping", IF(ISBLANK(Piping!D258), "", Piping!D258), IF($N$1="Vessels", IF(ISBLANK(Vessels!D258), "", Vessels!D258), ""))</f>
        <v/>
      </c>
      <c r="E258" s="21" t="str">
        <f>IF($N$1="Piping", IF(ISBLANK(Piping!E258), "", Piping!E258), IF($N$1="Vessels", IF(ISBLANK(Vessels!E258), "", Vessels!E258), ""))</f>
        <v/>
      </c>
      <c r="F258" s="21" t="str">
        <f>IF($N$1="Piping", IF(ISBLANK(Piping!F258), "", Piping!F258), IF($N$1="Vessels", IF(ISBLANK(Vessels!F258), "", Vessels!F258), ""))</f>
        <v/>
      </c>
      <c r="G258" s="21">
        <f>IF($N$1="Piping", IF(ISBLANK(Piping!G258), "", Piping!G258), IF($N$1="Vessels", IF(ISBLANK(Vessels!G258), "", Vessels!G258), ""))</f>
        <v>0</v>
      </c>
      <c r="H258" s="21" t="str">
        <f>IF($N$1="Piping", IF(ISBLANK(Piping!H258), "", Piping!H258), IF($N$1="Vessels", IF(ISBLANK(Vessels!H258), "", Vessels!H258), ""))</f>
        <v/>
      </c>
      <c r="I258" s="21" t="str">
        <f>IF($N$1="Piping", IF(ISBLANK(Piping!I258), "", Piping!I258), IF($N$1="Vessels", IF(ISBLANK(Vessels!I258), "", Vessels!I258), ""))</f>
        <v/>
      </c>
      <c r="J258" s="21" t="str">
        <f>IF($N$1="Piping", IF(ISBLANK(Piping!J258), "", Piping!J258), IF($N$1="Vessels", IF(ISBLANK(Vessels!J258), "", Vessels!J258), ""))</f>
        <v/>
      </c>
      <c r="K258" s="21" t="str">
        <f>IF($N$1="Piping", IF(ISBLANK(Piping!K258), "", Piping!K258), IF($N$1="Vessels", IF(ISBLANK(Vessels!K258), "", Vessels!K258), ""))</f>
        <v/>
      </c>
      <c r="L258" s="21" t="str">
        <f>IF($N$1="Piping", IF(ISBLANK(Piping!L258), "", Piping!L258), IF($N$1="Vessels", IF(ISBLANK(Vessels!L258), "", Vessels!L258), ""))</f>
        <v/>
      </c>
      <c r="M258" s="21"/>
      <c r="N258" s="21"/>
      <c r="O258" s="21"/>
      <c r="P258" s="21"/>
      <c r="Q258" s="21" t="str">
        <f>IF($N$1="Piping", IF(ISBLANK(Piping!T258), "", Piping!T258), IF($N$1="Vessels", IF(ISBLANK(Vessels!T258), "", Vessels!T258), ""))</f>
        <v/>
      </c>
      <c r="R258" s="51" t="str">
        <f>IF($N$1="Piping", IF(ISBLANK(Piping!U258), "", Piping!U258), IF($N$1="Vessels", IF(ISBLANK(Vessels!U258), "", Vessels!U258), ""))</f>
        <v/>
      </c>
      <c r="S258" s="118" t="str">
        <f>IF(B258&lt;&gt;"",IF($N$1="Piping", IF(ISBLANK(Piping!$J$3), "", Piping!$J$3), IF($N$1="Vessels", IF(ISBLANK(Vessels!$J$3), "", Vessels!$J$3), "")),"")</f>
        <v/>
      </c>
      <c r="T258" s="37"/>
      <c r="U258" s="37"/>
      <c r="V258" s="37"/>
      <c r="W258" s="37"/>
      <c r="X258" s="37"/>
      <c r="Y258" s="37"/>
      <c r="Z258" s="37"/>
    </row>
    <row r="259" spans="1:26" ht="15.75" customHeight="1" x14ac:dyDescent="0.3">
      <c r="A259" s="22">
        <f>IF($N$1="Piping", IF(ISBLANK(Piping!A259), "", Piping!A259), IF($N$1="Vessels", IF(ISBLANK(Vessels!A259), "", Vessels!A259), ""))</f>
        <v>64.2</v>
      </c>
      <c r="B259" s="21" t="str">
        <f>IF($N$1="Piping", IF(ISBLANK(Piping!B259), "", Piping!B259), IF($N$1="Vessels", IF(ISBLANK(Vessels!B259), "", Vessels!B259), ""))</f>
        <v/>
      </c>
      <c r="C259" s="21" t="str">
        <f>IF($N$1="Piping", IF(ISBLANK(Piping!C259), "", Piping!C259), IF($N$1="Vessels", IF(ISBLANK(Vessels!C259), "", Vessels!C259), ""))</f>
        <v>Piping</v>
      </c>
      <c r="D259" s="21" t="str">
        <f>IF($N$1="Piping", IF(ISBLANK(Piping!D259), "", Piping!D259), IF($N$1="Vessels", IF(ISBLANK(Vessels!D259), "", Vessels!D259), ""))</f>
        <v/>
      </c>
      <c r="E259" s="21" t="str">
        <f>IF($N$1="Piping", IF(ISBLANK(Piping!E259), "", Piping!E259), IF($N$1="Vessels", IF(ISBLANK(Vessels!E259), "", Vessels!E259), ""))</f>
        <v/>
      </c>
      <c r="F259" s="21" t="str">
        <f>IF($N$1="Piping", IF(ISBLANK(Piping!F259), "", Piping!F259), IF($N$1="Vessels", IF(ISBLANK(Vessels!F259), "", Vessels!F259), ""))</f>
        <v/>
      </c>
      <c r="G259" s="21">
        <f>IF($N$1="Piping", IF(ISBLANK(Piping!G259), "", Piping!G259), IF($N$1="Vessels", IF(ISBLANK(Vessels!G259), "", Vessels!G259), ""))</f>
        <v>0</v>
      </c>
      <c r="H259" s="21" t="str">
        <f>IF($N$1="Piping", IF(ISBLANK(Piping!H259), "", Piping!H259), IF($N$1="Vessels", IF(ISBLANK(Vessels!H259), "", Vessels!H259), ""))</f>
        <v/>
      </c>
      <c r="I259" s="21" t="str">
        <f>IF($N$1="Piping", IF(ISBLANK(Piping!I259), "", Piping!I259), IF($N$1="Vessels", IF(ISBLANK(Vessels!I259), "", Vessels!I259), ""))</f>
        <v/>
      </c>
      <c r="J259" s="21" t="str">
        <f>IF($N$1="Piping", IF(ISBLANK(Piping!J259), "", Piping!J259), IF($N$1="Vessels", IF(ISBLANK(Vessels!J259), "", Vessels!J259), ""))</f>
        <v/>
      </c>
      <c r="K259" s="21" t="str">
        <f>IF($N$1="Piping", IF(ISBLANK(Piping!K259), "", Piping!K259), IF($N$1="Vessels", IF(ISBLANK(Vessels!K259), "", Vessels!K259), ""))</f>
        <v/>
      </c>
      <c r="L259" s="21" t="str">
        <f>IF($N$1="Piping", IF(ISBLANK(Piping!L259), "", Piping!L259), IF($N$1="Vessels", IF(ISBLANK(Vessels!L259), "", Vessels!L259), ""))</f>
        <v/>
      </c>
      <c r="M259" s="21"/>
      <c r="N259" s="21"/>
      <c r="O259" s="21"/>
      <c r="P259" s="21"/>
      <c r="Q259" s="21" t="str">
        <f>IF($N$1="Piping", IF(ISBLANK(Piping!T259), "", Piping!T259), IF($N$1="Vessels", IF(ISBLANK(Vessels!T259), "", Vessels!T259), ""))</f>
        <v/>
      </c>
      <c r="R259" s="51" t="str">
        <f>IF($N$1="Piping", IF(ISBLANK(Piping!U259), "", Piping!U259), IF($N$1="Vessels", IF(ISBLANK(Vessels!U259), "", Vessels!U259), ""))</f>
        <v/>
      </c>
      <c r="S259" s="118" t="str">
        <f>IF(B259&lt;&gt;"",IF($N$1="Piping", IF(ISBLANK(Piping!$J$3), "", Piping!$J$3), IF($N$1="Vessels", IF(ISBLANK(Vessels!$J$3), "", Vessels!$J$3), "")),"")</f>
        <v/>
      </c>
      <c r="T259" s="37"/>
      <c r="U259" s="37"/>
      <c r="V259" s="37"/>
      <c r="W259" s="37"/>
      <c r="X259" s="37"/>
      <c r="Y259" s="37"/>
      <c r="Z259" s="37"/>
    </row>
    <row r="260" spans="1:26" ht="15.75" customHeight="1" x14ac:dyDescent="0.3">
      <c r="A260" s="22">
        <f>IF($N$1="Piping", IF(ISBLANK(Piping!A260), "", Piping!A260), IF($N$1="Vessels", IF(ISBLANK(Vessels!A260), "", Vessels!A260), ""))</f>
        <v>64.3</v>
      </c>
      <c r="B260" s="21" t="str">
        <f>IF($N$1="Piping", IF(ISBLANK(Piping!B260), "", Piping!B260), IF($N$1="Vessels", IF(ISBLANK(Vessels!B260), "", Vessels!B260), ""))</f>
        <v/>
      </c>
      <c r="C260" s="21" t="str">
        <f>IF($N$1="Piping", IF(ISBLANK(Piping!C260), "", Piping!C260), IF($N$1="Vessels", IF(ISBLANK(Vessels!C260), "", Vessels!C260), ""))</f>
        <v>Piping</v>
      </c>
      <c r="D260" s="21" t="str">
        <f>IF($N$1="Piping", IF(ISBLANK(Piping!D260), "", Piping!D260), IF($N$1="Vessels", IF(ISBLANK(Vessels!D260), "", Vessels!D260), ""))</f>
        <v/>
      </c>
      <c r="E260" s="21" t="str">
        <f>IF($N$1="Piping", IF(ISBLANK(Piping!E260), "", Piping!E260), IF($N$1="Vessels", IF(ISBLANK(Vessels!E260), "", Vessels!E260), ""))</f>
        <v/>
      </c>
      <c r="F260" s="21" t="str">
        <f>IF($N$1="Piping", IF(ISBLANK(Piping!F260), "", Piping!F260), IF($N$1="Vessels", IF(ISBLANK(Vessels!F260), "", Vessels!F260), ""))</f>
        <v/>
      </c>
      <c r="G260" s="21">
        <f>IF($N$1="Piping", IF(ISBLANK(Piping!G260), "", Piping!G260), IF($N$1="Vessels", IF(ISBLANK(Vessels!G260), "", Vessels!G260), ""))</f>
        <v>0</v>
      </c>
      <c r="H260" s="21" t="str">
        <f>IF($N$1="Piping", IF(ISBLANK(Piping!H260), "", Piping!H260), IF($N$1="Vessels", IF(ISBLANK(Vessels!H260), "", Vessels!H260), ""))</f>
        <v/>
      </c>
      <c r="I260" s="21" t="str">
        <f>IF($N$1="Piping", IF(ISBLANK(Piping!I260), "", Piping!I260), IF($N$1="Vessels", IF(ISBLANK(Vessels!I260), "", Vessels!I260), ""))</f>
        <v/>
      </c>
      <c r="J260" s="21" t="str">
        <f>IF($N$1="Piping", IF(ISBLANK(Piping!J260), "", Piping!J260), IF($N$1="Vessels", IF(ISBLANK(Vessels!J260), "", Vessels!J260), ""))</f>
        <v/>
      </c>
      <c r="K260" s="21" t="str">
        <f>IF($N$1="Piping", IF(ISBLANK(Piping!K260), "", Piping!K260), IF($N$1="Vessels", IF(ISBLANK(Vessels!K260), "", Vessels!K260), ""))</f>
        <v/>
      </c>
      <c r="L260" s="21" t="str">
        <f>IF($N$1="Piping", IF(ISBLANK(Piping!L260), "", Piping!L260), IF($N$1="Vessels", IF(ISBLANK(Vessels!L260), "", Vessels!L260), ""))</f>
        <v/>
      </c>
      <c r="M260" s="21"/>
      <c r="N260" s="21"/>
      <c r="O260" s="21"/>
      <c r="P260" s="21"/>
      <c r="Q260" s="21" t="str">
        <f>IF($N$1="Piping", IF(ISBLANK(Piping!T260), "", Piping!T260), IF($N$1="Vessels", IF(ISBLANK(Vessels!T260), "", Vessels!T260), ""))</f>
        <v/>
      </c>
      <c r="R260" s="51" t="str">
        <f>IF($N$1="Piping", IF(ISBLANK(Piping!U260), "", Piping!U260), IF($N$1="Vessels", IF(ISBLANK(Vessels!U260), "", Vessels!U260), ""))</f>
        <v/>
      </c>
      <c r="S260" s="118" t="str">
        <f>IF(B260&lt;&gt;"",IF($N$1="Piping", IF(ISBLANK(Piping!$J$3), "", Piping!$J$3), IF($N$1="Vessels", IF(ISBLANK(Vessels!$J$3), "", Vessels!$J$3), "")),"")</f>
        <v/>
      </c>
      <c r="T260" s="37"/>
      <c r="U260" s="37"/>
      <c r="V260" s="37"/>
      <c r="W260" s="37"/>
      <c r="X260" s="37"/>
      <c r="Y260" s="37"/>
      <c r="Z260" s="37"/>
    </row>
    <row r="261" spans="1:26" ht="15.75" customHeight="1" x14ac:dyDescent="0.3">
      <c r="A261" s="22">
        <f>IF($N$1="Piping", IF(ISBLANK(Piping!A261), "", Piping!A261), IF($N$1="Vessels", IF(ISBLANK(Vessels!A261), "", Vessels!A261), ""))</f>
        <v>64.400000000000006</v>
      </c>
      <c r="B261" s="21" t="str">
        <f>IF($N$1="Piping", IF(ISBLANK(Piping!B261), "", Piping!B261), IF($N$1="Vessels", IF(ISBLANK(Vessels!B261), "", Vessels!B261), ""))</f>
        <v/>
      </c>
      <c r="C261" s="21" t="str">
        <f>IF($N$1="Piping", IF(ISBLANK(Piping!C261), "", Piping!C261), IF($N$1="Vessels", IF(ISBLANK(Vessels!C261), "", Vessels!C261), ""))</f>
        <v>Piping</v>
      </c>
      <c r="D261" s="21" t="str">
        <f>IF($N$1="Piping", IF(ISBLANK(Piping!D261), "", Piping!D261), IF($N$1="Vessels", IF(ISBLANK(Vessels!D261), "", Vessels!D261), ""))</f>
        <v/>
      </c>
      <c r="E261" s="21" t="str">
        <f>IF($N$1="Piping", IF(ISBLANK(Piping!E261), "", Piping!E261), IF($N$1="Vessels", IF(ISBLANK(Vessels!E261), "", Vessels!E261), ""))</f>
        <v/>
      </c>
      <c r="F261" s="21" t="str">
        <f>IF($N$1="Piping", IF(ISBLANK(Piping!F261), "", Piping!F261), IF($N$1="Vessels", IF(ISBLANK(Vessels!F261), "", Vessels!F261), ""))</f>
        <v/>
      </c>
      <c r="G261" s="21">
        <f>IF($N$1="Piping", IF(ISBLANK(Piping!G261), "", Piping!G261), IF($N$1="Vessels", IF(ISBLANK(Vessels!G261), "", Vessels!G261), ""))</f>
        <v>0</v>
      </c>
      <c r="H261" s="21" t="str">
        <f>IF($N$1="Piping", IF(ISBLANK(Piping!H261), "", Piping!H261), IF($N$1="Vessels", IF(ISBLANK(Vessels!H261), "", Vessels!H261), ""))</f>
        <v/>
      </c>
      <c r="I261" s="21" t="str">
        <f>IF($N$1="Piping", IF(ISBLANK(Piping!I261), "", Piping!I261), IF($N$1="Vessels", IF(ISBLANK(Vessels!I261), "", Vessels!I261), ""))</f>
        <v/>
      </c>
      <c r="J261" s="21" t="str">
        <f>IF($N$1="Piping", IF(ISBLANK(Piping!J261), "", Piping!J261), IF($N$1="Vessels", IF(ISBLANK(Vessels!J261), "", Vessels!J261), ""))</f>
        <v/>
      </c>
      <c r="K261" s="21" t="str">
        <f>IF($N$1="Piping", IF(ISBLANK(Piping!K261), "", Piping!K261), IF($N$1="Vessels", IF(ISBLANK(Vessels!K261), "", Vessels!K261), ""))</f>
        <v/>
      </c>
      <c r="L261" s="21" t="str">
        <f>IF($N$1="Piping", IF(ISBLANK(Piping!L261), "", Piping!L261), IF($N$1="Vessels", IF(ISBLANK(Vessels!L261), "", Vessels!L261), ""))</f>
        <v/>
      </c>
      <c r="M261" s="21"/>
      <c r="N261" s="21"/>
      <c r="O261" s="21"/>
      <c r="P261" s="21"/>
      <c r="Q261" s="21" t="str">
        <f>IF($N$1="Piping", IF(ISBLANK(Piping!T261), "", Piping!T261), IF($N$1="Vessels", IF(ISBLANK(Vessels!T261), "", Vessels!T261), ""))</f>
        <v/>
      </c>
      <c r="R261" s="51" t="str">
        <f>IF($N$1="Piping", IF(ISBLANK(Piping!U261), "", Piping!U261), IF($N$1="Vessels", IF(ISBLANK(Vessels!U261), "", Vessels!U261), ""))</f>
        <v/>
      </c>
      <c r="S261" s="118" t="str">
        <f>IF(B261&lt;&gt;"",IF($N$1="Piping", IF(ISBLANK(Piping!$J$3), "", Piping!$J$3), IF($N$1="Vessels", IF(ISBLANK(Vessels!$J$3), "", Vessels!$J$3), "")),"")</f>
        <v/>
      </c>
      <c r="T261" s="37"/>
      <c r="U261" s="37"/>
      <c r="V261" s="37"/>
      <c r="W261" s="37"/>
      <c r="X261" s="37"/>
      <c r="Y261" s="37"/>
      <c r="Z261" s="37"/>
    </row>
    <row r="262" spans="1:26" ht="15.75" customHeight="1" x14ac:dyDescent="0.3">
      <c r="A262" s="22">
        <f>IF($N$1="Piping", IF(ISBLANK(Piping!A262), "", Piping!A262), IF($N$1="Vessels", IF(ISBLANK(Vessels!A262), "", Vessels!A262), ""))</f>
        <v>65.099999999999994</v>
      </c>
      <c r="B262" s="21" t="str">
        <f>IF($N$1="Piping", IF(ISBLANK(Piping!B262), "", Piping!B262), IF($N$1="Vessels", IF(ISBLANK(Vessels!B262), "", Vessels!B262), ""))</f>
        <v/>
      </c>
      <c r="C262" s="21" t="str">
        <f>IF($N$1="Piping", IF(ISBLANK(Piping!C262), "", Piping!C262), IF($N$1="Vessels", IF(ISBLANK(Vessels!C262), "", Vessels!C262), ""))</f>
        <v>Piping</v>
      </c>
      <c r="D262" s="21" t="str">
        <f>IF($N$1="Piping", IF(ISBLANK(Piping!D262), "", Piping!D262), IF($N$1="Vessels", IF(ISBLANK(Vessels!D262), "", Vessels!D262), ""))</f>
        <v/>
      </c>
      <c r="E262" s="21" t="str">
        <f>IF($N$1="Piping", IF(ISBLANK(Piping!E262), "", Piping!E262), IF($N$1="Vessels", IF(ISBLANK(Vessels!E262), "", Vessels!E262), ""))</f>
        <v/>
      </c>
      <c r="F262" s="21" t="str">
        <f>IF($N$1="Piping", IF(ISBLANK(Piping!F262), "", Piping!F262), IF($N$1="Vessels", IF(ISBLANK(Vessels!F262), "", Vessels!F262), ""))</f>
        <v/>
      </c>
      <c r="G262" s="21">
        <f>IF($N$1="Piping", IF(ISBLANK(Piping!G262), "", Piping!G262), IF($N$1="Vessels", IF(ISBLANK(Vessels!G262), "", Vessels!G262), ""))</f>
        <v>0</v>
      </c>
      <c r="H262" s="21" t="str">
        <f>IF($N$1="Piping", IF(ISBLANK(Piping!H262), "", Piping!H262), IF($N$1="Vessels", IF(ISBLANK(Vessels!H262), "", Vessels!H262), ""))</f>
        <v/>
      </c>
      <c r="I262" s="21" t="str">
        <f>IF($N$1="Piping", IF(ISBLANK(Piping!I262), "", Piping!I262), IF($N$1="Vessels", IF(ISBLANK(Vessels!I262), "", Vessels!I262), ""))</f>
        <v/>
      </c>
      <c r="J262" s="21" t="str">
        <f>IF($N$1="Piping", IF(ISBLANK(Piping!J262), "", Piping!J262), IF($N$1="Vessels", IF(ISBLANK(Vessels!J262), "", Vessels!J262), ""))</f>
        <v/>
      </c>
      <c r="K262" s="21" t="str">
        <f>IF($N$1="Piping", IF(ISBLANK(Piping!K262), "", Piping!K262), IF($N$1="Vessels", IF(ISBLANK(Vessels!K262), "", Vessels!K262), ""))</f>
        <v/>
      </c>
      <c r="L262" s="21" t="str">
        <f>IF($N$1="Piping", IF(ISBLANK(Piping!L262), "", Piping!L262), IF($N$1="Vessels", IF(ISBLANK(Vessels!L262), "", Vessels!L262), ""))</f>
        <v/>
      </c>
      <c r="M262" s="21"/>
      <c r="N262" s="21"/>
      <c r="O262" s="21"/>
      <c r="P262" s="21"/>
      <c r="Q262" s="21" t="str">
        <f>IF($N$1="Piping", IF(ISBLANK(Piping!T262), "", Piping!T262), IF($N$1="Vessels", IF(ISBLANK(Vessels!T262), "", Vessels!T262), ""))</f>
        <v/>
      </c>
      <c r="R262" s="51" t="str">
        <f>IF($N$1="Piping", IF(ISBLANK(Piping!U262), "", Piping!U262), IF($N$1="Vessels", IF(ISBLANK(Vessels!U262), "", Vessels!U262), ""))</f>
        <v/>
      </c>
      <c r="S262" s="118" t="str">
        <f>IF(B262&lt;&gt;"",IF($N$1="Piping", IF(ISBLANK(Piping!$J$3), "", Piping!$J$3), IF($N$1="Vessels", IF(ISBLANK(Vessels!$J$3), "", Vessels!$J$3), "")),"")</f>
        <v/>
      </c>
      <c r="T262" s="37"/>
      <c r="U262" s="37"/>
      <c r="V262" s="37"/>
      <c r="W262" s="37"/>
      <c r="X262" s="37"/>
      <c r="Y262" s="37"/>
      <c r="Z262" s="37"/>
    </row>
    <row r="263" spans="1:26" ht="15.75" customHeight="1" x14ac:dyDescent="0.3">
      <c r="A263" s="22">
        <f>IF($N$1="Piping", IF(ISBLANK(Piping!A263), "", Piping!A263), IF($N$1="Vessels", IF(ISBLANK(Vessels!A263), "", Vessels!A263), ""))</f>
        <v>65.2</v>
      </c>
      <c r="B263" s="21" t="str">
        <f>IF($N$1="Piping", IF(ISBLANK(Piping!B263), "", Piping!B263), IF($N$1="Vessels", IF(ISBLANK(Vessels!B263), "", Vessels!B263), ""))</f>
        <v/>
      </c>
      <c r="C263" s="21" t="str">
        <f>IF($N$1="Piping", IF(ISBLANK(Piping!C263), "", Piping!C263), IF($N$1="Vessels", IF(ISBLANK(Vessels!C263), "", Vessels!C263), ""))</f>
        <v>Piping</v>
      </c>
      <c r="D263" s="21" t="str">
        <f>IF($N$1="Piping", IF(ISBLANK(Piping!D263), "", Piping!D263), IF($N$1="Vessels", IF(ISBLANK(Vessels!D263), "", Vessels!D263), ""))</f>
        <v/>
      </c>
      <c r="E263" s="21" t="str">
        <f>IF($N$1="Piping", IF(ISBLANK(Piping!E263), "", Piping!E263), IF($N$1="Vessels", IF(ISBLANK(Vessels!E263), "", Vessels!E263), ""))</f>
        <v/>
      </c>
      <c r="F263" s="21" t="str">
        <f>IF($N$1="Piping", IF(ISBLANK(Piping!F263), "", Piping!F263), IF($N$1="Vessels", IF(ISBLANK(Vessels!F263), "", Vessels!F263), ""))</f>
        <v/>
      </c>
      <c r="G263" s="21">
        <f>IF($N$1="Piping", IF(ISBLANK(Piping!G263), "", Piping!G263), IF($N$1="Vessels", IF(ISBLANK(Vessels!G263), "", Vessels!G263), ""))</f>
        <v>0</v>
      </c>
      <c r="H263" s="21" t="str">
        <f>IF($N$1="Piping", IF(ISBLANK(Piping!H263), "", Piping!H263), IF($N$1="Vessels", IF(ISBLANK(Vessels!H263), "", Vessels!H263), ""))</f>
        <v/>
      </c>
      <c r="I263" s="21" t="str">
        <f>IF($N$1="Piping", IF(ISBLANK(Piping!I263), "", Piping!I263), IF($N$1="Vessels", IF(ISBLANK(Vessels!I263), "", Vessels!I263), ""))</f>
        <v/>
      </c>
      <c r="J263" s="21" t="str">
        <f>IF($N$1="Piping", IF(ISBLANK(Piping!J263), "", Piping!J263), IF($N$1="Vessels", IF(ISBLANK(Vessels!J263), "", Vessels!J263), ""))</f>
        <v/>
      </c>
      <c r="K263" s="21" t="str">
        <f>IF($N$1="Piping", IF(ISBLANK(Piping!K263), "", Piping!K263), IF($N$1="Vessels", IF(ISBLANK(Vessels!K263), "", Vessels!K263), ""))</f>
        <v/>
      </c>
      <c r="L263" s="21" t="str">
        <f>IF($N$1="Piping", IF(ISBLANK(Piping!L263), "", Piping!L263), IF($N$1="Vessels", IF(ISBLANK(Vessels!L263), "", Vessels!L263), ""))</f>
        <v/>
      </c>
      <c r="M263" s="21"/>
      <c r="N263" s="21"/>
      <c r="O263" s="21"/>
      <c r="P263" s="21"/>
      <c r="Q263" s="21" t="str">
        <f>IF($N$1="Piping", IF(ISBLANK(Piping!T263), "", Piping!T263), IF($N$1="Vessels", IF(ISBLANK(Vessels!T263), "", Vessels!T263), ""))</f>
        <v/>
      </c>
      <c r="R263" s="51" t="str">
        <f>IF($N$1="Piping", IF(ISBLANK(Piping!U263), "", Piping!U263), IF($N$1="Vessels", IF(ISBLANK(Vessels!U263), "", Vessels!U263), ""))</f>
        <v/>
      </c>
      <c r="S263" s="118" t="str">
        <f>IF(B263&lt;&gt;"",IF($N$1="Piping", IF(ISBLANK(Piping!$J$3), "", Piping!$J$3), IF($N$1="Vessels", IF(ISBLANK(Vessels!$J$3), "", Vessels!$J$3), "")),"")</f>
        <v/>
      </c>
      <c r="T263" s="37"/>
      <c r="U263" s="37"/>
      <c r="V263" s="37"/>
      <c r="W263" s="37"/>
      <c r="X263" s="37"/>
      <c r="Y263" s="37"/>
      <c r="Z263" s="37"/>
    </row>
    <row r="264" spans="1:26" ht="15.75" customHeight="1" x14ac:dyDescent="0.3">
      <c r="A264" s="22">
        <f>IF($N$1="Piping", IF(ISBLANK(Piping!A264), "", Piping!A264), IF($N$1="Vessels", IF(ISBLANK(Vessels!A264), "", Vessels!A264), ""))</f>
        <v>65.3</v>
      </c>
      <c r="B264" s="21" t="str">
        <f>IF($N$1="Piping", IF(ISBLANK(Piping!B264), "", Piping!B264), IF($N$1="Vessels", IF(ISBLANK(Vessels!B264), "", Vessels!B264), ""))</f>
        <v/>
      </c>
      <c r="C264" s="21" t="str">
        <f>IF($N$1="Piping", IF(ISBLANK(Piping!C264), "", Piping!C264), IF($N$1="Vessels", IF(ISBLANK(Vessels!C264), "", Vessels!C264), ""))</f>
        <v>Piping</v>
      </c>
      <c r="D264" s="21" t="str">
        <f>IF($N$1="Piping", IF(ISBLANK(Piping!D264), "", Piping!D264), IF($N$1="Vessels", IF(ISBLANK(Vessels!D264), "", Vessels!D264), ""))</f>
        <v/>
      </c>
      <c r="E264" s="21" t="str">
        <f>IF($N$1="Piping", IF(ISBLANK(Piping!E264), "", Piping!E264), IF($N$1="Vessels", IF(ISBLANK(Vessels!E264), "", Vessels!E264), ""))</f>
        <v/>
      </c>
      <c r="F264" s="21" t="str">
        <f>IF($N$1="Piping", IF(ISBLANK(Piping!F264), "", Piping!F264), IF($N$1="Vessels", IF(ISBLANK(Vessels!F264), "", Vessels!F264), ""))</f>
        <v/>
      </c>
      <c r="G264" s="21">
        <f>IF($N$1="Piping", IF(ISBLANK(Piping!G264), "", Piping!G264), IF($N$1="Vessels", IF(ISBLANK(Vessels!G264), "", Vessels!G264), ""))</f>
        <v>0</v>
      </c>
      <c r="H264" s="21" t="str">
        <f>IF($N$1="Piping", IF(ISBLANK(Piping!H264), "", Piping!H264), IF($N$1="Vessels", IF(ISBLANK(Vessels!H264), "", Vessels!H264), ""))</f>
        <v/>
      </c>
      <c r="I264" s="21" t="str">
        <f>IF($N$1="Piping", IF(ISBLANK(Piping!I264), "", Piping!I264), IF($N$1="Vessels", IF(ISBLANK(Vessels!I264), "", Vessels!I264), ""))</f>
        <v/>
      </c>
      <c r="J264" s="21" t="str">
        <f>IF($N$1="Piping", IF(ISBLANK(Piping!J264), "", Piping!J264), IF($N$1="Vessels", IF(ISBLANK(Vessels!J264), "", Vessels!J264), ""))</f>
        <v/>
      </c>
      <c r="K264" s="21" t="str">
        <f>IF($N$1="Piping", IF(ISBLANK(Piping!K264), "", Piping!K264), IF($N$1="Vessels", IF(ISBLANK(Vessels!K264), "", Vessels!K264), ""))</f>
        <v/>
      </c>
      <c r="L264" s="21" t="str">
        <f>IF($N$1="Piping", IF(ISBLANK(Piping!L264), "", Piping!L264), IF($N$1="Vessels", IF(ISBLANK(Vessels!L264), "", Vessels!L264), ""))</f>
        <v/>
      </c>
      <c r="M264" s="21"/>
      <c r="N264" s="21"/>
      <c r="O264" s="21"/>
      <c r="P264" s="21"/>
      <c r="Q264" s="21" t="str">
        <f>IF($N$1="Piping", IF(ISBLANK(Piping!T264), "", Piping!T264), IF($N$1="Vessels", IF(ISBLANK(Vessels!T264), "", Vessels!T264), ""))</f>
        <v/>
      </c>
      <c r="R264" s="51" t="str">
        <f>IF($N$1="Piping", IF(ISBLANK(Piping!U264), "", Piping!U264), IF($N$1="Vessels", IF(ISBLANK(Vessels!U264), "", Vessels!U264), ""))</f>
        <v/>
      </c>
      <c r="S264" s="118" t="str">
        <f>IF(B264&lt;&gt;"",IF($N$1="Piping", IF(ISBLANK(Piping!$J$3), "", Piping!$J$3), IF($N$1="Vessels", IF(ISBLANK(Vessels!$J$3), "", Vessels!$J$3), "")),"")</f>
        <v/>
      </c>
      <c r="T264" s="37"/>
      <c r="U264" s="37"/>
      <c r="V264" s="37"/>
      <c r="W264" s="37"/>
      <c r="X264" s="37"/>
      <c r="Y264" s="37"/>
      <c r="Z264" s="37"/>
    </row>
    <row r="265" spans="1:26" ht="15.75" customHeight="1" x14ac:dyDescent="0.3">
      <c r="A265" s="22">
        <f>IF($N$1="Piping", IF(ISBLANK(Piping!A265), "", Piping!A265), IF($N$1="Vessels", IF(ISBLANK(Vessels!A265), "", Vessels!A265), ""))</f>
        <v>65.400000000000006</v>
      </c>
      <c r="B265" s="21" t="str">
        <f>IF($N$1="Piping", IF(ISBLANK(Piping!B265), "", Piping!B265), IF($N$1="Vessels", IF(ISBLANK(Vessels!B265), "", Vessels!B265), ""))</f>
        <v/>
      </c>
      <c r="C265" s="21" t="str">
        <f>IF($N$1="Piping", IF(ISBLANK(Piping!C265), "", Piping!C265), IF($N$1="Vessels", IF(ISBLANK(Vessels!C265), "", Vessels!C265), ""))</f>
        <v>Piping</v>
      </c>
      <c r="D265" s="21" t="str">
        <f>IF($N$1="Piping", IF(ISBLANK(Piping!D265), "", Piping!D265), IF($N$1="Vessels", IF(ISBLANK(Vessels!D265), "", Vessels!D265), ""))</f>
        <v/>
      </c>
      <c r="E265" s="21" t="str">
        <f>IF($N$1="Piping", IF(ISBLANK(Piping!E265), "", Piping!E265), IF($N$1="Vessels", IF(ISBLANK(Vessels!E265), "", Vessels!E265), ""))</f>
        <v/>
      </c>
      <c r="F265" s="21" t="str">
        <f>IF($N$1="Piping", IF(ISBLANK(Piping!F265), "", Piping!F265), IF($N$1="Vessels", IF(ISBLANK(Vessels!F265), "", Vessels!F265), ""))</f>
        <v/>
      </c>
      <c r="G265" s="21">
        <f>IF($N$1="Piping", IF(ISBLANK(Piping!G265), "", Piping!G265), IF($N$1="Vessels", IF(ISBLANK(Vessels!G265), "", Vessels!G265), ""))</f>
        <v>0</v>
      </c>
      <c r="H265" s="21" t="str">
        <f>IF($N$1="Piping", IF(ISBLANK(Piping!H265), "", Piping!H265), IF($N$1="Vessels", IF(ISBLANK(Vessels!H265), "", Vessels!H265), ""))</f>
        <v/>
      </c>
      <c r="I265" s="21" t="str">
        <f>IF($N$1="Piping", IF(ISBLANK(Piping!I265), "", Piping!I265), IF($N$1="Vessels", IF(ISBLANK(Vessels!I265), "", Vessels!I265), ""))</f>
        <v/>
      </c>
      <c r="J265" s="21" t="str">
        <f>IF($N$1="Piping", IF(ISBLANK(Piping!J265), "", Piping!J265), IF($N$1="Vessels", IF(ISBLANK(Vessels!J265), "", Vessels!J265), ""))</f>
        <v/>
      </c>
      <c r="K265" s="21" t="str">
        <f>IF($N$1="Piping", IF(ISBLANK(Piping!K265), "", Piping!K265), IF($N$1="Vessels", IF(ISBLANK(Vessels!K265), "", Vessels!K265), ""))</f>
        <v/>
      </c>
      <c r="L265" s="21" t="str">
        <f>IF($N$1="Piping", IF(ISBLANK(Piping!L265), "", Piping!L265), IF($N$1="Vessels", IF(ISBLANK(Vessels!L265), "", Vessels!L265), ""))</f>
        <v/>
      </c>
      <c r="M265" s="21"/>
      <c r="N265" s="21"/>
      <c r="O265" s="21"/>
      <c r="P265" s="21"/>
      <c r="Q265" s="21" t="str">
        <f>IF($N$1="Piping", IF(ISBLANK(Piping!T265), "", Piping!T265), IF($N$1="Vessels", IF(ISBLANK(Vessels!T265), "", Vessels!T265), ""))</f>
        <v/>
      </c>
      <c r="R265" s="51" t="str">
        <f>IF($N$1="Piping", IF(ISBLANK(Piping!U265), "", Piping!U265), IF($N$1="Vessels", IF(ISBLANK(Vessels!U265), "", Vessels!U265), ""))</f>
        <v/>
      </c>
      <c r="S265" s="118" t="str">
        <f>IF(B265&lt;&gt;"",IF($N$1="Piping", IF(ISBLANK(Piping!$J$3), "", Piping!$J$3), IF($N$1="Vessels", IF(ISBLANK(Vessels!$J$3), "", Vessels!$J$3), "")),"")</f>
        <v/>
      </c>
      <c r="T265" s="37"/>
      <c r="U265" s="37"/>
      <c r="V265" s="37"/>
      <c r="W265" s="37"/>
      <c r="X265" s="37"/>
      <c r="Y265" s="37"/>
      <c r="Z265" s="37"/>
    </row>
    <row r="266" spans="1:26" ht="15.75" customHeight="1" x14ac:dyDescent="0.3">
      <c r="A266" s="22">
        <f>IF($N$1="Piping", IF(ISBLANK(Piping!A266), "", Piping!A266), IF($N$1="Vessels", IF(ISBLANK(Vessels!A266), "", Vessels!A266), ""))</f>
        <v>66.099999999999994</v>
      </c>
      <c r="B266" s="21" t="str">
        <f>IF($N$1="Piping", IF(ISBLANK(Piping!B266), "", Piping!B266), IF($N$1="Vessels", IF(ISBLANK(Vessels!B266), "", Vessels!B266), ""))</f>
        <v/>
      </c>
      <c r="C266" s="21" t="str">
        <f>IF($N$1="Piping", IF(ISBLANK(Piping!C266), "", Piping!C266), IF($N$1="Vessels", IF(ISBLANK(Vessels!C266), "", Vessels!C266), ""))</f>
        <v>Piping</v>
      </c>
      <c r="D266" s="21" t="str">
        <f>IF($N$1="Piping", IF(ISBLANK(Piping!D266), "", Piping!D266), IF($N$1="Vessels", IF(ISBLANK(Vessels!D266), "", Vessels!D266), ""))</f>
        <v/>
      </c>
      <c r="E266" s="21" t="str">
        <f>IF($N$1="Piping", IF(ISBLANK(Piping!E266), "", Piping!E266), IF($N$1="Vessels", IF(ISBLANK(Vessels!E266), "", Vessels!E266), ""))</f>
        <v/>
      </c>
      <c r="F266" s="21" t="str">
        <f>IF($N$1="Piping", IF(ISBLANK(Piping!F266), "", Piping!F266), IF($N$1="Vessels", IF(ISBLANK(Vessels!F266), "", Vessels!F266), ""))</f>
        <v/>
      </c>
      <c r="G266" s="21">
        <f>IF($N$1="Piping", IF(ISBLANK(Piping!G266), "", Piping!G266), IF($N$1="Vessels", IF(ISBLANK(Vessels!G266), "", Vessels!G266), ""))</f>
        <v>0</v>
      </c>
      <c r="H266" s="21" t="str">
        <f>IF($N$1="Piping", IF(ISBLANK(Piping!H266), "", Piping!H266), IF($N$1="Vessels", IF(ISBLANK(Vessels!H266), "", Vessels!H266), ""))</f>
        <v/>
      </c>
      <c r="I266" s="21" t="str">
        <f>IF($N$1="Piping", IF(ISBLANK(Piping!I266), "", Piping!I266), IF($N$1="Vessels", IF(ISBLANK(Vessels!I266), "", Vessels!I266), ""))</f>
        <v/>
      </c>
      <c r="J266" s="21" t="str">
        <f>IF($N$1="Piping", IF(ISBLANK(Piping!J266), "", Piping!J266), IF($N$1="Vessels", IF(ISBLANK(Vessels!J266), "", Vessels!J266), ""))</f>
        <v/>
      </c>
      <c r="K266" s="21" t="str">
        <f>IF($N$1="Piping", IF(ISBLANK(Piping!K266), "", Piping!K266), IF($N$1="Vessels", IF(ISBLANK(Vessels!K266), "", Vessels!K266), ""))</f>
        <v/>
      </c>
      <c r="L266" s="21" t="str">
        <f>IF($N$1="Piping", IF(ISBLANK(Piping!L266), "", Piping!L266), IF($N$1="Vessels", IF(ISBLANK(Vessels!L266), "", Vessels!L266), ""))</f>
        <v/>
      </c>
      <c r="M266" s="21"/>
      <c r="N266" s="21"/>
      <c r="O266" s="21"/>
      <c r="P266" s="21"/>
      <c r="Q266" s="21" t="str">
        <f>IF($N$1="Piping", IF(ISBLANK(Piping!T266), "", Piping!T266), IF($N$1="Vessels", IF(ISBLANK(Vessels!T266), "", Vessels!T266), ""))</f>
        <v/>
      </c>
      <c r="R266" s="51" t="str">
        <f>IF($N$1="Piping", IF(ISBLANK(Piping!U266), "", Piping!U266), IF($N$1="Vessels", IF(ISBLANK(Vessels!U266), "", Vessels!U266), ""))</f>
        <v/>
      </c>
      <c r="S266" s="118" t="str">
        <f>IF(B266&lt;&gt;"",IF($N$1="Piping", IF(ISBLANK(Piping!$J$3), "", Piping!$J$3), IF($N$1="Vessels", IF(ISBLANK(Vessels!$J$3), "", Vessels!$J$3), "")),"")</f>
        <v/>
      </c>
      <c r="T266" s="37"/>
      <c r="U266" s="37"/>
      <c r="V266" s="37"/>
      <c r="W266" s="37"/>
      <c r="X266" s="37"/>
      <c r="Y266" s="37"/>
      <c r="Z266" s="37"/>
    </row>
    <row r="267" spans="1:26" ht="15.75" customHeight="1" x14ac:dyDescent="0.3">
      <c r="A267" s="22">
        <f>IF($N$1="Piping", IF(ISBLANK(Piping!A267), "", Piping!A267), IF($N$1="Vessels", IF(ISBLANK(Vessels!A267), "", Vessels!A267), ""))</f>
        <v>66.2</v>
      </c>
      <c r="B267" s="21" t="str">
        <f>IF($N$1="Piping", IF(ISBLANK(Piping!B267), "", Piping!B267), IF($N$1="Vessels", IF(ISBLANK(Vessels!B267), "", Vessels!B267), ""))</f>
        <v/>
      </c>
      <c r="C267" s="21" t="str">
        <f>IF($N$1="Piping", IF(ISBLANK(Piping!C267), "", Piping!C267), IF($N$1="Vessels", IF(ISBLANK(Vessels!C267), "", Vessels!C267), ""))</f>
        <v>Piping</v>
      </c>
      <c r="D267" s="21" t="str">
        <f>IF($N$1="Piping", IF(ISBLANK(Piping!D267), "", Piping!D267), IF($N$1="Vessels", IF(ISBLANK(Vessels!D267), "", Vessels!D267), ""))</f>
        <v/>
      </c>
      <c r="E267" s="21" t="str">
        <f>IF($N$1="Piping", IF(ISBLANK(Piping!E267), "", Piping!E267), IF($N$1="Vessels", IF(ISBLANK(Vessels!E267), "", Vessels!E267), ""))</f>
        <v/>
      </c>
      <c r="F267" s="21" t="str">
        <f>IF($N$1="Piping", IF(ISBLANK(Piping!F267), "", Piping!F267), IF($N$1="Vessels", IF(ISBLANK(Vessels!F267), "", Vessels!F267), ""))</f>
        <v/>
      </c>
      <c r="G267" s="21">
        <f>IF($N$1="Piping", IF(ISBLANK(Piping!G267), "", Piping!G267), IF($N$1="Vessels", IF(ISBLANK(Vessels!G267), "", Vessels!G267), ""))</f>
        <v>0</v>
      </c>
      <c r="H267" s="21" t="str">
        <f>IF($N$1="Piping", IF(ISBLANK(Piping!H267), "", Piping!H267), IF($N$1="Vessels", IF(ISBLANK(Vessels!H267), "", Vessels!H267), ""))</f>
        <v/>
      </c>
      <c r="I267" s="21" t="str">
        <f>IF($N$1="Piping", IF(ISBLANK(Piping!I267), "", Piping!I267), IF($N$1="Vessels", IF(ISBLANK(Vessels!I267), "", Vessels!I267), ""))</f>
        <v/>
      </c>
      <c r="J267" s="21" t="str">
        <f>IF($N$1="Piping", IF(ISBLANK(Piping!J267), "", Piping!J267), IF($N$1="Vessels", IF(ISBLANK(Vessels!J267), "", Vessels!J267), ""))</f>
        <v/>
      </c>
      <c r="K267" s="21" t="str">
        <f>IF($N$1="Piping", IF(ISBLANK(Piping!K267), "", Piping!K267), IF($N$1="Vessels", IF(ISBLANK(Vessels!K267), "", Vessels!K267), ""))</f>
        <v/>
      </c>
      <c r="L267" s="21" t="str">
        <f>IF($N$1="Piping", IF(ISBLANK(Piping!L267), "", Piping!L267), IF($N$1="Vessels", IF(ISBLANK(Vessels!L267), "", Vessels!L267), ""))</f>
        <v/>
      </c>
      <c r="M267" s="21"/>
      <c r="N267" s="21"/>
      <c r="O267" s="21"/>
      <c r="P267" s="21"/>
      <c r="Q267" s="21" t="str">
        <f>IF($N$1="Piping", IF(ISBLANK(Piping!T267), "", Piping!T267), IF($N$1="Vessels", IF(ISBLANK(Vessels!T267), "", Vessels!T267), ""))</f>
        <v/>
      </c>
      <c r="R267" s="51" t="str">
        <f>IF($N$1="Piping", IF(ISBLANK(Piping!U267), "", Piping!U267), IF($N$1="Vessels", IF(ISBLANK(Vessels!U267), "", Vessels!U267), ""))</f>
        <v/>
      </c>
      <c r="S267" s="118" t="str">
        <f>IF(B267&lt;&gt;"",IF($N$1="Piping", IF(ISBLANK(Piping!$J$3), "", Piping!$J$3), IF($N$1="Vessels", IF(ISBLANK(Vessels!$J$3), "", Vessels!$J$3), "")),"")</f>
        <v/>
      </c>
      <c r="T267" s="37"/>
      <c r="U267" s="37"/>
      <c r="V267" s="37"/>
      <c r="W267" s="37"/>
      <c r="X267" s="37"/>
      <c r="Y267" s="37"/>
      <c r="Z267" s="37"/>
    </row>
    <row r="268" spans="1:26" ht="15.75" customHeight="1" x14ac:dyDescent="0.3">
      <c r="A268" s="22">
        <f>IF($N$1="Piping", IF(ISBLANK(Piping!A268), "", Piping!A268), IF($N$1="Vessels", IF(ISBLANK(Vessels!A268), "", Vessels!A268), ""))</f>
        <v>66.3</v>
      </c>
      <c r="B268" s="21" t="str">
        <f>IF($N$1="Piping", IF(ISBLANK(Piping!B268), "", Piping!B268), IF($N$1="Vessels", IF(ISBLANK(Vessels!B268), "", Vessels!B268), ""))</f>
        <v/>
      </c>
      <c r="C268" s="21" t="str">
        <f>IF($N$1="Piping", IF(ISBLANK(Piping!C268), "", Piping!C268), IF($N$1="Vessels", IF(ISBLANK(Vessels!C268), "", Vessels!C268), ""))</f>
        <v>Piping</v>
      </c>
      <c r="D268" s="21" t="str">
        <f>IF($N$1="Piping", IF(ISBLANK(Piping!D268), "", Piping!D268), IF($N$1="Vessels", IF(ISBLANK(Vessels!D268), "", Vessels!D268), ""))</f>
        <v/>
      </c>
      <c r="E268" s="21" t="str">
        <f>IF($N$1="Piping", IF(ISBLANK(Piping!E268), "", Piping!E268), IF($N$1="Vessels", IF(ISBLANK(Vessels!E268), "", Vessels!E268), ""))</f>
        <v/>
      </c>
      <c r="F268" s="21" t="str">
        <f>IF($N$1="Piping", IF(ISBLANK(Piping!F268), "", Piping!F268), IF($N$1="Vessels", IF(ISBLANK(Vessels!F268), "", Vessels!F268), ""))</f>
        <v/>
      </c>
      <c r="G268" s="21">
        <f>IF($N$1="Piping", IF(ISBLANK(Piping!G268), "", Piping!G268), IF($N$1="Vessels", IF(ISBLANK(Vessels!G268), "", Vessels!G268), ""))</f>
        <v>0</v>
      </c>
      <c r="H268" s="21" t="str">
        <f>IF($N$1="Piping", IF(ISBLANK(Piping!H268), "", Piping!H268), IF($N$1="Vessels", IF(ISBLANK(Vessels!H268), "", Vessels!H268), ""))</f>
        <v/>
      </c>
      <c r="I268" s="21" t="str">
        <f>IF($N$1="Piping", IF(ISBLANK(Piping!I268), "", Piping!I268), IF($N$1="Vessels", IF(ISBLANK(Vessels!I268), "", Vessels!I268), ""))</f>
        <v/>
      </c>
      <c r="J268" s="21" t="str">
        <f>IF($N$1="Piping", IF(ISBLANK(Piping!J268), "", Piping!J268), IF($N$1="Vessels", IF(ISBLANK(Vessels!J268), "", Vessels!J268), ""))</f>
        <v/>
      </c>
      <c r="K268" s="21" t="str">
        <f>IF($N$1="Piping", IF(ISBLANK(Piping!K268), "", Piping!K268), IF($N$1="Vessels", IF(ISBLANK(Vessels!K268), "", Vessels!K268), ""))</f>
        <v/>
      </c>
      <c r="L268" s="21" t="str">
        <f>IF($N$1="Piping", IF(ISBLANK(Piping!L268), "", Piping!L268), IF($N$1="Vessels", IF(ISBLANK(Vessels!L268), "", Vessels!L268), ""))</f>
        <v/>
      </c>
      <c r="M268" s="21"/>
      <c r="N268" s="21"/>
      <c r="O268" s="21"/>
      <c r="P268" s="21"/>
      <c r="Q268" s="21" t="str">
        <f>IF($N$1="Piping", IF(ISBLANK(Piping!T268), "", Piping!T268), IF($N$1="Vessels", IF(ISBLANK(Vessels!T268), "", Vessels!T268), ""))</f>
        <v/>
      </c>
      <c r="R268" s="51" t="str">
        <f>IF($N$1="Piping", IF(ISBLANK(Piping!U268), "", Piping!U268), IF($N$1="Vessels", IF(ISBLANK(Vessels!U268), "", Vessels!U268), ""))</f>
        <v/>
      </c>
      <c r="S268" s="118" t="str">
        <f>IF(B268&lt;&gt;"",IF($N$1="Piping", IF(ISBLANK(Piping!$J$3), "", Piping!$J$3), IF($N$1="Vessels", IF(ISBLANK(Vessels!$J$3), "", Vessels!$J$3), "")),"")</f>
        <v/>
      </c>
      <c r="T268" s="37"/>
      <c r="U268" s="37"/>
      <c r="V268" s="37"/>
      <c r="W268" s="37"/>
      <c r="X268" s="37"/>
      <c r="Y268" s="37"/>
      <c r="Z268" s="37"/>
    </row>
    <row r="269" spans="1:26" ht="15.75" customHeight="1" x14ac:dyDescent="0.3">
      <c r="A269" s="22">
        <f>IF($N$1="Piping", IF(ISBLANK(Piping!A269), "", Piping!A269), IF($N$1="Vessels", IF(ISBLANK(Vessels!A269), "", Vessels!A269), ""))</f>
        <v>66.400000000000006</v>
      </c>
      <c r="B269" s="21" t="str">
        <f>IF($N$1="Piping", IF(ISBLANK(Piping!B269), "", Piping!B269), IF($N$1="Vessels", IF(ISBLANK(Vessels!B269), "", Vessels!B269), ""))</f>
        <v/>
      </c>
      <c r="C269" s="21" t="str">
        <f>IF($N$1="Piping", IF(ISBLANK(Piping!C269), "", Piping!C269), IF($N$1="Vessels", IF(ISBLANK(Vessels!C269), "", Vessels!C269), ""))</f>
        <v>Piping</v>
      </c>
      <c r="D269" s="21" t="str">
        <f>IF($N$1="Piping", IF(ISBLANK(Piping!D269), "", Piping!D269), IF($N$1="Vessels", IF(ISBLANK(Vessels!D269), "", Vessels!D269), ""))</f>
        <v/>
      </c>
      <c r="E269" s="21" t="str">
        <f>IF($N$1="Piping", IF(ISBLANK(Piping!E269), "", Piping!E269), IF($N$1="Vessels", IF(ISBLANK(Vessels!E269), "", Vessels!E269), ""))</f>
        <v/>
      </c>
      <c r="F269" s="21" t="str">
        <f>IF($N$1="Piping", IF(ISBLANK(Piping!F269), "", Piping!F269), IF($N$1="Vessels", IF(ISBLANK(Vessels!F269), "", Vessels!F269), ""))</f>
        <v/>
      </c>
      <c r="G269" s="21">
        <f>IF($N$1="Piping", IF(ISBLANK(Piping!G269), "", Piping!G269), IF($N$1="Vessels", IF(ISBLANK(Vessels!G269), "", Vessels!G269), ""))</f>
        <v>0</v>
      </c>
      <c r="H269" s="21" t="str">
        <f>IF($N$1="Piping", IF(ISBLANK(Piping!H269), "", Piping!H269), IF($N$1="Vessels", IF(ISBLANK(Vessels!H269), "", Vessels!H269), ""))</f>
        <v/>
      </c>
      <c r="I269" s="21" t="str">
        <f>IF($N$1="Piping", IF(ISBLANK(Piping!I269), "", Piping!I269), IF($N$1="Vessels", IF(ISBLANK(Vessels!I269), "", Vessels!I269), ""))</f>
        <v/>
      </c>
      <c r="J269" s="21" t="str">
        <f>IF($N$1="Piping", IF(ISBLANK(Piping!J269), "", Piping!J269), IF($N$1="Vessels", IF(ISBLANK(Vessels!J269), "", Vessels!J269), ""))</f>
        <v/>
      </c>
      <c r="K269" s="21" t="str">
        <f>IF($N$1="Piping", IF(ISBLANK(Piping!K269), "", Piping!K269), IF($N$1="Vessels", IF(ISBLANK(Vessels!K269), "", Vessels!K269), ""))</f>
        <v/>
      </c>
      <c r="L269" s="21" t="str">
        <f>IF($N$1="Piping", IF(ISBLANK(Piping!L269), "", Piping!L269), IF($N$1="Vessels", IF(ISBLANK(Vessels!L269), "", Vessels!L269), ""))</f>
        <v/>
      </c>
      <c r="M269" s="21"/>
      <c r="N269" s="21"/>
      <c r="O269" s="21"/>
      <c r="P269" s="21"/>
      <c r="Q269" s="21" t="str">
        <f>IF($N$1="Piping", IF(ISBLANK(Piping!T269), "", Piping!T269), IF($N$1="Vessels", IF(ISBLANK(Vessels!T269), "", Vessels!T269), ""))</f>
        <v/>
      </c>
      <c r="R269" s="51" t="str">
        <f>IF($N$1="Piping", IF(ISBLANK(Piping!U269), "", Piping!U269), IF($N$1="Vessels", IF(ISBLANK(Vessels!U269), "", Vessels!U269), ""))</f>
        <v/>
      </c>
      <c r="S269" s="118" t="str">
        <f>IF(B269&lt;&gt;"",IF($N$1="Piping", IF(ISBLANK(Piping!$J$3), "", Piping!$J$3), IF($N$1="Vessels", IF(ISBLANK(Vessels!$J$3), "", Vessels!$J$3), "")),"")</f>
        <v/>
      </c>
      <c r="T269" s="37"/>
      <c r="U269" s="37"/>
      <c r="V269" s="37"/>
      <c r="W269" s="37"/>
      <c r="X269" s="37"/>
      <c r="Y269" s="37"/>
      <c r="Z269" s="37"/>
    </row>
    <row r="270" spans="1:26" ht="15.75" customHeight="1" x14ac:dyDescent="0.3">
      <c r="A270" s="22">
        <f>IF($N$1="Piping", IF(ISBLANK(Piping!A270), "", Piping!A270), IF($N$1="Vessels", IF(ISBLANK(Vessels!A270), "", Vessels!A270), ""))</f>
        <v>67.099999999999994</v>
      </c>
      <c r="B270" s="21" t="str">
        <f>IF($N$1="Piping", IF(ISBLANK(Piping!B270), "", Piping!B270), IF($N$1="Vessels", IF(ISBLANK(Vessels!B270), "", Vessels!B270), ""))</f>
        <v/>
      </c>
      <c r="C270" s="21" t="str">
        <f>IF($N$1="Piping", IF(ISBLANK(Piping!C270), "", Piping!C270), IF($N$1="Vessels", IF(ISBLANK(Vessels!C270), "", Vessels!C270), ""))</f>
        <v>Piping</v>
      </c>
      <c r="D270" s="21" t="str">
        <f>IF($N$1="Piping", IF(ISBLANK(Piping!D270), "", Piping!D270), IF($N$1="Vessels", IF(ISBLANK(Vessels!D270), "", Vessels!D270), ""))</f>
        <v/>
      </c>
      <c r="E270" s="21" t="str">
        <f>IF($N$1="Piping", IF(ISBLANK(Piping!E270), "", Piping!E270), IF($N$1="Vessels", IF(ISBLANK(Vessels!E270), "", Vessels!E270), ""))</f>
        <v/>
      </c>
      <c r="F270" s="21" t="str">
        <f>IF($N$1="Piping", IF(ISBLANK(Piping!F270), "", Piping!F270), IF($N$1="Vessels", IF(ISBLANK(Vessels!F270), "", Vessels!F270), ""))</f>
        <v/>
      </c>
      <c r="G270" s="21">
        <f>IF($N$1="Piping", IF(ISBLANK(Piping!G270), "", Piping!G270), IF($N$1="Vessels", IF(ISBLANK(Vessels!G270), "", Vessels!G270), ""))</f>
        <v>0</v>
      </c>
      <c r="H270" s="21" t="str">
        <f>IF($N$1="Piping", IF(ISBLANK(Piping!H270), "", Piping!H270), IF($N$1="Vessels", IF(ISBLANK(Vessels!H270), "", Vessels!H270), ""))</f>
        <v/>
      </c>
      <c r="I270" s="21" t="str">
        <f>IF($N$1="Piping", IF(ISBLANK(Piping!I270), "", Piping!I270), IF($N$1="Vessels", IF(ISBLANK(Vessels!I270), "", Vessels!I270), ""))</f>
        <v/>
      </c>
      <c r="J270" s="21" t="str">
        <f>IF($N$1="Piping", IF(ISBLANK(Piping!J270), "", Piping!J270), IF($N$1="Vessels", IF(ISBLANK(Vessels!J270), "", Vessels!J270), ""))</f>
        <v/>
      </c>
      <c r="K270" s="21" t="str">
        <f>IF($N$1="Piping", IF(ISBLANK(Piping!K270), "", Piping!K270), IF($N$1="Vessels", IF(ISBLANK(Vessels!K270), "", Vessels!K270), ""))</f>
        <v/>
      </c>
      <c r="L270" s="21" t="str">
        <f>IF($N$1="Piping", IF(ISBLANK(Piping!L270), "", Piping!L270), IF($N$1="Vessels", IF(ISBLANK(Vessels!L270), "", Vessels!L270), ""))</f>
        <v/>
      </c>
      <c r="M270" s="21"/>
      <c r="N270" s="21"/>
      <c r="O270" s="21"/>
      <c r="P270" s="21"/>
      <c r="Q270" s="21" t="str">
        <f>IF($N$1="Piping", IF(ISBLANK(Piping!T270), "", Piping!T270), IF($N$1="Vessels", IF(ISBLANK(Vessels!T270), "", Vessels!T270), ""))</f>
        <v/>
      </c>
      <c r="R270" s="51" t="str">
        <f>IF($N$1="Piping", IF(ISBLANK(Piping!U270), "", Piping!U270), IF($N$1="Vessels", IF(ISBLANK(Vessels!U270), "", Vessels!U270), ""))</f>
        <v/>
      </c>
      <c r="S270" s="118" t="str">
        <f>IF(B270&lt;&gt;"",IF($N$1="Piping", IF(ISBLANK(Piping!$J$3), "", Piping!$J$3), IF($N$1="Vessels", IF(ISBLANK(Vessels!$J$3), "", Vessels!$J$3), "")),"")</f>
        <v/>
      </c>
      <c r="T270" s="37"/>
      <c r="U270" s="37"/>
      <c r="V270" s="37"/>
      <c r="W270" s="37"/>
      <c r="X270" s="37"/>
      <c r="Y270" s="37"/>
      <c r="Z270" s="37"/>
    </row>
    <row r="271" spans="1:26" ht="15.75" customHeight="1" x14ac:dyDescent="0.3">
      <c r="A271" s="22">
        <f>IF($N$1="Piping", IF(ISBLANK(Piping!A271), "", Piping!A271), IF($N$1="Vessels", IF(ISBLANK(Vessels!A271), "", Vessels!A271), ""))</f>
        <v>67.2</v>
      </c>
      <c r="B271" s="21" t="str">
        <f>IF($N$1="Piping", IF(ISBLANK(Piping!B271), "", Piping!B271), IF($N$1="Vessels", IF(ISBLANK(Vessels!B271), "", Vessels!B271), ""))</f>
        <v/>
      </c>
      <c r="C271" s="21" t="str">
        <f>IF($N$1="Piping", IF(ISBLANK(Piping!C271), "", Piping!C271), IF($N$1="Vessels", IF(ISBLANK(Vessels!C271), "", Vessels!C271), ""))</f>
        <v>Piping</v>
      </c>
      <c r="D271" s="21" t="str">
        <f>IF($N$1="Piping", IF(ISBLANK(Piping!D271), "", Piping!D271), IF($N$1="Vessels", IF(ISBLANK(Vessels!D271), "", Vessels!D271), ""))</f>
        <v/>
      </c>
      <c r="E271" s="21" t="str">
        <f>IF($N$1="Piping", IF(ISBLANK(Piping!E271), "", Piping!E271), IF($N$1="Vessels", IF(ISBLANK(Vessels!E271), "", Vessels!E271), ""))</f>
        <v/>
      </c>
      <c r="F271" s="21" t="str">
        <f>IF($N$1="Piping", IF(ISBLANK(Piping!F271), "", Piping!F271), IF($N$1="Vessels", IF(ISBLANK(Vessels!F271), "", Vessels!F271), ""))</f>
        <v/>
      </c>
      <c r="G271" s="21">
        <f>IF($N$1="Piping", IF(ISBLANK(Piping!G271), "", Piping!G271), IF($N$1="Vessels", IF(ISBLANK(Vessels!G271), "", Vessels!G271), ""))</f>
        <v>0</v>
      </c>
      <c r="H271" s="21" t="str">
        <f>IF($N$1="Piping", IF(ISBLANK(Piping!H271), "", Piping!H271), IF($N$1="Vessels", IF(ISBLANK(Vessels!H271), "", Vessels!H271), ""))</f>
        <v/>
      </c>
      <c r="I271" s="21" t="str">
        <f>IF($N$1="Piping", IF(ISBLANK(Piping!I271), "", Piping!I271), IF($N$1="Vessels", IF(ISBLANK(Vessels!I271), "", Vessels!I271), ""))</f>
        <v/>
      </c>
      <c r="J271" s="21" t="str">
        <f>IF($N$1="Piping", IF(ISBLANK(Piping!J271), "", Piping!J271), IF($N$1="Vessels", IF(ISBLANK(Vessels!J271), "", Vessels!J271), ""))</f>
        <v/>
      </c>
      <c r="K271" s="21" t="str">
        <f>IF($N$1="Piping", IF(ISBLANK(Piping!K271), "", Piping!K271), IF($N$1="Vessels", IF(ISBLANK(Vessels!K271), "", Vessels!K271), ""))</f>
        <v/>
      </c>
      <c r="L271" s="21" t="str">
        <f>IF($N$1="Piping", IF(ISBLANK(Piping!L271), "", Piping!L271), IF($N$1="Vessels", IF(ISBLANK(Vessels!L271), "", Vessels!L271), ""))</f>
        <v/>
      </c>
      <c r="M271" s="21"/>
      <c r="N271" s="21"/>
      <c r="O271" s="21"/>
      <c r="P271" s="21"/>
      <c r="Q271" s="21" t="str">
        <f>IF($N$1="Piping", IF(ISBLANK(Piping!T271), "", Piping!T271), IF($N$1="Vessels", IF(ISBLANK(Vessels!T271), "", Vessels!T271), ""))</f>
        <v/>
      </c>
      <c r="R271" s="51" t="str">
        <f>IF($N$1="Piping", IF(ISBLANK(Piping!U271), "", Piping!U271), IF($N$1="Vessels", IF(ISBLANK(Vessels!U271), "", Vessels!U271), ""))</f>
        <v/>
      </c>
      <c r="S271" s="118" t="str">
        <f>IF(B271&lt;&gt;"",IF($N$1="Piping", IF(ISBLANK(Piping!$J$3), "", Piping!$J$3), IF($N$1="Vessels", IF(ISBLANK(Vessels!$J$3), "", Vessels!$J$3), "")),"")</f>
        <v/>
      </c>
      <c r="T271" s="37"/>
      <c r="U271" s="37"/>
      <c r="V271" s="37"/>
      <c r="W271" s="37"/>
      <c r="X271" s="37"/>
      <c r="Y271" s="37"/>
      <c r="Z271" s="37"/>
    </row>
    <row r="272" spans="1:26" ht="15.75" customHeight="1" x14ac:dyDescent="0.3">
      <c r="A272" s="22">
        <f>IF($N$1="Piping", IF(ISBLANK(Piping!A272), "", Piping!A272), IF($N$1="Vessels", IF(ISBLANK(Vessels!A272), "", Vessels!A272), ""))</f>
        <v>67.3</v>
      </c>
      <c r="B272" s="21" t="str">
        <f>IF($N$1="Piping", IF(ISBLANK(Piping!B272), "", Piping!B272), IF($N$1="Vessels", IF(ISBLANK(Vessels!B272), "", Vessels!B272), ""))</f>
        <v/>
      </c>
      <c r="C272" s="21" t="str">
        <f>IF($N$1="Piping", IF(ISBLANK(Piping!C272), "", Piping!C272), IF($N$1="Vessels", IF(ISBLANK(Vessels!C272), "", Vessels!C272), ""))</f>
        <v>Piping</v>
      </c>
      <c r="D272" s="21" t="str">
        <f>IF($N$1="Piping", IF(ISBLANK(Piping!D272), "", Piping!D272), IF($N$1="Vessels", IF(ISBLANK(Vessels!D272), "", Vessels!D272), ""))</f>
        <v/>
      </c>
      <c r="E272" s="21" t="str">
        <f>IF($N$1="Piping", IF(ISBLANK(Piping!E272), "", Piping!E272), IF($N$1="Vessels", IF(ISBLANK(Vessels!E272), "", Vessels!E272), ""))</f>
        <v/>
      </c>
      <c r="F272" s="21" t="str">
        <f>IF($N$1="Piping", IF(ISBLANK(Piping!F272), "", Piping!F272), IF($N$1="Vessels", IF(ISBLANK(Vessels!F272), "", Vessels!F272), ""))</f>
        <v/>
      </c>
      <c r="G272" s="21">
        <f>IF($N$1="Piping", IF(ISBLANK(Piping!G272), "", Piping!G272), IF($N$1="Vessels", IF(ISBLANK(Vessels!G272), "", Vessels!G272), ""))</f>
        <v>0</v>
      </c>
      <c r="H272" s="21" t="str">
        <f>IF($N$1="Piping", IF(ISBLANK(Piping!H272), "", Piping!H272), IF($N$1="Vessels", IF(ISBLANK(Vessels!H272), "", Vessels!H272), ""))</f>
        <v/>
      </c>
      <c r="I272" s="21" t="str">
        <f>IF($N$1="Piping", IF(ISBLANK(Piping!I272), "", Piping!I272), IF($N$1="Vessels", IF(ISBLANK(Vessels!I272), "", Vessels!I272), ""))</f>
        <v/>
      </c>
      <c r="J272" s="21" t="str">
        <f>IF($N$1="Piping", IF(ISBLANK(Piping!J272), "", Piping!J272), IF($N$1="Vessels", IF(ISBLANK(Vessels!J272), "", Vessels!J272), ""))</f>
        <v/>
      </c>
      <c r="K272" s="21" t="str">
        <f>IF($N$1="Piping", IF(ISBLANK(Piping!K272), "", Piping!K272), IF($N$1="Vessels", IF(ISBLANK(Vessels!K272), "", Vessels!K272), ""))</f>
        <v/>
      </c>
      <c r="L272" s="21" t="str">
        <f>IF($N$1="Piping", IF(ISBLANK(Piping!L272), "", Piping!L272), IF($N$1="Vessels", IF(ISBLANK(Vessels!L272), "", Vessels!L272), ""))</f>
        <v/>
      </c>
      <c r="M272" s="21"/>
      <c r="N272" s="21"/>
      <c r="O272" s="21"/>
      <c r="P272" s="21"/>
      <c r="Q272" s="21" t="str">
        <f>IF($N$1="Piping", IF(ISBLANK(Piping!T272), "", Piping!T272), IF($N$1="Vessels", IF(ISBLANK(Vessels!T272), "", Vessels!T272), ""))</f>
        <v/>
      </c>
      <c r="R272" s="51" t="str">
        <f>IF($N$1="Piping", IF(ISBLANK(Piping!U272), "", Piping!U272), IF($N$1="Vessels", IF(ISBLANK(Vessels!U272), "", Vessels!U272), ""))</f>
        <v/>
      </c>
      <c r="S272" s="118" t="str">
        <f>IF(B272&lt;&gt;"",IF($N$1="Piping", IF(ISBLANK(Piping!$J$3), "", Piping!$J$3), IF($N$1="Vessels", IF(ISBLANK(Vessels!$J$3), "", Vessels!$J$3), "")),"")</f>
        <v/>
      </c>
      <c r="T272" s="37"/>
      <c r="U272" s="37"/>
      <c r="V272" s="37"/>
      <c r="W272" s="37"/>
      <c r="X272" s="37"/>
      <c r="Y272" s="37"/>
      <c r="Z272" s="37"/>
    </row>
    <row r="273" spans="1:26" ht="15.75" customHeight="1" x14ac:dyDescent="0.3">
      <c r="A273" s="22">
        <f>IF($N$1="Piping", IF(ISBLANK(Piping!A273), "", Piping!A273), IF($N$1="Vessels", IF(ISBLANK(Vessels!A273), "", Vessels!A273), ""))</f>
        <v>67.400000000000006</v>
      </c>
      <c r="B273" s="21" t="str">
        <f>IF($N$1="Piping", IF(ISBLANK(Piping!B273), "", Piping!B273), IF($N$1="Vessels", IF(ISBLANK(Vessels!B273), "", Vessels!B273), ""))</f>
        <v/>
      </c>
      <c r="C273" s="21" t="str">
        <f>IF($N$1="Piping", IF(ISBLANK(Piping!C273), "", Piping!C273), IF($N$1="Vessels", IF(ISBLANK(Vessels!C273), "", Vessels!C273), ""))</f>
        <v>Piping</v>
      </c>
      <c r="D273" s="21" t="str">
        <f>IF($N$1="Piping", IF(ISBLANK(Piping!D273), "", Piping!D273), IF($N$1="Vessels", IF(ISBLANK(Vessels!D273), "", Vessels!D273), ""))</f>
        <v/>
      </c>
      <c r="E273" s="21" t="str">
        <f>IF($N$1="Piping", IF(ISBLANK(Piping!E273), "", Piping!E273), IF($N$1="Vessels", IF(ISBLANK(Vessels!E273), "", Vessels!E273), ""))</f>
        <v/>
      </c>
      <c r="F273" s="21" t="str">
        <f>IF($N$1="Piping", IF(ISBLANK(Piping!F273), "", Piping!F273), IF($N$1="Vessels", IF(ISBLANK(Vessels!F273), "", Vessels!F273), ""))</f>
        <v/>
      </c>
      <c r="G273" s="21">
        <f>IF($N$1="Piping", IF(ISBLANK(Piping!G273), "", Piping!G273), IF($N$1="Vessels", IF(ISBLANK(Vessels!G273), "", Vessels!G273), ""))</f>
        <v>0</v>
      </c>
      <c r="H273" s="21" t="str">
        <f>IF($N$1="Piping", IF(ISBLANK(Piping!H273), "", Piping!H273), IF($N$1="Vessels", IF(ISBLANK(Vessels!H273), "", Vessels!H273), ""))</f>
        <v/>
      </c>
      <c r="I273" s="21" t="str">
        <f>IF($N$1="Piping", IF(ISBLANK(Piping!I273), "", Piping!I273), IF($N$1="Vessels", IF(ISBLANK(Vessels!I273), "", Vessels!I273), ""))</f>
        <v/>
      </c>
      <c r="J273" s="21" t="str">
        <f>IF($N$1="Piping", IF(ISBLANK(Piping!J273), "", Piping!J273), IF($N$1="Vessels", IF(ISBLANK(Vessels!J273), "", Vessels!J273), ""))</f>
        <v/>
      </c>
      <c r="K273" s="21" t="str">
        <f>IF($N$1="Piping", IF(ISBLANK(Piping!K273), "", Piping!K273), IF($N$1="Vessels", IF(ISBLANK(Vessels!K273), "", Vessels!K273), ""))</f>
        <v/>
      </c>
      <c r="L273" s="21" t="str">
        <f>IF($N$1="Piping", IF(ISBLANK(Piping!L273), "", Piping!L273), IF($N$1="Vessels", IF(ISBLANK(Vessels!L273), "", Vessels!L273), ""))</f>
        <v/>
      </c>
      <c r="M273" s="21"/>
      <c r="N273" s="21"/>
      <c r="O273" s="21"/>
      <c r="P273" s="21"/>
      <c r="Q273" s="21" t="str">
        <f>IF($N$1="Piping", IF(ISBLANK(Piping!T273), "", Piping!T273), IF($N$1="Vessels", IF(ISBLANK(Vessels!T273), "", Vessels!T273), ""))</f>
        <v/>
      </c>
      <c r="R273" s="51" t="str">
        <f>IF($N$1="Piping", IF(ISBLANK(Piping!U273), "", Piping!U273), IF($N$1="Vessels", IF(ISBLANK(Vessels!U273), "", Vessels!U273), ""))</f>
        <v/>
      </c>
      <c r="S273" s="118" t="str">
        <f>IF(B273&lt;&gt;"",IF($N$1="Piping", IF(ISBLANK(Piping!$J$3), "", Piping!$J$3), IF($N$1="Vessels", IF(ISBLANK(Vessels!$J$3), "", Vessels!$J$3), "")),"")</f>
        <v/>
      </c>
      <c r="T273" s="37"/>
      <c r="U273" s="37"/>
      <c r="V273" s="37"/>
      <c r="W273" s="37"/>
      <c r="X273" s="37"/>
      <c r="Y273" s="37"/>
      <c r="Z273" s="37"/>
    </row>
    <row r="274" spans="1:26" ht="15.75" customHeight="1" x14ac:dyDescent="0.3">
      <c r="A274" s="22">
        <f>IF($N$1="Piping", IF(ISBLANK(Piping!A274), "", Piping!A274), IF($N$1="Vessels", IF(ISBLANK(Vessels!A274), "", Vessels!A274), ""))</f>
        <v>68.099999999999994</v>
      </c>
      <c r="B274" s="21" t="str">
        <f>IF($N$1="Piping", IF(ISBLANK(Piping!B274), "", Piping!B274), IF($N$1="Vessels", IF(ISBLANK(Vessels!B274), "", Vessels!B274), ""))</f>
        <v/>
      </c>
      <c r="C274" s="21" t="str">
        <f>IF($N$1="Piping", IF(ISBLANK(Piping!C274), "", Piping!C274), IF($N$1="Vessels", IF(ISBLANK(Vessels!C274), "", Vessels!C274), ""))</f>
        <v>Piping</v>
      </c>
      <c r="D274" s="21" t="str">
        <f>IF($N$1="Piping", IF(ISBLANK(Piping!D274), "", Piping!D274), IF($N$1="Vessels", IF(ISBLANK(Vessels!D274), "", Vessels!D274), ""))</f>
        <v/>
      </c>
      <c r="E274" s="21" t="str">
        <f>IF($N$1="Piping", IF(ISBLANK(Piping!E274), "", Piping!E274), IF($N$1="Vessels", IF(ISBLANK(Vessels!E274), "", Vessels!E274), ""))</f>
        <v/>
      </c>
      <c r="F274" s="21" t="str">
        <f>IF($N$1="Piping", IF(ISBLANK(Piping!F274), "", Piping!F274), IF($N$1="Vessels", IF(ISBLANK(Vessels!F274), "", Vessels!F274), ""))</f>
        <v/>
      </c>
      <c r="G274" s="21">
        <f>IF($N$1="Piping", IF(ISBLANK(Piping!G274), "", Piping!G274), IF($N$1="Vessels", IF(ISBLANK(Vessels!G274), "", Vessels!G274), ""))</f>
        <v>0</v>
      </c>
      <c r="H274" s="21" t="str">
        <f>IF($N$1="Piping", IF(ISBLANK(Piping!H274), "", Piping!H274), IF($N$1="Vessels", IF(ISBLANK(Vessels!H274), "", Vessels!H274), ""))</f>
        <v/>
      </c>
      <c r="I274" s="21" t="str">
        <f>IF($N$1="Piping", IF(ISBLANK(Piping!I274), "", Piping!I274), IF($N$1="Vessels", IF(ISBLANK(Vessels!I274), "", Vessels!I274), ""))</f>
        <v/>
      </c>
      <c r="J274" s="21" t="str">
        <f>IF($N$1="Piping", IF(ISBLANK(Piping!J274), "", Piping!J274), IF($N$1="Vessels", IF(ISBLANK(Vessels!J274), "", Vessels!J274), ""))</f>
        <v/>
      </c>
      <c r="K274" s="21" t="str">
        <f>IF($N$1="Piping", IF(ISBLANK(Piping!K274), "", Piping!K274), IF($N$1="Vessels", IF(ISBLANK(Vessels!K274), "", Vessels!K274), ""))</f>
        <v/>
      </c>
      <c r="L274" s="21" t="str">
        <f>IF($N$1="Piping", IF(ISBLANK(Piping!L274), "", Piping!L274), IF($N$1="Vessels", IF(ISBLANK(Vessels!L274), "", Vessels!L274), ""))</f>
        <v/>
      </c>
      <c r="M274" s="21"/>
      <c r="N274" s="21"/>
      <c r="O274" s="21"/>
      <c r="P274" s="21"/>
      <c r="Q274" s="21" t="str">
        <f>IF($N$1="Piping", IF(ISBLANK(Piping!T274), "", Piping!T274), IF($N$1="Vessels", IF(ISBLANK(Vessels!T274), "", Vessels!T274), ""))</f>
        <v/>
      </c>
      <c r="R274" s="51" t="str">
        <f>IF($N$1="Piping", IF(ISBLANK(Piping!U274), "", Piping!U274), IF($N$1="Vessels", IF(ISBLANK(Vessels!U274), "", Vessels!U274), ""))</f>
        <v/>
      </c>
      <c r="S274" s="118" t="str">
        <f>IF(B274&lt;&gt;"",IF($N$1="Piping", IF(ISBLANK(Piping!$J$3), "", Piping!$J$3), IF($N$1="Vessels", IF(ISBLANK(Vessels!$J$3), "", Vessels!$J$3), "")),"")</f>
        <v/>
      </c>
      <c r="T274" s="37"/>
      <c r="U274" s="37"/>
      <c r="V274" s="37"/>
      <c r="W274" s="37"/>
      <c r="X274" s="37"/>
      <c r="Y274" s="37"/>
      <c r="Z274" s="37"/>
    </row>
    <row r="275" spans="1:26" ht="15.75" customHeight="1" x14ac:dyDescent="0.3">
      <c r="A275" s="22">
        <f>IF($N$1="Piping", IF(ISBLANK(Piping!A275), "", Piping!A275), IF($N$1="Vessels", IF(ISBLANK(Vessels!A275), "", Vessels!A275), ""))</f>
        <v>68.2</v>
      </c>
      <c r="B275" s="21" t="str">
        <f>IF($N$1="Piping", IF(ISBLANK(Piping!B275), "", Piping!B275), IF($N$1="Vessels", IF(ISBLANK(Vessels!B275), "", Vessels!B275), ""))</f>
        <v/>
      </c>
      <c r="C275" s="21" t="str">
        <f>IF($N$1="Piping", IF(ISBLANK(Piping!C275), "", Piping!C275), IF($N$1="Vessels", IF(ISBLANK(Vessels!C275), "", Vessels!C275), ""))</f>
        <v>Piping</v>
      </c>
      <c r="D275" s="21" t="str">
        <f>IF($N$1="Piping", IF(ISBLANK(Piping!D275), "", Piping!D275), IF($N$1="Vessels", IF(ISBLANK(Vessels!D275), "", Vessels!D275), ""))</f>
        <v/>
      </c>
      <c r="E275" s="21" t="str">
        <f>IF($N$1="Piping", IF(ISBLANK(Piping!E275), "", Piping!E275), IF($N$1="Vessels", IF(ISBLANK(Vessels!E275), "", Vessels!E275), ""))</f>
        <v/>
      </c>
      <c r="F275" s="21" t="str">
        <f>IF($N$1="Piping", IF(ISBLANK(Piping!F275), "", Piping!F275), IF($N$1="Vessels", IF(ISBLANK(Vessels!F275), "", Vessels!F275), ""))</f>
        <v/>
      </c>
      <c r="G275" s="21">
        <f>IF($N$1="Piping", IF(ISBLANK(Piping!G275), "", Piping!G275), IF($N$1="Vessels", IF(ISBLANK(Vessels!G275), "", Vessels!G275), ""))</f>
        <v>0</v>
      </c>
      <c r="H275" s="21" t="str">
        <f>IF($N$1="Piping", IF(ISBLANK(Piping!H275), "", Piping!H275), IF($N$1="Vessels", IF(ISBLANK(Vessels!H275), "", Vessels!H275), ""))</f>
        <v/>
      </c>
      <c r="I275" s="21" t="str">
        <f>IF($N$1="Piping", IF(ISBLANK(Piping!I275), "", Piping!I275), IF($N$1="Vessels", IF(ISBLANK(Vessels!I275), "", Vessels!I275), ""))</f>
        <v/>
      </c>
      <c r="J275" s="21" t="str">
        <f>IF($N$1="Piping", IF(ISBLANK(Piping!J275), "", Piping!J275), IF($N$1="Vessels", IF(ISBLANK(Vessels!J275), "", Vessels!J275), ""))</f>
        <v/>
      </c>
      <c r="K275" s="21" t="str">
        <f>IF($N$1="Piping", IF(ISBLANK(Piping!K275), "", Piping!K275), IF($N$1="Vessels", IF(ISBLANK(Vessels!K275), "", Vessels!K275), ""))</f>
        <v/>
      </c>
      <c r="L275" s="21" t="str">
        <f>IF($N$1="Piping", IF(ISBLANK(Piping!L275), "", Piping!L275), IF($N$1="Vessels", IF(ISBLANK(Vessels!L275), "", Vessels!L275), ""))</f>
        <v/>
      </c>
      <c r="M275" s="21"/>
      <c r="N275" s="21"/>
      <c r="O275" s="21"/>
      <c r="P275" s="21"/>
      <c r="Q275" s="21" t="str">
        <f>IF($N$1="Piping", IF(ISBLANK(Piping!T275), "", Piping!T275), IF($N$1="Vessels", IF(ISBLANK(Vessels!T275), "", Vessels!T275), ""))</f>
        <v/>
      </c>
      <c r="R275" s="51" t="str">
        <f>IF($N$1="Piping", IF(ISBLANK(Piping!U275), "", Piping!U275), IF($N$1="Vessels", IF(ISBLANK(Vessels!U275), "", Vessels!U275), ""))</f>
        <v/>
      </c>
      <c r="S275" s="118" t="str">
        <f>IF(B275&lt;&gt;"",IF($N$1="Piping", IF(ISBLANK(Piping!$J$3), "", Piping!$J$3), IF($N$1="Vessels", IF(ISBLANK(Vessels!$J$3), "", Vessels!$J$3), "")),"")</f>
        <v/>
      </c>
      <c r="T275" s="37"/>
      <c r="U275" s="37"/>
      <c r="V275" s="37"/>
      <c r="W275" s="37"/>
      <c r="X275" s="37"/>
      <c r="Y275" s="37"/>
      <c r="Z275" s="37"/>
    </row>
    <row r="276" spans="1:26" ht="15.75" customHeight="1" x14ac:dyDescent="0.3">
      <c r="A276" s="22">
        <f>IF($N$1="Piping", IF(ISBLANK(Piping!A276), "", Piping!A276), IF($N$1="Vessels", IF(ISBLANK(Vessels!A276), "", Vessels!A276), ""))</f>
        <v>68.3</v>
      </c>
      <c r="B276" s="21" t="str">
        <f>IF($N$1="Piping", IF(ISBLANK(Piping!B276), "", Piping!B276), IF($N$1="Vessels", IF(ISBLANK(Vessels!B276), "", Vessels!B276), ""))</f>
        <v/>
      </c>
      <c r="C276" s="21" t="str">
        <f>IF($N$1="Piping", IF(ISBLANK(Piping!C276), "", Piping!C276), IF($N$1="Vessels", IF(ISBLANK(Vessels!C276), "", Vessels!C276), ""))</f>
        <v>Piping</v>
      </c>
      <c r="D276" s="21" t="str">
        <f>IF($N$1="Piping", IF(ISBLANK(Piping!D276), "", Piping!D276), IF($N$1="Vessels", IF(ISBLANK(Vessels!D276), "", Vessels!D276), ""))</f>
        <v/>
      </c>
      <c r="E276" s="21" t="str">
        <f>IF($N$1="Piping", IF(ISBLANK(Piping!E276), "", Piping!E276), IF($N$1="Vessels", IF(ISBLANK(Vessels!E276), "", Vessels!E276), ""))</f>
        <v/>
      </c>
      <c r="F276" s="21" t="str">
        <f>IF($N$1="Piping", IF(ISBLANK(Piping!F276), "", Piping!F276), IF($N$1="Vessels", IF(ISBLANK(Vessels!F276), "", Vessels!F276), ""))</f>
        <v/>
      </c>
      <c r="G276" s="21">
        <f>IF($N$1="Piping", IF(ISBLANK(Piping!G276), "", Piping!G276), IF($N$1="Vessels", IF(ISBLANK(Vessels!G276), "", Vessels!G276), ""))</f>
        <v>0</v>
      </c>
      <c r="H276" s="21" t="str">
        <f>IF($N$1="Piping", IF(ISBLANK(Piping!H276), "", Piping!H276), IF($N$1="Vessels", IF(ISBLANK(Vessels!H276), "", Vessels!H276), ""))</f>
        <v/>
      </c>
      <c r="I276" s="21" t="str">
        <f>IF($N$1="Piping", IF(ISBLANK(Piping!I276), "", Piping!I276), IF($N$1="Vessels", IF(ISBLANK(Vessels!I276), "", Vessels!I276), ""))</f>
        <v/>
      </c>
      <c r="J276" s="21" t="str">
        <f>IF($N$1="Piping", IF(ISBLANK(Piping!J276), "", Piping!J276), IF($N$1="Vessels", IF(ISBLANK(Vessels!J276), "", Vessels!J276), ""))</f>
        <v/>
      </c>
      <c r="K276" s="21" t="str">
        <f>IF($N$1="Piping", IF(ISBLANK(Piping!K276), "", Piping!K276), IF($N$1="Vessels", IF(ISBLANK(Vessels!K276), "", Vessels!K276), ""))</f>
        <v/>
      </c>
      <c r="L276" s="21" t="str">
        <f>IF($N$1="Piping", IF(ISBLANK(Piping!L276), "", Piping!L276), IF($N$1="Vessels", IF(ISBLANK(Vessels!L276), "", Vessels!L276), ""))</f>
        <v/>
      </c>
      <c r="M276" s="21"/>
      <c r="N276" s="21"/>
      <c r="O276" s="21"/>
      <c r="P276" s="21"/>
      <c r="Q276" s="21" t="str">
        <f>IF($N$1="Piping", IF(ISBLANK(Piping!T276), "", Piping!T276), IF($N$1="Vessels", IF(ISBLANK(Vessels!T276), "", Vessels!T276), ""))</f>
        <v/>
      </c>
      <c r="R276" s="51" t="str">
        <f>IF($N$1="Piping", IF(ISBLANK(Piping!U276), "", Piping!U276), IF($N$1="Vessels", IF(ISBLANK(Vessels!U276), "", Vessels!U276), ""))</f>
        <v/>
      </c>
      <c r="S276" s="118" t="str">
        <f>IF(B276&lt;&gt;"",IF($N$1="Piping", IF(ISBLANK(Piping!$J$3), "", Piping!$J$3), IF($N$1="Vessels", IF(ISBLANK(Vessels!$J$3), "", Vessels!$J$3), "")),"")</f>
        <v/>
      </c>
      <c r="T276" s="37"/>
      <c r="U276" s="37"/>
      <c r="V276" s="37"/>
      <c r="W276" s="37"/>
      <c r="X276" s="37"/>
      <c r="Y276" s="37"/>
      <c r="Z276" s="37"/>
    </row>
    <row r="277" spans="1:26" ht="15.75" customHeight="1" x14ac:dyDescent="0.3">
      <c r="A277" s="22">
        <f>IF($N$1="Piping", IF(ISBLANK(Piping!A277), "", Piping!A277), IF($N$1="Vessels", IF(ISBLANK(Vessels!A277), "", Vessels!A277), ""))</f>
        <v>68.400000000000006</v>
      </c>
      <c r="B277" s="21" t="str">
        <f>IF($N$1="Piping", IF(ISBLANK(Piping!B277), "", Piping!B277), IF($N$1="Vessels", IF(ISBLANK(Vessels!B277), "", Vessels!B277), ""))</f>
        <v/>
      </c>
      <c r="C277" s="21" t="str">
        <f>IF($N$1="Piping", IF(ISBLANK(Piping!C277), "", Piping!C277), IF($N$1="Vessels", IF(ISBLANK(Vessels!C277), "", Vessels!C277), ""))</f>
        <v>Piping</v>
      </c>
      <c r="D277" s="21" t="str">
        <f>IF($N$1="Piping", IF(ISBLANK(Piping!D277), "", Piping!D277), IF($N$1="Vessels", IF(ISBLANK(Vessels!D277), "", Vessels!D277), ""))</f>
        <v/>
      </c>
      <c r="E277" s="21" t="str">
        <f>IF($N$1="Piping", IF(ISBLANK(Piping!E277), "", Piping!E277), IF($N$1="Vessels", IF(ISBLANK(Vessels!E277), "", Vessels!E277), ""))</f>
        <v/>
      </c>
      <c r="F277" s="21" t="str">
        <f>IF($N$1="Piping", IF(ISBLANK(Piping!F277), "", Piping!F277), IF($N$1="Vessels", IF(ISBLANK(Vessels!F277), "", Vessels!F277), ""))</f>
        <v/>
      </c>
      <c r="G277" s="21">
        <f>IF($N$1="Piping", IF(ISBLANK(Piping!G277), "", Piping!G277), IF($N$1="Vessels", IF(ISBLANK(Vessels!G277), "", Vessels!G277), ""))</f>
        <v>0</v>
      </c>
      <c r="H277" s="21" t="str">
        <f>IF($N$1="Piping", IF(ISBLANK(Piping!H277), "", Piping!H277), IF($N$1="Vessels", IF(ISBLANK(Vessels!H277), "", Vessels!H277), ""))</f>
        <v/>
      </c>
      <c r="I277" s="21" t="str">
        <f>IF($N$1="Piping", IF(ISBLANK(Piping!I277), "", Piping!I277), IF($N$1="Vessels", IF(ISBLANK(Vessels!I277), "", Vessels!I277), ""))</f>
        <v/>
      </c>
      <c r="J277" s="21" t="str">
        <f>IF($N$1="Piping", IF(ISBLANK(Piping!J277), "", Piping!J277), IF($N$1="Vessels", IF(ISBLANK(Vessels!J277), "", Vessels!J277), ""))</f>
        <v/>
      </c>
      <c r="K277" s="21" t="str">
        <f>IF($N$1="Piping", IF(ISBLANK(Piping!K277), "", Piping!K277), IF($N$1="Vessels", IF(ISBLANK(Vessels!K277), "", Vessels!K277), ""))</f>
        <v/>
      </c>
      <c r="L277" s="21" t="str">
        <f>IF($N$1="Piping", IF(ISBLANK(Piping!L277), "", Piping!L277), IF($N$1="Vessels", IF(ISBLANK(Vessels!L277), "", Vessels!L277), ""))</f>
        <v/>
      </c>
      <c r="M277" s="21"/>
      <c r="N277" s="21"/>
      <c r="O277" s="21"/>
      <c r="P277" s="21"/>
      <c r="Q277" s="21" t="str">
        <f>IF($N$1="Piping", IF(ISBLANK(Piping!T277), "", Piping!T277), IF($N$1="Vessels", IF(ISBLANK(Vessels!T277), "", Vessels!T277), ""))</f>
        <v/>
      </c>
      <c r="R277" s="51" t="str">
        <f>IF($N$1="Piping", IF(ISBLANK(Piping!U277), "", Piping!U277), IF($N$1="Vessels", IF(ISBLANK(Vessels!U277), "", Vessels!U277), ""))</f>
        <v/>
      </c>
      <c r="S277" s="118" t="str">
        <f>IF(B277&lt;&gt;"",IF($N$1="Piping", IF(ISBLANK(Piping!$J$3), "", Piping!$J$3), IF($N$1="Vessels", IF(ISBLANK(Vessels!$J$3), "", Vessels!$J$3), "")),"")</f>
        <v/>
      </c>
      <c r="T277" s="37"/>
      <c r="U277" s="37"/>
      <c r="V277" s="37"/>
      <c r="W277" s="37"/>
      <c r="X277" s="37"/>
      <c r="Y277" s="37"/>
      <c r="Z277" s="37"/>
    </row>
    <row r="278" spans="1:26" ht="15.75" customHeight="1" x14ac:dyDescent="0.3">
      <c r="A278" s="22">
        <f>IF($N$1="Piping", IF(ISBLANK(Piping!A278), "", Piping!A278), IF($N$1="Vessels", IF(ISBLANK(Vessels!A278), "", Vessels!A278), ""))</f>
        <v>69.099999999999994</v>
      </c>
      <c r="B278" s="21" t="str">
        <f>IF($N$1="Piping", IF(ISBLANK(Piping!B278), "", Piping!B278), IF($N$1="Vessels", IF(ISBLANK(Vessels!B278), "", Vessels!B278), ""))</f>
        <v/>
      </c>
      <c r="C278" s="21" t="str">
        <f>IF($N$1="Piping", IF(ISBLANK(Piping!C278), "", Piping!C278), IF($N$1="Vessels", IF(ISBLANK(Vessels!C278), "", Vessels!C278), ""))</f>
        <v>Piping</v>
      </c>
      <c r="D278" s="21" t="str">
        <f>IF($N$1="Piping", IF(ISBLANK(Piping!D278), "", Piping!D278), IF($N$1="Vessels", IF(ISBLANK(Vessels!D278), "", Vessels!D278), ""))</f>
        <v/>
      </c>
      <c r="E278" s="21" t="str">
        <f>IF($N$1="Piping", IF(ISBLANK(Piping!E278), "", Piping!E278), IF($N$1="Vessels", IF(ISBLANK(Vessels!E278), "", Vessels!E278), ""))</f>
        <v/>
      </c>
      <c r="F278" s="21" t="str">
        <f>IF($N$1="Piping", IF(ISBLANK(Piping!F278), "", Piping!F278), IF($N$1="Vessels", IF(ISBLANK(Vessels!F278), "", Vessels!F278), ""))</f>
        <v/>
      </c>
      <c r="G278" s="21">
        <f>IF($N$1="Piping", IF(ISBLANK(Piping!G278), "", Piping!G278), IF($N$1="Vessels", IF(ISBLANK(Vessels!G278), "", Vessels!G278), ""))</f>
        <v>0</v>
      </c>
      <c r="H278" s="21" t="str">
        <f>IF($N$1="Piping", IF(ISBLANK(Piping!H278), "", Piping!H278), IF($N$1="Vessels", IF(ISBLANK(Vessels!H278), "", Vessels!H278), ""))</f>
        <v/>
      </c>
      <c r="I278" s="21" t="str">
        <f>IF($N$1="Piping", IF(ISBLANK(Piping!I278), "", Piping!I278), IF($N$1="Vessels", IF(ISBLANK(Vessels!I278), "", Vessels!I278), ""))</f>
        <v/>
      </c>
      <c r="J278" s="21" t="str">
        <f>IF($N$1="Piping", IF(ISBLANK(Piping!J278), "", Piping!J278), IF($N$1="Vessels", IF(ISBLANK(Vessels!J278), "", Vessels!J278), ""))</f>
        <v/>
      </c>
      <c r="K278" s="21" t="str">
        <f>IF($N$1="Piping", IF(ISBLANK(Piping!K278), "", Piping!K278), IF($N$1="Vessels", IF(ISBLANK(Vessels!K278), "", Vessels!K278), ""))</f>
        <v/>
      </c>
      <c r="L278" s="21" t="str">
        <f>IF($N$1="Piping", IF(ISBLANK(Piping!L278), "", Piping!L278), IF($N$1="Vessels", IF(ISBLANK(Vessels!L278), "", Vessels!L278), ""))</f>
        <v/>
      </c>
      <c r="M278" s="21"/>
      <c r="N278" s="21"/>
      <c r="O278" s="21"/>
      <c r="P278" s="21"/>
      <c r="Q278" s="21" t="str">
        <f>IF($N$1="Piping", IF(ISBLANK(Piping!T278), "", Piping!T278), IF($N$1="Vessels", IF(ISBLANK(Vessels!T278), "", Vessels!T278), ""))</f>
        <v/>
      </c>
      <c r="R278" s="51" t="str">
        <f>IF($N$1="Piping", IF(ISBLANK(Piping!U278), "", Piping!U278), IF($N$1="Vessels", IF(ISBLANK(Vessels!U278), "", Vessels!U278), ""))</f>
        <v/>
      </c>
      <c r="S278" s="118" t="str">
        <f>IF(B278&lt;&gt;"",IF($N$1="Piping", IF(ISBLANK(Piping!$J$3), "", Piping!$J$3), IF($N$1="Vessels", IF(ISBLANK(Vessels!$J$3), "", Vessels!$J$3), "")),"")</f>
        <v/>
      </c>
      <c r="T278" s="37"/>
      <c r="U278" s="37"/>
      <c r="V278" s="37"/>
      <c r="W278" s="37"/>
      <c r="X278" s="37"/>
      <c r="Y278" s="37"/>
      <c r="Z278" s="37"/>
    </row>
    <row r="279" spans="1:26" ht="15.75" customHeight="1" x14ac:dyDescent="0.3">
      <c r="A279" s="22">
        <f>IF($N$1="Piping", IF(ISBLANK(Piping!A279), "", Piping!A279), IF($N$1="Vessels", IF(ISBLANK(Vessels!A279), "", Vessels!A279), ""))</f>
        <v>69.2</v>
      </c>
      <c r="B279" s="21" t="str">
        <f>IF($N$1="Piping", IF(ISBLANK(Piping!B279), "", Piping!B279), IF($N$1="Vessels", IF(ISBLANK(Vessels!B279), "", Vessels!B279), ""))</f>
        <v/>
      </c>
      <c r="C279" s="21" t="str">
        <f>IF($N$1="Piping", IF(ISBLANK(Piping!C279), "", Piping!C279), IF($N$1="Vessels", IF(ISBLANK(Vessels!C279), "", Vessels!C279), ""))</f>
        <v>Piping</v>
      </c>
      <c r="D279" s="21" t="str">
        <f>IF($N$1="Piping", IF(ISBLANK(Piping!D279), "", Piping!D279), IF($N$1="Vessels", IF(ISBLANK(Vessels!D279), "", Vessels!D279), ""))</f>
        <v/>
      </c>
      <c r="E279" s="21" t="str">
        <f>IF($N$1="Piping", IF(ISBLANK(Piping!E279), "", Piping!E279), IF($N$1="Vessels", IF(ISBLANK(Vessels!E279), "", Vessels!E279), ""))</f>
        <v/>
      </c>
      <c r="F279" s="21" t="str">
        <f>IF($N$1="Piping", IF(ISBLANK(Piping!F279), "", Piping!F279), IF($N$1="Vessels", IF(ISBLANK(Vessels!F279), "", Vessels!F279), ""))</f>
        <v/>
      </c>
      <c r="G279" s="21">
        <f>IF($N$1="Piping", IF(ISBLANK(Piping!G279), "", Piping!G279), IF($N$1="Vessels", IF(ISBLANK(Vessels!G279), "", Vessels!G279), ""))</f>
        <v>0</v>
      </c>
      <c r="H279" s="21" t="str">
        <f>IF($N$1="Piping", IF(ISBLANK(Piping!H279), "", Piping!H279), IF($N$1="Vessels", IF(ISBLANK(Vessels!H279), "", Vessels!H279), ""))</f>
        <v/>
      </c>
      <c r="I279" s="21" t="str">
        <f>IF($N$1="Piping", IF(ISBLANK(Piping!I279), "", Piping!I279), IF($N$1="Vessels", IF(ISBLANK(Vessels!I279), "", Vessels!I279), ""))</f>
        <v/>
      </c>
      <c r="J279" s="21" t="str">
        <f>IF($N$1="Piping", IF(ISBLANK(Piping!J279), "", Piping!J279), IF($N$1="Vessels", IF(ISBLANK(Vessels!J279), "", Vessels!J279), ""))</f>
        <v/>
      </c>
      <c r="K279" s="21" t="str">
        <f>IF($N$1="Piping", IF(ISBLANK(Piping!K279), "", Piping!K279), IF($N$1="Vessels", IF(ISBLANK(Vessels!K279), "", Vessels!K279), ""))</f>
        <v/>
      </c>
      <c r="L279" s="21" t="str">
        <f>IF($N$1="Piping", IF(ISBLANK(Piping!L279), "", Piping!L279), IF($N$1="Vessels", IF(ISBLANK(Vessels!L279), "", Vessels!L279), ""))</f>
        <v/>
      </c>
      <c r="M279" s="21"/>
      <c r="N279" s="21"/>
      <c r="O279" s="21"/>
      <c r="P279" s="21"/>
      <c r="Q279" s="21" t="str">
        <f>IF($N$1="Piping", IF(ISBLANK(Piping!T279), "", Piping!T279), IF($N$1="Vessels", IF(ISBLANK(Vessels!T279), "", Vessels!T279), ""))</f>
        <v/>
      </c>
      <c r="R279" s="51" t="str">
        <f>IF($N$1="Piping", IF(ISBLANK(Piping!U279), "", Piping!U279), IF($N$1="Vessels", IF(ISBLANK(Vessels!U279), "", Vessels!U279), ""))</f>
        <v/>
      </c>
      <c r="S279" s="118" t="str">
        <f>IF(B279&lt;&gt;"",IF($N$1="Piping", IF(ISBLANK(Piping!$J$3), "", Piping!$J$3), IF($N$1="Vessels", IF(ISBLANK(Vessels!$J$3), "", Vessels!$J$3), "")),"")</f>
        <v/>
      </c>
      <c r="T279" s="37"/>
      <c r="U279" s="37"/>
      <c r="V279" s="37"/>
      <c r="W279" s="37"/>
      <c r="X279" s="37"/>
      <c r="Y279" s="37"/>
      <c r="Z279" s="37"/>
    </row>
    <row r="280" spans="1:26" ht="15.75" customHeight="1" x14ac:dyDescent="0.3">
      <c r="A280" s="22">
        <f>IF($N$1="Piping", IF(ISBLANK(Piping!A280), "", Piping!A280), IF($N$1="Vessels", IF(ISBLANK(Vessels!A280), "", Vessels!A280), ""))</f>
        <v>69.3</v>
      </c>
      <c r="B280" s="21" t="str">
        <f>IF($N$1="Piping", IF(ISBLANK(Piping!B280), "", Piping!B280), IF($N$1="Vessels", IF(ISBLANK(Vessels!B280), "", Vessels!B280), ""))</f>
        <v/>
      </c>
      <c r="C280" s="21" t="str">
        <f>IF($N$1="Piping", IF(ISBLANK(Piping!C280), "", Piping!C280), IF($N$1="Vessels", IF(ISBLANK(Vessels!C280), "", Vessels!C280), ""))</f>
        <v>Piping</v>
      </c>
      <c r="D280" s="21" t="str">
        <f>IF($N$1="Piping", IF(ISBLANK(Piping!D280), "", Piping!D280), IF($N$1="Vessels", IF(ISBLANK(Vessels!D280), "", Vessels!D280), ""))</f>
        <v/>
      </c>
      <c r="E280" s="21" t="str">
        <f>IF($N$1="Piping", IF(ISBLANK(Piping!E280), "", Piping!E280), IF($N$1="Vessels", IF(ISBLANK(Vessels!E280), "", Vessels!E280), ""))</f>
        <v/>
      </c>
      <c r="F280" s="21" t="str">
        <f>IF($N$1="Piping", IF(ISBLANK(Piping!F280), "", Piping!F280), IF($N$1="Vessels", IF(ISBLANK(Vessels!F280), "", Vessels!F280), ""))</f>
        <v/>
      </c>
      <c r="G280" s="21">
        <f>IF($N$1="Piping", IF(ISBLANK(Piping!G280), "", Piping!G280), IF($N$1="Vessels", IF(ISBLANK(Vessels!G280), "", Vessels!G280), ""))</f>
        <v>0</v>
      </c>
      <c r="H280" s="21" t="str">
        <f>IF($N$1="Piping", IF(ISBLANK(Piping!H280), "", Piping!H280), IF($N$1="Vessels", IF(ISBLANK(Vessels!H280), "", Vessels!H280), ""))</f>
        <v/>
      </c>
      <c r="I280" s="21" t="str">
        <f>IF($N$1="Piping", IF(ISBLANK(Piping!I280), "", Piping!I280), IF($N$1="Vessels", IF(ISBLANK(Vessels!I280), "", Vessels!I280), ""))</f>
        <v/>
      </c>
      <c r="J280" s="21" t="str">
        <f>IF($N$1="Piping", IF(ISBLANK(Piping!J280), "", Piping!J280), IF($N$1="Vessels", IF(ISBLANK(Vessels!J280), "", Vessels!J280), ""))</f>
        <v/>
      </c>
      <c r="K280" s="21" t="str">
        <f>IF($N$1="Piping", IF(ISBLANK(Piping!K280), "", Piping!K280), IF($N$1="Vessels", IF(ISBLANK(Vessels!K280), "", Vessels!K280), ""))</f>
        <v/>
      </c>
      <c r="L280" s="21" t="str">
        <f>IF($N$1="Piping", IF(ISBLANK(Piping!L280), "", Piping!L280), IF($N$1="Vessels", IF(ISBLANK(Vessels!L280), "", Vessels!L280), ""))</f>
        <v/>
      </c>
      <c r="M280" s="21"/>
      <c r="N280" s="21"/>
      <c r="O280" s="21"/>
      <c r="P280" s="21"/>
      <c r="Q280" s="21" t="str">
        <f>IF($N$1="Piping", IF(ISBLANK(Piping!T280), "", Piping!T280), IF($N$1="Vessels", IF(ISBLANK(Vessels!T280), "", Vessels!T280), ""))</f>
        <v/>
      </c>
      <c r="R280" s="51" t="str">
        <f>IF($N$1="Piping", IF(ISBLANK(Piping!U280), "", Piping!U280), IF($N$1="Vessels", IF(ISBLANK(Vessels!U280), "", Vessels!U280), ""))</f>
        <v/>
      </c>
      <c r="S280" s="118" t="str">
        <f>IF(B280&lt;&gt;"",IF($N$1="Piping", IF(ISBLANK(Piping!$J$3), "", Piping!$J$3), IF($N$1="Vessels", IF(ISBLANK(Vessels!$J$3), "", Vessels!$J$3), "")),"")</f>
        <v/>
      </c>
      <c r="T280" s="37"/>
      <c r="U280" s="37"/>
      <c r="V280" s="37"/>
      <c r="W280" s="37"/>
      <c r="X280" s="37"/>
      <c r="Y280" s="37"/>
      <c r="Z280" s="37"/>
    </row>
    <row r="281" spans="1:26" ht="15.75" customHeight="1" x14ac:dyDescent="0.3">
      <c r="A281" s="22">
        <f>IF($N$1="Piping", IF(ISBLANK(Piping!A281), "", Piping!A281), IF($N$1="Vessels", IF(ISBLANK(Vessels!A281), "", Vessels!A281), ""))</f>
        <v>69.400000000000006</v>
      </c>
      <c r="B281" s="21" t="str">
        <f>IF($N$1="Piping", IF(ISBLANK(Piping!B281), "", Piping!B281), IF($N$1="Vessels", IF(ISBLANK(Vessels!B281), "", Vessels!B281), ""))</f>
        <v/>
      </c>
      <c r="C281" s="21" t="str">
        <f>IF($N$1="Piping", IF(ISBLANK(Piping!C281), "", Piping!C281), IF($N$1="Vessels", IF(ISBLANK(Vessels!C281), "", Vessels!C281), ""))</f>
        <v>Piping</v>
      </c>
      <c r="D281" s="21" t="str">
        <f>IF($N$1="Piping", IF(ISBLANK(Piping!D281), "", Piping!D281), IF($N$1="Vessels", IF(ISBLANK(Vessels!D281), "", Vessels!D281), ""))</f>
        <v/>
      </c>
      <c r="E281" s="21" t="str">
        <f>IF($N$1="Piping", IF(ISBLANK(Piping!E281), "", Piping!E281), IF($N$1="Vessels", IF(ISBLANK(Vessels!E281), "", Vessels!E281), ""))</f>
        <v/>
      </c>
      <c r="F281" s="21" t="str">
        <f>IF($N$1="Piping", IF(ISBLANK(Piping!F281), "", Piping!F281), IF($N$1="Vessels", IF(ISBLANK(Vessels!F281), "", Vessels!F281), ""))</f>
        <v/>
      </c>
      <c r="G281" s="21">
        <f>IF($N$1="Piping", IF(ISBLANK(Piping!G281), "", Piping!G281), IF($N$1="Vessels", IF(ISBLANK(Vessels!G281), "", Vessels!G281), ""))</f>
        <v>0</v>
      </c>
      <c r="H281" s="21" t="str">
        <f>IF($N$1="Piping", IF(ISBLANK(Piping!H281), "", Piping!H281), IF($N$1="Vessels", IF(ISBLANK(Vessels!H281), "", Vessels!H281), ""))</f>
        <v/>
      </c>
      <c r="I281" s="21" t="str">
        <f>IF($N$1="Piping", IF(ISBLANK(Piping!I281), "", Piping!I281), IF($N$1="Vessels", IF(ISBLANK(Vessels!I281), "", Vessels!I281), ""))</f>
        <v/>
      </c>
      <c r="J281" s="21" t="str">
        <f>IF($N$1="Piping", IF(ISBLANK(Piping!J281), "", Piping!J281), IF($N$1="Vessels", IF(ISBLANK(Vessels!J281), "", Vessels!J281), ""))</f>
        <v/>
      </c>
      <c r="K281" s="21" t="str">
        <f>IF($N$1="Piping", IF(ISBLANK(Piping!K281), "", Piping!K281), IF($N$1="Vessels", IF(ISBLANK(Vessels!K281), "", Vessels!K281), ""))</f>
        <v/>
      </c>
      <c r="L281" s="21" t="str">
        <f>IF($N$1="Piping", IF(ISBLANK(Piping!L281), "", Piping!L281), IF($N$1="Vessels", IF(ISBLANK(Vessels!L281), "", Vessels!L281), ""))</f>
        <v/>
      </c>
      <c r="M281" s="21"/>
      <c r="N281" s="21"/>
      <c r="O281" s="21"/>
      <c r="P281" s="21"/>
      <c r="Q281" s="21" t="str">
        <f>IF($N$1="Piping", IF(ISBLANK(Piping!T281), "", Piping!T281), IF($N$1="Vessels", IF(ISBLANK(Vessels!T281), "", Vessels!T281), ""))</f>
        <v/>
      </c>
      <c r="R281" s="51" t="str">
        <f>IF($N$1="Piping", IF(ISBLANK(Piping!U281), "", Piping!U281), IF($N$1="Vessels", IF(ISBLANK(Vessels!U281), "", Vessels!U281), ""))</f>
        <v/>
      </c>
      <c r="S281" s="118" t="str">
        <f>IF(B281&lt;&gt;"",IF($N$1="Piping", IF(ISBLANK(Piping!$J$3), "", Piping!$J$3), IF($N$1="Vessels", IF(ISBLANK(Vessels!$J$3), "", Vessels!$J$3), "")),"")</f>
        <v/>
      </c>
      <c r="T281" s="37"/>
      <c r="U281" s="37"/>
      <c r="V281" s="37"/>
      <c r="W281" s="37"/>
      <c r="X281" s="37"/>
      <c r="Y281" s="37"/>
      <c r="Z281" s="37"/>
    </row>
    <row r="282" spans="1:26" ht="15.75" customHeight="1" x14ac:dyDescent="0.3">
      <c r="A282" s="22">
        <f>IF($N$1="Piping", IF(ISBLANK(Piping!A282), "", Piping!A282), IF($N$1="Vessels", IF(ISBLANK(Vessels!A282), "", Vessels!A282), ""))</f>
        <v>70.099999999999994</v>
      </c>
      <c r="B282" s="21" t="str">
        <f>IF($N$1="Piping", IF(ISBLANK(Piping!B282), "", Piping!B282), IF($N$1="Vessels", IF(ISBLANK(Vessels!B282), "", Vessels!B282), ""))</f>
        <v/>
      </c>
      <c r="C282" s="21" t="str">
        <f>IF($N$1="Piping", IF(ISBLANK(Piping!C282), "", Piping!C282), IF($N$1="Vessels", IF(ISBLANK(Vessels!C282), "", Vessels!C282), ""))</f>
        <v>Piping</v>
      </c>
      <c r="D282" s="21" t="str">
        <f>IF($N$1="Piping", IF(ISBLANK(Piping!D282), "", Piping!D282), IF($N$1="Vessels", IF(ISBLANK(Vessels!D282), "", Vessels!D282), ""))</f>
        <v/>
      </c>
      <c r="E282" s="21" t="str">
        <f>IF($N$1="Piping", IF(ISBLANK(Piping!E282), "", Piping!E282), IF($N$1="Vessels", IF(ISBLANK(Vessels!E282), "", Vessels!E282), ""))</f>
        <v/>
      </c>
      <c r="F282" s="21" t="str">
        <f>IF($N$1="Piping", IF(ISBLANK(Piping!F282), "", Piping!F282), IF($N$1="Vessels", IF(ISBLANK(Vessels!F282), "", Vessels!F282), ""))</f>
        <v/>
      </c>
      <c r="G282" s="21">
        <f>IF($N$1="Piping", IF(ISBLANK(Piping!G282), "", Piping!G282), IF($N$1="Vessels", IF(ISBLANK(Vessels!G282), "", Vessels!G282), ""))</f>
        <v>0</v>
      </c>
      <c r="H282" s="21" t="str">
        <f>IF($N$1="Piping", IF(ISBLANK(Piping!H282), "", Piping!H282), IF($N$1="Vessels", IF(ISBLANK(Vessels!H282), "", Vessels!H282), ""))</f>
        <v/>
      </c>
      <c r="I282" s="21" t="str">
        <f>IF($N$1="Piping", IF(ISBLANK(Piping!I282), "", Piping!I282), IF($N$1="Vessels", IF(ISBLANK(Vessels!I282), "", Vessels!I282), ""))</f>
        <v/>
      </c>
      <c r="J282" s="21" t="str">
        <f>IF($N$1="Piping", IF(ISBLANK(Piping!J282), "", Piping!J282), IF($N$1="Vessels", IF(ISBLANK(Vessels!J282), "", Vessels!J282), ""))</f>
        <v/>
      </c>
      <c r="K282" s="21" t="str">
        <f>IF($N$1="Piping", IF(ISBLANK(Piping!K282), "", Piping!K282), IF($N$1="Vessels", IF(ISBLANK(Vessels!K282), "", Vessels!K282), ""))</f>
        <v/>
      </c>
      <c r="L282" s="21" t="str">
        <f>IF($N$1="Piping", IF(ISBLANK(Piping!L282), "", Piping!L282), IF($N$1="Vessels", IF(ISBLANK(Vessels!L282), "", Vessels!L282), ""))</f>
        <v/>
      </c>
      <c r="M282" s="21"/>
      <c r="N282" s="21"/>
      <c r="O282" s="21"/>
      <c r="P282" s="21"/>
      <c r="Q282" s="21" t="str">
        <f>IF($N$1="Piping", IF(ISBLANK(Piping!T282), "", Piping!T282), IF($N$1="Vessels", IF(ISBLANK(Vessels!T282), "", Vessels!T282), ""))</f>
        <v/>
      </c>
      <c r="R282" s="51" t="str">
        <f>IF($N$1="Piping", IF(ISBLANK(Piping!U282), "", Piping!U282), IF($N$1="Vessels", IF(ISBLANK(Vessels!U282), "", Vessels!U282), ""))</f>
        <v/>
      </c>
      <c r="S282" s="118" t="str">
        <f>IF(B282&lt;&gt;"",IF($N$1="Piping", IF(ISBLANK(Piping!$J$3), "", Piping!$J$3), IF($N$1="Vessels", IF(ISBLANK(Vessels!$J$3), "", Vessels!$J$3), "")),"")</f>
        <v/>
      </c>
      <c r="T282" s="37"/>
      <c r="U282" s="37"/>
      <c r="V282" s="37"/>
      <c r="W282" s="37"/>
      <c r="X282" s="37"/>
      <c r="Y282" s="37"/>
      <c r="Z282" s="37"/>
    </row>
    <row r="283" spans="1:26" ht="15.75" customHeight="1" x14ac:dyDescent="0.3">
      <c r="A283" s="22">
        <f>IF($N$1="Piping", IF(ISBLANK(Piping!A283), "", Piping!A283), IF($N$1="Vessels", IF(ISBLANK(Vessels!A283), "", Vessels!A283), ""))</f>
        <v>70.2</v>
      </c>
      <c r="B283" s="21" t="str">
        <f>IF($N$1="Piping", IF(ISBLANK(Piping!B283), "", Piping!B283), IF($N$1="Vessels", IF(ISBLANK(Vessels!B283), "", Vessels!B283), ""))</f>
        <v/>
      </c>
      <c r="C283" s="21" t="str">
        <f>IF($N$1="Piping", IF(ISBLANK(Piping!C283), "", Piping!C283), IF($N$1="Vessels", IF(ISBLANK(Vessels!C283), "", Vessels!C283), ""))</f>
        <v>Piping</v>
      </c>
      <c r="D283" s="21" t="str">
        <f>IF($N$1="Piping", IF(ISBLANK(Piping!D283), "", Piping!D283), IF($N$1="Vessels", IF(ISBLANK(Vessels!D283), "", Vessels!D283), ""))</f>
        <v/>
      </c>
      <c r="E283" s="21" t="str">
        <f>IF($N$1="Piping", IF(ISBLANK(Piping!E283), "", Piping!E283), IF($N$1="Vessels", IF(ISBLANK(Vessels!E283), "", Vessels!E283), ""))</f>
        <v/>
      </c>
      <c r="F283" s="21" t="str">
        <f>IF($N$1="Piping", IF(ISBLANK(Piping!F283), "", Piping!F283), IF($N$1="Vessels", IF(ISBLANK(Vessels!F283), "", Vessels!F283), ""))</f>
        <v/>
      </c>
      <c r="G283" s="21">
        <f>IF($N$1="Piping", IF(ISBLANK(Piping!G283), "", Piping!G283), IF($N$1="Vessels", IF(ISBLANK(Vessels!G283), "", Vessels!G283), ""))</f>
        <v>0</v>
      </c>
      <c r="H283" s="21" t="str">
        <f>IF($N$1="Piping", IF(ISBLANK(Piping!H283), "", Piping!H283), IF($N$1="Vessels", IF(ISBLANK(Vessels!H283), "", Vessels!H283), ""))</f>
        <v/>
      </c>
      <c r="I283" s="21" t="str">
        <f>IF($N$1="Piping", IF(ISBLANK(Piping!I283), "", Piping!I283), IF($N$1="Vessels", IF(ISBLANK(Vessels!I283), "", Vessels!I283), ""))</f>
        <v/>
      </c>
      <c r="J283" s="21" t="str">
        <f>IF($N$1="Piping", IF(ISBLANK(Piping!J283), "", Piping!J283), IF($N$1="Vessels", IF(ISBLANK(Vessels!J283), "", Vessels!J283), ""))</f>
        <v/>
      </c>
      <c r="K283" s="21" t="str">
        <f>IF($N$1="Piping", IF(ISBLANK(Piping!K283), "", Piping!K283), IF($N$1="Vessels", IF(ISBLANK(Vessels!K283), "", Vessels!K283), ""))</f>
        <v/>
      </c>
      <c r="L283" s="21" t="str">
        <f>IF($N$1="Piping", IF(ISBLANK(Piping!L283), "", Piping!L283), IF($N$1="Vessels", IF(ISBLANK(Vessels!L283), "", Vessels!L283), ""))</f>
        <v/>
      </c>
      <c r="M283" s="21"/>
      <c r="N283" s="21"/>
      <c r="O283" s="21"/>
      <c r="P283" s="21"/>
      <c r="Q283" s="21" t="str">
        <f>IF($N$1="Piping", IF(ISBLANK(Piping!T283), "", Piping!T283), IF($N$1="Vessels", IF(ISBLANK(Vessels!T283), "", Vessels!T283), ""))</f>
        <v/>
      </c>
      <c r="R283" s="51" t="str">
        <f>IF($N$1="Piping", IF(ISBLANK(Piping!U283), "", Piping!U283), IF($N$1="Vessels", IF(ISBLANK(Vessels!U283), "", Vessels!U283), ""))</f>
        <v/>
      </c>
      <c r="S283" s="118" t="str">
        <f>IF(B283&lt;&gt;"",IF($N$1="Piping", IF(ISBLANK(Piping!$J$3), "", Piping!$J$3), IF($N$1="Vessels", IF(ISBLANK(Vessels!$J$3), "", Vessels!$J$3), "")),"")</f>
        <v/>
      </c>
      <c r="T283" s="37"/>
      <c r="U283" s="37"/>
      <c r="V283" s="37"/>
      <c r="W283" s="37"/>
      <c r="X283" s="37"/>
      <c r="Y283" s="37"/>
      <c r="Z283" s="37"/>
    </row>
    <row r="284" spans="1:26" ht="15.75" customHeight="1" x14ac:dyDescent="0.3">
      <c r="A284" s="22">
        <f>IF($N$1="Piping", IF(ISBLANK(Piping!A284), "", Piping!A284), IF($N$1="Vessels", IF(ISBLANK(Vessels!A284), "", Vessels!A284), ""))</f>
        <v>70.3</v>
      </c>
      <c r="B284" s="21" t="str">
        <f>IF($N$1="Piping", IF(ISBLANK(Piping!B284), "", Piping!B284), IF($N$1="Vessels", IF(ISBLANK(Vessels!B284), "", Vessels!B284), ""))</f>
        <v/>
      </c>
      <c r="C284" s="21" t="str">
        <f>IF($N$1="Piping", IF(ISBLANK(Piping!C284), "", Piping!C284), IF($N$1="Vessels", IF(ISBLANK(Vessels!C284), "", Vessels!C284), ""))</f>
        <v>Piping</v>
      </c>
      <c r="D284" s="21" t="str">
        <f>IF($N$1="Piping", IF(ISBLANK(Piping!D284), "", Piping!D284), IF($N$1="Vessels", IF(ISBLANK(Vessels!D284), "", Vessels!D284), ""))</f>
        <v/>
      </c>
      <c r="E284" s="21" t="str">
        <f>IF($N$1="Piping", IF(ISBLANK(Piping!E284), "", Piping!E284), IF($N$1="Vessels", IF(ISBLANK(Vessels!E284), "", Vessels!E284), ""))</f>
        <v/>
      </c>
      <c r="F284" s="21" t="str">
        <f>IF($N$1="Piping", IF(ISBLANK(Piping!F284), "", Piping!F284), IF($N$1="Vessels", IF(ISBLANK(Vessels!F284), "", Vessels!F284), ""))</f>
        <v/>
      </c>
      <c r="G284" s="21">
        <f>IF($N$1="Piping", IF(ISBLANK(Piping!G284), "", Piping!G284), IF($N$1="Vessels", IF(ISBLANK(Vessels!G284), "", Vessels!G284), ""))</f>
        <v>0</v>
      </c>
      <c r="H284" s="21" t="str">
        <f>IF($N$1="Piping", IF(ISBLANK(Piping!H284), "", Piping!H284), IF($N$1="Vessels", IF(ISBLANK(Vessels!H284), "", Vessels!H284), ""))</f>
        <v/>
      </c>
      <c r="I284" s="21" t="str">
        <f>IF($N$1="Piping", IF(ISBLANK(Piping!I284), "", Piping!I284), IF($N$1="Vessels", IF(ISBLANK(Vessels!I284), "", Vessels!I284), ""))</f>
        <v/>
      </c>
      <c r="J284" s="21" t="str">
        <f>IF($N$1="Piping", IF(ISBLANK(Piping!J284), "", Piping!J284), IF($N$1="Vessels", IF(ISBLANK(Vessels!J284), "", Vessels!J284), ""))</f>
        <v/>
      </c>
      <c r="K284" s="21" t="str">
        <f>IF($N$1="Piping", IF(ISBLANK(Piping!K284), "", Piping!K284), IF($N$1="Vessels", IF(ISBLANK(Vessels!K284), "", Vessels!K284), ""))</f>
        <v/>
      </c>
      <c r="L284" s="21" t="str">
        <f>IF($N$1="Piping", IF(ISBLANK(Piping!L284), "", Piping!L284), IF($N$1="Vessels", IF(ISBLANK(Vessels!L284), "", Vessels!L284), ""))</f>
        <v/>
      </c>
      <c r="M284" s="21"/>
      <c r="N284" s="21"/>
      <c r="O284" s="21"/>
      <c r="P284" s="21"/>
      <c r="Q284" s="21" t="str">
        <f>IF($N$1="Piping", IF(ISBLANK(Piping!T284), "", Piping!T284), IF($N$1="Vessels", IF(ISBLANK(Vessels!T284), "", Vessels!T284), ""))</f>
        <v/>
      </c>
      <c r="R284" s="51" t="str">
        <f>IF($N$1="Piping", IF(ISBLANK(Piping!U284), "", Piping!U284), IF($N$1="Vessels", IF(ISBLANK(Vessels!U284), "", Vessels!U284), ""))</f>
        <v/>
      </c>
      <c r="S284" s="118" t="str">
        <f>IF(B284&lt;&gt;"",IF($N$1="Piping", IF(ISBLANK(Piping!$J$3), "", Piping!$J$3), IF($N$1="Vessels", IF(ISBLANK(Vessels!$J$3), "", Vessels!$J$3), "")),"")</f>
        <v/>
      </c>
      <c r="T284" s="37"/>
      <c r="U284" s="37"/>
      <c r="V284" s="37"/>
      <c r="W284" s="37"/>
      <c r="X284" s="37"/>
      <c r="Y284" s="37"/>
      <c r="Z284" s="37"/>
    </row>
    <row r="285" spans="1:26" ht="15.75" customHeight="1" x14ac:dyDescent="0.3">
      <c r="A285" s="22">
        <f>IF($N$1="Piping", IF(ISBLANK(Piping!A285), "", Piping!A285), IF($N$1="Vessels", IF(ISBLANK(Vessels!A285), "", Vessels!A285), ""))</f>
        <v>70.400000000000006</v>
      </c>
      <c r="B285" s="21" t="str">
        <f>IF($N$1="Piping", IF(ISBLANK(Piping!B285), "", Piping!B285), IF($N$1="Vessels", IF(ISBLANK(Vessels!B285), "", Vessels!B285), ""))</f>
        <v/>
      </c>
      <c r="C285" s="21" t="str">
        <f>IF($N$1="Piping", IF(ISBLANK(Piping!C285), "", Piping!C285), IF($N$1="Vessels", IF(ISBLANK(Vessels!C285), "", Vessels!C285), ""))</f>
        <v>Piping</v>
      </c>
      <c r="D285" s="21" t="str">
        <f>IF($N$1="Piping", IF(ISBLANK(Piping!D285), "", Piping!D285), IF($N$1="Vessels", IF(ISBLANK(Vessels!D285), "", Vessels!D285), ""))</f>
        <v/>
      </c>
      <c r="E285" s="21" t="str">
        <f>IF($N$1="Piping", IF(ISBLANK(Piping!E285), "", Piping!E285), IF($N$1="Vessels", IF(ISBLANK(Vessels!E285), "", Vessels!E285), ""))</f>
        <v/>
      </c>
      <c r="F285" s="21" t="str">
        <f>IF($N$1="Piping", IF(ISBLANK(Piping!F285), "", Piping!F285), IF($N$1="Vessels", IF(ISBLANK(Vessels!F285), "", Vessels!F285), ""))</f>
        <v/>
      </c>
      <c r="G285" s="21">
        <f>IF($N$1="Piping", IF(ISBLANK(Piping!G285), "", Piping!G285), IF($N$1="Vessels", IF(ISBLANK(Vessels!G285), "", Vessels!G285), ""))</f>
        <v>0</v>
      </c>
      <c r="H285" s="21" t="str">
        <f>IF($N$1="Piping", IF(ISBLANK(Piping!H285), "", Piping!H285), IF($N$1="Vessels", IF(ISBLANK(Vessels!H285), "", Vessels!H285), ""))</f>
        <v/>
      </c>
      <c r="I285" s="21" t="str">
        <f>IF($N$1="Piping", IF(ISBLANK(Piping!I285), "", Piping!I285), IF($N$1="Vessels", IF(ISBLANK(Vessels!I285), "", Vessels!I285), ""))</f>
        <v/>
      </c>
      <c r="J285" s="21" t="str">
        <f>IF($N$1="Piping", IF(ISBLANK(Piping!J285), "", Piping!J285), IF($N$1="Vessels", IF(ISBLANK(Vessels!J285), "", Vessels!J285), ""))</f>
        <v/>
      </c>
      <c r="K285" s="21" t="str">
        <f>IF($N$1="Piping", IF(ISBLANK(Piping!K285), "", Piping!K285), IF($N$1="Vessels", IF(ISBLANK(Vessels!K285), "", Vessels!K285), ""))</f>
        <v/>
      </c>
      <c r="L285" s="21" t="str">
        <f>IF($N$1="Piping", IF(ISBLANK(Piping!L285), "", Piping!L285), IF($N$1="Vessels", IF(ISBLANK(Vessels!L285), "", Vessels!L285), ""))</f>
        <v/>
      </c>
      <c r="M285" s="21"/>
      <c r="N285" s="21"/>
      <c r="O285" s="21"/>
      <c r="P285" s="21"/>
      <c r="Q285" s="21" t="str">
        <f>IF($N$1="Piping", IF(ISBLANK(Piping!T285), "", Piping!T285), IF($N$1="Vessels", IF(ISBLANK(Vessels!T285), "", Vessels!T285), ""))</f>
        <v/>
      </c>
      <c r="R285" s="51" t="str">
        <f>IF($N$1="Piping", IF(ISBLANK(Piping!U285), "", Piping!U285), IF($N$1="Vessels", IF(ISBLANK(Vessels!U285), "", Vessels!U285), ""))</f>
        <v/>
      </c>
      <c r="S285" s="118" t="str">
        <f>IF(B285&lt;&gt;"",IF($N$1="Piping", IF(ISBLANK(Piping!$J$3), "", Piping!$J$3), IF($N$1="Vessels", IF(ISBLANK(Vessels!$J$3), "", Vessels!$J$3), "")),"")</f>
        <v/>
      </c>
      <c r="T285" s="37"/>
      <c r="U285" s="37"/>
      <c r="V285" s="37"/>
      <c r="W285" s="37"/>
      <c r="X285" s="37"/>
      <c r="Y285" s="37"/>
      <c r="Z285" s="37"/>
    </row>
    <row r="286" spans="1:26" ht="15.75" customHeight="1" x14ac:dyDescent="0.3">
      <c r="A286" s="22">
        <f>IF($N$1="Piping", IF(ISBLANK(Piping!A286), "", Piping!A286), IF($N$1="Vessels", IF(ISBLANK(Vessels!A286), "", Vessels!A286), ""))</f>
        <v>71.099999999999994</v>
      </c>
      <c r="B286" s="21" t="str">
        <f>IF($N$1="Piping", IF(ISBLANK(Piping!B286), "", Piping!B286), IF($N$1="Vessels", IF(ISBLANK(Vessels!B286), "", Vessels!B286), ""))</f>
        <v/>
      </c>
      <c r="C286" s="21" t="str">
        <f>IF($N$1="Piping", IF(ISBLANK(Piping!C286), "", Piping!C286), IF($N$1="Vessels", IF(ISBLANK(Vessels!C286), "", Vessels!C286), ""))</f>
        <v>Piping</v>
      </c>
      <c r="D286" s="21" t="str">
        <f>IF($N$1="Piping", IF(ISBLANK(Piping!D286), "", Piping!D286), IF($N$1="Vessels", IF(ISBLANK(Vessels!D286), "", Vessels!D286), ""))</f>
        <v/>
      </c>
      <c r="E286" s="21" t="str">
        <f>IF($N$1="Piping", IF(ISBLANK(Piping!E286), "", Piping!E286), IF($N$1="Vessels", IF(ISBLANK(Vessels!E286), "", Vessels!E286), ""))</f>
        <v/>
      </c>
      <c r="F286" s="21" t="str">
        <f>IF($N$1="Piping", IF(ISBLANK(Piping!F286), "", Piping!F286), IF($N$1="Vessels", IF(ISBLANK(Vessels!F286), "", Vessels!F286), ""))</f>
        <v/>
      </c>
      <c r="G286" s="21">
        <f>IF($N$1="Piping", IF(ISBLANK(Piping!G286), "", Piping!G286), IF($N$1="Vessels", IF(ISBLANK(Vessels!G286), "", Vessels!G286), ""))</f>
        <v>0</v>
      </c>
      <c r="H286" s="21" t="str">
        <f>IF($N$1="Piping", IF(ISBLANK(Piping!H286), "", Piping!H286), IF($N$1="Vessels", IF(ISBLANK(Vessels!H286), "", Vessels!H286), ""))</f>
        <v/>
      </c>
      <c r="I286" s="21" t="str">
        <f>IF($N$1="Piping", IF(ISBLANK(Piping!I286), "", Piping!I286), IF($N$1="Vessels", IF(ISBLANK(Vessels!I286), "", Vessels!I286), ""))</f>
        <v/>
      </c>
      <c r="J286" s="21" t="str">
        <f>IF($N$1="Piping", IF(ISBLANK(Piping!J286), "", Piping!J286), IF($N$1="Vessels", IF(ISBLANK(Vessels!J286), "", Vessels!J286), ""))</f>
        <v/>
      </c>
      <c r="K286" s="21" t="str">
        <f>IF($N$1="Piping", IF(ISBLANK(Piping!K286), "", Piping!K286), IF($N$1="Vessels", IF(ISBLANK(Vessels!K286), "", Vessels!K286), ""))</f>
        <v/>
      </c>
      <c r="L286" s="21" t="str">
        <f>IF($N$1="Piping", IF(ISBLANK(Piping!L286), "", Piping!L286), IF($N$1="Vessels", IF(ISBLANK(Vessels!L286), "", Vessels!L286), ""))</f>
        <v/>
      </c>
      <c r="M286" s="21"/>
      <c r="N286" s="21"/>
      <c r="O286" s="21"/>
      <c r="P286" s="21"/>
      <c r="Q286" s="21" t="str">
        <f>IF($N$1="Piping", IF(ISBLANK(Piping!T286), "", Piping!T286), IF($N$1="Vessels", IF(ISBLANK(Vessels!T286), "", Vessels!T286), ""))</f>
        <v/>
      </c>
      <c r="R286" s="51" t="str">
        <f>IF($N$1="Piping", IF(ISBLANK(Piping!U286), "", Piping!U286), IF($N$1="Vessels", IF(ISBLANK(Vessels!U286), "", Vessels!U286), ""))</f>
        <v/>
      </c>
      <c r="S286" s="118" t="str">
        <f>IF(B286&lt;&gt;"",IF($N$1="Piping", IF(ISBLANK(Piping!$J$3), "", Piping!$J$3), IF($N$1="Vessels", IF(ISBLANK(Vessels!$J$3), "", Vessels!$J$3), "")),"")</f>
        <v/>
      </c>
      <c r="T286" s="37"/>
      <c r="U286" s="37"/>
      <c r="V286" s="37"/>
      <c r="W286" s="37"/>
      <c r="X286" s="37"/>
      <c r="Y286" s="37"/>
      <c r="Z286" s="37"/>
    </row>
    <row r="287" spans="1:26" ht="15.75" customHeight="1" x14ac:dyDescent="0.3">
      <c r="A287" s="22">
        <f>IF($N$1="Piping", IF(ISBLANK(Piping!A287), "", Piping!A287), IF($N$1="Vessels", IF(ISBLANK(Vessels!A287), "", Vessels!A287), ""))</f>
        <v>71.2</v>
      </c>
      <c r="B287" s="21" t="str">
        <f>IF($N$1="Piping", IF(ISBLANK(Piping!B287), "", Piping!B287), IF($N$1="Vessels", IF(ISBLANK(Vessels!B287), "", Vessels!B287), ""))</f>
        <v/>
      </c>
      <c r="C287" s="21" t="str">
        <f>IF($N$1="Piping", IF(ISBLANK(Piping!C287), "", Piping!C287), IF($N$1="Vessels", IF(ISBLANK(Vessels!C287), "", Vessels!C287), ""))</f>
        <v>Piping</v>
      </c>
      <c r="D287" s="21" t="str">
        <f>IF($N$1="Piping", IF(ISBLANK(Piping!D287), "", Piping!D287), IF($N$1="Vessels", IF(ISBLANK(Vessels!D287), "", Vessels!D287), ""))</f>
        <v/>
      </c>
      <c r="E287" s="21" t="str">
        <f>IF($N$1="Piping", IF(ISBLANK(Piping!E287), "", Piping!E287), IF($N$1="Vessels", IF(ISBLANK(Vessels!E287), "", Vessels!E287), ""))</f>
        <v/>
      </c>
      <c r="F287" s="21" t="str">
        <f>IF($N$1="Piping", IF(ISBLANK(Piping!F287), "", Piping!F287), IF($N$1="Vessels", IF(ISBLANK(Vessels!F287), "", Vessels!F287), ""))</f>
        <v/>
      </c>
      <c r="G287" s="21">
        <f>IF($N$1="Piping", IF(ISBLANK(Piping!G287), "", Piping!G287), IF($N$1="Vessels", IF(ISBLANK(Vessels!G287), "", Vessels!G287), ""))</f>
        <v>0</v>
      </c>
      <c r="H287" s="21" t="str">
        <f>IF($N$1="Piping", IF(ISBLANK(Piping!H287), "", Piping!H287), IF($N$1="Vessels", IF(ISBLANK(Vessels!H287), "", Vessels!H287), ""))</f>
        <v/>
      </c>
      <c r="I287" s="21" t="str">
        <f>IF($N$1="Piping", IF(ISBLANK(Piping!I287), "", Piping!I287), IF($N$1="Vessels", IF(ISBLANK(Vessels!I287), "", Vessels!I287), ""))</f>
        <v/>
      </c>
      <c r="J287" s="21" t="str">
        <f>IF($N$1="Piping", IF(ISBLANK(Piping!J287), "", Piping!J287), IF($N$1="Vessels", IF(ISBLANK(Vessels!J287), "", Vessels!J287), ""))</f>
        <v/>
      </c>
      <c r="K287" s="21" t="str">
        <f>IF($N$1="Piping", IF(ISBLANK(Piping!K287), "", Piping!K287), IF($N$1="Vessels", IF(ISBLANK(Vessels!K287), "", Vessels!K287), ""))</f>
        <v/>
      </c>
      <c r="L287" s="21" t="str">
        <f>IF($N$1="Piping", IF(ISBLANK(Piping!L287), "", Piping!L287), IF($N$1="Vessels", IF(ISBLANK(Vessels!L287), "", Vessels!L287), ""))</f>
        <v/>
      </c>
      <c r="M287" s="21"/>
      <c r="N287" s="21"/>
      <c r="O287" s="21"/>
      <c r="P287" s="21"/>
      <c r="Q287" s="21" t="str">
        <f>IF($N$1="Piping", IF(ISBLANK(Piping!T287), "", Piping!T287), IF($N$1="Vessels", IF(ISBLANK(Vessels!T287), "", Vessels!T287), ""))</f>
        <v/>
      </c>
      <c r="R287" s="51" t="str">
        <f>IF($N$1="Piping", IF(ISBLANK(Piping!U287), "", Piping!U287), IF($N$1="Vessels", IF(ISBLANK(Vessels!U287), "", Vessels!U287), ""))</f>
        <v/>
      </c>
      <c r="S287" s="118" t="str">
        <f>IF(B287&lt;&gt;"",IF($N$1="Piping", IF(ISBLANK(Piping!$J$3), "", Piping!$J$3), IF($N$1="Vessels", IF(ISBLANK(Vessels!$J$3), "", Vessels!$J$3), "")),"")</f>
        <v/>
      </c>
      <c r="T287" s="37"/>
      <c r="U287" s="37"/>
      <c r="V287" s="37"/>
      <c r="W287" s="37"/>
      <c r="X287" s="37"/>
      <c r="Y287" s="37"/>
      <c r="Z287" s="37"/>
    </row>
    <row r="288" spans="1:26" ht="15.75" customHeight="1" x14ac:dyDescent="0.3">
      <c r="A288" s="22">
        <f>IF($N$1="Piping", IF(ISBLANK(Piping!A288), "", Piping!A288), IF($N$1="Vessels", IF(ISBLANK(Vessels!A288), "", Vessels!A288), ""))</f>
        <v>71.3</v>
      </c>
      <c r="B288" s="21" t="str">
        <f>IF($N$1="Piping", IF(ISBLANK(Piping!B288), "", Piping!B288), IF($N$1="Vessels", IF(ISBLANK(Vessels!B288), "", Vessels!B288), ""))</f>
        <v/>
      </c>
      <c r="C288" s="21" t="str">
        <f>IF($N$1="Piping", IF(ISBLANK(Piping!C288), "", Piping!C288), IF($N$1="Vessels", IF(ISBLANK(Vessels!C288), "", Vessels!C288), ""))</f>
        <v>Piping</v>
      </c>
      <c r="D288" s="21" t="str">
        <f>IF($N$1="Piping", IF(ISBLANK(Piping!D288), "", Piping!D288), IF($N$1="Vessels", IF(ISBLANK(Vessels!D288), "", Vessels!D288), ""))</f>
        <v/>
      </c>
      <c r="E288" s="21" t="str">
        <f>IF($N$1="Piping", IF(ISBLANK(Piping!E288), "", Piping!E288), IF($N$1="Vessels", IF(ISBLANK(Vessels!E288), "", Vessels!E288), ""))</f>
        <v/>
      </c>
      <c r="F288" s="21" t="str">
        <f>IF($N$1="Piping", IF(ISBLANK(Piping!F288), "", Piping!F288), IF($N$1="Vessels", IF(ISBLANK(Vessels!F288), "", Vessels!F288), ""))</f>
        <v/>
      </c>
      <c r="G288" s="21">
        <f>IF($N$1="Piping", IF(ISBLANK(Piping!G288), "", Piping!G288), IF($N$1="Vessels", IF(ISBLANK(Vessels!G288), "", Vessels!G288), ""))</f>
        <v>0</v>
      </c>
      <c r="H288" s="21" t="str">
        <f>IF($N$1="Piping", IF(ISBLANK(Piping!H288), "", Piping!H288), IF($N$1="Vessels", IF(ISBLANK(Vessels!H288), "", Vessels!H288), ""))</f>
        <v/>
      </c>
      <c r="I288" s="21" t="str">
        <f>IF($N$1="Piping", IF(ISBLANK(Piping!I288), "", Piping!I288), IF($N$1="Vessels", IF(ISBLANK(Vessels!I288), "", Vessels!I288), ""))</f>
        <v/>
      </c>
      <c r="J288" s="21" t="str">
        <f>IF($N$1="Piping", IF(ISBLANK(Piping!J288), "", Piping!J288), IF($N$1="Vessels", IF(ISBLANK(Vessels!J288), "", Vessels!J288), ""))</f>
        <v/>
      </c>
      <c r="K288" s="21" t="str">
        <f>IF($N$1="Piping", IF(ISBLANK(Piping!K288), "", Piping!K288), IF($N$1="Vessels", IF(ISBLANK(Vessels!K288), "", Vessels!K288), ""))</f>
        <v/>
      </c>
      <c r="L288" s="21" t="str">
        <f>IF($N$1="Piping", IF(ISBLANK(Piping!L288), "", Piping!L288), IF($N$1="Vessels", IF(ISBLANK(Vessels!L288), "", Vessels!L288), ""))</f>
        <v/>
      </c>
      <c r="M288" s="21"/>
      <c r="N288" s="21"/>
      <c r="O288" s="21"/>
      <c r="P288" s="21"/>
      <c r="Q288" s="21" t="str">
        <f>IF($N$1="Piping", IF(ISBLANK(Piping!T288), "", Piping!T288), IF($N$1="Vessels", IF(ISBLANK(Vessels!T288), "", Vessels!T288), ""))</f>
        <v/>
      </c>
      <c r="R288" s="51" t="str">
        <f>IF($N$1="Piping", IF(ISBLANK(Piping!U288), "", Piping!U288), IF($N$1="Vessels", IF(ISBLANK(Vessels!U288), "", Vessels!U288), ""))</f>
        <v/>
      </c>
      <c r="S288" s="118" t="str">
        <f>IF(B288&lt;&gt;"",IF($N$1="Piping", IF(ISBLANK(Piping!$J$3), "", Piping!$J$3), IF($N$1="Vessels", IF(ISBLANK(Vessels!$J$3), "", Vessels!$J$3), "")),"")</f>
        <v/>
      </c>
      <c r="T288" s="37"/>
      <c r="U288" s="37"/>
      <c r="V288" s="37"/>
      <c r="W288" s="37"/>
      <c r="X288" s="37"/>
      <c r="Y288" s="37"/>
      <c r="Z288" s="37"/>
    </row>
    <row r="289" spans="1:26" ht="15.75" customHeight="1" x14ac:dyDescent="0.3">
      <c r="A289" s="22">
        <f>IF($N$1="Piping", IF(ISBLANK(Piping!A289), "", Piping!A289), IF($N$1="Vessels", IF(ISBLANK(Vessels!A289), "", Vessels!A289), ""))</f>
        <v>71.400000000000006</v>
      </c>
      <c r="B289" s="21" t="str">
        <f>IF($N$1="Piping", IF(ISBLANK(Piping!B289), "", Piping!B289), IF($N$1="Vessels", IF(ISBLANK(Vessels!B289), "", Vessels!B289), ""))</f>
        <v/>
      </c>
      <c r="C289" s="21" t="str">
        <f>IF($N$1="Piping", IF(ISBLANK(Piping!C289), "", Piping!C289), IF($N$1="Vessels", IF(ISBLANK(Vessels!C289), "", Vessels!C289), ""))</f>
        <v>Piping</v>
      </c>
      <c r="D289" s="21" t="str">
        <f>IF($N$1="Piping", IF(ISBLANK(Piping!D289), "", Piping!D289), IF($N$1="Vessels", IF(ISBLANK(Vessels!D289), "", Vessels!D289), ""))</f>
        <v/>
      </c>
      <c r="E289" s="21" t="str">
        <f>IF($N$1="Piping", IF(ISBLANK(Piping!E289), "", Piping!E289), IF($N$1="Vessels", IF(ISBLANK(Vessels!E289), "", Vessels!E289), ""))</f>
        <v/>
      </c>
      <c r="F289" s="21" t="str">
        <f>IF($N$1="Piping", IF(ISBLANK(Piping!F289), "", Piping!F289), IF($N$1="Vessels", IF(ISBLANK(Vessels!F289), "", Vessels!F289), ""))</f>
        <v/>
      </c>
      <c r="G289" s="21">
        <f>IF($N$1="Piping", IF(ISBLANK(Piping!G289), "", Piping!G289), IF($N$1="Vessels", IF(ISBLANK(Vessels!G289), "", Vessels!G289), ""))</f>
        <v>0</v>
      </c>
      <c r="H289" s="21" t="str">
        <f>IF($N$1="Piping", IF(ISBLANK(Piping!H289), "", Piping!H289), IF($N$1="Vessels", IF(ISBLANK(Vessels!H289), "", Vessels!H289), ""))</f>
        <v/>
      </c>
      <c r="I289" s="21" t="str">
        <f>IF($N$1="Piping", IF(ISBLANK(Piping!I289), "", Piping!I289), IF($N$1="Vessels", IF(ISBLANK(Vessels!I289), "", Vessels!I289), ""))</f>
        <v/>
      </c>
      <c r="J289" s="21" t="str">
        <f>IF($N$1="Piping", IF(ISBLANK(Piping!J289), "", Piping!J289), IF($N$1="Vessels", IF(ISBLANK(Vessels!J289), "", Vessels!J289), ""))</f>
        <v/>
      </c>
      <c r="K289" s="21" t="str">
        <f>IF($N$1="Piping", IF(ISBLANK(Piping!K289), "", Piping!K289), IF($N$1="Vessels", IF(ISBLANK(Vessels!K289), "", Vessels!K289), ""))</f>
        <v/>
      </c>
      <c r="L289" s="21" t="str">
        <f>IF($N$1="Piping", IF(ISBLANK(Piping!L289), "", Piping!L289), IF($N$1="Vessels", IF(ISBLANK(Vessels!L289), "", Vessels!L289), ""))</f>
        <v/>
      </c>
      <c r="M289" s="21"/>
      <c r="N289" s="21"/>
      <c r="O289" s="21"/>
      <c r="P289" s="21"/>
      <c r="Q289" s="21" t="str">
        <f>IF($N$1="Piping", IF(ISBLANK(Piping!T289), "", Piping!T289), IF($N$1="Vessels", IF(ISBLANK(Vessels!T289), "", Vessels!T289), ""))</f>
        <v/>
      </c>
      <c r="R289" s="51" t="str">
        <f>IF($N$1="Piping", IF(ISBLANK(Piping!U289), "", Piping!U289), IF($N$1="Vessels", IF(ISBLANK(Vessels!U289), "", Vessels!U289), ""))</f>
        <v/>
      </c>
      <c r="S289" s="118" t="str">
        <f>IF(B289&lt;&gt;"",IF($N$1="Piping", IF(ISBLANK(Piping!$J$3), "", Piping!$J$3), IF($N$1="Vessels", IF(ISBLANK(Vessels!$J$3), "", Vessels!$J$3), "")),"")</f>
        <v/>
      </c>
      <c r="T289" s="37"/>
      <c r="U289" s="37"/>
      <c r="V289" s="37"/>
      <c r="W289" s="37"/>
      <c r="X289" s="37"/>
      <c r="Y289" s="37"/>
      <c r="Z289" s="37"/>
    </row>
    <row r="290" spans="1:26" ht="15.75" customHeight="1" x14ac:dyDescent="0.3">
      <c r="A290" s="22">
        <f>IF($N$1="Piping", IF(ISBLANK(Piping!A290), "", Piping!A290), IF($N$1="Vessels", IF(ISBLANK(Vessels!A290), "", Vessels!A290), ""))</f>
        <v>72.099999999999994</v>
      </c>
      <c r="B290" s="21" t="str">
        <f>IF($N$1="Piping", IF(ISBLANK(Piping!B290), "", Piping!B290), IF($N$1="Vessels", IF(ISBLANK(Vessels!B290), "", Vessels!B290), ""))</f>
        <v/>
      </c>
      <c r="C290" s="21" t="str">
        <f>IF($N$1="Piping", IF(ISBLANK(Piping!C290), "", Piping!C290), IF($N$1="Vessels", IF(ISBLANK(Vessels!C290), "", Vessels!C290), ""))</f>
        <v>Piping</v>
      </c>
      <c r="D290" s="21" t="str">
        <f>IF($N$1="Piping", IF(ISBLANK(Piping!D290), "", Piping!D290), IF($N$1="Vessels", IF(ISBLANK(Vessels!D290), "", Vessels!D290), ""))</f>
        <v/>
      </c>
      <c r="E290" s="21" t="str">
        <f>IF($N$1="Piping", IF(ISBLANK(Piping!E290), "", Piping!E290), IF($N$1="Vessels", IF(ISBLANK(Vessels!E290), "", Vessels!E290), ""))</f>
        <v/>
      </c>
      <c r="F290" s="21" t="str">
        <f>IF($N$1="Piping", IF(ISBLANK(Piping!F290), "", Piping!F290), IF($N$1="Vessels", IF(ISBLANK(Vessels!F290), "", Vessels!F290), ""))</f>
        <v/>
      </c>
      <c r="G290" s="21">
        <f>IF($N$1="Piping", IF(ISBLANK(Piping!G290), "", Piping!G290), IF($N$1="Vessels", IF(ISBLANK(Vessels!G290), "", Vessels!G290), ""))</f>
        <v>0</v>
      </c>
      <c r="H290" s="21" t="str">
        <f>IF($N$1="Piping", IF(ISBLANK(Piping!H290), "", Piping!H290), IF($N$1="Vessels", IF(ISBLANK(Vessels!H290), "", Vessels!H290), ""))</f>
        <v/>
      </c>
      <c r="I290" s="21" t="str">
        <f>IF($N$1="Piping", IF(ISBLANK(Piping!I290), "", Piping!I290), IF($N$1="Vessels", IF(ISBLANK(Vessels!I290), "", Vessels!I290), ""))</f>
        <v/>
      </c>
      <c r="J290" s="21" t="str">
        <f>IF($N$1="Piping", IF(ISBLANK(Piping!J290), "", Piping!J290), IF($N$1="Vessels", IF(ISBLANK(Vessels!J290), "", Vessels!J290), ""))</f>
        <v/>
      </c>
      <c r="K290" s="21" t="str">
        <f>IF($N$1="Piping", IF(ISBLANK(Piping!K290), "", Piping!K290), IF($N$1="Vessels", IF(ISBLANK(Vessels!K290), "", Vessels!K290), ""))</f>
        <v/>
      </c>
      <c r="L290" s="21" t="str">
        <f>IF($N$1="Piping", IF(ISBLANK(Piping!L290), "", Piping!L290), IF($N$1="Vessels", IF(ISBLANK(Vessels!L290), "", Vessels!L290), ""))</f>
        <v/>
      </c>
      <c r="M290" s="21"/>
      <c r="N290" s="21"/>
      <c r="O290" s="21"/>
      <c r="P290" s="21"/>
      <c r="Q290" s="21" t="str">
        <f>IF($N$1="Piping", IF(ISBLANK(Piping!T290), "", Piping!T290), IF($N$1="Vessels", IF(ISBLANK(Vessels!T290), "", Vessels!T290), ""))</f>
        <v/>
      </c>
      <c r="R290" s="51" t="str">
        <f>IF($N$1="Piping", IF(ISBLANK(Piping!U290), "", Piping!U290), IF($N$1="Vessels", IF(ISBLANK(Vessels!U290), "", Vessels!U290), ""))</f>
        <v/>
      </c>
      <c r="S290" s="118" t="str">
        <f>IF(B290&lt;&gt;"",IF($N$1="Piping", IF(ISBLANK(Piping!$J$3), "", Piping!$J$3), IF($N$1="Vessels", IF(ISBLANK(Vessels!$J$3), "", Vessels!$J$3), "")),"")</f>
        <v/>
      </c>
      <c r="T290" s="37"/>
      <c r="U290" s="37"/>
      <c r="V290" s="37"/>
      <c r="W290" s="37"/>
      <c r="X290" s="37"/>
      <c r="Y290" s="37"/>
      <c r="Z290" s="37"/>
    </row>
    <row r="291" spans="1:26" ht="15.75" customHeight="1" x14ac:dyDescent="0.3">
      <c r="A291" s="22">
        <f>IF($N$1="Piping", IF(ISBLANK(Piping!A291), "", Piping!A291), IF($N$1="Vessels", IF(ISBLANK(Vessels!A291), "", Vessels!A291), ""))</f>
        <v>72.2</v>
      </c>
      <c r="B291" s="21" t="str">
        <f>IF($N$1="Piping", IF(ISBLANK(Piping!B291), "", Piping!B291), IF($N$1="Vessels", IF(ISBLANK(Vessels!B291), "", Vessels!B291), ""))</f>
        <v/>
      </c>
      <c r="C291" s="21" t="str">
        <f>IF($N$1="Piping", IF(ISBLANK(Piping!C291), "", Piping!C291), IF($N$1="Vessels", IF(ISBLANK(Vessels!C291), "", Vessels!C291), ""))</f>
        <v>Piping</v>
      </c>
      <c r="D291" s="21" t="str">
        <f>IF($N$1="Piping", IF(ISBLANK(Piping!D291), "", Piping!D291), IF($N$1="Vessels", IF(ISBLANK(Vessels!D291), "", Vessels!D291), ""))</f>
        <v/>
      </c>
      <c r="E291" s="21" t="str">
        <f>IF($N$1="Piping", IF(ISBLANK(Piping!E291), "", Piping!E291), IF($N$1="Vessels", IF(ISBLANK(Vessels!E291), "", Vessels!E291), ""))</f>
        <v/>
      </c>
      <c r="F291" s="21" t="str">
        <f>IF($N$1="Piping", IF(ISBLANK(Piping!F291), "", Piping!F291), IF($N$1="Vessels", IF(ISBLANK(Vessels!F291), "", Vessels!F291), ""))</f>
        <v/>
      </c>
      <c r="G291" s="21">
        <f>IF($N$1="Piping", IF(ISBLANK(Piping!G291), "", Piping!G291), IF($N$1="Vessels", IF(ISBLANK(Vessels!G291), "", Vessels!G291), ""))</f>
        <v>0</v>
      </c>
      <c r="H291" s="21" t="str">
        <f>IF($N$1="Piping", IF(ISBLANK(Piping!H291), "", Piping!H291), IF($N$1="Vessels", IF(ISBLANK(Vessels!H291), "", Vessels!H291), ""))</f>
        <v/>
      </c>
      <c r="I291" s="21" t="str">
        <f>IF($N$1="Piping", IF(ISBLANK(Piping!I291), "", Piping!I291), IF($N$1="Vessels", IF(ISBLANK(Vessels!I291), "", Vessels!I291), ""))</f>
        <v/>
      </c>
      <c r="J291" s="21" t="str">
        <f>IF($N$1="Piping", IF(ISBLANK(Piping!J291), "", Piping!J291), IF($N$1="Vessels", IF(ISBLANK(Vessels!J291), "", Vessels!J291), ""))</f>
        <v/>
      </c>
      <c r="K291" s="21" t="str">
        <f>IF($N$1="Piping", IF(ISBLANK(Piping!K291), "", Piping!K291), IF($N$1="Vessels", IF(ISBLANK(Vessels!K291), "", Vessels!K291), ""))</f>
        <v/>
      </c>
      <c r="L291" s="21" t="str">
        <f>IF($N$1="Piping", IF(ISBLANK(Piping!L291), "", Piping!L291), IF($N$1="Vessels", IF(ISBLANK(Vessels!L291), "", Vessels!L291), ""))</f>
        <v/>
      </c>
      <c r="M291" s="21"/>
      <c r="N291" s="21"/>
      <c r="O291" s="21"/>
      <c r="P291" s="21"/>
      <c r="Q291" s="21" t="str">
        <f>IF($N$1="Piping", IF(ISBLANK(Piping!T291), "", Piping!T291), IF($N$1="Vessels", IF(ISBLANK(Vessels!T291), "", Vessels!T291), ""))</f>
        <v/>
      </c>
      <c r="R291" s="51" t="str">
        <f>IF($N$1="Piping", IF(ISBLANK(Piping!U291), "", Piping!U291), IF($N$1="Vessels", IF(ISBLANK(Vessels!U291), "", Vessels!U291), ""))</f>
        <v/>
      </c>
      <c r="S291" s="118" t="str">
        <f>IF(B291&lt;&gt;"",IF($N$1="Piping", IF(ISBLANK(Piping!$J$3), "", Piping!$J$3), IF($N$1="Vessels", IF(ISBLANK(Vessels!$J$3), "", Vessels!$J$3), "")),"")</f>
        <v/>
      </c>
      <c r="T291" s="37"/>
      <c r="U291" s="37"/>
      <c r="V291" s="37"/>
      <c r="W291" s="37"/>
      <c r="X291" s="37"/>
      <c r="Y291" s="37"/>
      <c r="Z291" s="37"/>
    </row>
    <row r="292" spans="1:26" ht="15.75" customHeight="1" x14ac:dyDescent="0.3">
      <c r="A292" s="22">
        <f>IF($N$1="Piping", IF(ISBLANK(Piping!A292), "", Piping!A292), IF($N$1="Vessels", IF(ISBLANK(Vessels!A292), "", Vessels!A292), ""))</f>
        <v>72.3</v>
      </c>
      <c r="B292" s="21" t="str">
        <f>IF($N$1="Piping", IF(ISBLANK(Piping!B292), "", Piping!B292), IF($N$1="Vessels", IF(ISBLANK(Vessels!B292), "", Vessels!B292), ""))</f>
        <v/>
      </c>
      <c r="C292" s="21" t="str">
        <f>IF($N$1="Piping", IF(ISBLANK(Piping!C292), "", Piping!C292), IF($N$1="Vessels", IF(ISBLANK(Vessels!C292), "", Vessels!C292), ""))</f>
        <v>Piping</v>
      </c>
      <c r="D292" s="21" t="str">
        <f>IF($N$1="Piping", IF(ISBLANK(Piping!D292), "", Piping!D292), IF($N$1="Vessels", IF(ISBLANK(Vessels!D292), "", Vessels!D292), ""))</f>
        <v/>
      </c>
      <c r="E292" s="21" t="str">
        <f>IF($N$1="Piping", IF(ISBLANK(Piping!E292), "", Piping!E292), IF($N$1="Vessels", IF(ISBLANK(Vessels!E292), "", Vessels!E292), ""))</f>
        <v/>
      </c>
      <c r="F292" s="21" t="str">
        <f>IF($N$1="Piping", IF(ISBLANK(Piping!F292), "", Piping!F292), IF($N$1="Vessels", IF(ISBLANK(Vessels!F292), "", Vessels!F292), ""))</f>
        <v/>
      </c>
      <c r="G292" s="21">
        <f>IF($N$1="Piping", IF(ISBLANK(Piping!G292), "", Piping!G292), IF($N$1="Vessels", IF(ISBLANK(Vessels!G292), "", Vessels!G292), ""))</f>
        <v>0</v>
      </c>
      <c r="H292" s="21" t="str">
        <f>IF($N$1="Piping", IF(ISBLANK(Piping!H292), "", Piping!H292), IF($N$1="Vessels", IF(ISBLANK(Vessels!H292), "", Vessels!H292), ""))</f>
        <v/>
      </c>
      <c r="I292" s="21" t="str">
        <f>IF($N$1="Piping", IF(ISBLANK(Piping!I292), "", Piping!I292), IF($N$1="Vessels", IF(ISBLANK(Vessels!I292), "", Vessels!I292), ""))</f>
        <v/>
      </c>
      <c r="J292" s="21" t="str">
        <f>IF($N$1="Piping", IF(ISBLANK(Piping!J292), "", Piping!J292), IF($N$1="Vessels", IF(ISBLANK(Vessels!J292), "", Vessels!J292), ""))</f>
        <v/>
      </c>
      <c r="K292" s="21" t="str">
        <f>IF($N$1="Piping", IF(ISBLANK(Piping!K292), "", Piping!K292), IF($N$1="Vessels", IF(ISBLANK(Vessels!K292), "", Vessels!K292), ""))</f>
        <v/>
      </c>
      <c r="L292" s="21" t="str">
        <f>IF($N$1="Piping", IF(ISBLANK(Piping!L292), "", Piping!L292), IF($N$1="Vessels", IF(ISBLANK(Vessels!L292), "", Vessels!L292), ""))</f>
        <v/>
      </c>
      <c r="M292" s="21"/>
      <c r="N292" s="21"/>
      <c r="O292" s="21"/>
      <c r="P292" s="21"/>
      <c r="Q292" s="21" t="str">
        <f>IF($N$1="Piping", IF(ISBLANK(Piping!T292), "", Piping!T292), IF($N$1="Vessels", IF(ISBLANK(Vessels!T292), "", Vessels!T292), ""))</f>
        <v/>
      </c>
      <c r="R292" s="51" t="str">
        <f>IF($N$1="Piping", IF(ISBLANK(Piping!U292), "", Piping!U292), IF($N$1="Vessels", IF(ISBLANK(Vessels!U292), "", Vessels!U292), ""))</f>
        <v/>
      </c>
      <c r="S292" s="118" t="str">
        <f>IF(B292&lt;&gt;"",IF($N$1="Piping", IF(ISBLANK(Piping!$J$3), "", Piping!$J$3), IF($N$1="Vessels", IF(ISBLANK(Vessels!$J$3), "", Vessels!$J$3), "")),"")</f>
        <v/>
      </c>
      <c r="T292" s="37"/>
      <c r="U292" s="37"/>
      <c r="V292" s="37"/>
      <c r="W292" s="37"/>
      <c r="X292" s="37"/>
      <c r="Y292" s="37"/>
      <c r="Z292" s="37"/>
    </row>
    <row r="293" spans="1:26" ht="15.75" customHeight="1" x14ac:dyDescent="0.3">
      <c r="A293" s="22">
        <f>IF($N$1="Piping", IF(ISBLANK(Piping!A293), "", Piping!A293), IF($N$1="Vessels", IF(ISBLANK(Vessels!A293), "", Vessels!A293), ""))</f>
        <v>72.400000000000006</v>
      </c>
      <c r="B293" s="21" t="str">
        <f>IF($N$1="Piping", IF(ISBLANK(Piping!B293), "", Piping!B293), IF($N$1="Vessels", IF(ISBLANK(Vessels!B293), "", Vessels!B293), ""))</f>
        <v/>
      </c>
      <c r="C293" s="21" t="str">
        <f>IF($N$1="Piping", IF(ISBLANK(Piping!C293), "", Piping!C293), IF($N$1="Vessels", IF(ISBLANK(Vessels!C293), "", Vessels!C293), ""))</f>
        <v>Piping</v>
      </c>
      <c r="D293" s="21" t="str">
        <f>IF($N$1="Piping", IF(ISBLANK(Piping!D293), "", Piping!D293), IF($N$1="Vessels", IF(ISBLANK(Vessels!D293), "", Vessels!D293), ""))</f>
        <v/>
      </c>
      <c r="E293" s="21" t="str">
        <f>IF($N$1="Piping", IF(ISBLANK(Piping!E293), "", Piping!E293), IF($N$1="Vessels", IF(ISBLANK(Vessels!E293), "", Vessels!E293), ""))</f>
        <v/>
      </c>
      <c r="F293" s="21" t="str">
        <f>IF($N$1="Piping", IF(ISBLANK(Piping!F293), "", Piping!F293), IF($N$1="Vessels", IF(ISBLANK(Vessels!F293), "", Vessels!F293), ""))</f>
        <v/>
      </c>
      <c r="G293" s="21">
        <f>IF($N$1="Piping", IF(ISBLANK(Piping!G293), "", Piping!G293), IF($N$1="Vessels", IF(ISBLANK(Vessels!G293), "", Vessels!G293), ""))</f>
        <v>0</v>
      </c>
      <c r="H293" s="21" t="str">
        <f>IF($N$1="Piping", IF(ISBLANK(Piping!H293), "", Piping!H293), IF($N$1="Vessels", IF(ISBLANK(Vessels!H293), "", Vessels!H293), ""))</f>
        <v/>
      </c>
      <c r="I293" s="21" t="str">
        <f>IF($N$1="Piping", IF(ISBLANK(Piping!I293), "", Piping!I293), IF($N$1="Vessels", IF(ISBLANK(Vessels!I293), "", Vessels!I293), ""))</f>
        <v/>
      </c>
      <c r="J293" s="21" t="str">
        <f>IF($N$1="Piping", IF(ISBLANK(Piping!J293), "", Piping!J293), IF($N$1="Vessels", IF(ISBLANK(Vessels!J293), "", Vessels!J293), ""))</f>
        <v/>
      </c>
      <c r="K293" s="21" t="str">
        <f>IF($N$1="Piping", IF(ISBLANK(Piping!K293), "", Piping!K293), IF($N$1="Vessels", IF(ISBLANK(Vessels!K293), "", Vessels!K293), ""))</f>
        <v/>
      </c>
      <c r="L293" s="21" t="str">
        <f>IF($N$1="Piping", IF(ISBLANK(Piping!L293), "", Piping!L293), IF($N$1="Vessels", IF(ISBLANK(Vessels!L293), "", Vessels!L293), ""))</f>
        <v/>
      </c>
      <c r="M293" s="21"/>
      <c r="N293" s="21"/>
      <c r="O293" s="21"/>
      <c r="P293" s="21"/>
      <c r="Q293" s="21" t="str">
        <f>IF($N$1="Piping", IF(ISBLANK(Piping!T293), "", Piping!T293), IF($N$1="Vessels", IF(ISBLANK(Vessels!T293), "", Vessels!T293), ""))</f>
        <v/>
      </c>
      <c r="R293" s="51" t="str">
        <f>IF($N$1="Piping", IF(ISBLANK(Piping!U293), "", Piping!U293), IF($N$1="Vessels", IF(ISBLANK(Vessels!U293), "", Vessels!U293), ""))</f>
        <v/>
      </c>
      <c r="S293" s="118" t="str">
        <f>IF(B293&lt;&gt;"",IF($N$1="Piping", IF(ISBLANK(Piping!$J$3), "", Piping!$J$3), IF($N$1="Vessels", IF(ISBLANK(Vessels!$J$3), "", Vessels!$J$3), "")),"")</f>
        <v/>
      </c>
      <c r="T293" s="37"/>
      <c r="U293" s="37"/>
      <c r="V293" s="37"/>
      <c r="W293" s="37"/>
      <c r="X293" s="37"/>
      <c r="Y293" s="37"/>
      <c r="Z293" s="37"/>
    </row>
    <row r="294" spans="1:26" ht="15.75" customHeight="1" x14ac:dyDescent="0.3">
      <c r="A294" s="22">
        <f>IF($N$1="Piping", IF(ISBLANK(Piping!A294), "", Piping!A294), IF($N$1="Vessels", IF(ISBLANK(Vessels!A294), "", Vessels!A294), ""))</f>
        <v>73.099999999999994</v>
      </c>
      <c r="B294" s="21" t="str">
        <f>IF($N$1="Piping", IF(ISBLANK(Piping!B294), "", Piping!B294), IF($N$1="Vessels", IF(ISBLANK(Vessels!B294), "", Vessels!B294), ""))</f>
        <v/>
      </c>
      <c r="C294" s="21" t="str">
        <f>IF($N$1="Piping", IF(ISBLANK(Piping!C294), "", Piping!C294), IF($N$1="Vessels", IF(ISBLANK(Vessels!C294), "", Vessels!C294), ""))</f>
        <v>Piping</v>
      </c>
      <c r="D294" s="21" t="str">
        <f>IF($N$1="Piping", IF(ISBLANK(Piping!D294), "", Piping!D294), IF($N$1="Vessels", IF(ISBLANK(Vessels!D294), "", Vessels!D294), ""))</f>
        <v/>
      </c>
      <c r="E294" s="21" t="str">
        <f>IF($N$1="Piping", IF(ISBLANK(Piping!E294), "", Piping!E294), IF($N$1="Vessels", IF(ISBLANK(Vessels!E294), "", Vessels!E294), ""))</f>
        <v/>
      </c>
      <c r="F294" s="21" t="str">
        <f>IF($N$1="Piping", IF(ISBLANK(Piping!F294), "", Piping!F294), IF($N$1="Vessels", IF(ISBLANK(Vessels!F294), "", Vessels!F294), ""))</f>
        <v/>
      </c>
      <c r="G294" s="21">
        <f>IF($N$1="Piping", IF(ISBLANK(Piping!G294), "", Piping!G294), IF($N$1="Vessels", IF(ISBLANK(Vessels!G294), "", Vessels!G294), ""))</f>
        <v>0</v>
      </c>
      <c r="H294" s="21" t="str">
        <f>IF($N$1="Piping", IF(ISBLANK(Piping!H294), "", Piping!H294), IF($N$1="Vessels", IF(ISBLANK(Vessels!H294), "", Vessels!H294), ""))</f>
        <v/>
      </c>
      <c r="I294" s="21" t="str">
        <f>IF($N$1="Piping", IF(ISBLANK(Piping!I294), "", Piping!I294), IF($N$1="Vessels", IF(ISBLANK(Vessels!I294), "", Vessels!I294), ""))</f>
        <v/>
      </c>
      <c r="J294" s="21" t="str">
        <f>IF($N$1="Piping", IF(ISBLANK(Piping!J294), "", Piping!J294), IF($N$1="Vessels", IF(ISBLANK(Vessels!J294), "", Vessels!J294), ""))</f>
        <v/>
      </c>
      <c r="K294" s="21" t="str">
        <f>IF($N$1="Piping", IF(ISBLANK(Piping!K294), "", Piping!K294), IF($N$1="Vessels", IF(ISBLANK(Vessels!K294), "", Vessels!K294), ""))</f>
        <v/>
      </c>
      <c r="L294" s="21" t="str">
        <f>IF($N$1="Piping", IF(ISBLANK(Piping!L294), "", Piping!L294), IF($N$1="Vessels", IF(ISBLANK(Vessels!L294), "", Vessels!L294), ""))</f>
        <v/>
      </c>
      <c r="M294" s="21"/>
      <c r="N294" s="21"/>
      <c r="O294" s="21"/>
      <c r="P294" s="21"/>
      <c r="Q294" s="21" t="str">
        <f>IF($N$1="Piping", IF(ISBLANK(Piping!T294), "", Piping!T294), IF($N$1="Vessels", IF(ISBLANK(Vessels!T294), "", Vessels!T294), ""))</f>
        <v/>
      </c>
      <c r="R294" s="51" t="str">
        <f>IF($N$1="Piping", IF(ISBLANK(Piping!U294), "", Piping!U294), IF($N$1="Vessels", IF(ISBLANK(Vessels!U294), "", Vessels!U294), ""))</f>
        <v/>
      </c>
      <c r="S294" s="118" t="str">
        <f>IF(B294&lt;&gt;"",IF($N$1="Piping", IF(ISBLANK(Piping!$J$3), "", Piping!$J$3), IF($N$1="Vessels", IF(ISBLANK(Vessels!$J$3), "", Vessels!$J$3), "")),"")</f>
        <v/>
      </c>
      <c r="T294" s="37"/>
      <c r="U294" s="37"/>
      <c r="V294" s="37"/>
      <c r="W294" s="37"/>
      <c r="X294" s="37"/>
      <c r="Y294" s="37"/>
      <c r="Z294" s="37"/>
    </row>
    <row r="295" spans="1:26" ht="15.75" customHeight="1" x14ac:dyDescent="0.3">
      <c r="A295" s="22">
        <f>IF($N$1="Piping", IF(ISBLANK(Piping!A295), "", Piping!A295), IF($N$1="Vessels", IF(ISBLANK(Vessels!A295), "", Vessels!A295), ""))</f>
        <v>73.2</v>
      </c>
      <c r="B295" s="21" t="str">
        <f>IF($N$1="Piping", IF(ISBLANK(Piping!B295), "", Piping!B295), IF($N$1="Vessels", IF(ISBLANK(Vessels!B295), "", Vessels!B295), ""))</f>
        <v/>
      </c>
      <c r="C295" s="21" t="str">
        <f>IF($N$1="Piping", IF(ISBLANK(Piping!C295), "", Piping!C295), IF($N$1="Vessels", IF(ISBLANK(Vessels!C295), "", Vessels!C295), ""))</f>
        <v>Piping</v>
      </c>
      <c r="D295" s="21" t="str">
        <f>IF($N$1="Piping", IF(ISBLANK(Piping!D295), "", Piping!D295), IF($N$1="Vessels", IF(ISBLANK(Vessels!D295), "", Vessels!D295), ""))</f>
        <v/>
      </c>
      <c r="E295" s="21" t="str">
        <f>IF($N$1="Piping", IF(ISBLANK(Piping!E295), "", Piping!E295), IF($N$1="Vessels", IF(ISBLANK(Vessels!E295), "", Vessels!E295), ""))</f>
        <v/>
      </c>
      <c r="F295" s="21" t="str">
        <f>IF($N$1="Piping", IF(ISBLANK(Piping!F295), "", Piping!F295), IF($N$1="Vessels", IF(ISBLANK(Vessels!F295), "", Vessels!F295), ""))</f>
        <v/>
      </c>
      <c r="G295" s="21">
        <f>IF($N$1="Piping", IF(ISBLANK(Piping!G295), "", Piping!G295), IF($N$1="Vessels", IF(ISBLANK(Vessels!G295), "", Vessels!G295), ""))</f>
        <v>0</v>
      </c>
      <c r="H295" s="21" t="str">
        <f>IF($N$1="Piping", IF(ISBLANK(Piping!H295), "", Piping!H295), IF($N$1="Vessels", IF(ISBLANK(Vessels!H295), "", Vessels!H295), ""))</f>
        <v/>
      </c>
      <c r="I295" s="21" t="str">
        <f>IF($N$1="Piping", IF(ISBLANK(Piping!I295), "", Piping!I295), IF($N$1="Vessels", IF(ISBLANK(Vessels!I295), "", Vessels!I295), ""))</f>
        <v/>
      </c>
      <c r="J295" s="21" t="str">
        <f>IF($N$1="Piping", IF(ISBLANK(Piping!J295), "", Piping!J295), IF($N$1="Vessels", IF(ISBLANK(Vessels!J295), "", Vessels!J295), ""))</f>
        <v/>
      </c>
      <c r="K295" s="21" t="str">
        <f>IF($N$1="Piping", IF(ISBLANK(Piping!K295), "", Piping!K295), IF($N$1="Vessels", IF(ISBLANK(Vessels!K295), "", Vessels!K295), ""))</f>
        <v/>
      </c>
      <c r="L295" s="21" t="str">
        <f>IF($N$1="Piping", IF(ISBLANK(Piping!L295), "", Piping!L295), IF($N$1="Vessels", IF(ISBLANK(Vessels!L295), "", Vessels!L295), ""))</f>
        <v/>
      </c>
      <c r="M295" s="21"/>
      <c r="N295" s="21"/>
      <c r="O295" s="21"/>
      <c r="P295" s="21"/>
      <c r="Q295" s="21" t="str">
        <f>IF($N$1="Piping", IF(ISBLANK(Piping!T295), "", Piping!T295), IF($N$1="Vessels", IF(ISBLANK(Vessels!T295), "", Vessels!T295), ""))</f>
        <v/>
      </c>
      <c r="R295" s="51" t="str">
        <f>IF($N$1="Piping", IF(ISBLANK(Piping!U295), "", Piping!U295), IF($N$1="Vessels", IF(ISBLANK(Vessels!U295), "", Vessels!U295), ""))</f>
        <v/>
      </c>
      <c r="S295" s="118" t="str">
        <f>IF(B295&lt;&gt;"",IF($N$1="Piping", IF(ISBLANK(Piping!$J$3), "", Piping!$J$3), IF($N$1="Vessels", IF(ISBLANK(Vessels!$J$3), "", Vessels!$J$3), "")),"")</f>
        <v/>
      </c>
      <c r="T295" s="37"/>
      <c r="U295" s="37"/>
      <c r="V295" s="37"/>
      <c r="W295" s="37"/>
      <c r="X295" s="37"/>
      <c r="Y295" s="37"/>
      <c r="Z295" s="37"/>
    </row>
    <row r="296" spans="1:26" ht="15.75" customHeight="1" x14ac:dyDescent="0.3">
      <c r="A296" s="22">
        <f>IF($N$1="Piping", IF(ISBLANK(Piping!A296), "", Piping!A296), IF($N$1="Vessels", IF(ISBLANK(Vessels!A296), "", Vessels!A296), ""))</f>
        <v>73.3</v>
      </c>
      <c r="B296" s="21" t="str">
        <f>IF($N$1="Piping", IF(ISBLANK(Piping!B296), "", Piping!B296), IF($N$1="Vessels", IF(ISBLANK(Vessels!B296), "", Vessels!B296), ""))</f>
        <v/>
      </c>
      <c r="C296" s="21" t="str">
        <f>IF($N$1="Piping", IF(ISBLANK(Piping!C296), "", Piping!C296), IF($N$1="Vessels", IF(ISBLANK(Vessels!C296), "", Vessels!C296), ""))</f>
        <v>Piping</v>
      </c>
      <c r="D296" s="21" t="str">
        <f>IF($N$1="Piping", IF(ISBLANK(Piping!D296), "", Piping!D296), IF($N$1="Vessels", IF(ISBLANK(Vessels!D296), "", Vessels!D296), ""))</f>
        <v/>
      </c>
      <c r="E296" s="21" t="str">
        <f>IF($N$1="Piping", IF(ISBLANK(Piping!E296), "", Piping!E296), IF($N$1="Vessels", IF(ISBLANK(Vessels!E296), "", Vessels!E296), ""))</f>
        <v/>
      </c>
      <c r="F296" s="21" t="str">
        <f>IF($N$1="Piping", IF(ISBLANK(Piping!F296), "", Piping!F296), IF($N$1="Vessels", IF(ISBLANK(Vessels!F296), "", Vessels!F296), ""))</f>
        <v/>
      </c>
      <c r="G296" s="21">
        <f>IF($N$1="Piping", IF(ISBLANK(Piping!G296), "", Piping!G296), IF($N$1="Vessels", IF(ISBLANK(Vessels!G296), "", Vessels!G296), ""))</f>
        <v>0</v>
      </c>
      <c r="H296" s="21" t="str">
        <f>IF($N$1="Piping", IF(ISBLANK(Piping!H296), "", Piping!H296), IF($N$1="Vessels", IF(ISBLANK(Vessels!H296), "", Vessels!H296), ""))</f>
        <v/>
      </c>
      <c r="I296" s="21" t="str">
        <f>IF($N$1="Piping", IF(ISBLANK(Piping!I296), "", Piping!I296), IF($N$1="Vessels", IF(ISBLANK(Vessels!I296), "", Vessels!I296), ""))</f>
        <v/>
      </c>
      <c r="J296" s="21" t="str">
        <f>IF($N$1="Piping", IF(ISBLANK(Piping!J296), "", Piping!J296), IF($N$1="Vessels", IF(ISBLANK(Vessels!J296), "", Vessels!J296), ""))</f>
        <v/>
      </c>
      <c r="K296" s="21" t="str">
        <f>IF($N$1="Piping", IF(ISBLANK(Piping!K296), "", Piping!K296), IF($N$1="Vessels", IF(ISBLANK(Vessels!K296), "", Vessels!K296), ""))</f>
        <v/>
      </c>
      <c r="L296" s="21" t="str">
        <f>IF($N$1="Piping", IF(ISBLANK(Piping!L296), "", Piping!L296), IF($N$1="Vessels", IF(ISBLANK(Vessels!L296), "", Vessels!L296), ""))</f>
        <v/>
      </c>
      <c r="M296" s="21"/>
      <c r="N296" s="21"/>
      <c r="O296" s="21"/>
      <c r="P296" s="21"/>
      <c r="Q296" s="21" t="str">
        <f>IF($N$1="Piping", IF(ISBLANK(Piping!T296), "", Piping!T296), IF($N$1="Vessels", IF(ISBLANK(Vessels!T296), "", Vessels!T296), ""))</f>
        <v/>
      </c>
      <c r="R296" s="51" t="str">
        <f>IF($N$1="Piping", IF(ISBLANK(Piping!U296), "", Piping!U296), IF($N$1="Vessels", IF(ISBLANK(Vessels!U296), "", Vessels!U296), ""))</f>
        <v/>
      </c>
      <c r="S296" s="118" t="str">
        <f>IF(B296&lt;&gt;"",IF($N$1="Piping", IF(ISBLANK(Piping!$J$3), "", Piping!$J$3), IF($N$1="Vessels", IF(ISBLANK(Vessels!$J$3), "", Vessels!$J$3), "")),"")</f>
        <v/>
      </c>
      <c r="T296" s="37"/>
      <c r="U296" s="37"/>
      <c r="V296" s="37"/>
      <c r="W296" s="37"/>
      <c r="X296" s="37"/>
      <c r="Y296" s="37"/>
      <c r="Z296" s="37"/>
    </row>
    <row r="297" spans="1:26" ht="15.75" customHeight="1" x14ac:dyDescent="0.3">
      <c r="A297" s="22">
        <f>IF($N$1="Piping", IF(ISBLANK(Piping!A297), "", Piping!A297), IF($N$1="Vessels", IF(ISBLANK(Vessels!A297), "", Vessels!A297), ""))</f>
        <v>73.400000000000006</v>
      </c>
      <c r="B297" s="21" t="str">
        <f>IF($N$1="Piping", IF(ISBLANK(Piping!B297), "", Piping!B297), IF($N$1="Vessels", IF(ISBLANK(Vessels!B297), "", Vessels!B297), ""))</f>
        <v/>
      </c>
      <c r="C297" s="21" t="str">
        <f>IF($N$1="Piping", IF(ISBLANK(Piping!C297), "", Piping!C297), IF($N$1="Vessels", IF(ISBLANK(Vessels!C297), "", Vessels!C297), ""))</f>
        <v>Piping</v>
      </c>
      <c r="D297" s="21" t="str">
        <f>IF($N$1="Piping", IF(ISBLANK(Piping!D297), "", Piping!D297), IF($N$1="Vessels", IF(ISBLANK(Vessels!D297), "", Vessels!D297), ""))</f>
        <v/>
      </c>
      <c r="E297" s="21" t="str">
        <f>IF($N$1="Piping", IF(ISBLANK(Piping!E297), "", Piping!E297), IF($N$1="Vessels", IF(ISBLANK(Vessels!E297), "", Vessels!E297), ""))</f>
        <v/>
      </c>
      <c r="F297" s="21" t="str">
        <f>IF($N$1="Piping", IF(ISBLANK(Piping!F297), "", Piping!F297), IF($N$1="Vessels", IF(ISBLANK(Vessels!F297), "", Vessels!F297), ""))</f>
        <v/>
      </c>
      <c r="G297" s="21">
        <f>IF($N$1="Piping", IF(ISBLANK(Piping!G297), "", Piping!G297), IF($N$1="Vessels", IF(ISBLANK(Vessels!G297), "", Vessels!G297), ""))</f>
        <v>0</v>
      </c>
      <c r="H297" s="21" t="str">
        <f>IF($N$1="Piping", IF(ISBLANK(Piping!H297), "", Piping!H297), IF($N$1="Vessels", IF(ISBLANK(Vessels!H297), "", Vessels!H297), ""))</f>
        <v/>
      </c>
      <c r="I297" s="21" t="str">
        <f>IF($N$1="Piping", IF(ISBLANK(Piping!I297), "", Piping!I297), IF($N$1="Vessels", IF(ISBLANK(Vessels!I297), "", Vessels!I297), ""))</f>
        <v/>
      </c>
      <c r="J297" s="21" t="str">
        <f>IF($N$1="Piping", IF(ISBLANK(Piping!J297), "", Piping!J297), IF($N$1="Vessels", IF(ISBLANK(Vessels!J297), "", Vessels!J297), ""))</f>
        <v/>
      </c>
      <c r="K297" s="21" t="str">
        <f>IF($N$1="Piping", IF(ISBLANK(Piping!K297), "", Piping!K297), IF($N$1="Vessels", IF(ISBLANK(Vessels!K297), "", Vessels!K297), ""))</f>
        <v/>
      </c>
      <c r="L297" s="21" t="str">
        <f>IF($N$1="Piping", IF(ISBLANK(Piping!L297), "", Piping!L297), IF($N$1="Vessels", IF(ISBLANK(Vessels!L297), "", Vessels!L297), ""))</f>
        <v/>
      </c>
      <c r="M297" s="21"/>
      <c r="N297" s="21"/>
      <c r="O297" s="21"/>
      <c r="P297" s="21"/>
      <c r="Q297" s="21" t="str">
        <f>IF($N$1="Piping", IF(ISBLANK(Piping!T297), "", Piping!T297), IF($N$1="Vessels", IF(ISBLANK(Vessels!T297), "", Vessels!T297), ""))</f>
        <v/>
      </c>
      <c r="R297" s="51" t="str">
        <f>IF($N$1="Piping", IF(ISBLANK(Piping!U297), "", Piping!U297), IF($N$1="Vessels", IF(ISBLANK(Vessels!U297), "", Vessels!U297), ""))</f>
        <v/>
      </c>
      <c r="S297" s="118" t="str">
        <f>IF(B297&lt;&gt;"",IF($N$1="Piping", IF(ISBLANK(Piping!$J$3), "", Piping!$J$3), IF($N$1="Vessels", IF(ISBLANK(Vessels!$J$3), "", Vessels!$J$3), "")),"")</f>
        <v/>
      </c>
      <c r="T297" s="37"/>
      <c r="U297" s="37"/>
      <c r="V297" s="37"/>
      <c r="W297" s="37"/>
      <c r="X297" s="37"/>
      <c r="Y297" s="37"/>
      <c r="Z297" s="37"/>
    </row>
    <row r="298" spans="1:26" ht="15.75" customHeight="1" x14ac:dyDescent="0.3">
      <c r="A298" s="22">
        <f>IF($N$1="Piping", IF(ISBLANK(Piping!A298), "", Piping!A298), IF($N$1="Vessels", IF(ISBLANK(Vessels!A298), "", Vessels!A298), ""))</f>
        <v>74.099999999999994</v>
      </c>
      <c r="B298" s="21" t="str">
        <f>IF($N$1="Piping", IF(ISBLANK(Piping!B298), "", Piping!B298), IF($N$1="Vessels", IF(ISBLANK(Vessels!B298), "", Vessels!B298), ""))</f>
        <v/>
      </c>
      <c r="C298" s="21" t="str">
        <f>IF($N$1="Piping", IF(ISBLANK(Piping!C298), "", Piping!C298), IF($N$1="Vessels", IF(ISBLANK(Vessels!C298), "", Vessels!C298), ""))</f>
        <v>Piping</v>
      </c>
      <c r="D298" s="21" t="str">
        <f>IF($N$1="Piping", IF(ISBLANK(Piping!D298), "", Piping!D298), IF($N$1="Vessels", IF(ISBLANK(Vessels!D298), "", Vessels!D298), ""))</f>
        <v/>
      </c>
      <c r="E298" s="21" t="str">
        <f>IF($N$1="Piping", IF(ISBLANK(Piping!E298), "", Piping!E298), IF($N$1="Vessels", IF(ISBLANK(Vessels!E298), "", Vessels!E298), ""))</f>
        <v/>
      </c>
      <c r="F298" s="21" t="str">
        <f>IF($N$1="Piping", IF(ISBLANK(Piping!F298), "", Piping!F298), IF($N$1="Vessels", IF(ISBLANK(Vessels!F298), "", Vessels!F298), ""))</f>
        <v/>
      </c>
      <c r="G298" s="21">
        <f>IF($N$1="Piping", IF(ISBLANK(Piping!G298), "", Piping!G298), IF($N$1="Vessels", IF(ISBLANK(Vessels!G298), "", Vessels!G298), ""))</f>
        <v>0</v>
      </c>
      <c r="H298" s="21" t="str">
        <f>IF($N$1="Piping", IF(ISBLANK(Piping!H298), "", Piping!H298), IF($N$1="Vessels", IF(ISBLANK(Vessels!H298), "", Vessels!H298), ""))</f>
        <v/>
      </c>
      <c r="I298" s="21" t="str">
        <f>IF($N$1="Piping", IF(ISBLANK(Piping!I298), "", Piping!I298), IF($N$1="Vessels", IF(ISBLANK(Vessels!I298), "", Vessels!I298), ""))</f>
        <v/>
      </c>
      <c r="J298" s="21" t="str">
        <f>IF($N$1="Piping", IF(ISBLANK(Piping!J298), "", Piping!J298), IF($N$1="Vessels", IF(ISBLANK(Vessels!J298), "", Vessels!J298), ""))</f>
        <v/>
      </c>
      <c r="K298" s="21" t="str">
        <f>IF($N$1="Piping", IF(ISBLANK(Piping!K298), "", Piping!K298), IF($N$1="Vessels", IF(ISBLANK(Vessels!K298), "", Vessels!K298), ""))</f>
        <v/>
      </c>
      <c r="L298" s="21" t="str">
        <f>IF($N$1="Piping", IF(ISBLANK(Piping!L298), "", Piping!L298), IF($N$1="Vessels", IF(ISBLANK(Vessels!L298), "", Vessels!L298), ""))</f>
        <v/>
      </c>
      <c r="M298" s="21"/>
      <c r="N298" s="21"/>
      <c r="O298" s="21"/>
      <c r="P298" s="21"/>
      <c r="Q298" s="21" t="str">
        <f>IF($N$1="Piping", IF(ISBLANK(Piping!T298), "", Piping!T298), IF($N$1="Vessels", IF(ISBLANK(Vessels!T298), "", Vessels!T298), ""))</f>
        <v/>
      </c>
      <c r="R298" s="51" t="str">
        <f>IF($N$1="Piping", IF(ISBLANK(Piping!U298), "", Piping!U298), IF($N$1="Vessels", IF(ISBLANK(Vessels!U298), "", Vessels!U298), ""))</f>
        <v/>
      </c>
      <c r="S298" s="118" t="str">
        <f>IF(B298&lt;&gt;"",IF($N$1="Piping", IF(ISBLANK(Piping!$J$3), "", Piping!$J$3), IF($N$1="Vessels", IF(ISBLANK(Vessels!$J$3), "", Vessels!$J$3), "")),"")</f>
        <v/>
      </c>
      <c r="T298" s="37"/>
      <c r="U298" s="37"/>
      <c r="V298" s="37"/>
      <c r="W298" s="37"/>
      <c r="X298" s="37"/>
      <c r="Y298" s="37"/>
      <c r="Z298" s="37"/>
    </row>
    <row r="299" spans="1:26" ht="15.75" customHeight="1" x14ac:dyDescent="0.3">
      <c r="A299" s="22">
        <f>IF($N$1="Piping", IF(ISBLANK(Piping!A299), "", Piping!A299), IF($N$1="Vessels", IF(ISBLANK(Vessels!A299), "", Vessels!A299), ""))</f>
        <v>74.2</v>
      </c>
      <c r="B299" s="21" t="str">
        <f>IF($N$1="Piping", IF(ISBLANK(Piping!B299), "", Piping!B299), IF($N$1="Vessels", IF(ISBLANK(Vessels!B299), "", Vessels!B299), ""))</f>
        <v/>
      </c>
      <c r="C299" s="21" t="str">
        <f>IF($N$1="Piping", IF(ISBLANK(Piping!C299), "", Piping!C299), IF($N$1="Vessels", IF(ISBLANK(Vessels!C299), "", Vessels!C299), ""))</f>
        <v>Piping</v>
      </c>
      <c r="D299" s="21" t="str">
        <f>IF($N$1="Piping", IF(ISBLANK(Piping!D299), "", Piping!D299), IF($N$1="Vessels", IF(ISBLANK(Vessels!D299), "", Vessels!D299), ""))</f>
        <v/>
      </c>
      <c r="E299" s="21" t="str">
        <f>IF($N$1="Piping", IF(ISBLANK(Piping!E299), "", Piping!E299), IF($N$1="Vessels", IF(ISBLANK(Vessels!E299), "", Vessels!E299), ""))</f>
        <v/>
      </c>
      <c r="F299" s="21" t="str">
        <f>IF($N$1="Piping", IF(ISBLANK(Piping!F299), "", Piping!F299), IF($N$1="Vessels", IF(ISBLANK(Vessels!F299), "", Vessels!F299), ""))</f>
        <v/>
      </c>
      <c r="G299" s="21">
        <f>IF($N$1="Piping", IF(ISBLANK(Piping!G299), "", Piping!G299), IF($N$1="Vessels", IF(ISBLANK(Vessels!G299), "", Vessels!G299), ""))</f>
        <v>0</v>
      </c>
      <c r="H299" s="21" t="str">
        <f>IF($N$1="Piping", IF(ISBLANK(Piping!H299), "", Piping!H299), IF($N$1="Vessels", IF(ISBLANK(Vessels!H299), "", Vessels!H299), ""))</f>
        <v/>
      </c>
      <c r="I299" s="21" t="str">
        <f>IF($N$1="Piping", IF(ISBLANK(Piping!I299), "", Piping!I299), IF($N$1="Vessels", IF(ISBLANK(Vessels!I299), "", Vessels!I299), ""))</f>
        <v/>
      </c>
      <c r="J299" s="21" t="str">
        <f>IF($N$1="Piping", IF(ISBLANK(Piping!J299), "", Piping!J299), IF($N$1="Vessels", IF(ISBLANK(Vessels!J299), "", Vessels!J299), ""))</f>
        <v/>
      </c>
      <c r="K299" s="21" t="str">
        <f>IF($N$1="Piping", IF(ISBLANK(Piping!K299), "", Piping!K299), IF($N$1="Vessels", IF(ISBLANK(Vessels!K299), "", Vessels!K299), ""))</f>
        <v/>
      </c>
      <c r="L299" s="21" t="str">
        <f>IF($N$1="Piping", IF(ISBLANK(Piping!L299), "", Piping!L299), IF($N$1="Vessels", IF(ISBLANK(Vessels!L299), "", Vessels!L299), ""))</f>
        <v/>
      </c>
      <c r="M299" s="21"/>
      <c r="N299" s="21"/>
      <c r="O299" s="21"/>
      <c r="P299" s="21"/>
      <c r="Q299" s="21" t="str">
        <f>IF($N$1="Piping", IF(ISBLANK(Piping!T299), "", Piping!T299), IF($N$1="Vessels", IF(ISBLANK(Vessels!T299), "", Vessels!T299), ""))</f>
        <v/>
      </c>
      <c r="R299" s="51" t="str">
        <f>IF($N$1="Piping", IF(ISBLANK(Piping!U299), "", Piping!U299), IF($N$1="Vessels", IF(ISBLANK(Vessels!U299), "", Vessels!U299), ""))</f>
        <v/>
      </c>
      <c r="S299" s="118" t="str">
        <f>IF(B299&lt;&gt;"",IF($N$1="Piping", IF(ISBLANK(Piping!$J$3), "", Piping!$J$3), IF($N$1="Vessels", IF(ISBLANK(Vessels!$J$3), "", Vessels!$J$3), "")),"")</f>
        <v/>
      </c>
      <c r="T299" s="37"/>
      <c r="U299" s="37"/>
      <c r="V299" s="37"/>
      <c r="W299" s="37"/>
      <c r="X299" s="37"/>
      <c r="Y299" s="37"/>
      <c r="Z299" s="37"/>
    </row>
    <row r="300" spans="1:26" ht="15.75" customHeight="1" x14ac:dyDescent="0.3">
      <c r="A300" s="22">
        <f>IF($N$1="Piping", IF(ISBLANK(Piping!A300), "", Piping!A300), IF($N$1="Vessels", IF(ISBLANK(Vessels!A300), "", Vessels!A300), ""))</f>
        <v>74.3</v>
      </c>
      <c r="B300" s="21" t="str">
        <f>IF($N$1="Piping", IF(ISBLANK(Piping!B300), "", Piping!B300), IF($N$1="Vessels", IF(ISBLANK(Vessels!B300), "", Vessels!B300), ""))</f>
        <v/>
      </c>
      <c r="C300" s="21" t="str">
        <f>IF($N$1="Piping", IF(ISBLANK(Piping!C300), "", Piping!C300), IF($N$1="Vessels", IF(ISBLANK(Vessels!C300), "", Vessels!C300), ""))</f>
        <v>Piping</v>
      </c>
      <c r="D300" s="21" t="str">
        <f>IF($N$1="Piping", IF(ISBLANK(Piping!D300), "", Piping!D300), IF($N$1="Vessels", IF(ISBLANK(Vessels!D300), "", Vessels!D300), ""))</f>
        <v/>
      </c>
      <c r="E300" s="21" t="str">
        <f>IF($N$1="Piping", IF(ISBLANK(Piping!E300), "", Piping!E300), IF($N$1="Vessels", IF(ISBLANK(Vessels!E300), "", Vessels!E300), ""))</f>
        <v/>
      </c>
      <c r="F300" s="21" t="str">
        <f>IF($N$1="Piping", IF(ISBLANK(Piping!F300), "", Piping!F300), IF($N$1="Vessels", IF(ISBLANK(Vessels!F300), "", Vessels!F300), ""))</f>
        <v/>
      </c>
      <c r="G300" s="21">
        <f>IF($N$1="Piping", IF(ISBLANK(Piping!G300), "", Piping!G300), IF($N$1="Vessels", IF(ISBLANK(Vessels!G300), "", Vessels!G300), ""))</f>
        <v>0</v>
      </c>
      <c r="H300" s="21" t="str">
        <f>IF($N$1="Piping", IF(ISBLANK(Piping!H300), "", Piping!H300), IF($N$1="Vessels", IF(ISBLANK(Vessels!H300), "", Vessels!H300), ""))</f>
        <v/>
      </c>
      <c r="I300" s="21" t="str">
        <f>IF($N$1="Piping", IF(ISBLANK(Piping!I300), "", Piping!I300), IF($N$1="Vessels", IF(ISBLANK(Vessels!I300), "", Vessels!I300), ""))</f>
        <v/>
      </c>
      <c r="J300" s="21" t="str">
        <f>IF($N$1="Piping", IF(ISBLANK(Piping!J300), "", Piping!J300), IF($N$1="Vessels", IF(ISBLANK(Vessels!J300), "", Vessels!J300), ""))</f>
        <v/>
      </c>
      <c r="K300" s="21" t="str">
        <f>IF($N$1="Piping", IF(ISBLANK(Piping!K300), "", Piping!K300), IF($N$1="Vessels", IF(ISBLANK(Vessels!K300), "", Vessels!K300), ""))</f>
        <v/>
      </c>
      <c r="L300" s="21" t="str">
        <f>IF($N$1="Piping", IF(ISBLANK(Piping!L300), "", Piping!L300), IF($N$1="Vessels", IF(ISBLANK(Vessels!L300), "", Vessels!L300), ""))</f>
        <v/>
      </c>
      <c r="M300" s="21"/>
      <c r="N300" s="21"/>
      <c r="O300" s="21"/>
      <c r="P300" s="21"/>
      <c r="Q300" s="21" t="str">
        <f>IF($N$1="Piping", IF(ISBLANK(Piping!T300), "", Piping!T300), IF($N$1="Vessels", IF(ISBLANK(Vessels!T300), "", Vessels!T300), ""))</f>
        <v/>
      </c>
      <c r="R300" s="51" t="str">
        <f>IF($N$1="Piping", IF(ISBLANK(Piping!U300), "", Piping!U300), IF($N$1="Vessels", IF(ISBLANK(Vessels!U300), "", Vessels!U300), ""))</f>
        <v/>
      </c>
      <c r="S300" s="118" t="str">
        <f>IF(B300&lt;&gt;"",IF($N$1="Piping", IF(ISBLANK(Piping!$J$3), "", Piping!$J$3), IF($N$1="Vessels", IF(ISBLANK(Vessels!$J$3), "", Vessels!$J$3), "")),"")</f>
        <v/>
      </c>
      <c r="T300" s="37"/>
      <c r="U300" s="37"/>
      <c r="V300" s="37"/>
      <c r="W300" s="37"/>
      <c r="X300" s="37"/>
      <c r="Y300" s="37"/>
      <c r="Z300" s="37"/>
    </row>
    <row r="301" spans="1:26" ht="15.75" customHeight="1" x14ac:dyDescent="0.3">
      <c r="A301" s="22">
        <f>IF($N$1="Piping", IF(ISBLANK(Piping!A301), "", Piping!A301), IF($N$1="Vessels", IF(ISBLANK(Vessels!A301), "", Vessels!A301), ""))</f>
        <v>74.400000000000006</v>
      </c>
      <c r="B301" s="21" t="str">
        <f>IF($N$1="Piping", IF(ISBLANK(Piping!B301), "", Piping!B301), IF($N$1="Vessels", IF(ISBLANK(Vessels!B301), "", Vessels!B301), ""))</f>
        <v/>
      </c>
      <c r="C301" s="21" t="str">
        <f>IF($N$1="Piping", IF(ISBLANK(Piping!C301), "", Piping!C301), IF($N$1="Vessels", IF(ISBLANK(Vessels!C301), "", Vessels!C301), ""))</f>
        <v>Piping</v>
      </c>
      <c r="D301" s="21" t="str">
        <f>IF($N$1="Piping", IF(ISBLANK(Piping!D301), "", Piping!D301), IF($N$1="Vessels", IF(ISBLANK(Vessels!D301), "", Vessels!D301), ""))</f>
        <v/>
      </c>
      <c r="E301" s="21" t="str">
        <f>IF($N$1="Piping", IF(ISBLANK(Piping!E301), "", Piping!E301), IF($N$1="Vessels", IF(ISBLANK(Vessels!E301), "", Vessels!E301), ""))</f>
        <v/>
      </c>
      <c r="F301" s="21" t="str">
        <f>IF($N$1="Piping", IF(ISBLANK(Piping!F301), "", Piping!F301), IF($N$1="Vessels", IF(ISBLANK(Vessels!F301), "", Vessels!F301), ""))</f>
        <v/>
      </c>
      <c r="G301" s="21">
        <f>IF($N$1="Piping", IF(ISBLANK(Piping!G301), "", Piping!G301), IF($N$1="Vessels", IF(ISBLANK(Vessels!G301), "", Vessels!G301), ""))</f>
        <v>0</v>
      </c>
      <c r="H301" s="21" t="str">
        <f>IF($N$1="Piping", IF(ISBLANK(Piping!H301), "", Piping!H301), IF($N$1="Vessels", IF(ISBLANK(Vessels!H301), "", Vessels!H301), ""))</f>
        <v/>
      </c>
      <c r="I301" s="21" t="str">
        <f>IF($N$1="Piping", IF(ISBLANK(Piping!I301), "", Piping!I301), IF($N$1="Vessels", IF(ISBLANK(Vessels!I301), "", Vessels!I301), ""))</f>
        <v/>
      </c>
      <c r="J301" s="21" t="str">
        <f>IF($N$1="Piping", IF(ISBLANK(Piping!J301), "", Piping!J301), IF($N$1="Vessels", IF(ISBLANK(Vessels!J301), "", Vessels!J301), ""))</f>
        <v/>
      </c>
      <c r="K301" s="21" t="str">
        <f>IF($N$1="Piping", IF(ISBLANK(Piping!K301), "", Piping!K301), IF($N$1="Vessels", IF(ISBLANK(Vessels!K301), "", Vessels!K301), ""))</f>
        <v/>
      </c>
      <c r="L301" s="21" t="str">
        <f>IF($N$1="Piping", IF(ISBLANK(Piping!L301), "", Piping!L301), IF($N$1="Vessels", IF(ISBLANK(Vessels!L301), "", Vessels!L301), ""))</f>
        <v/>
      </c>
      <c r="M301" s="21"/>
      <c r="N301" s="21"/>
      <c r="O301" s="21"/>
      <c r="P301" s="21"/>
      <c r="Q301" s="21" t="str">
        <f>IF($N$1="Piping", IF(ISBLANK(Piping!T301), "", Piping!T301), IF($N$1="Vessels", IF(ISBLANK(Vessels!T301), "", Vessels!T301), ""))</f>
        <v/>
      </c>
      <c r="R301" s="51" t="str">
        <f>IF($N$1="Piping", IF(ISBLANK(Piping!U301), "", Piping!U301), IF($N$1="Vessels", IF(ISBLANK(Vessels!U301), "", Vessels!U301), ""))</f>
        <v/>
      </c>
      <c r="S301" s="118" t="str">
        <f>IF(B301&lt;&gt;"",IF($N$1="Piping", IF(ISBLANK(Piping!$J$3), "", Piping!$J$3), IF($N$1="Vessels", IF(ISBLANK(Vessels!$J$3), "", Vessels!$J$3), "")),"")</f>
        <v/>
      </c>
      <c r="T301" s="37"/>
      <c r="U301" s="37"/>
      <c r="V301" s="37"/>
      <c r="W301" s="37"/>
      <c r="X301" s="37"/>
      <c r="Y301" s="37"/>
      <c r="Z301" s="37"/>
    </row>
    <row r="302" spans="1:26" ht="15.75" customHeight="1" x14ac:dyDescent="0.3">
      <c r="A302" s="22">
        <f>IF($N$1="Piping", IF(ISBLANK(Piping!A302), "", Piping!A302), IF($N$1="Vessels", IF(ISBLANK(Vessels!A302), "", Vessels!A302), ""))</f>
        <v>75.099999999999994</v>
      </c>
      <c r="B302" s="21" t="str">
        <f>IF($N$1="Piping", IF(ISBLANK(Piping!B302), "", Piping!B302), IF($N$1="Vessels", IF(ISBLANK(Vessels!B302), "", Vessels!B302), ""))</f>
        <v/>
      </c>
      <c r="C302" s="21" t="str">
        <f>IF($N$1="Piping", IF(ISBLANK(Piping!C302), "", Piping!C302), IF($N$1="Vessels", IF(ISBLANK(Vessels!C302), "", Vessels!C302), ""))</f>
        <v>Piping</v>
      </c>
      <c r="D302" s="21" t="str">
        <f>IF($N$1="Piping", IF(ISBLANK(Piping!D302), "", Piping!D302), IF($N$1="Vessels", IF(ISBLANK(Vessels!D302), "", Vessels!D302), ""))</f>
        <v/>
      </c>
      <c r="E302" s="21" t="str">
        <f>IF($N$1="Piping", IF(ISBLANK(Piping!E302), "", Piping!E302), IF($N$1="Vessels", IF(ISBLANK(Vessels!E302), "", Vessels!E302), ""))</f>
        <v/>
      </c>
      <c r="F302" s="21" t="str">
        <f>IF($N$1="Piping", IF(ISBLANK(Piping!F302), "", Piping!F302), IF($N$1="Vessels", IF(ISBLANK(Vessels!F302), "", Vessels!F302), ""))</f>
        <v/>
      </c>
      <c r="G302" s="21">
        <f>IF($N$1="Piping", IF(ISBLANK(Piping!G302), "", Piping!G302), IF($N$1="Vessels", IF(ISBLANK(Vessels!G302), "", Vessels!G302), ""))</f>
        <v>0</v>
      </c>
      <c r="H302" s="21" t="str">
        <f>IF($N$1="Piping", IF(ISBLANK(Piping!H302), "", Piping!H302), IF($N$1="Vessels", IF(ISBLANK(Vessels!H302), "", Vessels!H302), ""))</f>
        <v/>
      </c>
      <c r="I302" s="21" t="str">
        <f>IF($N$1="Piping", IF(ISBLANK(Piping!I302), "", Piping!I302), IF($N$1="Vessels", IF(ISBLANK(Vessels!I302), "", Vessels!I302), ""))</f>
        <v/>
      </c>
      <c r="J302" s="21" t="str">
        <f>IF($N$1="Piping", IF(ISBLANK(Piping!J302), "", Piping!J302), IF($N$1="Vessels", IF(ISBLANK(Vessels!J302), "", Vessels!J302), ""))</f>
        <v/>
      </c>
      <c r="K302" s="21" t="str">
        <f>IF($N$1="Piping", IF(ISBLANK(Piping!K302), "", Piping!K302), IF($N$1="Vessels", IF(ISBLANK(Vessels!K302), "", Vessels!K302), ""))</f>
        <v/>
      </c>
      <c r="L302" s="21" t="str">
        <f>IF($N$1="Piping", IF(ISBLANK(Piping!L302), "", Piping!L302), IF($N$1="Vessels", IF(ISBLANK(Vessels!L302), "", Vessels!L302), ""))</f>
        <v/>
      </c>
      <c r="M302" s="21"/>
      <c r="N302" s="21"/>
      <c r="O302" s="21"/>
      <c r="P302" s="21"/>
      <c r="Q302" s="21" t="str">
        <f>IF($N$1="Piping", IF(ISBLANK(Piping!T302), "", Piping!T302), IF($N$1="Vessels", IF(ISBLANK(Vessels!T302), "", Vessels!T302), ""))</f>
        <v/>
      </c>
      <c r="R302" s="51" t="str">
        <f>IF($N$1="Piping", IF(ISBLANK(Piping!U302), "", Piping!U302), IF($N$1="Vessels", IF(ISBLANK(Vessels!U302), "", Vessels!U302), ""))</f>
        <v/>
      </c>
      <c r="S302" s="118" t="str">
        <f>IF(B302&lt;&gt;"",IF($N$1="Piping", IF(ISBLANK(Piping!$J$3), "", Piping!$J$3), IF($N$1="Vessels", IF(ISBLANK(Vessels!$J$3), "", Vessels!$J$3), "")),"")</f>
        <v/>
      </c>
      <c r="T302" s="37"/>
      <c r="U302" s="37"/>
      <c r="V302" s="37"/>
      <c r="W302" s="37"/>
      <c r="X302" s="37"/>
      <c r="Y302" s="37"/>
      <c r="Z302" s="37"/>
    </row>
    <row r="303" spans="1:26" ht="15.75" customHeight="1" x14ac:dyDescent="0.3">
      <c r="A303" s="22">
        <f>IF($N$1="Piping", IF(ISBLANK(Piping!A303), "", Piping!A303), IF($N$1="Vessels", IF(ISBLANK(Vessels!A303), "", Vessels!A303), ""))</f>
        <v>75.2</v>
      </c>
      <c r="B303" s="21" t="str">
        <f>IF($N$1="Piping", IF(ISBLANK(Piping!B303), "", Piping!B303), IF($N$1="Vessels", IF(ISBLANK(Vessels!B303), "", Vessels!B303), ""))</f>
        <v/>
      </c>
      <c r="C303" s="21" t="str">
        <f>IF($N$1="Piping", IF(ISBLANK(Piping!C303), "", Piping!C303), IF($N$1="Vessels", IF(ISBLANK(Vessels!C303), "", Vessels!C303), ""))</f>
        <v>Piping</v>
      </c>
      <c r="D303" s="21" t="str">
        <f>IF($N$1="Piping", IF(ISBLANK(Piping!D303), "", Piping!D303), IF($N$1="Vessels", IF(ISBLANK(Vessels!D303), "", Vessels!D303), ""))</f>
        <v/>
      </c>
      <c r="E303" s="21" t="str">
        <f>IF($N$1="Piping", IF(ISBLANK(Piping!E303), "", Piping!E303), IF($N$1="Vessels", IF(ISBLANK(Vessels!E303), "", Vessels!E303), ""))</f>
        <v/>
      </c>
      <c r="F303" s="21" t="str">
        <f>IF($N$1="Piping", IF(ISBLANK(Piping!F303), "", Piping!F303), IF($N$1="Vessels", IF(ISBLANK(Vessels!F303), "", Vessels!F303), ""))</f>
        <v/>
      </c>
      <c r="G303" s="21">
        <f>IF($N$1="Piping", IF(ISBLANK(Piping!G303), "", Piping!G303), IF($N$1="Vessels", IF(ISBLANK(Vessels!G303), "", Vessels!G303), ""))</f>
        <v>0</v>
      </c>
      <c r="H303" s="21" t="str">
        <f>IF($N$1="Piping", IF(ISBLANK(Piping!H303), "", Piping!H303), IF($N$1="Vessels", IF(ISBLANK(Vessels!H303), "", Vessels!H303), ""))</f>
        <v/>
      </c>
      <c r="I303" s="21" t="str">
        <f>IF($N$1="Piping", IF(ISBLANK(Piping!I303), "", Piping!I303), IF($N$1="Vessels", IF(ISBLANK(Vessels!I303), "", Vessels!I303), ""))</f>
        <v/>
      </c>
      <c r="J303" s="21" t="str">
        <f>IF($N$1="Piping", IF(ISBLANK(Piping!J303), "", Piping!J303), IF($N$1="Vessels", IF(ISBLANK(Vessels!J303), "", Vessels!J303), ""))</f>
        <v/>
      </c>
      <c r="K303" s="21" t="str">
        <f>IF($N$1="Piping", IF(ISBLANK(Piping!K303), "", Piping!K303), IF($N$1="Vessels", IF(ISBLANK(Vessels!K303), "", Vessels!K303), ""))</f>
        <v/>
      </c>
      <c r="L303" s="21" t="str">
        <f>IF($N$1="Piping", IF(ISBLANK(Piping!L303), "", Piping!L303), IF($N$1="Vessels", IF(ISBLANK(Vessels!L303), "", Vessels!L303), ""))</f>
        <v/>
      </c>
      <c r="M303" s="21"/>
      <c r="N303" s="21"/>
      <c r="O303" s="21"/>
      <c r="P303" s="21"/>
      <c r="Q303" s="21" t="str">
        <f>IF($N$1="Piping", IF(ISBLANK(Piping!T303), "", Piping!T303), IF($N$1="Vessels", IF(ISBLANK(Vessels!T303), "", Vessels!T303), ""))</f>
        <v/>
      </c>
      <c r="R303" s="51" t="str">
        <f>IF($N$1="Piping", IF(ISBLANK(Piping!U303), "", Piping!U303), IF($N$1="Vessels", IF(ISBLANK(Vessels!U303), "", Vessels!U303), ""))</f>
        <v/>
      </c>
      <c r="S303" s="118" t="str">
        <f>IF(B303&lt;&gt;"",IF($N$1="Piping", IF(ISBLANK(Piping!$J$3), "", Piping!$J$3), IF($N$1="Vessels", IF(ISBLANK(Vessels!$J$3), "", Vessels!$J$3), "")),"")</f>
        <v/>
      </c>
      <c r="T303" s="37"/>
      <c r="U303" s="37"/>
      <c r="V303" s="37"/>
      <c r="W303" s="37"/>
      <c r="X303" s="37"/>
      <c r="Y303" s="37"/>
      <c r="Z303" s="37"/>
    </row>
    <row r="304" spans="1:26" ht="15.75" customHeight="1" x14ac:dyDescent="0.3">
      <c r="A304" s="22">
        <f>IF($N$1="Piping", IF(ISBLANK(Piping!A304), "", Piping!A304), IF($N$1="Vessels", IF(ISBLANK(Vessels!A304), "", Vessels!A304), ""))</f>
        <v>75.3</v>
      </c>
      <c r="B304" s="21" t="str">
        <f>IF($N$1="Piping", IF(ISBLANK(Piping!B304), "", Piping!B304), IF($N$1="Vessels", IF(ISBLANK(Vessels!B304), "", Vessels!B304), ""))</f>
        <v/>
      </c>
      <c r="C304" s="21" t="str">
        <f>IF($N$1="Piping", IF(ISBLANK(Piping!C304), "", Piping!C304), IF($N$1="Vessels", IF(ISBLANK(Vessels!C304), "", Vessels!C304), ""))</f>
        <v>Piping</v>
      </c>
      <c r="D304" s="21" t="str">
        <f>IF($N$1="Piping", IF(ISBLANK(Piping!D304), "", Piping!D304), IF($N$1="Vessels", IF(ISBLANK(Vessels!D304), "", Vessels!D304), ""))</f>
        <v/>
      </c>
      <c r="E304" s="21" t="str">
        <f>IF($N$1="Piping", IF(ISBLANK(Piping!E304), "", Piping!E304), IF($N$1="Vessels", IF(ISBLANK(Vessels!E304), "", Vessels!E304), ""))</f>
        <v/>
      </c>
      <c r="F304" s="21" t="str">
        <f>IF($N$1="Piping", IF(ISBLANK(Piping!F304), "", Piping!F304), IF($N$1="Vessels", IF(ISBLANK(Vessels!F304), "", Vessels!F304), ""))</f>
        <v/>
      </c>
      <c r="G304" s="21">
        <f>IF($N$1="Piping", IF(ISBLANK(Piping!G304), "", Piping!G304), IF($N$1="Vessels", IF(ISBLANK(Vessels!G304), "", Vessels!G304), ""))</f>
        <v>0</v>
      </c>
      <c r="H304" s="21" t="str">
        <f>IF($N$1="Piping", IF(ISBLANK(Piping!H304), "", Piping!H304), IF($N$1="Vessels", IF(ISBLANK(Vessels!H304), "", Vessels!H304), ""))</f>
        <v/>
      </c>
      <c r="I304" s="21" t="str">
        <f>IF($N$1="Piping", IF(ISBLANK(Piping!I304), "", Piping!I304), IF($N$1="Vessels", IF(ISBLANK(Vessels!I304), "", Vessels!I304), ""))</f>
        <v/>
      </c>
      <c r="J304" s="21" t="str">
        <f>IF($N$1="Piping", IF(ISBLANK(Piping!J304), "", Piping!J304), IF($N$1="Vessels", IF(ISBLANK(Vessels!J304), "", Vessels!J304), ""))</f>
        <v/>
      </c>
      <c r="K304" s="21" t="str">
        <f>IF($N$1="Piping", IF(ISBLANK(Piping!K304), "", Piping!K304), IF($N$1="Vessels", IF(ISBLANK(Vessels!K304), "", Vessels!K304), ""))</f>
        <v/>
      </c>
      <c r="L304" s="21" t="str">
        <f>IF($N$1="Piping", IF(ISBLANK(Piping!L304), "", Piping!L304), IF($N$1="Vessels", IF(ISBLANK(Vessels!L304), "", Vessels!L304), ""))</f>
        <v/>
      </c>
      <c r="M304" s="21"/>
      <c r="N304" s="21"/>
      <c r="O304" s="21"/>
      <c r="P304" s="21"/>
      <c r="Q304" s="21" t="str">
        <f>IF($N$1="Piping", IF(ISBLANK(Piping!T304), "", Piping!T304), IF($N$1="Vessels", IF(ISBLANK(Vessels!T304), "", Vessels!T304), ""))</f>
        <v/>
      </c>
      <c r="R304" s="51" t="str">
        <f>IF($N$1="Piping", IF(ISBLANK(Piping!U304), "", Piping!U304), IF($N$1="Vessels", IF(ISBLANK(Vessels!U304), "", Vessels!U304), ""))</f>
        <v/>
      </c>
      <c r="S304" s="118" t="str">
        <f>IF(B304&lt;&gt;"",IF($N$1="Piping", IF(ISBLANK(Piping!$J$3), "", Piping!$J$3), IF($N$1="Vessels", IF(ISBLANK(Vessels!$J$3), "", Vessels!$J$3), "")),"")</f>
        <v/>
      </c>
      <c r="T304" s="37"/>
      <c r="U304" s="37"/>
      <c r="V304" s="37"/>
      <c r="W304" s="37"/>
      <c r="X304" s="37"/>
      <c r="Y304" s="37"/>
      <c r="Z304" s="37"/>
    </row>
    <row r="305" spans="1:26" ht="15.75" customHeight="1" x14ac:dyDescent="0.3">
      <c r="A305" s="22">
        <f>IF($N$1="Piping", IF(ISBLANK(Piping!A305), "", Piping!A305), IF($N$1="Vessels", IF(ISBLANK(Vessels!A305), "", Vessels!A305), ""))</f>
        <v>75.400000000000006</v>
      </c>
      <c r="B305" s="21" t="str">
        <f>IF($N$1="Piping", IF(ISBLANK(Piping!B305), "", Piping!B305), IF($N$1="Vessels", IF(ISBLANK(Vessels!B305), "", Vessels!B305), ""))</f>
        <v/>
      </c>
      <c r="C305" s="21" t="str">
        <f>IF($N$1="Piping", IF(ISBLANK(Piping!C305), "", Piping!C305), IF($N$1="Vessels", IF(ISBLANK(Vessels!C305), "", Vessels!C305), ""))</f>
        <v>Piping</v>
      </c>
      <c r="D305" s="21" t="str">
        <f>IF($N$1="Piping", IF(ISBLANK(Piping!D305), "", Piping!D305), IF($N$1="Vessels", IF(ISBLANK(Vessels!D305), "", Vessels!D305), ""))</f>
        <v/>
      </c>
      <c r="E305" s="21" t="str">
        <f>IF($N$1="Piping", IF(ISBLANK(Piping!E305), "", Piping!E305), IF($N$1="Vessels", IF(ISBLANK(Vessels!E305), "", Vessels!E305), ""))</f>
        <v/>
      </c>
      <c r="F305" s="21" t="str">
        <f>IF($N$1="Piping", IF(ISBLANK(Piping!F305), "", Piping!F305), IF($N$1="Vessels", IF(ISBLANK(Vessels!F305), "", Vessels!F305), ""))</f>
        <v/>
      </c>
      <c r="G305" s="21">
        <f>IF($N$1="Piping", IF(ISBLANK(Piping!G305), "", Piping!G305), IF($N$1="Vessels", IF(ISBLANK(Vessels!G305), "", Vessels!G305), ""))</f>
        <v>0</v>
      </c>
      <c r="H305" s="21" t="str">
        <f>IF($N$1="Piping", IF(ISBLANK(Piping!H305), "", Piping!H305), IF($N$1="Vessels", IF(ISBLANK(Vessels!H305), "", Vessels!H305), ""))</f>
        <v/>
      </c>
      <c r="I305" s="21" t="str">
        <f>IF($N$1="Piping", IF(ISBLANK(Piping!I305), "", Piping!I305), IF($N$1="Vessels", IF(ISBLANK(Vessels!I305), "", Vessels!I305), ""))</f>
        <v/>
      </c>
      <c r="J305" s="21" t="str">
        <f>IF($N$1="Piping", IF(ISBLANK(Piping!J305), "", Piping!J305), IF($N$1="Vessels", IF(ISBLANK(Vessels!J305), "", Vessels!J305), ""))</f>
        <v/>
      </c>
      <c r="K305" s="21" t="str">
        <f>IF($N$1="Piping", IF(ISBLANK(Piping!K305), "", Piping!K305), IF($N$1="Vessels", IF(ISBLANK(Vessels!K305), "", Vessels!K305), ""))</f>
        <v/>
      </c>
      <c r="L305" s="21" t="str">
        <f>IF($N$1="Piping", IF(ISBLANK(Piping!L305), "", Piping!L305), IF($N$1="Vessels", IF(ISBLANK(Vessels!L305), "", Vessels!L305), ""))</f>
        <v/>
      </c>
      <c r="M305" s="21"/>
      <c r="N305" s="21"/>
      <c r="O305" s="21"/>
      <c r="P305" s="21"/>
      <c r="Q305" s="21" t="str">
        <f>IF($N$1="Piping", IF(ISBLANK(Piping!T305), "", Piping!T305), IF($N$1="Vessels", IF(ISBLANK(Vessels!T305), "", Vessels!T305), ""))</f>
        <v/>
      </c>
      <c r="R305" s="51" t="str">
        <f>IF($N$1="Piping", IF(ISBLANK(Piping!U305), "", Piping!U305), IF($N$1="Vessels", IF(ISBLANK(Vessels!U305), "", Vessels!U305), ""))</f>
        <v/>
      </c>
      <c r="S305" s="118" t="str">
        <f>IF(B305&lt;&gt;"",IF($N$1="Piping", IF(ISBLANK(Piping!$J$3), "", Piping!$J$3), IF($N$1="Vessels", IF(ISBLANK(Vessels!$J$3), "", Vessels!$J$3), "")),"")</f>
        <v/>
      </c>
      <c r="T305" s="37"/>
      <c r="U305" s="37"/>
      <c r="V305" s="37"/>
      <c r="W305" s="37"/>
      <c r="X305" s="37"/>
      <c r="Y305" s="37"/>
      <c r="Z305" s="37"/>
    </row>
    <row r="306" spans="1:26" ht="15.75" customHeight="1" x14ac:dyDescent="0.3">
      <c r="A306" s="22">
        <f>IF($N$1="Piping", IF(ISBLANK(Piping!A306), "", Piping!A306), IF($N$1="Vessels", IF(ISBLANK(Vessels!A306), "", Vessels!A306), ""))</f>
        <v>76.099999999999994</v>
      </c>
      <c r="B306" s="21" t="str">
        <f>IF($N$1="Piping", IF(ISBLANK(Piping!B306), "", Piping!B306), IF($N$1="Vessels", IF(ISBLANK(Vessels!B306), "", Vessels!B306), ""))</f>
        <v/>
      </c>
      <c r="C306" s="21" t="str">
        <f>IF($N$1="Piping", IF(ISBLANK(Piping!C306), "", Piping!C306), IF($N$1="Vessels", IF(ISBLANK(Vessels!C306), "", Vessels!C306), ""))</f>
        <v>Piping</v>
      </c>
      <c r="D306" s="21" t="str">
        <f>IF($N$1="Piping", IF(ISBLANK(Piping!D306), "", Piping!D306), IF($N$1="Vessels", IF(ISBLANK(Vessels!D306), "", Vessels!D306), ""))</f>
        <v/>
      </c>
      <c r="E306" s="21" t="str">
        <f>IF($N$1="Piping", IF(ISBLANK(Piping!E306), "", Piping!E306), IF($N$1="Vessels", IF(ISBLANK(Vessels!E306), "", Vessels!E306), ""))</f>
        <v/>
      </c>
      <c r="F306" s="21" t="str">
        <f>IF($N$1="Piping", IF(ISBLANK(Piping!F306), "", Piping!F306), IF($N$1="Vessels", IF(ISBLANK(Vessels!F306), "", Vessels!F306), ""))</f>
        <v/>
      </c>
      <c r="G306" s="21">
        <f>IF($N$1="Piping", IF(ISBLANK(Piping!G306), "", Piping!G306), IF($N$1="Vessels", IF(ISBLANK(Vessels!G306), "", Vessels!G306), ""))</f>
        <v>0</v>
      </c>
      <c r="H306" s="21" t="str">
        <f>IF($N$1="Piping", IF(ISBLANK(Piping!H306), "", Piping!H306), IF($N$1="Vessels", IF(ISBLANK(Vessels!H306), "", Vessels!H306), ""))</f>
        <v/>
      </c>
      <c r="I306" s="21" t="str">
        <f>IF($N$1="Piping", IF(ISBLANK(Piping!I306), "", Piping!I306), IF($N$1="Vessels", IF(ISBLANK(Vessels!I306), "", Vessels!I306), ""))</f>
        <v/>
      </c>
      <c r="J306" s="21" t="str">
        <f>IF($N$1="Piping", IF(ISBLANK(Piping!J306), "", Piping!J306), IF($N$1="Vessels", IF(ISBLANK(Vessels!J306), "", Vessels!J306), ""))</f>
        <v/>
      </c>
      <c r="K306" s="21" t="str">
        <f>IF($N$1="Piping", IF(ISBLANK(Piping!K306), "", Piping!K306), IF($N$1="Vessels", IF(ISBLANK(Vessels!K306), "", Vessels!K306), ""))</f>
        <v/>
      </c>
      <c r="L306" s="21" t="str">
        <f>IF($N$1="Piping", IF(ISBLANK(Piping!L306), "", Piping!L306), IF($N$1="Vessels", IF(ISBLANK(Vessels!L306), "", Vessels!L306), ""))</f>
        <v/>
      </c>
      <c r="M306" s="21"/>
      <c r="N306" s="21"/>
      <c r="O306" s="21"/>
      <c r="P306" s="21"/>
      <c r="Q306" s="21" t="str">
        <f>IF($N$1="Piping", IF(ISBLANK(Piping!T306), "", Piping!T306), IF($N$1="Vessels", IF(ISBLANK(Vessels!T306), "", Vessels!T306), ""))</f>
        <v/>
      </c>
      <c r="R306" s="51" t="str">
        <f>IF($N$1="Piping", IF(ISBLANK(Piping!U306), "", Piping!U306), IF($N$1="Vessels", IF(ISBLANK(Vessels!U306), "", Vessels!U306), ""))</f>
        <v/>
      </c>
      <c r="S306" s="118" t="str">
        <f>IF(B306&lt;&gt;"",IF($N$1="Piping", IF(ISBLANK(Piping!$J$3), "", Piping!$J$3), IF($N$1="Vessels", IF(ISBLANK(Vessels!$J$3), "", Vessels!$J$3), "")),"")</f>
        <v/>
      </c>
      <c r="T306" s="37"/>
      <c r="U306" s="37"/>
      <c r="V306" s="37"/>
      <c r="W306" s="37"/>
      <c r="X306" s="37"/>
      <c r="Y306" s="37"/>
      <c r="Z306" s="37"/>
    </row>
    <row r="307" spans="1:26" ht="15.75" customHeight="1" x14ac:dyDescent="0.3">
      <c r="A307" s="22">
        <f>IF($N$1="Piping", IF(ISBLANK(Piping!A307), "", Piping!A307), IF($N$1="Vessels", IF(ISBLANK(Vessels!A307), "", Vessels!A307), ""))</f>
        <v>76.2</v>
      </c>
      <c r="B307" s="21" t="str">
        <f>IF($N$1="Piping", IF(ISBLANK(Piping!B307), "", Piping!B307), IF($N$1="Vessels", IF(ISBLANK(Vessels!B307), "", Vessels!B307), ""))</f>
        <v/>
      </c>
      <c r="C307" s="21" t="str">
        <f>IF($N$1="Piping", IF(ISBLANK(Piping!C307), "", Piping!C307), IF($N$1="Vessels", IF(ISBLANK(Vessels!C307), "", Vessels!C307), ""))</f>
        <v>Piping</v>
      </c>
      <c r="D307" s="21" t="str">
        <f>IF($N$1="Piping", IF(ISBLANK(Piping!D307), "", Piping!D307), IF($N$1="Vessels", IF(ISBLANK(Vessels!D307), "", Vessels!D307), ""))</f>
        <v/>
      </c>
      <c r="E307" s="21" t="str">
        <f>IF($N$1="Piping", IF(ISBLANK(Piping!E307), "", Piping!E307), IF($N$1="Vessels", IF(ISBLANK(Vessels!E307), "", Vessels!E307), ""))</f>
        <v/>
      </c>
      <c r="F307" s="21" t="str">
        <f>IF($N$1="Piping", IF(ISBLANK(Piping!F307), "", Piping!F307), IF($N$1="Vessels", IF(ISBLANK(Vessels!F307), "", Vessels!F307), ""))</f>
        <v/>
      </c>
      <c r="G307" s="21">
        <f>IF($N$1="Piping", IF(ISBLANK(Piping!G307), "", Piping!G307), IF($N$1="Vessels", IF(ISBLANK(Vessels!G307), "", Vessels!G307), ""))</f>
        <v>0</v>
      </c>
      <c r="H307" s="21" t="str">
        <f>IF($N$1="Piping", IF(ISBLANK(Piping!H307), "", Piping!H307), IF($N$1="Vessels", IF(ISBLANK(Vessels!H307), "", Vessels!H307), ""))</f>
        <v/>
      </c>
      <c r="I307" s="21" t="str">
        <f>IF($N$1="Piping", IF(ISBLANK(Piping!I307), "", Piping!I307), IF($N$1="Vessels", IF(ISBLANK(Vessels!I307), "", Vessels!I307), ""))</f>
        <v/>
      </c>
      <c r="J307" s="21" t="str">
        <f>IF($N$1="Piping", IF(ISBLANK(Piping!J307), "", Piping!J307), IF($N$1="Vessels", IF(ISBLANK(Vessels!J307), "", Vessels!J307), ""))</f>
        <v/>
      </c>
      <c r="K307" s="21" t="str">
        <f>IF($N$1="Piping", IF(ISBLANK(Piping!K307), "", Piping!K307), IF($N$1="Vessels", IF(ISBLANK(Vessels!K307), "", Vessels!K307), ""))</f>
        <v/>
      </c>
      <c r="L307" s="21" t="str">
        <f>IF($N$1="Piping", IF(ISBLANK(Piping!L307), "", Piping!L307), IF($N$1="Vessels", IF(ISBLANK(Vessels!L307), "", Vessels!L307), ""))</f>
        <v/>
      </c>
      <c r="M307" s="21"/>
      <c r="N307" s="21"/>
      <c r="O307" s="21"/>
      <c r="P307" s="21"/>
      <c r="Q307" s="21" t="str">
        <f>IF($N$1="Piping", IF(ISBLANK(Piping!T307), "", Piping!T307), IF($N$1="Vessels", IF(ISBLANK(Vessels!T307), "", Vessels!T307), ""))</f>
        <v/>
      </c>
      <c r="R307" s="51" t="str">
        <f>IF($N$1="Piping", IF(ISBLANK(Piping!U307), "", Piping!U307), IF($N$1="Vessels", IF(ISBLANK(Vessels!U307), "", Vessels!U307), ""))</f>
        <v/>
      </c>
      <c r="S307" s="118" t="str">
        <f>IF(B307&lt;&gt;"",IF($N$1="Piping", IF(ISBLANK(Piping!$J$3), "", Piping!$J$3), IF($N$1="Vessels", IF(ISBLANK(Vessels!$J$3), "", Vessels!$J$3), "")),"")</f>
        <v/>
      </c>
      <c r="T307" s="37"/>
      <c r="U307" s="37"/>
      <c r="V307" s="37"/>
      <c r="W307" s="37"/>
      <c r="X307" s="37"/>
      <c r="Y307" s="37"/>
      <c r="Z307" s="37"/>
    </row>
    <row r="308" spans="1:26" ht="15.75" customHeight="1" x14ac:dyDescent="0.3">
      <c r="A308" s="22">
        <f>IF($N$1="Piping", IF(ISBLANK(Piping!A308), "", Piping!A308), IF($N$1="Vessels", IF(ISBLANK(Vessels!A308), "", Vessels!A308), ""))</f>
        <v>76.3</v>
      </c>
      <c r="B308" s="21" t="str">
        <f>IF($N$1="Piping", IF(ISBLANK(Piping!B308), "", Piping!B308), IF($N$1="Vessels", IF(ISBLANK(Vessels!B308), "", Vessels!B308), ""))</f>
        <v/>
      </c>
      <c r="C308" s="21" t="str">
        <f>IF($N$1="Piping", IF(ISBLANK(Piping!C308), "", Piping!C308), IF($N$1="Vessels", IF(ISBLANK(Vessels!C308), "", Vessels!C308), ""))</f>
        <v>Piping</v>
      </c>
      <c r="D308" s="21" t="str">
        <f>IF($N$1="Piping", IF(ISBLANK(Piping!D308), "", Piping!D308), IF($N$1="Vessels", IF(ISBLANK(Vessels!D308), "", Vessels!D308), ""))</f>
        <v/>
      </c>
      <c r="E308" s="21" t="str">
        <f>IF($N$1="Piping", IF(ISBLANK(Piping!E308), "", Piping!E308), IF($N$1="Vessels", IF(ISBLANK(Vessels!E308), "", Vessels!E308), ""))</f>
        <v/>
      </c>
      <c r="F308" s="21" t="str">
        <f>IF($N$1="Piping", IF(ISBLANK(Piping!F308), "", Piping!F308), IF($N$1="Vessels", IF(ISBLANK(Vessels!F308), "", Vessels!F308), ""))</f>
        <v/>
      </c>
      <c r="G308" s="21">
        <f>IF($N$1="Piping", IF(ISBLANK(Piping!G308), "", Piping!G308), IF($N$1="Vessels", IF(ISBLANK(Vessels!G308), "", Vessels!G308), ""))</f>
        <v>0</v>
      </c>
      <c r="H308" s="21" t="str">
        <f>IF($N$1="Piping", IF(ISBLANK(Piping!H308), "", Piping!H308), IF($N$1="Vessels", IF(ISBLANK(Vessels!H308), "", Vessels!H308), ""))</f>
        <v/>
      </c>
      <c r="I308" s="21" t="str">
        <f>IF($N$1="Piping", IF(ISBLANK(Piping!I308), "", Piping!I308), IF($N$1="Vessels", IF(ISBLANK(Vessels!I308), "", Vessels!I308), ""))</f>
        <v/>
      </c>
      <c r="J308" s="21" t="str">
        <f>IF($N$1="Piping", IF(ISBLANK(Piping!J308), "", Piping!J308), IF($N$1="Vessels", IF(ISBLANK(Vessels!J308), "", Vessels!J308), ""))</f>
        <v/>
      </c>
      <c r="K308" s="21" t="str">
        <f>IF($N$1="Piping", IF(ISBLANK(Piping!K308), "", Piping!K308), IF($N$1="Vessels", IF(ISBLANK(Vessels!K308), "", Vessels!K308), ""))</f>
        <v/>
      </c>
      <c r="L308" s="21" t="str">
        <f>IF($N$1="Piping", IF(ISBLANK(Piping!L308), "", Piping!L308), IF($N$1="Vessels", IF(ISBLANK(Vessels!L308), "", Vessels!L308), ""))</f>
        <v/>
      </c>
      <c r="M308" s="21"/>
      <c r="N308" s="21"/>
      <c r="O308" s="21"/>
      <c r="P308" s="21"/>
      <c r="Q308" s="21" t="str">
        <f>IF($N$1="Piping", IF(ISBLANK(Piping!T308), "", Piping!T308), IF($N$1="Vessels", IF(ISBLANK(Vessels!T308), "", Vessels!T308), ""))</f>
        <v/>
      </c>
      <c r="R308" s="51" t="str">
        <f>IF($N$1="Piping", IF(ISBLANK(Piping!U308), "", Piping!U308), IF($N$1="Vessels", IF(ISBLANK(Vessels!U308), "", Vessels!U308), ""))</f>
        <v/>
      </c>
      <c r="S308" s="118" t="str">
        <f>IF(B308&lt;&gt;"",IF($N$1="Piping", IF(ISBLANK(Piping!$J$3), "", Piping!$J$3), IF($N$1="Vessels", IF(ISBLANK(Vessels!$J$3), "", Vessels!$J$3), "")),"")</f>
        <v/>
      </c>
      <c r="T308" s="37"/>
      <c r="U308" s="37"/>
      <c r="V308" s="37"/>
      <c r="W308" s="37"/>
      <c r="X308" s="37"/>
      <c r="Y308" s="37"/>
      <c r="Z308" s="37"/>
    </row>
    <row r="309" spans="1:26" ht="15.75" customHeight="1" x14ac:dyDescent="0.3">
      <c r="A309" s="22">
        <f>IF($N$1="Piping", IF(ISBLANK(Piping!A309), "", Piping!A309), IF($N$1="Vessels", IF(ISBLANK(Vessels!A309), "", Vessels!A309), ""))</f>
        <v>76.400000000000006</v>
      </c>
      <c r="B309" s="21" t="str">
        <f>IF($N$1="Piping", IF(ISBLANK(Piping!B309), "", Piping!B309), IF($N$1="Vessels", IF(ISBLANK(Vessels!B309), "", Vessels!B309), ""))</f>
        <v/>
      </c>
      <c r="C309" s="21" t="str">
        <f>IF($N$1="Piping", IF(ISBLANK(Piping!C309), "", Piping!C309), IF($N$1="Vessels", IF(ISBLANK(Vessels!C309), "", Vessels!C309), ""))</f>
        <v>Piping</v>
      </c>
      <c r="D309" s="21" t="str">
        <f>IF($N$1="Piping", IF(ISBLANK(Piping!D309), "", Piping!D309), IF($N$1="Vessels", IF(ISBLANK(Vessels!D309), "", Vessels!D309), ""))</f>
        <v/>
      </c>
      <c r="E309" s="21" t="str">
        <f>IF($N$1="Piping", IF(ISBLANK(Piping!E309), "", Piping!E309), IF($N$1="Vessels", IF(ISBLANK(Vessels!E309), "", Vessels!E309), ""))</f>
        <v/>
      </c>
      <c r="F309" s="21" t="str">
        <f>IF($N$1="Piping", IF(ISBLANK(Piping!F309), "", Piping!F309), IF($N$1="Vessels", IF(ISBLANK(Vessels!F309), "", Vessels!F309), ""))</f>
        <v/>
      </c>
      <c r="G309" s="21">
        <f>IF($N$1="Piping", IF(ISBLANK(Piping!G309), "", Piping!G309), IF($N$1="Vessels", IF(ISBLANK(Vessels!G309), "", Vessels!G309), ""))</f>
        <v>0</v>
      </c>
      <c r="H309" s="21" t="str">
        <f>IF($N$1="Piping", IF(ISBLANK(Piping!H309), "", Piping!H309), IF($N$1="Vessels", IF(ISBLANK(Vessels!H309), "", Vessels!H309), ""))</f>
        <v/>
      </c>
      <c r="I309" s="21" t="str">
        <f>IF($N$1="Piping", IF(ISBLANK(Piping!I309), "", Piping!I309), IF($N$1="Vessels", IF(ISBLANK(Vessels!I309), "", Vessels!I309), ""))</f>
        <v/>
      </c>
      <c r="J309" s="21" t="str">
        <f>IF($N$1="Piping", IF(ISBLANK(Piping!J309), "", Piping!J309), IF($N$1="Vessels", IF(ISBLANK(Vessels!J309), "", Vessels!J309), ""))</f>
        <v/>
      </c>
      <c r="K309" s="21" t="str">
        <f>IF($N$1="Piping", IF(ISBLANK(Piping!K309), "", Piping!K309), IF($N$1="Vessels", IF(ISBLANK(Vessels!K309), "", Vessels!K309), ""))</f>
        <v/>
      </c>
      <c r="L309" s="21" t="str">
        <f>IF($N$1="Piping", IF(ISBLANK(Piping!L309), "", Piping!L309), IF($N$1="Vessels", IF(ISBLANK(Vessels!L309), "", Vessels!L309), ""))</f>
        <v/>
      </c>
      <c r="M309" s="21"/>
      <c r="N309" s="21"/>
      <c r="O309" s="21"/>
      <c r="P309" s="21"/>
      <c r="Q309" s="21" t="str">
        <f>IF($N$1="Piping", IF(ISBLANK(Piping!T309), "", Piping!T309), IF($N$1="Vessels", IF(ISBLANK(Vessels!T309), "", Vessels!T309), ""))</f>
        <v/>
      </c>
      <c r="R309" s="51" t="str">
        <f>IF($N$1="Piping", IF(ISBLANK(Piping!U309), "", Piping!U309), IF($N$1="Vessels", IF(ISBLANK(Vessels!U309), "", Vessels!U309), ""))</f>
        <v/>
      </c>
      <c r="S309" s="118" t="str">
        <f>IF(B309&lt;&gt;"",IF($N$1="Piping", IF(ISBLANK(Piping!$J$3), "", Piping!$J$3), IF($N$1="Vessels", IF(ISBLANK(Vessels!$J$3), "", Vessels!$J$3), "")),"")</f>
        <v/>
      </c>
      <c r="T309" s="37"/>
      <c r="U309" s="37"/>
      <c r="V309" s="37"/>
      <c r="W309" s="37"/>
      <c r="X309" s="37"/>
      <c r="Y309" s="37"/>
      <c r="Z309" s="37"/>
    </row>
    <row r="310" spans="1:26" ht="15.75" customHeight="1" x14ac:dyDescent="0.3">
      <c r="A310" s="22">
        <f>IF($N$1="Piping", IF(ISBLANK(Piping!A310), "", Piping!A310), IF($N$1="Vessels", IF(ISBLANK(Vessels!A310), "", Vessels!A310), ""))</f>
        <v>77.099999999999994</v>
      </c>
      <c r="B310" s="21" t="str">
        <f>IF($N$1="Piping", IF(ISBLANK(Piping!B310), "", Piping!B310), IF($N$1="Vessels", IF(ISBLANK(Vessels!B310), "", Vessels!B310), ""))</f>
        <v/>
      </c>
      <c r="C310" s="21" t="str">
        <f>IF($N$1="Piping", IF(ISBLANK(Piping!C310), "", Piping!C310), IF($N$1="Vessels", IF(ISBLANK(Vessels!C310), "", Vessels!C310), ""))</f>
        <v>Piping</v>
      </c>
      <c r="D310" s="21" t="str">
        <f>IF($N$1="Piping", IF(ISBLANK(Piping!D310), "", Piping!D310), IF($N$1="Vessels", IF(ISBLANK(Vessels!D310), "", Vessels!D310), ""))</f>
        <v/>
      </c>
      <c r="E310" s="21" t="str">
        <f>IF($N$1="Piping", IF(ISBLANK(Piping!E310), "", Piping!E310), IF($N$1="Vessels", IF(ISBLANK(Vessels!E310), "", Vessels!E310), ""))</f>
        <v/>
      </c>
      <c r="F310" s="21" t="str">
        <f>IF($N$1="Piping", IF(ISBLANK(Piping!F310), "", Piping!F310), IF($N$1="Vessels", IF(ISBLANK(Vessels!F310), "", Vessels!F310), ""))</f>
        <v/>
      </c>
      <c r="G310" s="21">
        <f>IF($N$1="Piping", IF(ISBLANK(Piping!G310), "", Piping!G310), IF($N$1="Vessels", IF(ISBLANK(Vessels!G310), "", Vessels!G310), ""))</f>
        <v>0</v>
      </c>
      <c r="H310" s="21" t="str">
        <f>IF($N$1="Piping", IF(ISBLANK(Piping!H310), "", Piping!H310), IF($N$1="Vessels", IF(ISBLANK(Vessels!H310), "", Vessels!H310), ""))</f>
        <v/>
      </c>
      <c r="I310" s="21" t="str">
        <f>IF($N$1="Piping", IF(ISBLANK(Piping!I310), "", Piping!I310), IF($N$1="Vessels", IF(ISBLANK(Vessels!I310), "", Vessels!I310), ""))</f>
        <v/>
      </c>
      <c r="J310" s="21" t="str">
        <f>IF($N$1="Piping", IF(ISBLANK(Piping!J310), "", Piping!J310), IF($N$1="Vessels", IF(ISBLANK(Vessels!J310), "", Vessels!J310), ""))</f>
        <v/>
      </c>
      <c r="K310" s="21" t="str">
        <f>IF($N$1="Piping", IF(ISBLANK(Piping!K310), "", Piping!K310), IF($N$1="Vessels", IF(ISBLANK(Vessels!K310), "", Vessels!K310), ""))</f>
        <v/>
      </c>
      <c r="L310" s="21" t="str">
        <f>IF($N$1="Piping", IF(ISBLANK(Piping!L310), "", Piping!L310), IF($N$1="Vessels", IF(ISBLANK(Vessels!L310), "", Vessels!L310), ""))</f>
        <v/>
      </c>
      <c r="M310" s="21"/>
      <c r="N310" s="21"/>
      <c r="O310" s="21"/>
      <c r="P310" s="21"/>
      <c r="Q310" s="21" t="str">
        <f>IF($N$1="Piping", IF(ISBLANK(Piping!T310), "", Piping!T310), IF($N$1="Vessels", IF(ISBLANK(Vessels!T310), "", Vessels!T310), ""))</f>
        <v/>
      </c>
      <c r="R310" s="51" t="str">
        <f>IF($N$1="Piping", IF(ISBLANK(Piping!U310), "", Piping!U310), IF($N$1="Vessels", IF(ISBLANK(Vessels!U310), "", Vessels!U310), ""))</f>
        <v/>
      </c>
      <c r="S310" s="118" t="str">
        <f>IF(B310&lt;&gt;"",IF($N$1="Piping", IF(ISBLANK(Piping!$J$3), "", Piping!$J$3), IF($N$1="Vessels", IF(ISBLANK(Vessels!$J$3), "", Vessels!$J$3), "")),"")</f>
        <v/>
      </c>
      <c r="T310" s="37"/>
      <c r="U310" s="37"/>
      <c r="V310" s="37"/>
      <c r="W310" s="37"/>
      <c r="X310" s="37"/>
      <c r="Y310" s="37"/>
      <c r="Z310" s="37"/>
    </row>
    <row r="311" spans="1:26" ht="15.75" customHeight="1" x14ac:dyDescent="0.3">
      <c r="A311" s="22">
        <f>IF($N$1="Piping", IF(ISBLANK(Piping!A311), "", Piping!A311), IF($N$1="Vessels", IF(ISBLANK(Vessels!A311), "", Vessels!A311), ""))</f>
        <v>77.2</v>
      </c>
      <c r="B311" s="21" t="str">
        <f>IF($N$1="Piping", IF(ISBLANK(Piping!B311), "", Piping!B311), IF($N$1="Vessels", IF(ISBLANK(Vessels!B311), "", Vessels!B311), ""))</f>
        <v/>
      </c>
      <c r="C311" s="21" t="str">
        <f>IF($N$1="Piping", IF(ISBLANK(Piping!C311), "", Piping!C311), IF($N$1="Vessels", IF(ISBLANK(Vessels!C311), "", Vessels!C311), ""))</f>
        <v>Piping</v>
      </c>
      <c r="D311" s="21" t="str">
        <f>IF($N$1="Piping", IF(ISBLANK(Piping!D311), "", Piping!D311), IF($N$1="Vessels", IF(ISBLANK(Vessels!D311), "", Vessels!D311), ""))</f>
        <v/>
      </c>
      <c r="E311" s="21" t="str">
        <f>IF($N$1="Piping", IF(ISBLANK(Piping!E311), "", Piping!E311), IF($N$1="Vessels", IF(ISBLANK(Vessels!E311), "", Vessels!E311), ""))</f>
        <v/>
      </c>
      <c r="F311" s="21" t="str">
        <f>IF($N$1="Piping", IF(ISBLANK(Piping!F311), "", Piping!F311), IF($N$1="Vessels", IF(ISBLANK(Vessels!F311), "", Vessels!F311), ""))</f>
        <v/>
      </c>
      <c r="G311" s="21">
        <f>IF($N$1="Piping", IF(ISBLANK(Piping!G311), "", Piping!G311), IF($N$1="Vessels", IF(ISBLANK(Vessels!G311), "", Vessels!G311), ""))</f>
        <v>0</v>
      </c>
      <c r="H311" s="21" t="str">
        <f>IF($N$1="Piping", IF(ISBLANK(Piping!H311), "", Piping!H311), IF($N$1="Vessels", IF(ISBLANK(Vessels!H311), "", Vessels!H311), ""))</f>
        <v/>
      </c>
      <c r="I311" s="21" t="str">
        <f>IF($N$1="Piping", IF(ISBLANK(Piping!I311), "", Piping!I311), IF($N$1="Vessels", IF(ISBLANK(Vessels!I311), "", Vessels!I311), ""))</f>
        <v/>
      </c>
      <c r="J311" s="21" t="str">
        <f>IF($N$1="Piping", IF(ISBLANK(Piping!J311), "", Piping!J311), IF($N$1="Vessels", IF(ISBLANK(Vessels!J311), "", Vessels!J311), ""))</f>
        <v/>
      </c>
      <c r="K311" s="21" t="str">
        <f>IF($N$1="Piping", IF(ISBLANK(Piping!K311), "", Piping!K311), IF($N$1="Vessels", IF(ISBLANK(Vessels!K311), "", Vessels!K311), ""))</f>
        <v/>
      </c>
      <c r="L311" s="21" t="str">
        <f>IF($N$1="Piping", IF(ISBLANK(Piping!L311), "", Piping!L311), IF($N$1="Vessels", IF(ISBLANK(Vessels!L311), "", Vessels!L311), ""))</f>
        <v/>
      </c>
      <c r="M311" s="21"/>
      <c r="N311" s="21"/>
      <c r="O311" s="21"/>
      <c r="P311" s="21"/>
      <c r="Q311" s="21" t="str">
        <f>IF($N$1="Piping", IF(ISBLANK(Piping!T311), "", Piping!T311), IF($N$1="Vessels", IF(ISBLANK(Vessels!T311), "", Vessels!T311), ""))</f>
        <v/>
      </c>
      <c r="R311" s="51" t="str">
        <f>IF($N$1="Piping", IF(ISBLANK(Piping!U311), "", Piping!U311), IF($N$1="Vessels", IF(ISBLANK(Vessels!U311), "", Vessels!U311), ""))</f>
        <v/>
      </c>
      <c r="S311" s="118" t="str">
        <f>IF(B311&lt;&gt;"",IF($N$1="Piping", IF(ISBLANK(Piping!$J$3), "", Piping!$J$3), IF($N$1="Vessels", IF(ISBLANK(Vessels!$J$3), "", Vessels!$J$3), "")),"")</f>
        <v/>
      </c>
      <c r="T311" s="37"/>
      <c r="U311" s="37"/>
      <c r="V311" s="37"/>
      <c r="W311" s="37"/>
      <c r="X311" s="37"/>
      <c r="Y311" s="37"/>
      <c r="Z311" s="37"/>
    </row>
    <row r="312" spans="1:26" ht="15.75" customHeight="1" x14ac:dyDescent="0.3">
      <c r="A312" s="22">
        <f>IF($N$1="Piping", IF(ISBLANK(Piping!A312), "", Piping!A312), IF($N$1="Vessels", IF(ISBLANK(Vessels!A312), "", Vessels!A312), ""))</f>
        <v>77.3</v>
      </c>
      <c r="B312" s="21" t="str">
        <f>IF($N$1="Piping", IF(ISBLANK(Piping!B312), "", Piping!B312), IF($N$1="Vessels", IF(ISBLANK(Vessels!B312), "", Vessels!B312), ""))</f>
        <v/>
      </c>
      <c r="C312" s="21" t="str">
        <f>IF($N$1="Piping", IF(ISBLANK(Piping!C312), "", Piping!C312), IF($N$1="Vessels", IF(ISBLANK(Vessels!C312), "", Vessels!C312), ""))</f>
        <v>Piping</v>
      </c>
      <c r="D312" s="21" t="str">
        <f>IF($N$1="Piping", IF(ISBLANK(Piping!D312), "", Piping!D312), IF($N$1="Vessels", IF(ISBLANK(Vessels!D312), "", Vessels!D312), ""))</f>
        <v/>
      </c>
      <c r="E312" s="21" t="str">
        <f>IF($N$1="Piping", IF(ISBLANK(Piping!E312), "", Piping!E312), IF($N$1="Vessels", IF(ISBLANK(Vessels!E312), "", Vessels!E312), ""))</f>
        <v/>
      </c>
      <c r="F312" s="21" t="str">
        <f>IF($N$1="Piping", IF(ISBLANK(Piping!F312), "", Piping!F312), IF($N$1="Vessels", IF(ISBLANK(Vessels!F312), "", Vessels!F312), ""))</f>
        <v/>
      </c>
      <c r="G312" s="21">
        <f>IF($N$1="Piping", IF(ISBLANK(Piping!G312), "", Piping!G312), IF($N$1="Vessels", IF(ISBLANK(Vessels!G312), "", Vessels!G312), ""))</f>
        <v>0</v>
      </c>
      <c r="H312" s="21" t="str">
        <f>IF($N$1="Piping", IF(ISBLANK(Piping!H312), "", Piping!H312), IF($N$1="Vessels", IF(ISBLANK(Vessels!H312), "", Vessels!H312), ""))</f>
        <v/>
      </c>
      <c r="I312" s="21" t="str">
        <f>IF($N$1="Piping", IF(ISBLANK(Piping!I312), "", Piping!I312), IF($N$1="Vessels", IF(ISBLANK(Vessels!I312), "", Vessels!I312), ""))</f>
        <v/>
      </c>
      <c r="J312" s="21" t="str">
        <f>IF($N$1="Piping", IF(ISBLANK(Piping!J312), "", Piping!J312), IF($N$1="Vessels", IF(ISBLANK(Vessels!J312), "", Vessels!J312), ""))</f>
        <v/>
      </c>
      <c r="K312" s="21" t="str">
        <f>IF($N$1="Piping", IF(ISBLANK(Piping!K312), "", Piping!K312), IF($N$1="Vessels", IF(ISBLANK(Vessels!K312), "", Vessels!K312), ""))</f>
        <v/>
      </c>
      <c r="L312" s="21" t="str">
        <f>IF($N$1="Piping", IF(ISBLANK(Piping!L312), "", Piping!L312), IF($N$1="Vessels", IF(ISBLANK(Vessels!L312), "", Vessels!L312), ""))</f>
        <v/>
      </c>
      <c r="M312" s="21"/>
      <c r="N312" s="21"/>
      <c r="O312" s="21"/>
      <c r="P312" s="21"/>
      <c r="Q312" s="21" t="str">
        <f>IF($N$1="Piping", IF(ISBLANK(Piping!T312), "", Piping!T312), IF($N$1="Vessels", IF(ISBLANK(Vessels!T312), "", Vessels!T312), ""))</f>
        <v/>
      </c>
      <c r="R312" s="51" t="str">
        <f>IF($N$1="Piping", IF(ISBLANK(Piping!U312), "", Piping!U312), IF($N$1="Vessels", IF(ISBLANK(Vessels!U312), "", Vessels!U312), ""))</f>
        <v/>
      </c>
      <c r="S312" s="118" t="str">
        <f>IF(B312&lt;&gt;"",IF($N$1="Piping", IF(ISBLANK(Piping!$J$3), "", Piping!$J$3), IF($N$1="Vessels", IF(ISBLANK(Vessels!$J$3), "", Vessels!$J$3), "")),"")</f>
        <v/>
      </c>
      <c r="T312" s="37"/>
      <c r="U312" s="37"/>
      <c r="V312" s="37"/>
      <c r="W312" s="37"/>
      <c r="X312" s="37"/>
      <c r="Y312" s="37"/>
      <c r="Z312" s="37"/>
    </row>
    <row r="313" spans="1:26" ht="15.75" customHeight="1" x14ac:dyDescent="0.3">
      <c r="A313" s="22">
        <f>IF($N$1="Piping", IF(ISBLANK(Piping!A313), "", Piping!A313), IF($N$1="Vessels", IF(ISBLANK(Vessels!A313), "", Vessels!A313), ""))</f>
        <v>77.400000000000006</v>
      </c>
      <c r="B313" s="21" t="str">
        <f>IF($N$1="Piping", IF(ISBLANK(Piping!B313), "", Piping!B313), IF($N$1="Vessels", IF(ISBLANK(Vessels!B313), "", Vessels!B313), ""))</f>
        <v/>
      </c>
      <c r="C313" s="21" t="str">
        <f>IF($N$1="Piping", IF(ISBLANK(Piping!C313), "", Piping!C313), IF($N$1="Vessels", IF(ISBLANK(Vessels!C313), "", Vessels!C313), ""))</f>
        <v>Piping</v>
      </c>
      <c r="D313" s="21" t="str">
        <f>IF($N$1="Piping", IF(ISBLANK(Piping!D313), "", Piping!D313), IF($N$1="Vessels", IF(ISBLANK(Vessels!D313), "", Vessels!D313), ""))</f>
        <v/>
      </c>
      <c r="E313" s="21" t="str">
        <f>IF($N$1="Piping", IF(ISBLANK(Piping!E313), "", Piping!E313), IF($N$1="Vessels", IF(ISBLANK(Vessels!E313), "", Vessels!E313), ""))</f>
        <v/>
      </c>
      <c r="F313" s="21" t="str">
        <f>IF($N$1="Piping", IF(ISBLANK(Piping!F313), "", Piping!F313), IF($N$1="Vessels", IF(ISBLANK(Vessels!F313), "", Vessels!F313), ""))</f>
        <v/>
      </c>
      <c r="G313" s="21">
        <f>IF($N$1="Piping", IF(ISBLANK(Piping!G313), "", Piping!G313), IF($N$1="Vessels", IF(ISBLANK(Vessels!G313), "", Vessels!G313), ""))</f>
        <v>0</v>
      </c>
      <c r="H313" s="21" t="str">
        <f>IF($N$1="Piping", IF(ISBLANK(Piping!H313), "", Piping!H313), IF($N$1="Vessels", IF(ISBLANK(Vessels!H313), "", Vessels!H313), ""))</f>
        <v/>
      </c>
      <c r="I313" s="21" t="str">
        <f>IF($N$1="Piping", IF(ISBLANK(Piping!I313), "", Piping!I313), IF($N$1="Vessels", IF(ISBLANK(Vessels!I313), "", Vessels!I313), ""))</f>
        <v/>
      </c>
      <c r="J313" s="21" t="str">
        <f>IF($N$1="Piping", IF(ISBLANK(Piping!J313), "", Piping!J313), IF($N$1="Vessels", IF(ISBLANK(Vessels!J313), "", Vessels!J313), ""))</f>
        <v/>
      </c>
      <c r="K313" s="21" t="str">
        <f>IF($N$1="Piping", IF(ISBLANK(Piping!K313), "", Piping!K313), IF($N$1="Vessels", IF(ISBLANK(Vessels!K313), "", Vessels!K313), ""))</f>
        <v/>
      </c>
      <c r="L313" s="21" t="str">
        <f>IF($N$1="Piping", IF(ISBLANK(Piping!L313), "", Piping!L313), IF($N$1="Vessels", IF(ISBLANK(Vessels!L313), "", Vessels!L313), ""))</f>
        <v/>
      </c>
      <c r="M313" s="21"/>
      <c r="N313" s="21"/>
      <c r="O313" s="21"/>
      <c r="P313" s="21"/>
      <c r="Q313" s="21" t="str">
        <f>IF($N$1="Piping", IF(ISBLANK(Piping!T313), "", Piping!T313), IF($N$1="Vessels", IF(ISBLANK(Vessels!T313), "", Vessels!T313), ""))</f>
        <v/>
      </c>
      <c r="R313" s="51" t="str">
        <f>IF($N$1="Piping", IF(ISBLANK(Piping!U313), "", Piping!U313), IF($N$1="Vessels", IF(ISBLANK(Vessels!U313), "", Vessels!U313), ""))</f>
        <v/>
      </c>
      <c r="S313" s="118" t="str">
        <f>IF(B313&lt;&gt;"",IF($N$1="Piping", IF(ISBLANK(Piping!$J$3), "", Piping!$J$3), IF($N$1="Vessels", IF(ISBLANK(Vessels!$J$3), "", Vessels!$J$3), "")),"")</f>
        <v/>
      </c>
      <c r="T313" s="37"/>
      <c r="U313" s="37"/>
      <c r="V313" s="37"/>
      <c r="W313" s="37"/>
      <c r="X313" s="37"/>
      <c r="Y313" s="37"/>
      <c r="Z313" s="37"/>
    </row>
    <row r="314" spans="1:26" ht="15.75" customHeight="1" x14ac:dyDescent="0.3">
      <c r="A314" s="22">
        <f>IF($N$1="Piping", IF(ISBLANK(Piping!A314), "", Piping!A314), IF($N$1="Vessels", IF(ISBLANK(Vessels!A314), "", Vessels!A314), ""))</f>
        <v>78.099999999999994</v>
      </c>
      <c r="B314" s="21" t="str">
        <f>IF($N$1="Piping", IF(ISBLANK(Piping!B314), "", Piping!B314), IF($N$1="Vessels", IF(ISBLANK(Vessels!B314), "", Vessels!B314), ""))</f>
        <v/>
      </c>
      <c r="C314" s="21" t="str">
        <f>IF($N$1="Piping", IF(ISBLANK(Piping!C314), "", Piping!C314), IF($N$1="Vessels", IF(ISBLANK(Vessels!C314), "", Vessels!C314), ""))</f>
        <v>Piping</v>
      </c>
      <c r="D314" s="21" t="str">
        <f>IF($N$1="Piping", IF(ISBLANK(Piping!D314), "", Piping!D314), IF($N$1="Vessels", IF(ISBLANK(Vessels!D314), "", Vessels!D314), ""))</f>
        <v/>
      </c>
      <c r="E314" s="21" t="str">
        <f>IF($N$1="Piping", IF(ISBLANK(Piping!E314), "", Piping!E314), IF($N$1="Vessels", IF(ISBLANK(Vessels!E314), "", Vessels!E314), ""))</f>
        <v/>
      </c>
      <c r="F314" s="21" t="str">
        <f>IF($N$1="Piping", IF(ISBLANK(Piping!F314), "", Piping!F314), IF($N$1="Vessels", IF(ISBLANK(Vessels!F314), "", Vessels!F314), ""))</f>
        <v/>
      </c>
      <c r="G314" s="21">
        <f>IF($N$1="Piping", IF(ISBLANK(Piping!G314), "", Piping!G314), IF($N$1="Vessels", IF(ISBLANK(Vessels!G314), "", Vessels!G314), ""))</f>
        <v>0</v>
      </c>
      <c r="H314" s="21" t="str">
        <f>IF($N$1="Piping", IF(ISBLANK(Piping!H314), "", Piping!H314), IF($N$1="Vessels", IF(ISBLANK(Vessels!H314), "", Vessels!H314), ""))</f>
        <v/>
      </c>
      <c r="I314" s="21" t="str">
        <f>IF($N$1="Piping", IF(ISBLANK(Piping!I314), "", Piping!I314), IF($N$1="Vessels", IF(ISBLANK(Vessels!I314), "", Vessels!I314), ""))</f>
        <v/>
      </c>
      <c r="J314" s="21" t="str">
        <f>IF($N$1="Piping", IF(ISBLANK(Piping!J314), "", Piping!J314), IF($N$1="Vessels", IF(ISBLANK(Vessels!J314), "", Vessels!J314), ""))</f>
        <v/>
      </c>
      <c r="K314" s="21" t="str">
        <f>IF($N$1="Piping", IF(ISBLANK(Piping!K314), "", Piping!K314), IF($N$1="Vessels", IF(ISBLANK(Vessels!K314), "", Vessels!K314), ""))</f>
        <v/>
      </c>
      <c r="L314" s="21" t="str">
        <f>IF($N$1="Piping", IF(ISBLANK(Piping!L314), "", Piping!L314), IF($N$1="Vessels", IF(ISBLANK(Vessels!L314), "", Vessels!L314), ""))</f>
        <v/>
      </c>
      <c r="M314" s="21"/>
      <c r="N314" s="21"/>
      <c r="O314" s="21"/>
      <c r="P314" s="21"/>
      <c r="Q314" s="21" t="str">
        <f>IF($N$1="Piping", IF(ISBLANK(Piping!T314), "", Piping!T314), IF($N$1="Vessels", IF(ISBLANK(Vessels!T314), "", Vessels!T314), ""))</f>
        <v/>
      </c>
      <c r="R314" s="51" t="str">
        <f>IF($N$1="Piping", IF(ISBLANK(Piping!U314), "", Piping!U314), IF($N$1="Vessels", IF(ISBLANK(Vessels!U314), "", Vessels!U314), ""))</f>
        <v/>
      </c>
      <c r="S314" s="118" t="str">
        <f>IF(B314&lt;&gt;"",IF($N$1="Piping", IF(ISBLANK(Piping!$J$3), "", Piping!$J$3), IF($N$1="Vessels", IF(ISBLANK(Vessels!$J$3), "", Vessels!$J$3), "")),"")</f>
        <v/>
      </c>
      <c r="T314" s="37"/>
      <c r="U314" s="37"/>
      <c r="V314" s="37"/>
      <c r="W314" s="37"/>
      <c r="X314" s="37"/>
      <c r="Y314" s="37"/>
      <c r="Z314" s="37"/>
    </row>
    <row r="315" spans="1:26" ht="15.75" customHeight="1" x14ac:dyDescent="0.3">
      <c r="A315" s="22">
        <f>IF($N$1="Piping", IF(ISBLANK(Piping!A315), "", Piping!A315), IF($N$1="Vessels", IF(ISBLANK(Vessels!A315), "", Vessels!A315), ""))</f>
        <v>78.2</v>
      </c>
      <c r="B315" s="21" t="str">
        <f>IF($N$1="Piping", IF(ISBLANK(Piping!B315), "", Piping!B315), IF($N$1="Vessels", IF(ISBLANK(Vessels!B315), "", Vessels!B315), ""))</f>
        <v/>
      </c>
      <c r="C315" s="21" t="str">
        <f>IF($N$1="Piping", IF(ISBLANK(Piping!C315), "", Piping!C315), IF($N$1="Vessels", IF(ISBLANK(Vessels!C315), "", Vessels!C315), ""))</f>
        <v>Piping</v>
      </c>
      <c r="D315" s="21" t="str">
        <f>IF($N$1="Piping", IF(ISBLANK(Piping!D315), "", Piping!D315), IF($N$1="Vessels", IF(ISBLANK(Vessels!D315), "", Vessels!D315), ""))</f>
        <v/>
      </c>
      <c r="E315" s="21" t="str">
        <f>IF($N$1="Piping", IF(ISBLANK(Piping!E315), "", Piping!E315), IF($N$1="Vessels", IF(ISBLANK(Vessels!E315), "", Vessels!E315), ""))</f>
        <v/>
      </c>
      <c r="F315" s="21" t="str">
        <f>IF($N$1="Piping", IF(ISBLANK(Piping!F315), "", Piping!F315), IF($N$1="Vessels", IF(ISBLANK(Vessels!F315), "", Vessels!F315), ""))</f>
        <v/>
      </c>
      <c r="G315" s="21">
        <f>IF($N$1="Piping", IF(ISBLANK(Piping!G315), "", Piping!G315), IF($N$1="Vessels", IF(ISBLANK(Vessels!G315), "", Vessels!G315), ""))</f>
        <v>0</v>
      </c>
      <c r="H315" s="21" t="str">
        <f>IF($N$1="Piping", IF(ISBLANK(Piping!H315), "", Piping!H315), IF($N$1="Vessels", IF(ISBLANK(Vessels!H315), "", Vessels!H315), ""))</f>
        <v/>
      </c>
      <c r="I315" s="21" t="str">
        <f>IF($N$1="Piping", IF(ISBLANK(Piping!I315), "", Piping!I315), IF($N$1="Vessels", IF(ISBLANK(Vessels!I315), "", Vessels!I315), ""))</f>
        <v/>
      </c>
      <c r="J315" s="21" t="str">
        <f>IF($N$1="Piping", IF(ISBLANK(Piping!J315), "", Piping!J315), IF($N$1="Vessels", IF(ISBLANK(Vessels!J315), "", Vessels!J315), ""))</f>
        <v/>
      </c>
      <c r="K315" s="21" t="str">
        <f>IF($N$1="Piping", IF(ISBLANK(Piping!K315), "", Piping!K315), IF($N$1="Vessels", IF(ISBLANK(Vessels!K315), "", Vessels!K315), ""))</f>
        <v/>
      </c>
      <c r="L315" s="21" t="str">
        <f>IF($N$1="Piping", IF(ISBLANK(Piping!L315), "", Piping!L315), IF($N$1="Vessels", IF(ISBLANK(Vessels!L315), "", Vessels!L315), ""))</f>
        <v/>
      </c>
      <c r="M315" s="21"/>
      <c r="N315" s="21"/>
      <c r="O315" s="21"/>
      <c r="P315" s="21"/>
      <c r="Q315" s="21" t="str">
        <f>IF($N$1="Piping", IF(ISBLANK(Piping!T315), "", Piping!T315), IF($N$1="Vessels", IF(ISBLANK(Vessels!T315), "", Vessels!T315), ""))</f>
        <v/>
      </c>
      <c r="R315" s="51" t="str">
        <f>IF($N$1="Piping", IF(ISBLANK(Piping!U315), "", Piping!U315), IF($N$1="Vessels", IF(ISBLANK(Vessels!U315), "", Vessels!U315), ""))</f>
        <v/>
      </c>
      <c r="S315" s="118" t="str">
        <f>IF(B315&lt;&gt;"",IF($N$1="Piping", IF(ISBLANK(Piping!$J$3), "", Piping!$J$3), IF($N$1="Vessels", IF(ISBLANK(Vessels!$J$3), "", Vessels!$J$3), "")),"")</f>
        <v/>
      </c>
      <c r="T315" s="37"/>
      <c r="U315" s="37"/>
      <c r="V315" s="37"/>
      <c r="W315" s="37"/>
      <c r="X315" s="37"/>
      <c r="Y315" s="37"/>
      <c r="Z315" s="37"/>
    </row>
    <row r="316" spans="1:26" ht="15.75" customHeight="1" x14ac:dyDescent="0.3">
      <c r="A316" s="22">
        <f>IF($N$1="Piping", IF(ISBLANK(Piping!A316), "", Piping!A316), IF($N$1="Vessels", IF(ISBLANK(Vessels!A316), "", Vessels!A316), ""))</f>
        <v>78.3</v>
      </c>
      <c r="B316" s="21" t="str">
        <f>IF($N$1="Piping", IF(ISBLANK(Piping!B316), "", Piping!B316), IF($N$1="Vessels", IF(ISBLANK(Vessels!B316), "", Vessels!B316), ""))</f>
        <v/>
      </c>
      <c r="C316" s="21" t="str">
        <f>IF($N$1="Piping", IF(ISBLANK(Piping!C316), "", Piping!C316), IF($N$1="Vessels", IF(ISBLANK(Vessels!C316), "", Vessels!C316), ""))</f>
        <v>Piping</v>
      </c>
      <c r="D316" s="21" t="str">
        <f>IF($N$1="Piping", IF(ISBLANK(Piping!D316), "", Piping!D316), IF($N$1="Vessels", IF(ISBLANK(Vessels!D316), "", Vessels!D316), ""))</f>
        <v/>
      </c>
      <c r="E316" s="21" t="str">
        <f>IF($N$1="Piping", IF(ISBLANK(Piping!E316), "", Piping!E316), IF($N$1="Vessels", IF(ISBLANK(Vessels!E316), "", Vessels!E316), ""))</f>
        <v/>
      </c>
      <c r="F316" s="21" t="str">
        <f>IF($N$1="Piping", IF(ISBLANK(Piping!F316), "", Piping!F316), IF($N$1="Vessels", IF(ISBLANK(Vessels!F316), "", Vessels!F316), ""))</f>
        <v/>
      </c>
      <c r="G316" s="21">
        <f>IF($N$1="Piping", IF(ISBLANK(Piping!G316), "", Piping!G316), IF($N$1="Vessels", IF(ISBLANK(Vessels!G316), "", Vessels!G316), ""))</f>
        <v>0</v>
      </c>
      <c r="H316" s="21" t="str">
        <f>IF($N$1="Piping", IF(ISBLANK(Piping!H316), "", Piping!H316), IF($N$1="Vessels", IF(ISBLANK(Vessels!H316), "", Vessels!H316), ""))</f>
        <v/>
      </c>
      <c r="I316" s="21" t="str">
        <f>IF($N$1="Piping", IF(ISBLANK(Piping!I316), "", Piping!I316), IF($N$1="Vessels", IF(ISBLANK(Vessels!I316), "", Vessels!I316), ""))</f>
        <v/>
      </c>
      <c r="J316" s="21" t="str">
        <f>IF($N$1="Piping", IF(ISBLANK(Piping!J316), "", Piping!J316), IF($N$1="Vessels", IF(ISBLANK(Vessels!J316), "", Vessels!J316), ""))</f>
        <v/>
      </c>
      <c r="K316" s="21" t="str">
        <f>IF($N$1="Piping", IF(ISBLANK(Piping!K316), "", Piping!K316), IF($N$1="Vessels", IF(ISBLANK(Vessels!K316), "", Vessels!K316), ""))</f>
        <v/>
      </c>
      <c r="L316" s="21" t="str">
        <f>IF($N$1="Piping", IF(ISBLANK(Piping!L316), "", Piping!L316), IF($N$1="Vessels", IF(ISBLANK(Vessels!L316), "", Vessels!L316), ""))</f>
        <v/>
      </c>
      <c r="M316" s="21"/>
      <c r="N316" s="21"/>
      <c r="O316" s="21"/>
      <c r="P316" s="21"/>
      <c r="Q316" s="21" t="str">
        <f>IF($N$1="Piping", IF(ISBLANK(Piping!T316), "", Piping!T316), IF($N$1="Vessels", IF(ISBLANK(Vessels!T316), "", Vessels!T316), ""))</f>
        <v/>
      </c>
      <c r="R316" s="51" t="str">
        <f>IF($N$1="Piping", IF(ISBLANK(Piping!U316), "", Piping!U316), IF($N$1="Vessels", IF(ISBLANK(Vessels!U316), "", Vessels!U316), ""))</f>
        <v/>
      </c>
      <c r="S316" s="118" t="str">
        <f>IF(B316&lt;&gt;"",IF($N$1="Piping", IF(ISBLANK(Piping!$J$3), "", Piping!$J$3), IF($N$1="Vessels", IF(ISBLANK(Vessels!$J$3), "", Vessels!$J$3), "")),"")</f>
        <v/>
      </c>
      <c r="T316" s="37"/>
      <c r="U316" s="37"/>
      <c r="V316" s="37"/>
      <c r="W316" s="37"/>
      <c r="X316" s="37"/>
      <c r="Y316" s="37"/>
      <c r="Z316" s="37"/>
    </row>
    <row r="317" spans="1:26" ht="15.75" customHeight="1" x14ac:dyDescent="0.3">
      <c r="A317" s="22">
        <f>IF($N$1="Piping", IF(ISBLANK(Piping!A317), "", Piping!A317), IF($N$1="Vessels", IF(ISBLANK(Vessels!A317), "", Vessels!A317), ""))</f>
        <v>78.400000000000006</v>
      </c>
      <c r="B317" s="21" t="str">
        <f>IF($N$1="Piping", IF(ISBLANK(Piping!B317), "", Piping!B317), IF($N$1="Vessels", IF(ISBLANK(Vessels!B317), "", Vessels!B317), ""))</f>
        <v/>
      </c>
      <c r="C317" s="21" t="str">
        <f>IF($N$1="Piping", IF(ISBLANK(Piping!C317), "", Piping!C317), IF($N$1="Vessels", IF(ISBLANK(Vessels!C317), "", Vessels!C317), ""))</f>
        <v>Piping</v>
      </c>
      <c r="D317" s="21" t="str">
        <f>IF($N$1="Piping", IF(ISBLANK(Piping!D317), "", Piping!D317), IF($N$1="Vessels", IF(ISBLANK(Vessels!D317), "", Vessels!D317), ""))</f>
        <v/>
      </c>
      <c r="E317" s="21" t="str">
        <f>IF($N$1="Piping", IF(ISBLANK(Piping!E317), "", Piping!E317), IF($N$1="Vessels", IF(ISBLANK(Vessels!E317), "", Vessels!E317), ""))</f>
        <v/>
      </c>
      <c r="F317" s="21" t="str">
        <f>IF($N$1="Piping", IF(ISBLANK(Piping!F317), "", Piping!F317), IF($N$1="Vessels", IF(ISBLANK(Vessels!F317), "", Vessels!F317), ""))</f>
        <v/>
      </c>
      <c r="G317" s="21">
        <f>IF($N$1="Piping", IF(ISBLANK(Piping!G317), "", Piping!G317), IF($N$1="Vessels", IF(ISBLANK(Vessels!G317), "", Vessels!G317), ""))</f>
        <v>0</v>
      </c>
      <c r="H317" s="21" t="str">
        <f>IF($N$1="Piping", IF(ISBLANK(Piping!H317), "", Piping!H317), IF($N$1="Vessels", IF(ISBLANK(Vessels!H317), "", Vessels!H317), ""))</f>
        <v/>
      </c>
      <c r="I317" s="21" t="str">
        <f>IF($N$1="Piping", IF(ISBLANK(Piping!I317), "", Piping!I317), IF($N$1="Vessels", IF(ISBLANK(Vessels!I317), "", Vessels!I317), ""))</f>
        <v/>
      </c>
      <c r="J317" s="21" t="str">
        <f>IF($N$1="Piping", IF(ISBLANK(Piping!J317), "", Piping!J317), IF($N$1="Vessels", IF(ISBLANK(Vessels!J317), "", Vessels!J317), ""))</f>
        <v/>
      </c>
      <c r="K317" s="21" t="str">
        <f>IF($N$1="Piping", IF(ISBLANK(Piping!K317), "", Piping!K317), IF($N$1="Vessels", IF(ISBLANK(Vessels!K317), "", Vessels!K317), ""))</f>
        <v/>
      </c>
      <c r="L317" s="21" t="str">
        <f>IF($N$1="Piping", IF(ISBLANK(Piping!L317), "", Piping!L317), IF($N$1="Vessels", IF(ISBLANK(Vessels!L317), "", Vessels!L317), ""))</f>
        <v/>
      </c>
      <c r="M317" s="21"/>
      <c r="N317" s="21"/>
      <c r="O317" s="21"/>
      <c r="P317" s="21"/>
      <c r="Q317" s="21" t="str">
        <f>IF($N$1="Piping", IF(ISBLANK(Piping!T317), "", Piping!T317), IF($N$1="Vessels", IF(ISBLANK(Vessels!T317), "", Vessels!T317), ""))</f>
        <v/>
      </c>
      <c r="R317" s="51" t="str">
        <f>IF($N$1="Piping", IF(ISBLANK(Piping!U317), "", Piping!U317), IF($N$1="Vessels", IF(ISBLANK(Vessels!U317), "", Vessels!U317), ""))</f>
        <v/>
      </c>
      <c r="S317" s="118" t="str">
        <f>IF(B317&lt;&gt;"",IF($N$1="Piping", IF(ISBLANK(Piping!$J$3), "", Piping!$J$3), IF($N$1="Vessels", IF(ISBLANK(Vessels!$J$3), "", Vessels!$J$3), "")),"")</f>
        <v/>
      </c>
      <c r="T317" s="37"/>
      <c r="U317" s="37"/>
      <c r="V317" s="37"/>
      <c r="W317" s="37"/>
      <c r="X317" s="37"/>
      <c r="Y317" s="37"/>
      <c r="Z317" s="37"/>
    </row>
    <row r="318" spans="1:26" ht="15.75" customHeight="1" x14ac:dyDescent="0.3">
      <c r="A318" s="22">
        <f>IF($N$1="Piping", IF(ISBLANK(Piping!A318), "", Piping!A318), IF($N$1="Vessels", IF(ISBLANK(Vessels!A318), "", Vessels!A318), ""))</f>
        <v>79.099999999999994</v>
      </c>
      <c r="B318" s="21" t="str">
        <f>IF($N$1="Piping", IF(ISBLANK(Piping!B318), "", Piping!B318), IF($N$1="Vessels", IF(ISBLANK(Vessels!B318), "", Vessels!B318), ""))</f>
        <v/>
      </c>
      <c r="C318" s="21" t="str">
        <f>IF($N$1="Piping", IF(ISBLANK(Piping!C318), "", Piping!C318), IF($N$1="Vessels", IF(ISBLANK(Vessels!C318), "", Vessels!C318), ""))</f>
        <v>Piping</v>
      </c>
      <c r="D318" s="21" t="str">
        <f>IF($N$1="Piping", IF(ISBLANK(Piping!D318), "", Piping!D318), IF($N$1="Vessels", IF(ISBLANK(Vessels!D318), "", Vessels!D318), ""))</f>
        <v/>
      </c>
      <c r="E318" s="21" t="str">
        <f>IF($N$1="Piping", IF(ISBLANK(Piping!E318), "", Piping!E318), IF($N$1="Vessels", IF(ISBLANK(Vessels!E318), "", Vessels!E318), ""))</f>
        <v/>
      </c>
      <c r="F318" s="21" t="str">
        <f>IF($N$1="Piping", IF(ISBLANK(Piping!F318), "", Piping!F318), IF($N$1="Vessels", IF(ISBLANK(Vessels!F318), "", Vessels!F318), ""))</f>
        <v/>
      </c>
      <c r="G318" s="21">
        <f>IF($N$1="Piping", IF(ISBLANK(Piping!G318), "", Piping!G318), IF($N$1="Vessels", IF(ISBLANK(Vessels!G318), "", Vessels!G318), ""))</f>
        <v>0</v>
      </c>
      <c r="H318" s="21" t="str">
        <f>IF($N$1="Piping", IF(ISBLANK(Piping!H318), "", Piping!H318), IF($N$1="Vessels", IF(ISBLANK(Vessels!H318), "", Vessels!H318), ""))</f>
        <v/>
      </c>
      <c r="I318" s="21" t="str">
        <f>IF($N$1="Piping", IF(ISBLANK(Piping!I318), "", Piping!I318), IF($N$1="Vessels", IF(ISBLANK(Vessels!I318), "", Vessels!I318), ""))</f>
        <v/>
      </c>
      <c r="J318" s="21" t="str">
        <f>IF($N$1="Piping", IF(ISBLANK(Piping!J318), "", Piping!J318), IF($N$1="Vessels", IF(ISBLANK(Vessels!J318), "", Vessels!J318), ""))</f>
        <v/>
      </c>
      <c r="K318" s="21" t="str">
        <f>IF($N$1="Piping", IF(ISBLANK(Piping!K318), "", Piping!K318), IF($N$1="Vessels", IF(ISBLANK(Vessels!K318), "", Vessels!K318), ""))</f>
        <v/>
      </c>
      <c r="L318" s="21" t="str">
        <f>IF($N$1="Piping", IF(ISBLANK(Piping!L318), "", Piping!L318), IF($N$1="Vessels", IF(ISBLANK(Vessels!L318), "", Vessels!L318), ""))</f>
        <v/>
      </c>
      <c r="M318" s="21"/>
      <c r="N318" s="21"/>
      <c r="O318" s="21"/>
      <c r="P318" s="21"/>
      <c r="Q318" s="21" t="str">
        <f>IF($N$1="Piping", IF(ISBLANK(Piping!T318), "", Piping!T318), IF($N$1="Vessels", IF(ISBLANK(Vessels!T318), "", Vessels!T318), ""))</f>
        <v/>
      </c>
      <c r="R318" s="51" t="str">
        <f>IF($N$1="Piping", IF(ISBLANK(Piping!U318), "", Piping!U318), IF($N$1="Vessels", IF(ISBLANK(Vessels!U318), "", Vessels!U318), ""))</f>
        <v/>
      </c>
      <c r="S318" s="118" t="str">
        <f>IF(B318&lt;&gt;"",IF($N$1="Piping", IF(ISBLANK(Piping!$J$3), "", Piping!$J$3), IF($N$1="Vessels", IF(ISBLANK(Vessels!$J$3), "", Vessels!$J$3), "")),"")</f>
        <v/>
      </c>
      <c r="T318" s="37"/>
      <c r="U318" s="37"/>
      <c r="V318" s="37"/>
      <c r="W318" s="37"/>
      <c r="X318" s="37"/>
      <c r="Y318" s="37"/>
      <c r="Z318" s="37"/>
    </row>
    <row r="319" spans="1:26" ht="15.75" customHeight="1" x14ac:dyDescent="0.3">
      <c r="A319" s="22">
        <f>IF($N$1="Piping", IF(ISBLANK(Piping!A319), "", Piping!A319), IF($N$1="Vessels", IF(ISBLANK(Vessels!A319), "", Vessels!A319), ""))</f>
        <v>79.2</v>
      </c>
      <c r="B319" s="21" t="str">
        <f>IF($N$1="Piping", IF(ISBLANK(Piping!B319), "", Piping!B319), IF($N$1="Vessels", IF(ISBLANK(Vessels!B319), "", Vessels!B319), ""))</f>
        <v/>
      </c>
      <c r="C319" s="21" t="str">
        <f>IF($N$1="Piping", IF(ISBLANK(Piping!C319), "", Piping!C319), IF($N$1="Vessels", IF(ISBLANK(Vessels!C319), "", Vessels!C319), ""))</f>
        <v>Piping</v>
      </c>
      <c r="D319" s="21" t="str">
        <f>IF($N$1="Piping", IF(ISBLANK(Piping!D319), "", Piping!D319), IF($N$1="Vessels", IF(ISBLANK(Vessels!D319), "", Vessels!D319), ""))</f>
        <v/>
      </c>
      <c r="E319" s="21" t="str">
        <f>IF($N$1="Piping", IF(ISBLANK(Piping!E319), "", Piping!E319), IF($N$1="Vessels", IF(ISBLANK(Vessels!E319), "", Vessels!E319), ""))</f>
        <v/>
      </c>
      <c r="F319" s="21" t="str">
        <f>IF($N$1="Piping", IF(ISBLANK(Piping!F319), "", Piping!F319), IF($N$1="Vessels", IF(ISBLANK(Vessels!F319), "", Vessels!F319), ""))</f>
        <v/>
      </c>
      <c r="G319" s="21">
        <f>IF($N$1="Piping", IF(ISBLANK(Piping!G319), "", Piping!G319), IF($N$1="Vessels", IF(ISBLANK(Vessels!G319), "", Vessels!G319), ""))</f>
        <v>0</v>
      </c>
      <c r="H319" s="21" t="str">
        <f>IF($N$1="Piping", IF(ISBLANK(Piping!H319), "", Piping!H319), IF($N$1="Vessels", IF(ISBLANK(Vessels!H319), "", Vessels!H319), ""))</f>
        <v/>
      </c>
      <c r="I319" s="21" t="str">
        <f>IF($N$1="Piping", IF(ISBLANK(Piping!I319), "", Piping!I319), IF($N$1="Vessels", IF(ISBLANK(Vessels!I319), "", Vessels!I319), ""))</f>
        <v/>
      </c>
      <c r="J319" s="21" t="str">
        <f>IF($N$1="Piping", IF(ISBLANK(Piping!J319), "", Piping!J319), IF($N$1="Vessels", IF(ISBLANK(Vessels!J319), "", Vessels!J319), ""))</f>
        <v/>
      </c>
      <c r="K319" s="21" t="str">
        <f>IF($N$1="Piping", IF(ISBLANK(Piping!K319), "", Piping!K319), IF($N$1="Vessels", IF(ISBLANK(Vessels!K319), "", Vessels!K319), ""))</f>
        <v/>
      </c>
      <c r="L319" s="21" t="str">
        <f>IF($N$1="Piping", IF(ISBLANK(Piping!L319), "", Piping!L319), IF($N$1="Vessels", IF(ISBLANK(Vessels!L319), "", Vessels!L319), ""))</f>
        <v/>
      </c>
      <c r="M319" s="21"/>
      <c r="N319" s="21"/>
      <c r="O319" s="21"/>
      <c r="P319" s="21"/>
      <c r="Q319" s="21" t="str">
        <f>IF($N$1="Piping", IF(ISBLANK(Piping!T319), "", Piping!T319), IF($N$1="Vessels", IF(ISBLANK(Vessels!T319), "", Vessels!T319), ""))</f>
        <v/>
      </c>
      <c r="R319" s="51" t="str">
        <f>IF($N$1="Piping", IF(ISBLANK(Piping!U319), "", Piping!U319), IF($N$1="Vessels", IF(ISBLANK(Vessels!U319), "", Vessels!U319), ""))</f>
        <v/>
      </c>
      <c r="S319" s="118" t="str">
        <f>IF(B319&lt;&gt;"",IF($N$1="Piping", IF(ISBLANK(Piping!$J$3), "", Piping!$J$3), IF($N$1="Vessels", IF(ISBLANK(Vessels!$J$3), "", Vessels!$J$3), "")),"")</f>
        <v/>
      </c>
      <c r="T319" s="37"/>
      <c r="U319" s="37"/>
      <c r="V319" s="37"/>
      <c r="W319" s="37"/>
      <c r="X319" s="37"/>
      <c r="Y319" s="37"/>
      <c r="Z319" s="37"/>
    </row>
    <row r="320" spans="1:26" ht="15.75" customHeight="1" x14ac:dyDescent="0.3">
      <c r="A320" s="22">
        <f>IF($N$1="Piping", IF(ISBLANK(Piping!A320), "", Piping!A320), IF($N$1="Vessels", IF(ISBLANK(Vessels!A320), "", Vessels!A320), ""))</f>
        <v>79.3</v>
      </c>
      <c r="B320" s="21" t="str">
        <f>IF($N$1="Piping", IF(ISBLANK(Piping!B320), "", Piping!B320), IF($N$1="Vessels", IF(ISBLANK(Vessels!B320), "", Vessels!B320), ""))</f>
        <v/>
      </c>
      <c r="C320" s="21" t="str">
        <f>IF($N$1="Piping", IF(ISBLANK(Piping!C320), "", Piping!C320), IF($N$1="Vessels", IF(ISBLANK(Vessels!C320), "", Vessels!C320), ""))</f>
        <v>Piping</v>
      </c>
      <c r="D320" s="21" t="str">
        <f>IF($N$1="Piping", IF(ISBLANK(Piping!D320), "", Piping!D320), IF($N$1="Vessels", IF(ISBLANK(Vessels!D320), "", Vessels!D320), ""))</f>
        <v/>
      </c>
      <c r="E320" s="21" t="str">
        <f>IF($N$1="Piping", IF(ISBLANK(Piping!E320), "", Piping!E320), IF($N$1="Vessels", IF(ISBLANK(Vessels!E320), "", Vessels!E320), ""))</f>
        <v/>
      </c>
      <c r="F320" s="21" t="str">
        <f>IF($N$1="Piping", IF(ISBLANK(Piping!F320), "", Piping!F320), IF($N$1="Vessels", IF(ISBLANK(Vessels!F320), "", Vessels!F320), ""))</f>
        <v/>
      </c>
      <c r="G320" s="21">
        <f>IF($N$1="Piping", IF(ISBLANK(Piping!G320), "", Piping!G320), IF($N$1="Vessels", IF(ISBLANK(Vessels!G320), "", Vessels!G320), ""))</f>
        <v>0</v>
      </c>
      <c r="H320" s="21" t="str">
        <f>IF($N$1="Piping", IF(ISBLANK(Piping!H320), "", Piping!H320), IF($N$1="Vessels", IF(ISBLANK(Vessels!H320), "", Vessels!H320), ""))</f>
        <v/>
      </c>
      <c r="I320" s="21" t="str">
        <f>IF($N$1="Piping", IF(ISBLANK(Piping!I320), "", Piping!I320), IF($N$1="Vessels", IF(ISBLANK(Vessels!I320), "", Vessels!I320), ""))</f>
        <v/>
      </c>
      <c r="J320" s="21" t="str">
        <f>IF($N$1="Piping", IF(ISBLANK(Piping!J320), "", Piping!J320), IF($N$1="Vessels", IF(ISBLANK(Vessels!J320), "", Vessels!J320), ""))</f>
        <v/>
      </c>
      <c r="K320" s="21" t="str">
        <f>IF($N$1="Piping", IF(ISBLANK(Piping!K320), "", Piping!K320), IF($N$1="Vessels", IF(ISBLANK(Vessels!K320), "", Vessels!K320), ""))</f>
        <v/>
      </c>
      <c r="L320" s="21" t="str">
        <f>IF($N$1="Piping", IF(ISBLANK(Piping!L320), "", Piping!L320), IF($N$1="Vessels", IF(ISBLANK(Vessels!L320), "", Vessels!L320), ""))</f>
        <v/>
      </c>
      <c r="M320" s="21"/>
      <c r="N320" s="21"/>
      <c r="O320" s="21"/>
      <c r="P320" s="21"/>
      <c r="Q320" s="21" t="str">
        <f>IF($N$1="Piping", IF(ISBLANK(Piping!T320), "", Piping!T320), IF($N$1="Vessels", IF(ISBLANK(Vessels!T320), "", Vessels!T320), ""))</f>
        <v/>
      </c>
      <c r="R320" s="51" t="str">
        <f>IF($N$1="Piping", IF(ISBLANK(Piping!U320), "", Piping!U320), IF($N$1="Vessels", IF(ISBLANK(Vessels!U320), "", Vessels!U320), ""))</f>
        <v/>
      </c>
      <c r="S320" s="118" t="str">
        <f>IF(B320&lt;&gt;"",IF($N$1="Piping", IF(ISBLANK(Piping!$J$3), "", Piping!$J$3), IF($N$1="Vessels", IF(ISBLANK(Vessels!$J$3), "", Vessels!$J$3), "")),"")</f>
        <v/>
      </c>
      <c r="T320" s="37"/>
      <c r="U320" s="37"/>
      <c r="V320" s="37"/>
      <c r="W320" s="37"/>
      <c r="X320" s="37"/>
      <c r="Y320" s="37"/>
      <c r="Z320" s="37"/>
    </row>
    <row r="321" spans="1:26" ht="15.75" customHeight="1" x14ac:dyDescent="0.3">
      <c r="A321" s="22">
        <f>IF($N$1="Piping", IF(ISBLANK(Piping!A321), "", Piping!A321), IF($N$1="Vessels", IF(ISBLANK(Vessels!A321), "", Vessels!A321), ""))</f>
        <v>79.400000000000006</v>
      </c>
      <c r="B321" s="21" t="str">
        <f>IF($N$1="Piping", IF(ISBLANK(Piping!B321), "", Piping!B321), IF($N$1="Vessels", IF(ISBLANK(Vessels!B321), "", Vessels!B321), ""))</f>
        <v/>
      </c>
      <c r="C321" s="21" t="str">
        <f>IF($N$1="Piping", IF(ISBLANK(Piping!C321), "", Piping!C321), IF($N$1="Vessels", IF(ISBLANK(Vessels!C321), "", Vessels!C321), ""))</f>
        <v>Piping</v>
      </c>
      <c r="D321" s="21" t="str">
        <f>IF($N$1="Piping", IF(ISBLANK(Piping!D321), "", Piping!D321), IF($N$1="Vessels", IF(ISBLANK(Vessels!D321), "", Vessels!D321), ""))</f>
        <v/>
      </c>
      <c r="E321" s="21" t="str">
        <f>IF($N$1="Piping", IF(ISBLANK(Piping!E321), "", Piping!E321), IF($N$1="Vessels", IF(ISBLANK(Vessels!E321), "", Vessels!E321), ""))</f>
        <v/>
      </c>
      <c r="F321" s="21" t="str">
        <f>IF($N$1="Piping", IF(ISBLANK(Piping!F321), "", Piping!F321), IF($N$1="Vessels", IF(ISBLANK(Vessels!F321), "", Vessels!F321), ""))</f>
        <v/>
      </c>
      <c r="G321" s="21">
        <f>IF($N$1="Piping", IF(ISBLANK(Piping!G321), "", Piping!G321), IF($N$1="Vessels", IF(ISBLANK(Vessels!G321), "", Vessels!G321), ""))</f>
        <v>0</v>
      </c>
      <c r="H321" s="21" t="str">
        <f>IF($N$1="Piping", IF(ISBLANK(Piping!H321), "", Piping!H321), IF($N$1="Vessels", IF(ISBLANK(Vessels!H321), "", Vessels!H321), ""))</f>
        <v/>
      </c>
      <c r="I321" s="21" t="str">
        <f>IF($N$1="Piping", IF(ISBLANK(Piping!I321), "", Piping!I321), IF($N$1="Vessels", IF(ISBLANK(Vessels!I321), "", Vessels!I321), ""))</f>
        <v/>
      </c>
      <c r="J321" s="21" t="str">
        <f>IF($N$1="Piping", IF(ISBLANK(Piping!J321), "", Piping!J321), IF($N$1="Vessels", IF(ISBLANK(Vessels!J321), "", Vessels!J321), ""))</f>
        <v/>
      </c>
      <c r="K321" s="21" t="str">
        <f>IF($N$1="Piping", IF(ISBLANK(Piping!K321), "", Piping!K321), IF($N$1="Vessels", IF(ISBLANK(Vessels!K321), "", Vessels!K321), ""))</f>
        <v/>
      </c>
      <c r="L321" s="21" t="str">
        <f>IF($N$1="Piping", IF(ISBLANK(Piping!L321), "", Piping!L321), IF($N$1="Vessels", IF(ISBLANK(Vessels!L321), "", Vessels!L321), ""))</f>
        <v/>
      </c>
      <c r="M321" s="21"/>
      <c r="N321" s="21"/>
      <c r="O321" s="21"/>
      <c r="P321" s="21"/>
      <c r="Q321" s="21" t="str">
        <f>IF($N$1="Piping", IF(ISBLANK(Piping!T321), "", Piping!T321), IF($N$1="Vessels", IF(ISBLANK(Vessels!T321), "", Vessels!T321), ""))</f>
        <v/>
      </c>
      <c r="R321" s="51" t="str">
        <f>IF($N$1="Piping", IF(ISBLANK(Piping!U321), "", Piping!U321), IF($N$1="Vessels", IF(ISBLANK(Vessels!U321), "", Vessels!U321), ""))</f>
        <v/>
      </c>
      <c r="S321" s="118" t="str">
        <f>IF(B321&lt;&gt;"",IF($N$1="Piping", IF(ISBLANK(Piping!$J$3), "", Piping!$J$3), IF($N$1="Vessels", IF(ISBLANK(Vessels!$J$3), "", Vessels!$J$3), "")),"")</f>
        <v/>
      </c>
      <c r="T321" s="37"/>
      <c r="U321" s="37"/>
      <c r="V321" s="37"/>
      <c r="W321" s="37"/>
      <c r="X321" s="37"/>
      <c r="Y321" s="37"/>
      <c r="Z321" s="37"/>
    </row>
    <row r="322" spans="1:26" ht="15.75" customHeight="1" x14ac:dyDescent="0.3">
      <c r="A322" s="22">
        <f>IF($N$1="Piping", IF(ISBLANK(Piping!A322), "", Piping!A322), IF($N$1="Vessels", IF(ISBLANK(Vessels!A322), "", Vessels!A322), ""))</f>
        <v>80.099999999999994</v>
      </c>
      <c r="B322" s="21" t="str">
        <f>IF($N$1="Piping", IF(ISBLANK(Piping!B322), "", Piping!B322), IF($N$1="Vessels", IF(ISBLANK(Vessels!B322), "", Vessels!B322), ""))</f>
        <v/>
      </c>
      <c r="C322" s="21" t="str">
        <f>IF($N$1="Piping", IF(ISBLANK(Piping!C322), "", Piping!C322), IF($N$1="Vessels", IF(ISBLANK(Vessels!C322), "", Vessels!C322), ""))</f>
        <v>Piping</v>
      </c>
      <c r="D322" s="21" t="str">
        <f>IF($N$1="Piping", IF(ISBLANK(Piping!D322), "", Piping!D322), IF($N$1="Vessels", IF(ISBLANK(Vessels!D322), "", Vessels!D322), ""))</f>
        <v/>
      </c>
      <c r="E322" s="21" t="str">
        <f>IF($N$1="Piping", IF(ISBLANK(Piping!E322), "", Piping!E322), IF($N$1="Vessels", IF(ISBLANK(Vessels!E322), "", Vessels!E322), ""))</f>
        <v/>
      </c>
      <c r="F322" s="21" t="str">
        <f>IF($N$1="Piping", IF(ISBLANK(Piping!F322), "", Piping!F322), IF($N$1="Vessels", IF(ISBLANK(Vessels!F322), "", Vessels!F322), ""))</f>
        <v/>
      </c>
      <c r="G322" s="21">
        <f>IF($N$1="Piping", IF(ISBLANK(Piping!G322), "", Piping!G322), IF($N$1="Vessels", IF(ISBLANK(Vessels!G322), "", Vessels!G322), ""))</f>
        <v>0</v>
      </c>
      <c r="H322" s="21" t="str">
        <f>IF($N$1="Piping", IF(ISBLANK(Piping!H322), "", Piping!H322), IF($N$1="Vessels", IF(ISBLANK(Vessels!H322), "", Vessels!H322), ""))</f>
        <v/>
      </c>
      <c r="I322" s="21" t="str">
        <f>IF($N$1="Piping", IF(ISBLANK(Piping!I322), "", Piping!I322), IF($N$1="Vessels", IF(ISBLANK(Vessels!I322), "", Vessels!I322), ""))</f>
        <v/>
      </c>
      <c r="J322" s="21" t="str">
        <f>IF($N$1="Piping", IF(ISBLANK(Piping!J322), "", Piping!J322), IF($N$1="Vessels", IF(ISBLANK(Vessels!J322), "", Vessels!J322), ""))</f>
        <v/>
      </c>
      <c r="K322" s="21" t="str">
        <f>IF($N$1="Piping", IF(ISBLANK(Piping!K322), "", Piping!K322), IF($N$1="Vessels", IF(ISBLANK(Vessels!K322), "", Vessels!K322), ""))</f>
        <v/>
      </c>
      <c r="L322" s="21" t="str">
        <f>IF($N$1="Piping", IF(ISBLANK(Piping!L322), "", Piping!L322), IF($N$1="Vessels", IF(ISBLANK(Vessels!L322), "", Vessels!L322), ""))</f>
        <v/>
      </c>
      <c r="M322" s="21"/>
      <c r="N322" s="21"/>
      <c r="O322" s="21"/>
      <c r="P322" s="21"/>
      <c r="Q322" s="21" t="str">
        <f>IF($N$1="Piping", IF(ISBLANK(Piping!T322), "", Piping!T322), IF($N$1="Vessels", IF(ISBLANK(Vessels!T322), "", Vessels!T322), ""))</f>
        <v/>
      </c>
      <c r="R322" s="51" t="str">
        <f>IF($N$1="Piping", IF(ISBLANK(Piping!U322), "", Piping!U322), IF($N$1="Vessels", IF(ISBLANK(Vessels!U322), "", Vessels!U322), ""))</f>
        <v/>
      </c>
      <c r="S322" s="118" t="str">
        <f>IF(B322&lt;&gt;"",IF($N$1="Piping", IF(ISBLANK(Piping!$J$3), "", Piping!$J$3), IF($N$1="Vessels", IF(ISBLANK(Vessels!$J$3), "", Vessels!$J$3), "")),"")</f>
        <v/>
      </c>
      <c r="T322" s="37"/>
      <c r="U322" s="37"/>
      <c r="V322" s="37"/>
      <c r="W322" s="37"/>
      <c r="X322" s="37"/>
      <c r="Y322" s="37"/>
      <c r="Z322" s="37"/>
    </row>
    <row r="323" spans="1:26" ht="15.75" customHeight="1" x14ac:dyDescent="0.3">
      <c r="A323" s="22">
        <f>IF($N$1="Piping", IF(ISBLANK(Piping!A323), "", Piping!A323), IF($N$1="Vessels", IF(ISBLANK(Vessels!A323), "", Vessels!A323), ""))</f>
        <v>80.2</v>
      </c>
      <c r="B323" s="21" t="str">
        <f>IF($N$1="Piping", IF(ISBLANK(Piping!B323), "", Piping!B323), IF($N$1="Vessels", IF(ISBLANK(Vessels!B323), "", Vessels!B323), ""))</f>
        <v/>
      </c>
      <c r="C323" s="21" t="str">
        <f>IF($N$1="Piping", IF(ISBLANK(Piping!C323), "", Piping!C323), IF($N$1="Vessels", IF(ISBLANK(Vessels!C323), "", Vessels!C323), ""))</f>
        <v>Piping</v>
      </c>
      <c r="D323" s="21" t="str">
        <f>IF($N$1="Piping", IF(ISBLANK(Piping!D323), "", Piping!D323), IF($N$1="Vessels", IF(ISBLANK(Vessels!D323), "", Vessels!D323), ""))</f>
        <v/>
      </c>
      <c r="E323" s="21" t="str">
        <f>IF($N$1="Piping", IF(ISBLANK(Piping!E323), "", Piping!E323), IF($N$1="Vessels", IF(ISBLANK(Vessels!E323), "", Vessels!E323), ""))</f>
        <v/>
      </c>
      <c r="F323" s="21" t="str">
        <f>IF($N$1="Piping", IF(ISBLANK(Piping!F323), "", Piping!F323), IF($N$1="Vessels", IF(ISBLANK(Vessels!F323), "", Vessels!F323), ""))</f>
        <v/>
      </c>
      <c r="G323" s="21">
        <f>IF($N$1="Piping", IF(ISBLANK(Piping!G323), "", Piping!G323), IF($N$1="Vessels", IF(ISBLANK(Vessels!G323), "", Vessels!G323), ""))</f>
        <v>0</v>
      </c>
      <c r="H323" s="21" t="str">
        <f>IF($N$1="Piping", IF(ISBLANK(Piping!H323), "", Piping!H323), IF($N$1="Vessels", IF(ISBLANK(Vessels!H323), "", Vessels!H323), ""))</f>
        <v/>
      </c>
      <c r="I323" s="21" t="str">
        <f>IF($N$1="Piping", IF(ISBLANK(Piping!I323), "", Piping!I323), IF($N$1="Vessels", IF(ISBLANK(Vessels!I323), "", Vessels!I323), ""))</f>
        <v/>
      </c>
      <c r="J323" s="21" t="str">
        <f>IF($N$1="Piping", IF(ISBLANK(Piping!J323), "", Piping!J323), IF($N$1="Vessels", IF(ISBLANK(Vessels!J323), "", Vessels!J323), ""))</f>
        <v/>
      </c>
      <c r="K323" s="21" t="str">
        <f>IF($N$1="Piping", IF(ISBLANK(Piping!K323), "", Piping!K323), IF($N$1="Vessels", IF(ISBLANK(Vessels!K323), "", Vessels!K323), ""))</f>
        <v/>
      </c>
      <c r="L323" s="21" t="str">
        <f>IF($N$1="Piping", IF(ISBLANK(Piping!L323), "", Piping!L323), IF($N$1="Vessels", IF(ISBLANK(Vessels!L323), "", Vessels!L323), ""))</f>
        <v/>
      </c>
      <c r="M323" s="21"/>
      <c r="N323" s="21"/>
      <c r="O323" s="21"/>
      <c r="P323" s="21"/>
      <c r="Q323" s="21" t="str">
        <f>IF($N$1="Piping", IF(ISBLANK(Piping!T323), "", Piping!T323), IF($N$1="Vessels", IF(ISBLANK(Vessels!T323), "", Vessels!T323), ""))</f>
        <v/>
      </c>
      <c r="R323" s="51" t="str">
        <f>IF($N$1="Piping", IF(ISBLANK(Piping!U323), "", Piping!U323), IF($N$1="Vessels", IF(ISBLANK(Vessels!U323), "", Vessels!U323), ""))</f>
        <v/>
      </c>
      <c r="S323" s="118" t="str">
        <f>IF(B323&lt;&gt;"",IF($N$1="Piping", IF(ISBLANK(Piping!$J$3), "", Piping!$J$3), IF($N$1="Vessels", IF(ISBLANK(Vessels!$J$3), "", Vessels!$J$3), "")),"")</f>
        <v/>
      </c>
      <c r="T323" s="37"/>
      <c r="U323" s="37"/>
      <c r="V323" s="37"/>
      <c r="W323" s="37"/>
      <c r="X323" s="37"/>
      <c r="Y323" s="37"/>
      <c r="Z323" s="37"/>
    </row>
    <row r="324" spans="1:26" ht="15.75" customHeight="1" x14ac:dyDescent="0.3">
      <c r="A324" s="22">
        <f>IF($N$1="Piping", IF(ISBLANK(Piping!A324), "", Piping!A324), IF($N$1="Vessels", IF(ISBLANK(Vessels!A324), "", Vessels!A324), ""))</f>
        <v>80.3</v>
      </c>
      <c r="B324" s="21" t="str">
        <f>IF($N$1="Piping", IF(ISBLANK(Piping!B324), "", Piping!B324), IF($N$1="Vessels", IF(ISBLANK(Vessels!B324), "", Vessels!B324), ""))</f>
        <v/>
      </c>
      <c r="C324" s="21" t="str">
        <f>IF($N$1="Piping", IF(ISBLANK(Piping!C324), "", Piping!C324), IF($N$1="Vessels", IF(ISBLANK(Vessels!C324), "", Vessels!C324), ""))</f>
        <v>Piping</v>
      </c>
      <c r="D324" s="21" t="str">
        <f>IF($N$1="Piping", IF(ISBLANK(Piping!D324), "", Piping!D324), IF($N$1="Vessels", IF(ISBLANK(Vessels!D324), "", Vessels!D324), ""))</f>
        <v/>
      </c>
      <c r="E324" s="21" t="str">
        <f>IF($N$1="Piping", IF(ISBLANK(Piping!E324), "", Piping!E324), IF($N$1="Vessels", IF(ISBLANK(Vessels!E324), "", Vessels!E324), ""))</f>
        <v/>
      </c>
      <c r="F324" s="21" t="str">
        <f>IF($N$1="Piping", IF(ISBLANK(Piping!F324), "", Piping!F324), IF($N$1="Vessels", IF(ISBLANK(Vessels!F324), "", Vessels!F324), ""))</f>
        <v/>
      </c>
      <c r="G324" s="21">
        <f>IF($N$1="Piping", IF(ISBLANK(Piping!G324), "", Piping!G324), IF($N$1="Vessels", IF(ISBLANK(Vessels!G324), "", Vessels!G324), ""))</f>
        <v>0</v>
      </c>
      <c r="H324" s="21" t="str">
        <f>IF($N$1="Piping", IF(ISBLANK(Piping!H324), "", Piping!H324), IF($N$1="Vessels", IF(ISBLANK(Vessels!H324), "", Vessels!H324), ""))</f>
        <v/>
      </c>
      <c r="I324" s="21" t="str">
        <f>IF($N$1="Piping", IF(ISBLANK(Piping!I324), "", Piping!I324), IF($N$1="Vessels", IF(ISBLANK(Vessels!I324), "", Vessels!I324), ""))</f>
        <v/>
      </c>
      <c r="J324" s="21" t="str">
        <f>IF($N$1="Piping", IF(ISBLANK(Piping!J324), "", Piping!J324), IF($N$1="Vessels", IF(ISBLANK(Vessels!J324), "", Vessels!J324), ""))</f>
        <v/>
      </c>
      <c r="K324" s="21" t="str">
        <f>IF($N$1="Piping", IF(ISBLANK(Piping!K324), "", Piping!K324), IF($N$1="Vessels", IF(ISBLANK(Vessels!K324), "", Vessels!K324), ""))</f>
        <v/>
      </c>
      <c r="L324" s="21" t="str">
        <f>IF($N$1="Piping", IF(ISBLANK(Piping!L324), "", Piping!L324), IF($N$1="Vessels", IF(ISBLANK(Vessels!L324), "", Vessels!L324), ""))</f>
        <v/>
      </c>
      <c r="M324" s="21"/>
      <c r="N324" s="21"/>
      <c r="O324" s="21"/>
      <c r="P324" s="21"/>
      <c r="Q324" s="21" t="str">
        <f>IF($N$1="Piping", IF(ISBLANK(Piping!T324), "", Piping!T324), IF($N$1="Vessels", IF(ISBLANK(Vessels!T324), "", Vessels!T324), ""))</f>
        <v/>
      </c>
      <c r="R324" s="51" t="str">
        <f>IF($N$1="Piping", IF(ISBLANK(Piping!U324), "", Piping!U324), IF($N$1="Vessels", IF(ISBLANK(Vessels!U324), "", Vessels!U324), ""))</f>
        <v/>
      </c>
      <c r="S324" s="118" t="str">
        <f>IF(B324&lt;&gt;"",IF($N$1="Piping", IF(ISBLANK(Piping!$J$3), "", Piping!$J$3), IF($N$1="Vessels", IF(ISBLANK(Vessels!$J$3), "", Vessels!$J$3), "")),"")</f>
        <v/>
      </c>
      <c r="T324" s="37"/>
      <c r="U324" s="37"/>
      <c r="V324" s="37"/>
      <c r="W324" s="37"/>
      <c r="X324" s="37"/>
      <c r="Y324" s="37"/>
      <c r="Z324" s="37"/>
    </row>
    <row r="325" spans="1:26" ht="15.75" customHeight="1" x14ac:dyDescent="0.3">
      <c r="A325" s="22">
        <f>IF($N$1="Piping", IF(ISBLANK(Piping!A325), "", Piping!A325), IF($N$1="Vessels", IF(ISBLANK(Vessels!A325), "", Vessels!A325), ""))</f>
        <v>80.400000000000006</v>
      </c>
      <c r="B325" s="21" t="str">
        <f>IF($N$1="Piping", IF(ISBLANK(Piping!B325), "", Piping!B325), IF($N$1="Vessels", IF(ISBLANK(Vessels!B325), "", Vessels!B325), ""))</f>
        <v/>
      </c>
      <c r="C325" s="21" t="str">
        <f>IF($N$1="Piping", IF(ISBLANK(Piping!C325), "", Piping!C325), IF($N$1="Vessels", IF(ISBLANK(Vessels!C325), "", Vessels!C325), ""))</f>
        <v>Piping</v>
      </c>
      <c r="D325" s="21" t="str">
        <f>IF($N$1="Piping", IF(ISBLANK(Piping!D325), "", Piping!D325), IF($N$1="Vessels", IF(ISBLANK(Vessels!D325), "", Vessels!D325), ""))</f>
        <v/>
      </c>
      <c r="E325" s="21" t="str">
        <f>IF($N$1="Piping", IF(ISBLANK(Piping!E325), "", Piping!E325), IF($N$1="Vessels", IF(ISBLANK(Vessels!E325), "", Vessels!E325), ""))</f>
        <v/>
      </c>
      <c r="F325" s="21" t="str">
        <f>IF($N$1="Piping", IF(ISBLANK(Piping!F325), "", Piping!F325), IF($N$1="Vessels", IF(ISBLANK(Vessels!F325), "", Vessels!F325), ""))</f>
        <v/>
      </c>
      <c r="G325" s="21">
        <f>IF($N$1="Piping", IF(ISBLANK(Piping!G325), "", Piping!G325), IF($N$1="Vessels", IF(ISBLANK(Vessels!G325), "", Vessels!G325), ""))</f>
        <v>0</v>
      </c>
      <c r="H325" s="21" t="str">
        <f>IF($N$1="Piping", IF(ISBLANK(Piping!H325), "", Piping!H325), IF($N$1="Vessels", IF(ISBLANK(Vessels!H325), "", Vessels!H325), ""))</f>
        <v/>
      </c>
      <c r="I325" s="21" t="str">
        <f>IF($N$1="Piping", IF(ISBLANK(Piping!I325), "", Piping!I325), IF($N$1="Vessels", IF(ISBLANK(Vessels!I325), "", Vessels!I325), ""))</f>
        <v/>
      </c>
      <c r="J325" s="21" t="str">
        <f>IF($N$1="Piping", IF(ISBLANK(Piping!J325), "", Piping!J325), IF($N$1="Vessels", IF(ISBLANK(Vessels!J325), "", Vessels!J325), ""))</f>
        <v/>
      </c>
      <c r="K325" s="21" t="str">
        <f>IF($N$1="Piping", IF(ISBLANK(Piping!K325), "", Piping!K325), IF($N$1="Vessels", IF(ISBLANK(Vessels!K325), "", Vessels!K325), ""))</f>
        <v/>
      </c>
      <c r="L325" s="21" t="str">
        <f>IF($N$1="Piping", IF(ISBLANK(Piping!L325), "", Piping!L325), IF($N$1="Vessels", IF(ISBLANK(Vessels!L325), "", Vessels!L325), ""))</f>
        <v/>
      </c>
      <c r="M325" s="21"/>
      <c r="N325" s="21"/>
      <c r="O325" s="21"/>
      <c r="P325" s="21"/>
      <c r="Q325" s="21" t="str">
        <f>IF($N$1="Piping", IF(ISBLANK(Piping!T325), "", Piping!T325), IF($N$1="Vessels", IF(ISBLANK(Vessels!T325), "", Vessels!T325), ""))</f>
        <v/>
      </c>
      <c r="R325" s="51" t="str">
        <f>IF($N$1="Piping", IF(ISBLANK(Piping!U325), "", Piping!U325), IF($N$1="Vessels", IF(ISBLANK(Vessels!U325), "", Vessels!U325), ""))</f>
        <v/>
      </c>
      <c r="S325" s="118" t="str">
        <f>IF(B325&lt;&gt;"",IF($N$1="Piping", IF(ISBLANK(Piping!$J$3), "", Piping!$J$3), IF($N$1="Vessels", IF(ISBLANK(Vessels!$J$3), "", Vessels!$J$3), "")),"")</f>
        <v/>
      </c>
      <c r="T325" s="37"/>
      <c r="U325" s="37"/>
      <c r="V325" s="37"/>
      <c r="W325" s="37"/>
      <c r="X325" s="37"/>
      <c r="Y325" s="37"/>
      <c r="Z325" s="37"/>
    </row>
    <row r="326" spans="1:26" ht="15.75" customHeight="1" x14ac:dyDescent="0.3">
      <c r="A326" s="22">
        <f>IF($N$1="Piping", IF(ISBLANK(Piping!A326), "", Piping!A326), IF($N$1="Vessels", IF(ISBLANK(Vessels!A326), "", Vessels!A326), ""))</f>
        <v>81.099999999999994</v>
      </c>
      <c r="B326" s="21" t="str">
        <f>IF($N$1="Piping", IF(ISBLANK(Piping!B326), "", Piping!B326), IF($N$1="Vessels", IF(ISBLANK(Vessels!B326), "", Vessels!B326), ""))</f>
        <v/>
      </c>
      <c r="C326" s="21" t="str">
        <f>IF($N$1="Piping", IF(ISBLANK(Piping!C326), "", Piping!C326), IF($N$1="Vessels", IF(ISBLANK(Vessels!C326), "", Vessels!C326), ""))</f>
        <v>Piping</v>
      </c>
      <c r="D326" s="21" t="str">
        <f>IF($N$1="Piping", IF(ISBLANK(Piping!D326), "", Piping!D326), IF($N$1="Vessels", IF(ISBLANK(Vessels!D326), "", Vessels!D326), ""))</f>
        <v/>
      </c>
      <c r="E326" s="21" t="str">
        <f>IF($N$1="Piping", IF(ISBLANK(Piping!E326), "", Piping!E326), IF($N$1="Vessels", IF(ISBLANK(Vessels!E326), "", Vessels!E326), ""))</f>
        <v/>
      </c>
      <c r="F326" s="21" t="str">
        <f>IF($N$1="Piping", IF(ISBLANK(Piping!F326), "", Piping!F326), IF($N$1="Vessels", IF(ISBLANK(Vessels!F326), "", Vessels!F326), ""))</f>
        <v/>
      </c>
      <c r="G326" s="21">
        <f>IF($N$1="Piping", IF(ISBLANK(Piping!G326), "", Piping!G326), IF($N$1="Vessels", IF(ISBLANK(Vessels!G326), "", Vessels!G326), ""))</f>
        <v>0</v>
      </c>
      <c r="H326" s="21" t="str">
        <f>IF($N$1="Piping", IF(ISBLANK(Piping!H326), "", Piping!H326), IF($N$1="Vessels", IF(ISBLANK(Vessels!H326), "", Vessels!H326), ""))</f>
        <v/>
      </c>
      <c r="I326" s="21" t="str">
        <f>IF($N$1="Piping", IF(ISBLANK(Piping!I326), "", Piping!I326), IF($N$1="Vessels", IF(ISBLANK(Vessels!I326), "", Vessels!I326), ""))</f>
        <v/>
      </c>
      <c r="J326" s="21" t="str">
        <f>IF($N$1="Piping", IF(ISBLANK(Piping!J326), "", Piping!J326), IF($N$1="Vessels", IF(ISBLANK(Vessels!J326), "", Vessels!J326), ""))</f>
        <v/>
      </c>
      <c r="K326" s="21" t="str">
        <f>IF($N$1="Piping", IF(ISBLANK(Piping!K326), "", Piping!K326), IF($N$1="Vessels", IF(ISBLANK(Vessels!K326), "", Vessels!K326), ""))</f>
        <v/>
      </c>
      <c r="L326" s="21" t="str">
        <f>IF($N$1="Piping", IF(ISBLANK(Piping!L326), "", Piping!L326), IF($N$1="Vessels", IF(ISBLANK(Vessels!L326), "", Vessels!L326), ""))</f>
        <v/>
      </c>
      <c r="M326" s="21"/>
      <c r="N326" s="21"/>
      <c r="O326" s="21"/>
      <c r="P326" s="21"/>
      <c r="Q326" s="21" t="str">
        <f>IF($N$1="Piping", IF(ISBLANK(Piping!T326), "", Piping!T326), IF($N$1="Vessels", IF(ISBLANK(Vessels!T326), "", Vessels!T326), ""))</f>
        <v/>
      </c>
      <c r="R326" s="51" t="str">
        <f>IF($N$1="Piping", IF(ISBLANK(Piping!U326), "", Piping!U326), IF($N$1="Vessels", IF(ISBLANK(Vessels!U326), "", Vessels!U326), ""))</f>
        <v/>
      </c>
      <c r="S326" s="118" t="str">
        <f>IF(B326&lt;&gt;"",IF($N$1="Piping", IF(ISBLANK(Piping!$J$3), "", Piping!$J$3), IF($N$1="Vessels", IF(ISBLANK(Vessels!$J$3), "", Vessels!$J$3), "")),"")</f>
        <v/>
      </c>
      <c r="T326" s="37"/>
      <c r="U326" s="37"/>
      <c r="V326" s="37"/>
      <c r="W326" s="37"/>
      <c r="X326" s="37"/>
      <c r="Y326" s="37"/>
      <c r="Z326" s="37"/>
    </row>
    <row r="327" spans="1:26" ht="15.75" customHeight="1" x14ac:dyDescent="0.3">
      <c r="A327" s="22">
        <f>IF($N$1="Piping", IF(ISBLANK(Piping!A327), "", Piping!A327), IF($N$1="Vessels", IF(ISBLANK(Vessels!A327), "", Vessels!A327), ""))</f>
        <v>81.2</v>
      </c>
      <c r="B327" s="21" t="str">
        <f>IF($N$1="Piping", IF(ISBLANK(Piping!B327), "", Piping!B327), IF($N$1="Vessels", IF(ISBLANK(Vessels!B327), "", Vessels!B327), ""))</f>
        <v/>
      </c>
      <c r="C327" s="21" t="str">
        <f>IF($N$1="Piping", IF(ISBLANK(Piping!C327), "", Piping!C327), IF($N$1="Vessels", IF(ISBLANK(Vessels!C327), "", Vessels!C327), ""))</f>
        <v>Piping</v>
      </c>
      <c r="D327" s="21" t="str">
        <f>IF($N$1="Piping", IF(ISBLANK(Piping!D327), "", Piping!D327), IF($N$1="Vessels", IF(ISBLANK(Vessels!D327), "", Vessels!D327), ""))</f>
        <v/>
      </c>
      <c r="E327" s="21" t="str">
        <f>IF($N$1="Piping", IF(ISBLANK(Piping!E327), "", Piping!E327), IF($N$1="Vessels", IF(ISBLANK(Vessels!E327), "", Vessels!E327), ""))</f>
        <v/>
      </c>
      <c r="F327" s="21" t="str">
        <f>IF($N$1="Piping", IF(ISBLANK(Piping!F327), "", Piping!F327), IF($N$1="Vessels", IF(ISBLANK(Vessels!F327), "", Vessels!F327), ""))</f>
        <v/>
      </c>
      <c r="G327" s="21">
        <f>IF($N$1="Piping", IF(ISBLANK(Piping!G327), "", Piping!G327), IF($N$1="Vessels", IF(ISBLANK(Vessels!G327), "", Vessels!G327), ""))</f>
        <v>0</v>
      </c>
      <c r="H327" s="21" t="str">
        <f>IF($N$1="Piping", IF(ISBLANK(Piping!H327), "", Piping!H327), IF($N$1="Vessels", IF(ISBLANK(Vessels!H327), "", Vessels!H327), ""))</f>
        <v/>
      </c>
      <c r="I327" s="21" t="str">
        <f>IF($N$1="Piping", IF(ISBLANK(Piping!I327), "", Piping!I327), IF($N$1="Vessels", IF(ISBLANK(Vessels!I327), "", Vessels!I327), ""))</f>
        <v/>
      </c>
      <c r="J327" s="21" t="str">
        <f>IF($N$1="Piping", IF(ISBLANK(Piping!J327), "", Piping!J327), IF($N$1="Vessels", IF(ISBLANK(Vessels!J327), "", Vessels!J327), ""))</f>
        <v/>
      </c>
      <c r="K327" s="21" t="str">
        <f>IF($N$1="Piping", IF(ISBLANK(Piping!K327), "", Piping!K327), IF($N$1="Vessels", IF(ISBLANK(Vessels!K327), "", Vessels!K327), ""))</f>
        <v/>
      </c>
      <c r="L327" s="21" t="str">
        <f>IF($N$1="Piping", IF(ISBLANK(Piping!L327), "", Piping!L327), IF($N$1="Vessels", IF(ISBLANK(Vessels!L327), "", Vessels!L327), ""))</f>
        <v/>
      </c>
      <c r="M327" s="21"/>
      <c r="N327" s="21"/>
      <c r="O327" s="21"/>
      <c r="P327" s="21"/>
      <c r="Q327" s="21" t="str">
        <f>IF($N$1="Piping", IF(ISBLANK(Piping!T327), "", Piping!T327), IF($N$1="Vessels", IF(ISBLANK(Vessels!T327), "", Vessels!T327), ""))</f>
        <v/>
      </c>
      <c r="R327" s="51" t="str">
        <f>IF($N$1="Piping", IF(ISBLANK(Piping!U327), "", Piping!U327), IF($N$1="Vessels", IF(ISBLANK(Vessels!U327), "", Vessels!U327), ""))</f>
        <v/>
      </c>
      <c r="S327" s="118" t="str">
        <f>IF(B327&lt;&gt;"",IF($N$1="Piping", IF(ISBLANK(Piping!$J$3), "", Piping!$J$3), IF($N$1="Vessels", IF(ISBLANK(Vessels!$J$3), "", Vessels!$J$3), "")),"")</f>
        <v/>
      </c>
      <c r="T327" s="37"/>
      <c r="U327" s="37"/>
      <c r="V327" s="37"/>
      <c r="W327" s="37"/>
      <c r="X327" s="37"/>
      <c r="Y327" s="37"/>
      <c r="Z327" s="37"/>
    </row>
    <row r="328" spans="1:26" ht="15.75" customHeight="1" x14ac:dyDescent="0.3">
      <c r="A328" s="22">
        <f>IF($N$1="Piping", IF(ISBLANK(Piping!A328), "", Piping!A328), IF($N$1="Vessels", IF(ISBLANK(Vessels!A328), "", Vessels!A328), ""))</f>
        <v>81.3</v>
      </c>
      <c r="B328" s="21" t="str">
        <f>IF($N$1="Piping", IF(ISBLANK(Piping!B328), "", Piping!B328), IF($N$1="Vessels", IF(ISBLANK(Vessels!B328), "", Vessels!B328), ""))</f>
        <v/>
      </c>
      <c r="C328" s="21" t="str">
        <f>IF($N$1="Piping", IF(ISBLANK(Piping!C328), "", Piping!C328), IF($N$1="Vessels", IF(ISBLANK(Vessels!C328), "", Vessels!C328), ""))</f>
        <v>Piping</v>
      </c>
      <c r="D328" s="21" t="str">
        <f>IF($N$1="Piping", IF(ISBLANK(Piping!D328), "", Piping!D328), IF($N$1="Vessels", IF(ISBLANK(Vessels!D328), "", Vessels!D328), ""))</f>
        <v/>
      </c>
      <c r="E328" s="21" t="str">
        <f>IF($N$1="Piping", IF(ISBLANK(Piping!E328), "", Piping!E328), IF($N$1="Vessels", IF(ISBLANK(Vessels!E328), "", Vessels!E328), ""))</f>
        <v/>
      </c>
      <c r="F328" s="21" t="str">
        <f>IF($N$1="Piping", IF(ISBLANK(Piping!F328), "", Piping!F328), IF($N$1="Vessels", IF(ISBLANK(Vessels!F328), "", Vessels!F328), ""))</f>
        <v/>
      </c>
      <c r="G328" s="21">
        <f>IF($N$1="Piping", IF(ISBLANK(Piping!G328), "", Piping!G328), IF($N$1="Vessels", IF(ISBLANK(Vessels!G328), "", Vessels!G328), ""))</f>
        <v>0</v>
      </c>
      <c r="H328" s="21" t="str">
        <f>IF($N$1="Piping", IF(ISBLANK(Piping!H328), "", Piping!H328), IF($N$1="Vessels", IF(ISBLANK(Vessels!H328), "", Vessels!H328), ""))</f>
        <v/>
      </c>
      <c r="I328" s="21" t="str">
        <f>IF($N$1="Piping", IF(ISBLANK(Piping!I328), "", Piping!I328), IF($N$1="Vessels", IF(ISBLANK(Vessels!I328), "", Vessels!I328), ""))</f>
        <v/>
      </c>
      <c r="J328" s="21" t="str">
        <f>IF($N$1="Piping", IF(ISBLANK(Piping!J328), "", Piping!J328), IF($N$1="Vessels", IF(ISBLANK(Vessels!J328), "", Vessels!J328), ""))</f>
        <v/>
      </c>
      <c r="K328" s="21" t="str">
        <f>IF($N$1="Piping", IF(ISBLANK(Piping!K328), "", Piping!K328), IF($N$1="Vessels", IF(ISBLANK(Vessels!K328), "", Vessels!K328), ""))</f>
        <v/>
      </c>
      <c r="L328" s="21" t="str">
        <f>IF($N$1="Piping", IF(ISBLANK(Piping!L328), "", Piping!L328), IF($N$1="Vessels", IF(ISBLANK(Vessels!L328), "", Vessels!L328), ""))</f>
        <v/>
      </c>
      <c r="M328" s="21"/>
      <c r="N328" s="21"/>
      <c r="O328" s="21"/>
      <c r="P328" s="21"/>
      <c r="Q328" s="21" t="str">
        <f>IF($N$1="Piping", IF(ISBLANK(Piping!T328), "", Piping!T328), IF($N$1="Vessels", IF(ISBLANK(Vessels!T328), "", Vessels!T328), ""))</f>
        <v/>
      </c>
      <c r="R328" s="51" t="str">
        <f>IF($N$1="Piping", IF(ISBLANK(Piping!U328), "", Piping!U328), IF($N$1="Vessels", IF(ISBLANK(Vessels!U328), "", Vessels!U328), ""))</f>
        <v/>
      </c>
      <c r="S328" s="118" t="str">
        <f>IF(B328&lt;&gt;"",IF($N$1="Piping", IF(ISBLANK(Piping!$J$3), "", Piping!$J$3), IF($N$1="Vessels", IF(ISBLANK(Vessels!$J$3), "", Vessels!$J$3), "")),"")</f>
        <v/>
      </c>
      <c r="T328" s="37"/>
      <c r="U328" s="37"/>
      <c r="V328" s="37"/>
      <c r="W328" s="37"/>
      <c r="X328" s="37"/>
      <c r="Y328" s="37"/>
      <c r="Z328" s="37"/>
    </row>
    <row r="329" spans="1:26" ht="15.75" customHeight="1" x14ac:dyDescent="0.3">
      <c r="A329" s="22">
        <f>IF($N$1="Piping", IF(ISBLANK(Piping!A329), "", Piping!A329), IF($N$1="Vessels", IF(ISBLANK(Vessels!A329), "", Vessels!A329), ""))</f>
        <v>81.400000000000006</v>
      </c>
      <c r="B329" s="21" t="str">
        <f>IF($N$1="Piping", IF(ISBLANK(Piping!B329), "", Piping!B329), IF($N$1="Vessels", IF(ISBLANK(Vessels!B329), "", Vessels!B329), ""))</f>
        <v/>
      </c>
      <c r="C329" s="21" t="str">
        <f>IF($N$1="Piping", IF(ISBLANK(Piping!C329), "", Piping!C329), IF($N$1="Vessels", IF(ISBLANK(Vessels!C329), "", Vessels!C329), ""))</f>
        <v>Piping</v>
      </c>
      <c r="D329" s="21" t="str">
        <f>IF($N$1="Piping", IF(ISBLANK(Piping!D329), "", Piping!D329), IF($N$1="Vessels", IF(ISBLANK(Vessels!D329), "", Vessels!D329), ""))</f>
        <v/>
      </c>
      <c r="E329" s="21" t="str">
        <f>IF($N$1="Piping", IF(ISBLANK(Piping!E329), "", Piping!E329), IF($N$1="Vessels", IF(ISBLANK(Vessels!E329), "", Vessels!E329), ""))</f>
        <v/>
      </c>
      <c r="F329" s="21" t="str">
        <f>IF($N$1="Piping", IF(ISBLANK(Piping!F329), "", Piping!F329), IF($N$1="Vessels", IF(ISBLANK(Vessels!F329), "", Vessels!F329), ""))</f>
        <v/>
      </c>
      <c r="G329" s="21">
        <f>IF($N$1="Piping", IF(ISBLANK(Piping!G329), "", Piping!G329), IF($N$1="Vessels", IF(ISBLANK(Vessels!G329), "", Vessels!G329), ""))</f>
        <v>0</v>
      </c>
      <c r="H329" s="21" t="str">
        <f>IF($N$1="Piping", IF(ISBLANK(Piping!H329), "", Piping!H329), IF($N$1="Vessels", IF(ISBLANK(Vessels!H329), "", Vessels!H329), ""))</f>
        <v/>
      </c>
      <c r="I329" s="21" t="str">
        <f>IF($N$1="Piping", IF(ISBLANK(Piping!I329), "", Piping!I329), IF($N$1="Vessels", IF(ISBLANK(Vessels!I329), "", Vessels!I329), ""))</f>
        <v/>
      </c>
      <c r="J329" s="21" t="str">
        <f>IF($N$1="Piping", IF(ISBLANK(Piping!J329), "", Piping!J329), IF($N$1="Vessels", IF(ISBLANK(Vessels!J329), "", Vessels!J329), ""))</f>
        <v/>
      </c>
      <c r="K329" s="21" t="str">
        <f>IF($N$1="Piping", IF(ISBLANK(Piping!K329), "", Piping!K329), IF($N$1="Vessels", IF(ISBLANK(Vessels!K329), "", Vessels!K329), ""))</f>
        <v/>
      </c>
      <c r="L329" s="21" t="str">
        <f>IF($N$1="Piping", IF(ISBLANK(Piping!L329), "", Piping!L329), IF($N$1="Vessels", IF(ISBLANK(Vessels!L329), "", Vessels!L329), ""))</f>
        <v/>
      </c>
      <c r="M329" s="21"/>
      <c r="N329" s="21"/>
      <c r="O329" s="21"/>
      <c r="P329" s="21"/>
      <c r="Q329" s="21" t="str">
        <f>IF($N$1="Piping", IF(ISBLANK(Piping!T329), "", Piping!T329), IF($N$1="Vessels", IF(ISBLANK(Vessels!T329), "", Vessels!T329), ""))</f>
        <v/>
      </c>
      <c r="R329" s="51" t="str">
        <f>IF($N$1="Piping", IF(ISBLANK(Piping!U329), "", Piping!U329), IF($N$1="Vessels", IF(ISBLANK(Vessels!U329), "", Vessels!U329), ""))</f>
        <v/>
      </c>
      <c r="S329" s="118" t="str">
        <f>IF(B329&lt;&gt;"",IF($N$1="Piping", IF(ISBLANK(Piping!$J$3), "", Piping!$J$3), IF($N$1="Vessels", IF(ISBLANK(Vessels!$J$3), "", Vessels!$J$3), "")),"")</f>
        <v/>
      </c>
      <c r="T329" s="37"/>
      <c r="U329" s="37"/>
      <c r="V329" s="37"/>
      <c r="W329" s="37"/>
      <c r="X329" s="37"/>
      <c r="Y329" s="37"/>
      <c r="Z329" s="37"/>
    </row>
    <row r="330" spans="1:26" ht="15.75" customHeight="1" x14ac:dyDescent="0.3">
      <c r="A330" s="22">
        <f>IF($N$1="Piping", IF(ISBLANK(Piping!A330), "", Piping!A330), IF($N$1="Vessels", IF(ISBLANK(Vessels!A330), "", Vessels!A330), ""))</f>
        <v>82.1</v>
      </c>
      <c r="B330" s="21" t="str">
        <f>IF($N$1="Piping", IF(ISBLANK(Piping!B330), "", Piping!B330), IF($N$1="Vessels", IF(ISBLANK(Vessels!B330), "", Vessels!B330), ""))</f>
        <v/>
      </c>
      <c r="C330" s="21" t="str">
        <f>IF($N$1="Piping", IF(ISBLANK(Piping!C330), "", Piping!C330), IF($N$1="Vessels", IF(ISBLANK(Vessels!C330), "", Vessels!C330), ""))</f>
        <v>Piping</v>
      </c>
      <c r="D330" s="21" t="str">
        <f>IF($N$1="Piping", IF(ISBLANK(Piping!D330), "", Piping!D330), IF($N$1="Vessels", IF(ISBLANK(Vessels!D330), "", Vessels!D330), ""))</f>
        <v/>
      </c>
      <c r="E330" s="21" t="str">
        <f>IF($N$1="Piping", IF(ISBLANK(Piping!E330), "", Piping!E330), IF($N$1="Vessels", IF(ISBLANK(Vessels!E330), "", Vessels!E330), ""))</f>
        <v/>
      </c>
      <c r="F330" s="21" t="str">
        <f>IF($N$1="Piping", IF(ISBLANK(Piping!F330), "", Piping!F330), IF($N$1="Vessels", IF(ISBLANK(Vessels!F330), "", Vessels!F330), ""))</f>
        <v/>
      </c>
      <c r="G330" s="21">
        <f>IF($N$1="Piping", IF(ISBLANK(Piping!G330), "", Piping!G330), IF($N$1="Vessels", IF(ISBLANK(Vessels!G330), "", Vessels!G330), ""))</f>
        <v>0</v>
      </c>
      <c r="H330" s="21" t="str">
        <f>IF($N$1="Piping", IF(ISBLANK(Piping!H330), "", Piping!H330), IF($N$1="Vessels", IF(ISBLANK(Vessels!H330), "", Vessels!H330), ""))</f>
        <v/>
      </c>
      <c r="I330" s="21" t="str">
        <f>IF($N$1="Piping", IF(ISBLANK(Piping!I330), "", Piping!I330), IF($N$1="Vessels", IF(ISBLANK(Vessels!I330), "", Vessels!I330), ""))</f>
        <v/>
      </c>
      <c r="J330" s="21" t="str">
        <f>IF($N$1="Piping", IF(ISBLANK(Piping!J330), "", Piping!J330), IF($N$1="Vessels", IF(ISBLANK(Vessels!J330), "", Vessels!J330), ""))</f>
        <v/>
      </c>
      <c r="K330" s="21" t="str">
        <f>IF($N$1="Piping", IF(ISBLANK(Piping!K330), "", Piping!K330), IF($N$1="Vessels", IF(ISBLANK(Vessels!K330), "", Vessels!K330), ""))</f>
        <v/>
      </c>
      <c r="L330" s="21" t="str">
        <f>IF($N$1="Piping", IF(ISBLANK(Piping!L330), "", Piping!L330), IF($N$1="Vessels", IF(ISBLANK(Vessels!L330), "", Vessels!L330), ""))</f>
        <v/>
      </c>
      <c r="M330" s="21"/>
      <c r="N330" s="21"/>
      <c r="O330" s="21"/>
      <c r="P330" s="21"/>
      <c r="Q330" s="21" t="str">
        <f>IF($N$1="Piping", IF(ISBLANK(Piping!T330), "", Piping!T330), IF($N$1="Vessels", IF(ISBLANK(Vessels!T330), "", Vessels!T330), ""))</f>
        <v/>
      </c>
      <c r="R330" s="51" t="str">
        <f>IF($N$1="Piping", IF(ISBLANK(Piping!U330), "", Piping!U330), IF($N$1="Vessels", IF(ISBLANK(Vessels!U330), "", Vessels!U330), ""))</f>
        <v/>
      </c>
      <c r="S330" s="118" t="str">
        <f>IF(B330&lt;&gt;"",IF($N$1="Piping", IF(ISBLANK(Piping!$J$3), "", Piping!$J$3), IF($N$1="Vessels", IF(ISBLANK(Vessels!$J$3), "", Vessels!$J$3), "")),"")</f>
        <v/>
      </c>
      <c r="T330" s="37"/>
      <c r="U330" s="37"/>
      <c r="V330" s="37"/>
      <c r="W330" s="37"/>
      <c r="X330" s="37"/>
      <c r="Y330" s="37"/>
      <c r="Z330" s="37"/>
    </row>
    <row r="331" spans="1:26" ht="15.75" customHeight="1" x14ac:dyDescent="0.3">
      <c r="A331" s="22">
        <f>IF($N$1="Piping", IF(ISBLANK(Piping!A331), "", Piping!A331), IF($N$1="Vessels", IF(ISBLANK(Vessels!A331), "", Vessels!A331), ""))</f>
        <v>82.2</v>
      </c>
      <c r="B331" s="21" t="str">
        <f>IF($N$1="Piping", IF(ISBLANK(Piping!B331), "", Piping!B331), IF($N$1="Vessels", IF(ISBLANK(Vessels!B331), "", Vessels!B331), ""))</f>
        <v/>
      </c>
      <c r="C331" s="21" t="str">
        <f>IF($N$1="Piping", IF(ISBLANK(Piping!C331), "", Piping!C331), IF($N$1="Vessels", IF(ISBLANK(Vessels!C331), "", Vessels!C331), ""))</f>
        <v>Piping</v>
      </c>
      <c r="D331" s="21" t="str">
        <f>IF($N$1="Piping", IF(ISBLANK(Piping!D331), "", Piping!D331), IF($N$1="Vessels", IF(ISBLANK(Vessels!D331), "", Vessels!D331), ""))</f>
        <v/>
      </c>
      <c r="E331" s="21" t="str">
        <f>IF($N$1="Piping", IF(ISBLANK(Piping!E331), "", Piping!E331), IF($N$1="Vessels", IF(ISBLANK(Vessels!E331), "", Vessels!E331), ""))</f>
        <v/>
      </c>
      <c r="F331" s="21" t="str">
        <f>IF($N$1="Piping", IF(ISBLANK(Piping!F331), "", Piping!F331), IF($N$1="Vessels", IF(ISBLANK(Vessels!F331), "", Vessels!F331), ""))</f>
        <v/>
      </c>
      <c r="G331" s="21">
        <f>IF($N$1="Piping", IF(ISBLANK(Piping!G331), "", Piping!G331), IF($N$1="Vessels", IF(ISBLANK(Vessels!G331), "", Vessels!G331), ""))</f>
        <v>0</v>
      </c>
      <c r="H331" s="21" t="str">
        <f>IF($N$1="Piping", IF(ISBLANK(Piping!H331), "", Piping!H331), IF($N$1="Vessels", IF(ISBLANK(Vessels!H331), "", Vessels!H331), ""))</f>
        <v/>
      </c>
      <c r="I331" s="21" t="str">
        <f>IF($N$1="Piping", IF(ISBLANK(Piping!I331), "", Piping!I331), IF($N$1="Vessels", IF(ISBLANK(Vessels!I331), "", Vessels!I331), ""))</f>
        <v/>
      </c>
      <c r="J331" s="21" t="str">
        <f>IF($N$1="Piping", IF(ISBLANK(Piping!J331), "", Piping!J331), IF($N$1="Vessels", IF(ISBLANK(Vessels!J331), "", Vessels!J331), ""))</f>
        <v/>
      </c>
      <c r="K331" s="21" t="str">
        <f>IF($N$1="Piping", IF(ISBLANK(Piping!K331), "", Piping!K331), IF($N$1="Vessels", IF(ISBLANK(Vessels!K331), "", Vessels!K331), ""))</f>
        <v/>
      </c>
      <c r="L331" s="21" t="str">
        <f>IF($N$1="Piping", IF(ISBLANK(Piping!L331), "", Piping!L331), IF($N$1="Vessels", IF(ISBLANK(Vessels!L331), "", Vessels!L331), ""))</f>
        <v/>
      </c>
      <c r="M331" s="21"/>
      <c r="N331" s="21"/>
      <c r="O331" s="21"/>
      <c r="P331" s="21"/>
      <c r="Q331" s="21" t="str">
        <f>IF($N$1="Piping", IF(ISBLANK(Piping!T331), "", Piping!T331), IF($N$1="Vessels", IF(ISBLANK(Vessels!T331), "", Vessels!T331), ""))</f>
        <v/>
      </c>
      <c r="R331" s="51" t="str">
        <f>IF($N$1="Piping", IF(ISBLANK(Piping!U331), "", Piping!U331), IF($N$1="Vessels", IF(ISBLANK(Vessels!U331), "", Vessels!U331), ""))</f>
        <v/>
      </c>
      <c r="S331" s="118" t="str">
        <f>IF(B331&lt;&gt;"",IF($N$1="Piping", IF(ISBLANK(Piping!$J$3), "", Piping!$J$3), IF($N$1="Vessels", IF(ISBLANK(Vessels!$J$3), "", Vessels!$J$3), "")),"")</f>
        <v/>
      </c>
      <c r="T331" s="37"/>
      <c r="U331" s="37"/>
      <c r="V331" s="37"/>
      <c r="W331" s="37"/>
      <c r="X331" s="37"/>
      <c r="Y331" s="37"/>
      <c r="Z331" s="37"/>
    </row>
    <row r="332" spans="1:26" ht="15.75" customHeight="1" x14ac:dyDescent="0.3">
      <c r="A332" s="22">
        <f>IF($N$1="Piping", IF(ISBLANK(Piping!A332), "", Piping!A332), IF($N$1="Vessels", IF(ISBLANK(Vessels!A332), "", Vessels!A332), ""))</f>
        <v>82.3</v>
      </c>
      <c r="B332" s="21" t="str">
        <f>IF($N$1="Piping", IF(ISBLANK(Piping!B332), "", Piping!B332), IF($N$1="Vessels", IF(ISBLANK(Vessels!B332), "", Vessels!B332), ""))</f>
        <v/>
      </c>
      <c r="C332" s="21" t="str">
        <f>IF($N$1="Piping", IF(ISBLANK(Piping!C332), "", Piping!C332), IF($N$1="Vessels", IF(ISBLANK(Vessels!C332), "", Vessels!C332), ""))</f>
        <v>Piping</v>
      </c>
      <c r="D332" s="21" t="str">
        <f>IF($N$1="Piping", IF(ISBLANK(Piping!D332), "", Piping!D332), IF($N$1="Vessels", IF(ISBLANK(Vessels!D332), "", Vessels!D332), ""))</f>
        <v/>
      </c>
      <c r="E332" s="21" t="str">
        <f>IF($N$1="Piping", IF(ISBLANK(Piping!E332), "", Piping!E332), IF($N$1="Vessels", IF(ISBLANK(Vessels!E332), "", Vessels!E332), ""))</f>
        <v/>
      </c>
      <c r="F332" s="21" t="str">
        <f>IF($N$1="Piping", IF(ISBLANK(Piping!F332), "", Piping!F332), IF($N$1="Vessels", IF(ISBLANK(Vessels!F332), "", Vessels!F332), ""))</f>
        <v/>
      </c>
      <c r="G332" s="21">
        <f>IF($N$1="Piping", IF(ISBLANK(Piping!G332), "", Piping!G332), IF($N$1="Vessels", IF(ISBLANK(Vessels!G332), "", Vessels!G332), ""))</f>
        <v>0</v>
      </c>
      <c r="H332" s="21" t="str">
        <f>IF($N$1="Piping", IF(ISBLANK(Piping!H332), "", Piping!H332), IF($N$1="Vessels", IF(ISBLANK(Vessels!H332), "", Vessels!H332), ""))</f>
        <v/>
      </c>
      <c r="I332" s="21" t="str">
        <f>IF($N$1="Piping", IF(ISBLANK(Piping!I332), "", Piping!I332), IF($N$1="Vessels", IF(ISBLANK(Vessels!I332), "", Vessels!I332), ""))</f>
        <v/>
      </c>
      <c r="J332" s="21" t="str">
        <f>IF($N$1="Piping", IF(ISBLANK(Piping!J332), "", Piping!J332), IF($N$1="Vessels", IF(ISBLANK(Vessels!J332), "", Vessels!J332), ""))</f>
        <v/>
      </c>
      <c r="K332" s="21" t="str">
        <f>IF($N$1="Piping", IF(ISBLANK(Piping!K332), "", Piping!K332), IF($N$1="Vessels", IF(ISBLANK(Vessels!K332), "", Vessels!K332), ""))</f>
        <v/>
      </c>
      <c r="L332" s="21" t="str">
        <f>IF($N$1="Piping", IF(ISBLANK(Piping!L332), "", Piping!L332), IF($N$1="Vessels", IF(ISBLANK(Vessels!L332), "", Vessels!L332), ""))</f>
        <v/>
      </c>
      <c r="M332" s="21"/>
      <c r="N332" s="21"/>
      <c r="O332" s="21"/>
      <c r="P332" s="21"/>
      <c r="Q332" s="21" t="str">
        <f>IF($N$1="Piping", IF(ISBLANK(Piping!T332), "", Piping!T332), IF($N$1="Vessels", IF(ISBLANK(Vessels!T332), "", Vessels!T332), ""))</f>
        <v/>
      </c>
      <c r="R332" s="51" t="str">
        <f>IF($N$1="Piping", IF(ISBLANK(Piping!U332), "", Piping!U332), IF($N$1="Vessels", IF(ISBLANK(Vessels!U332), "", Vessels!U332), ""))</f>
        <v/>
      </c>
      <c r="S332" s="118" t="str">
        <f>IF(B332&lt;&gt;"",IF($N$1="Piping", IF(ISBLANK(Piping!$J$3), "", Piping!$J$3), IF($N$1="Vessels", IF(ISBLANK(Vessels!$J$3), "", Vessels!$J$3), "")),"")</f>
        <v/>
      </c>
      <c r="T332" s="37"/>
      <c r="U332" s="37"/>
      <c r="V332" s="37"/>
      <c r="W332" s="37"/>
      <c r="X332" s="37"/>
      <c r="Y332" s="37"/>
      <c r="Z332" s="37"/>
    </row>
    <row r="333" spans="1:26" ht="15.75" customHeight="1" x14ac:dyDescent="0.3">
      <c r="A333" s="22">
        <f>IF($N$1="Piping", IF(ISBLANK(Piping!A333), "", Piping!A333), IF($N$1="Vessels", IF(ISBLANK(Vessels!A333), "", Vessels!A333), ""))</f>
        <v>82.4</v>
      </c>
      <c r="B333" s="21" t="str">
        <f>IF($N$1="Piping", IF(ISBLANK(Piping!B333), "", Piping!B333), IF($N$1="Vessels", IF(ISBLANK(Vessels!B333), "", Vessels!B333), ""))</f>
        <v/>
      </c>
      <c r="C333" s="21" t="str">
        <f>IF($N$1="Piping", IF(ISBLANK(Piping!C333), "", Piping!C333), IF($N$1="Vessels", IF(ISBLANK(Vessels!C333), "", Vessels!C333), ""))</f>
        <v>Piping</v>
      </c>
      <c r="D333" s="21" t="str">
        <f>IF($N$1="Piping", IF(ISBLANK(Piping!D333), "", Piping!D333), IF($N$1="Vessels", IF(ISBLANK(Vessels!D333), "", Vessels!D333), ""))</f>
        <v/>
      </c>
      <c r="E333" s="21" t="str">
        <f>IF($N$1="Piping", IF(ISBLANK(Piping!E333), "", Piping!E333), IF($N$1="Vessels", IF(ISBLANK(Vessels!E333), "", Vessels!E333), ""))</f>
        <v/>
      </c>
      <c r="F333" s="21" t="str">
        <f>IF($N$1="Piping", IF(ISBLANK(Piping!F333), "", Piping!F333), IF($N$1="Vessels", IF(ISBLANK(Vessels!F333), "", Vessels!F333), ""))</f>
        <v/>
      </c>
      <c r="G333" s="21">
        <f>IF($N$1="Piping", IF(ISBLANK(Piping!G333), "", Piping!G333), IF($N$1="Vessels", IF(ISBLANK(Vessels!G333), "", Vessels!G333), ""))</f>
        <v>0</v>
      </c>
      <c r="H333" s="21" t="str">
        <f>IF($N$1="Piping", IF(ISBLANK(Piping!H333), "", Piping!H333), IF($N$1="Vessels", IF(ISBLANK(Vessels!H333), "", Vessels!H333), ""))</f>
        <v/>
      </c>
      <c r="I333" s="21" t="str">
        <f>IF($N$1="Piping", IF(ISBLANK(Piping!I333), "", Piping!I333), IF($N$1="Vessels", IF(ISBLANK(Vessels!I333), "", Vessels!I333), ""))</f>
        <v/>
      </c>
      <c r="J333" s="21" t="str">
        <f>IF($N$1="Piping", IF(ISBLANK(Piping!J333), "", Piping!J333), IF($N$1="Vessels", IF(ISBLANK(Vessels!J333), "", Vessels!J333), ""))</f>
        <v/>
      </c>
      <c r="K333" s="21" t="str">
        <f>IF($N$1="Piping", IF(ISBLANK(Piping!K333), "", Piping!K333), IF($N$1="Vessels", IF(ISBLANK(Vessels!K333), "", Vessels!K333), ""))</f>
        <v/>
      </c>
      <c r="L333" s="21" t="str">
        <f>IF($N$1="Piping", IF(ISBLANK(Piping!L333), "", Piping!L333), IF($N$1="Vessels", IF(ISBLANK(Vessels!L333), "", Vessels!L333), ""))</f>
        <v/>
      </c>
      <c r="M333" s="21"/>
      <c r="N333" s="21"/>
      <c r="O333" s="21"/>
      <c r="P333" s="21"/>
      <c r="Q333" s="21" t="str">
        <f>IF($N$1="Piping", IF(ISBLANK(Piping!T333), "", Piping!T333), IF($N$1="Vessels", IF(ISBLANK(Vessels!T333), "", Vessels!T333), ""))</f>
        <v/>
      </c>
      <c r="R333" s="51" t="str">
        <f>IF($N$1="Piping", IF(ISBLANK(Piping!U333), "", Piping!U333), IF($N$1="Vessels", IF(ISBLANK(Vessels!U333), "", Vessels!U333), ""))</f>
        <v/>
      </c>
      <c r="S333" s="118" t="str">
        <f>IF(B333&lt;&gt;"",IF($N$1="Piping", IF(ISBLANK(Piping!$J$3), "", Piping!$J$3), IF($N$1="Vessels", IF(ISBLANK(Vessels!$J$3), "", Vessels!$J$3), "")),"")</f>
        <v/>
      </c>
      <c r="T333" s="37"/>
      <c r="U333" s="37"/>
      <c r="V333" s="37"/>
      <c r="W333" s="37"/>
      <c r="X333" s="37"/>
      <c r="Y333" s="37"/>
      <c r="Z333" s="37"/>
    </row>
    <row r="334" spans="1:26" ht="15.75" customHeight="1" x14ac:dyDescent="0.3">
      <c r="A334" s="22">
        <f>IF($N$1="Piping", IF(ISBLANK(Piping!A334), "", Piping!A334), IF($N$1="Vessels", IF(ISBLANK(Vessels!A334), "", Vessels!A334), ""))</f>
        <v>83.1</v>
      </c>
      <c r="B334" s="21" t="str">
        <f>IF($N$1="Piping", IF(ISBLANK(Piping!B334), "", Piping!B334), IF($N$1="Vessels", IF(ISBLANK(Vessels!B334), "", Vessels!B334), ""))</f>
        <v/>
      </c>
      <c r="C334" s="21" t="str">
        <f>IF($N$1="Piping", IF(ISBLANK(Piping!C334), "", Piping!C334), IF($N$1="Vessels", IF(ISBLANK(Vessels!C334), "", Vessels!C334), ""))</f>
        <v>Piping</v>
      </c>
      <c r="D334" s="21" t="str">
        <f>IF($N$1="Piping", IF(ISBLANK(Piping!D334), "", Piping!D334), IF($N$1="Vessels", IF(ISBLANK(Vessels!D334), "", Vessels!D334), ""))</f>
        <v/>
      </c>
      <c r="E334" s="21" t="str">
        <f>IF($N$1="Piping", IF(ISBLANK(Piping!E334), "", Piping!E334), IF($N$1="Vessels", IF(ISBLANK(Vessels!E334), "", Vessels!E334), ""))</f>
        <v/>
      </c>
      <c r="F334" s="21" t="str">
        <f>IF($N$1="Piping", IF(ISBLANK(Piping!F334), "", Piping!F334), IF($N$1="Vessels", IF(ISBLANK(Vessels!F334), "", Vessels!F334), ""))</f>
        <v/>
      </c>
      <c r="G334" s="21">
        <f>IF($N$1="Piping", IF(ISBLANK(Piping!G334), "", Piping!G334), IF($N$1="Vessels", IF(ISBLANK(Vessels!G334), "", Vessels!G334), ""))</f>
        <v>0</v>
      </c>
      <c r="H334" s="21" t="str">
        <f>IF($N$1="Piping", IF(ISBLANK(Piping!H334), "", Piping!H334), IF($N$1="Vessels", IF(ISBLANK(Vessels!H334), "", Vessels!H334), ""))</f>
        <v/>
      </c>
      <c r="I334" s="21" t="str">
        <f>IF($N$1="Piping", IF(ISBLANK(Piping!I334), "", Piping!I334), IF($N$1="Vessels", IF(ISBLANK(Vessels!I334), "", Vessels!I334), ""))</f>
        <v/>
      </c>
      <c r="J334" s="21" t="str">
        <f>IF($N$1="Piping", IF(ISBLANK(Piping!J334), "", Piping!J334), IF($N$1="Vessels", IF(ISBLANK(Vessels!J334), "", Vessels!J334), ""))</f>
        <v/>
      </c>
      <c r="K334" s="21" t="str">
        <f>IF($N$1="Piping", IF(ISBLANK(Piping!K334), "", Piping!K334), IF($N$1="Vessels", IF(ISBLANK(Vessels!K334), "", Vessels!K334), ""))</f>
        <v/>
      </c>
      <c r="L334" s="21" t="str">
        <f>IF($N$1="Piping", IF(ISBLANK(Piping!L334), "", Piping!L334), IF($N$1="Vessels", IF(ISBLANK(Vessels!L334), "", Vessels!L334), ""))</f>
        <v/>
      </c>
      <c r="M334" s="21"/>
      <c r="N334" s="21"/>
      <c r="O334" s="21"/>
      <c r="P334" s="21"/>
      <c r="Q334" s="21" t="str">
        <f>IF($N$1="Piping", IF(ISBLANK(Piping!T334), "", Piping!T334), IF($N$1="Vessels", IF(ISBLANK(Vessels!T334), "", Vessels!T334), ""))</f>
        <v/>
      </c>
      <c r="R334" s="51" t="str">
        <f>IF($N$1="Piping", IF(ISBLANK(Piping!U334), "", Piping!U334), IF($N$1="Vessels", IF(ISBLANK(Vessels!U334), "", Vessels!U334), ""))</f>
        <v/>
      </c>
      <c r="S334" s="118" t="str">
        <f>IF(B334&lt;&gt;"",IF($N$1="Piping", IF(ISBLANK(Piping!$J$3), "", Piping!$J$3), IF($N$1="Vessels", IF(ISBLANK(Vessels!$J$3), "", Vessels!$J$3), "")),"")</f>
        <v/>
      </c>
      <c r="T334" s="37"/>
      <c r="U334" s="37"/>
      <c r="V334" s="37"/>
      <c r="W334" s="37"/>
      <c r="X334" s="37"/>
      <c r="Y334" s="37"/>
      <c r="Z334" s="37"/>
    </row>
    <row r="335" spans="1:26" ht="15.75" customHeight="1" x14ac:dyDescent="0.3">
      <c r="A335" s="22">
        <f>IF($N$1="Piping", IF(ISBLANK(Piping!A335), "", Piping!A335), IF($N$1="Vessels", IF(ISBLANK(Vessels!A335), "", Vessels!A335), ""))</f>
        <v>83.2</v>
      </c>
      <c r="B335" s="21" t="str">
        <f>IF($N$1="Piping", IF(ISBLANK(Piping!B335), "", Piping!B335), IF($N$1="Vessels", IF(ISBLANK(Vessels!B335), "", Vessels!B335), ""))</f>
        <v/>
      </c>
      <c r="C335" s="21" t="str">
        <f>IF($N$1="Piping", IF(ISBLANK(Piping!C335), "", Piping!C335), IF($N$1="Vessels", IF(ISBLANK(Vessels!C335), "", Vessels!C335), ""))</f>
        <v>Piping</v>
      </c>
      <c r="D335" s="21" t="str">
        <f>IF($N$1="Piping", IF(ISBLANK(Piping!D335), "", Piping!D335), IF($N$1="Vessels", IF(ISBLANK(Vessels!D335), "", Vessels!D335), ""))</f>
        <v/>
      </c>
      <c r="E335" s="21" t="str">
        <f>IF($N$1="Piping", IF(ISBLANK(Piping!E335), "", Piping!E335), IF($N$1="Vessels", IF(ISBLANK(Vessels!E335), "", Vessels!E335), ""))</f>
        <v/>
      </c>
      <c r="F335" s="21" t="str">
        <f>IF($N$1="Piping", IF(ISBLANK(Piping!F335), "", Piping!F335), IF($N$1="Vessels", IF(ISBLANK(Vessels!F335), "", Vessels!F335), ""))</f>
        <v/>
      </c>
      <c r="G335" s="21">
        <f>IF($N$1="Piping", IF(ISBLANK(Piping!G335), "", Piping!G335), IF($N$1="Vessels", IF(ISBLANK(Vessels!G335), "", Vessels!G335), ""))</f>
        <v>0</v>
      </c>
      <c r="H335" s="21" t="str">
        <f>IF($N$1="Piping", IF(ISBLANK(Piping!H335), "", Piping!H335), IF($N$1="Vessels", IF(ISBLANK(Vessels!H335), "", Vessels!H335), ""))</f>
        <v/>
      </c>
      <c r="I335" s="21" t="str">
        <f>IF($N$1="Piping", IF(ISBLANK(Piping!I335), "", Piping!I335), IF($N$1="Vessels", IF(ISBLANK(Vessels!I335), "", Vessels!I335), ""))</f>
        <v/>
      </c>
      <c r="J335" s="21" t="str">
        <f>IF($N$1="Piping", IF(ISBLANK(Piping!J335), "", Piping!J335), IF($N$1="Vessels", IF(ISBLANK(Vessels!J335), "", Vessels!J335), ""))</f>
        <v/>
      </c>
      <c r="K335" s="21" t="str">
        <f>IF($N$1="Piping", IF(ISBLANK(Piping!K335), "", Piping!K335), IF($N$1="Vessels", IF(ISBLANK(Vessels!K335), "", Vessels!K335), ""))</f>
        <v/>
      </c>
      <c r="L335" s="21" t="str">
        <f>IF($N$1="Piping", IF(ISBLANK(Piping!L335), "", Piping!L335), IF($N$1="Vessels", IF(ISBLANK(Vessels!L335), "", Vessels!L335), ""))</f>
        <v/>
      </c>
      <c r="M335" s="21"/>
      <c r="N335" s="21"/>
      <c r="O335" s="21"/>
      <c r="P335" s="21"/>
      <c r="Q335" s="21" t="str">
        <f>IF($N$1="Piping", IF(ISBLANK(Piping!T335), "", Piping!T335), IF($N$1="Vessels", IF(ISBLANK(Vessels!T335), "", Vessels!T335), ""))</f>
        <v/>
      </c>
      <c r="R335" s="51" t="str">
        <f>IF($N$1="Piping", IF(ISBLANK(Piping!U335), "", Piping!U335), IF($N$1="Vessels", IF(ISBLANK(Vessels!U335), "", Vessels!U335), ""))</f>
        <v/>
      </c>
      <c r="S335" s="118" t="str">
        <f>IF(B335&lt;&gt;"",IF($N$1="Piping", IF(ISBLANK(Piping!$J$3), "", Piping!$J$3), IF($N$1="Vessels", IF(ISBLANK(Vessels!$J$3), "", Vessels!$J$3), "")),"")</f>
        <v/>
      </c>
      <c r="T335" s="37"/>
      <c r="U335" s="37"/>
      <c r="V335" s="37"/>
      <c r="W335" s="37"/>
      <c r="X335" s="37"/>
      <c r="Y335" s="37"/>
      <c r="Z335" s="37"/>
    </row>
    <row r="336" spans="1:26" ht="15.75" customHeight="1" x14ac:dyDescent="0.3">
      <c r="A336" s="22">
        <f>IF($N$1="Piping", IF(ISBLANK(Piping!A336), "", Piping!A336), IF($N$1="Vessels", IF(ISBLANK(Vessels!A336), "", Vessels!A336), ""))</f>
        <v>83.3</v>
      </c>
      <c r="B336" s="21" t="str">
        <f>IF($N$1="Piping", IF(ISBLANK(Piping!B336), "", Piping!B336), IF($N$1="Vessels", IF(ISBLANK(Vessels!B336), "", Vessels!B336), ""))</f>
        <v/>
      </c>
      <c r="C336" s="21" t="str">
        <f>IF($N$1="Piping", IF(ISBLANK(Piping!C336), "", Piping!C336), IF($N$1="Vessels", IF(ISBLANK(Vessels!C336), "", Vessels!C336), ""))</f>
        <v>Piping</v>
      </c>
      <c r="D336" s="21" t="str">
        <f>IF($N$1="Piping", IF(ISBLANK(Piping!D336), "", Piping!D336), IF($N$1="Vessels", IF(ISBLANK(Vessels!D336), "", Vessels!D336), ""))</f>
        <v/>
      </c>
      <c r="E336" s="21" t="str">
        <f>IF($N$1="Piping", IF(ISBLANK(Piping!E336), "", Piping!E336), IF($N$1="Vessels", IF(ISBLANK(Vessels!E336), "", Vessels!E336), ""))</f>
        <v/>
      </c>
      <c r="F336" s="21" t="str">
        <f>IF($N$1="Piping", IF(ISBLANK(Piping!F336), "", Piping!F336), IF($N$1="Vessels", IF(ISBLANK(Vessels!F336), "", Vessels!F336), ""))</f>
        <v/>
      </c>
      <c r="G336" s="21">
        <f>IF($N$1="Piping", IF(ISBLANK(Piping!G336), "", Piping!G336), IF($N$1="Vessels", IF(ISBLANK(Vessels!G336), "", Vessels!G336), ""))</f>
        <v>0</v>
      </c>
      <c r="H336" s="21" t="str">
        <f>IF($N$1="Piping", IF(ISBLANK(Piping!H336), "", Piping!H336), IF($N$1="Vessels", IF(ISBLANK(Vessels!H336), "", Vessels!H336), ""))</f>
        <v/>
      </c>
      <c r="I336" s="21" t="str">
        <f>IF($N$1="Piping", IF(ISBLANK(Piping!I336), "", Piping!I336), IF($N$1="Vessels", IF(ISBLANK(Vessels!I336), "", Vessels!I336), ""))</f>
        <v/>
      </c>
      <c r="J336" s="21" t="str">
        <f>IF($N$1="Piping", IF(ISBLANK(Piping!J336), "", Piping!J336), IF($N$1="Vessels", IF(ISBLANK(Vessels!J336), "", Vessels!J336), ""))</f>
        <v/>
      </c>
      <c r="K336" s="21" t="str">
        <f>IF($N$1="Piping", IF(ISBLANK(Piping!K336), "", Piping!K336), IF($N$1="Vessels", IF(ISBLANK(Vessels!K336), "", Vessels!K336), ""))</f>
        <v/>
      </c>
      <c r="L336" s="21" t="str">
        <f>IF($N$1="Piping", IF(ISBLANK(Piping!L336), "", Piping!L336), IF($N$1="Vessels", IF(ISBLANK(Vessels!L336), "", Vessels!L336), ""))</f>
        <v/>
      </c>
      <c r="M336" s="21"/>
      <c r="N336" s="21"/>
      <c r="O336" s="21"/>
      <c r="P336" s="21"/>
      <c r="Q336" s="21" t="str">
        <f>IF($N$1="Piping", IF(ISBLANK(Piping!T336), "", Piping!T336), IF($N$1="Vessels", IF(ISBLANK(Vessels!T336), "", Vessels!T336), ""))</f>
        <v/>
      </c>
      <c r="R336" s="51" t="str">
        <f>IF($N$1="Piping", IF(ISBLANK(Piping!U336), "", Piping!U336), IF($N$1="Vessels", IF(ISBLANK(Vessels!U336), "", Vessels!U336), ""))</f>
        <v/>
      </c>
      <c r="S336" s="118" t="str">
        <f>IF(B336&lt;&gt;"",IF($N$1="Piping", IF(ISBLANK(Piping!$J$3), "", Piping!$J$3), IF($N$1="Vessels", IF(ISBLANK(Vessels!$J$3), "", Vessels!$J$3), "")),"")</f>
        <v/>
      </c>
      <c r="T336" s="37"/>
      <c r="U336" s="37"/>
      <c r="V336" s="37"/>
      <c r="W336" s="37"/>
      <c r="X336" s="37"/>
      <c r="Y336" s="37"/>
      <c r="Z336" s="37"/>
    </row>
    <row r="337" spans="1:26" ht="15.75" customHeight="1" x14ac:dyDescent="0.3">
      <c r="A337" s="22">
        <f>IF($N$1="Piping", IF(ISBLANK(Piping!A337), "", Piping!A337), IF($N$1="Vessels", IF(ISBLANK(Vessels!A337), "", Vessels!A337), ""))</f>
        <v>83.4</v>
      </c>
      <c r="B337" s="21" t="str">
        <f>IF($N$1="Piping", IF(ISBLANK(Piping!B337), "", Piping!B337), IF($N$1="Vessels", IF(ISBLANK(Vessels!B337), "", Vessels!B337), ""))</f>
        <v/>
      </c>
      <c r="C337" s="21" t="str">
        <f>IF($N$1="Piping", IF(ISBLANK(Piping!C337), "", Piping!C337), IF($N$1="Vessels", IF(ISBLANK(Vessels!C337), "", Vessels!C337), ""))</f>
        <v>Piping</v>
      </c>
      <c r="D337" s="21" t="str">
        <f>IF($N$1="Piping", IF(ISBLANK(Piping!D337), "", Piping!D337), IF($N$1="Vessels", IF(ISBLANK(Vessels!D337), "", Vessels!D337), ""))</f>
        <v/>
      </c>
      <c r="E337" s="21" t="str">
        <f>IF($N$1="Piping", IF(ISBLANK(Piping!E337), "", Piping!E337), IF($N$1="Vessels", IF(ISBLANK(Vessels!E337), "", Vessels!E337), ""))</f>
        <v/>
      </c>
      <c r="F337" s="21" t="str">
        <f>IF($N$1="Piping", IF(ISBLANK(Piping!F337), "", Piping!F337), IF($N$1="Vessels", IF(ISBLANK(Vessels!F337), "", Vessels!F337), ""))</f>
        <v/>
      </c>
      <c r="G337" s="21">
        <f>IF($N$1="Piping", IF(ISBLANK(Piping!G337), "", Piping!G337), IF($N$1="Vessels", IF(ISBLANK(Vessels!G337), "", Vessels!G337), ""))</f>
        <v>0</v>
      </c>
      <c r="H337" s="21" t="str">
        <f>IF($N$1="Piping", IF(ISBLANK(Piping!H337), "", Piping!H337), IF($N$1="Vessels", IF(ISBLANK(Vessels!H337), "", Vessels!H337), ""))</f>
        <v/>
      </c>
      <c r="I337" s="21" t="str">
        <f>IF($N$1="Piping", IF(ISBLANK(Piping!I337), "", Piping!I337), IF($N$1="Vessels", IF(ISBLANK(Vessels!I337), "", Vessels!I337), ""))</f>
        <v/>
      </c>
      <c r="J337" s="21" t="str">
        <f>IF($N$1="Piping", IF(ISBLANK(Piping!J337), "", Piping!J337), IF($N$1="Vessels", IF(ISBLANK(Vessels!J337), "", Vessels!J337), ""))</f>
        <v/>
      </c>
      <c r="K337" s="21" t="str">
        <f>IF($N$1="Piping", IF(ISBLANK(Piping!K337), "", Piping!K337), IF($N$1="Vessels", IF(ISBLANK(Vessels!K337), "", Vessels!K337), ""))</f>
        <v/>
      </c>
      <c r="L337" s="21" t="str">
        <f>IF($N$1="Piping", IF(ISBLANK(Piping!L337), "", Piping!L337), IF($N$1="Vessels", IF(ISBLANK(Vessels!L337), "", Vessels!L337), ""))</f>
        <v/>
      </c>
      <c r="M337" s="21"/>
      <c r="N337" s="21"/>
      <c r="O337" s="21"/>
      <c r="P337" s="21"/>
      <c r="Q337" s="21" t="str">
        <f>IF($N$1="Piping", IF(ISBLANK(Piping!T337), "", Piping!T337), IF($N$1="Vessels", IF(ISBLANK(Vessels!T337), "", Vessels!T337), ""))</f>
        <v/>
      </c>
      <c r="R337" s="51" t="str">
        <f>IF($N$1="Piping", IF(ISBLANK(Piping!U337), "", Piping!U337), IF($N$1="Vessels", IF(ISBLANK(Vessels!U337), "", Vessels!U337), ""))</f>
        <v/>
      </c>
      <c r="S337" s="118" t="str">
        <f>IF(B337&lt;&gt;"",IF($N$1="Piping", IF(ISBLANK(Piping!$J$3), "", Piping!$J$3), IF($N$1="Vessels", IF(ISBLANK(Vessels!$J$3), "", Vessels!$J$3), "")),"")</f>
        <v/>
      </c>
      <c r="T337" s="37"/>
      <c r="U337" s="37"/>
      <c r="V337" s="37"/>
      <c r="W337" s="37"/>
      <c r="X337" s="37"/>
      <c r="Y337" s="37"/>
      <c r="Z337" s="37"/>
    </row>
    <row r="338" spans="1:26" ht="15.75" customHeight="1" x14ac:dyDescent="0.3">
      <c r="A338" s="22">
        <f>IF($N$1="Piping", IF(ISBLANK(Piping!A338), "", Piping!A338), IF($N$1="Vessels", IF(ISBLANK(Vessels!A338), "", Vessels!A338), ""))</f>
        <v>84.1</v>
      </c>
      <c r="B338" s="21" t="str">
        <f>IF($N$1="Piping", IF(ISBLANK(Piping!B338), "", Piping!B338), IF($N$1="Vessels", IF(ISBLANK(Vessels!B338), "", Vessels!B338), ""))</f>
        <v/>
      </c>
      <c r="C338" s="21" t="str">
        <f>IF($N$1="Piping", IF(ISBLANK(Piping!C338), "", Piping!C338), IF($N$1="Vessels", IF(ISBLANK(Vessels!C338), "", Vessels!C338), ""))</f>
        <v>Piping</v>
      </c>
      <c r="D338" s="21" t="str">
        <f>IF($N$1="Piping", IF(ISBLANK(Piping!D338), "", Piping!D338), IF($N$1="Vessels", IF(ISBLANK(Vessels!D338), "", Vessels!D338), ""))</f>
        <v/>
      </c>
      <c r="E338" s="21" t="str">
        <f>IF($N$1="Piping", IF(ISBLANK(Piping!E338), "", Piping!E338), IF($N$1="Vessels", IF(ISBLANK(Vessels!E338), "", Vessels!E338), ""))</f>
        <v/>
      </c>
      <c r="F338" s="21" t="str">
        <f>IF($N$1="Piping", IF(ISBLANK(Piping!F338), "", Piping!F338), IF($N$1="Vessels", IF(ISBLANK(Vessels!F338), "", Vessels!F338), ""))</f>
        <v/>
      </c>
      <c r="G338" s="21">
        <f>IF($N$1="Piping", IF(ISBLANK(Piping!G338), "", Piping!G338), IF($N$1="Vessels", IF(ISBLANK(Vessels!G338), "", Vessels!G338), ""))</f>
        <v>0</v>
      </c>
      <c r="H338" s="21" t="str">
        <f>IF($N$1="Piping", IF(ISBLANK(Piping!H338), "", Piping!H338), IF($N$1="Vessels", IF(ISBLANK(Vessels!H338), "", Vessels!H338), ""))</f>
        <v/>
      </c>
      <c r="I338" s="21" t="str">
        <f>IF($N$1="Piping", IF(ISBLANK(Piping!I338), "", Piping!I338), IF($N$1="Vessels", IF(ISBLANK(Vessels!I338), "", Vessels!I338), ""))</f>
        <v/>
      </c>
      <c r="J338" s="21" t="str">
        <f>IF($N$1="Piping", IF(ISBLANK(Piping!J338), "", Piping!J338), IF($N$1="Vessels", IF(ISBLANK(Vessels!J338), "", Vessels!J338), ""))</f>
        <v/>
      </c>
      <c r="K338" s="21" t="str">
        <f>IF($N$1="Piping", IF(ISBLANK(Piping!K338), "", Piping!K338), IF($N$1="Vessels", IF(ISBLANK(Vessels!K338), "", Vessels!K338), ""))</f>
        <v/>
      </c>
      <c r="L338" s="21" t="str">
        <f>IF($N$1="Piping", IF(ISBLANK(Piping!L338), "", Piping!L338), IF($N$1="Vessels", IF(ISBLANK(Vessels!L338), "", Vessels!L338), ""))</f>
        <v/>
      </c>
      <c r="M338" s="21"/>
      <c r="N338" s="21"/>
      <c r="O338" s="21"/>
      <c r="P338" s="21"/>
      <c r="Q338" s="21" t="str">
        <f>IF($N$1="Piping", IF(ISBLANK(Piping!T338), "", Piping!T338), IF($N$1="Vessels", IF(ISBLANK(Vessels!T338), "", Vessels!T338), ""))</f>
        <v/>
      </c>
      <c r="R338" s="51" t="str">
        <f>IF($N$1="Piping", IF(ISBLANK(Piping!U338), "", Piping!U338), IF($N$1="Vessels", IF(ISBLANK(Vessels!U338), "", Vessels!U338), ""))</f>
        <v/>
      </c>
      <c r="S338" s="118" t="str">
        <f>IF(B338&lt;&gt;"",IF($N$1="Piping", IF(ISBLANK(Piping!$J$3), "", Piping!$J$3), IF($N$1="Vessels", IF(ISBLANK(Vessels!$J$3), "", Vessels!$J$3), "")),"")</f>
        <v/>
      </c>
      <c r="T338" s="37"/>
      <c r="U338" s="37"/>
      <c r="V338" s="37"/>
      <c r="W338" s="37"/>
      <c r="X338" s="37"/>
      <c r="Y338" s="37"/>
      <c r="Z338" s="37"/>
    </row>
    <row r="339" spans="1:26" ht="15.75" customHeight="1" x14ac:dyDescent="0.3">
      <c r="A339" s="22">
        <f>IF($N$1="Piping", IF(ISBLANK(Piping!A339), "", Piping!A339), IF($N$1="Vessels", IF(ISBLANK(Vessels!A339), "", Vessels!A339), ""))</f>
        <v>84.2</v>
      </c>
      <c r="B339" s="21" t="str">
        <f>IF($N$1="Piping", IF(ISBLANK(Piping!B339), "", Piping!B339), IF($N$1="Vessels", IF(ISBLANK(Vessels!B339), "", Vessels!B339), ""))</f>
        <v/>
      </c>
      <c r="C339" s="21" t="str">
        <f>IF($N$1="Piping", IF(ISBLANK(Piping!C339), "", Piping!C339), IF($N$1="Vessels", IF(ISBLANK(Vessels!C339), "", Vessels!C339), ""))</f>
        <v>Piping</v>
      </c>
      <c r="D339" s="21" t="str">
        <f>IF($N$1="Piping", IF(ISBLANK(Piping!D339), "", Piping!D339), IF($N$1="Vessels", IF(ISBLANK(Vessels!D339), "", Vessels!D339), ""))</f>
        <v/>
      </c>
      <c r="E339" s="21" t="str">
        <f>IF($N$1="Piping", IF(ISBLANK(Piping!E339), "", Piping!E339), IF($N$1="Vessels", IF(ISBLANK(Vessels!E339), "", Vessels!E339), ""))</f>
        <v/>
      </c>
      <c r="F339" s="21" t="str">
        <f>IF($N$1="Piping", IF(ISBLANK(Piping!F339), "", Piping!F339), IF($N$1="Vessels", IF(ISBLANK(Vessels!F339), "", Vessels!F339), ""))</f>
        <v/>
      </c>
      <c r="G339" s="21">
        <f>IF($N$1="Piping", IF(ISBLANK(Piping!G339), "", Piping!G339), IF($N$1="Vessels", IF(ISBLANK(Vessels!G339), "", Vessels!G339), ""))</f>
        <v>0</v>
      </c>
      <c r="H339" s="21" t="str">
        <f>IF($N$1="Piping", IF(ISBLANK(Piping!H339), "", Piping!H339), IF($N$1="Vessels", IF(ISBLANK(Vessels!H339), "", Vessels!H339), ""))</f>
        <v/>
      </c>
      <c r="I339" s="21" t="str">
        <f>IF($N$1="Piping", IF(ISBLANK(Piping!I339), "", Piping!I339), IF($N$1="Vessels", IF(ISBLANK(Vessels!I339), "", Vessels!I339), ""))</f>
        <v/>
      </c>
      <c r="J339" s="21" t="str">
        <f>IF($N$1="Piping", IF(ISBLANK(Piping!J339), "", Piping!J339), IF($N$1="Vessels", IF(ISBLANK(Vessels!J339), "", Vessels!J339), ""))</f>
        <v/>
      </c>
      <c r="K339" s="21" t="str">
        <f>IF($N$1="Piping", IF(ISBLANK(Piping!K339), "", Piping!K339), IF($N$1="Vessels", IF(ISBLANK(Vessels!K339), "", Vessels!K339), ""))</f>
        <v/>
      </c>
      <c r="L339" s="21" t="str">
        <f>IF($N$1="Piping", IF(ISBLANK(Piping!L339), "", Piping!L339), IF($N$1="Vessels", IF(ISBLANK(Vessels!L339), "", Vessels!L339), ""))</f>
        <v/>
      </c>
      <c r="M339" s="21"/>
      <c r="N339" s="21"/>
      <c r="O339" s="21"/>
      <c r="P339" s="21"/>
      <c r="Q339" s="21" t="str">
        <f>IF($N$1="Piping", IF(ISBLANK(Piping!T339), "", Piping!T339), IF($N$1="Vessels", IF(ISBLANK(Vessels!T339), "", Vessels!T339), ""))</f>
        <v/>
      </c>
      <c r="R339" s="51" t="str">
        <f>IF($N$1="Piping", IF(ISBLANK(Piping!U339), "", Piping!U339), IF($N$1="Vessels", IF(ISBLANK(Vessels!U339), "", Vessels!U339), ""))</f>
        <v/>
      </c>
      <c r="S339" s="118" t="str">
        <f>IF(B339&lt;&gt;"",IF($N$1="Piping", IF(ISBLANK(Piping!$J$3), "", Piping!$J$3), IF($N$1="Vessels", IF(ISBLANK(Vessels!$J$3), "", Vessels!$J$3), "")),"")</f>
        <v/>
      </c>
      <c r="T339" s="37"/>
      <c r="U339" s="37"/>
      <c r="V339" s="37"/>
      <c r="W339" s="37"/>
      <c r="X339" s="37"/>
      <c r="Y339" s="37"/>
      <c r="Z339" s="37"/>
    </row>
    <row r="340" spans="1:26" ht="15.75" customHeight="1" x14ac:dyDescent="0.3">
      <c r="A340" s="22">
        <f>IF($N$1="Piping", IF(ISBLANK(Piping!A340), "", Piping!A340), IF($N$1="Vessels", IF(ISBLANK(Vessels!A340), "", Vessels!A340), ""))</f>
        <v>84.3</v>
      </c>
      <c r="B340" s="21" t="str">
        <f>IF($N$1="Piping", IF(ISBLANK(Piping!B340), "", Piping!B340), IF($N$1="Vessels", IF(ISBLANK(Vessels!B340), "", Vessels!B340), ""))</f>
        <v/>
      </c>
      <c r="C340" s="21" t="str">
        <f>IF($N$1="Piping", IF(ISBLANK(Piping!C340), "", Piping!C340), IF($N$1="Vessels", IF(ISBLANK(Vessels!C340), "", Vessels!C340), ""))</f>
        <v>Piping</v>
      </c>
      <c r="D340" s="21" t="str">
        <f>IF($N$1="Piping", IF(ISBLANK(Piping!D340), "", Piping!D340), IF($N$1="Vessels", IF(ISBLANK(Vessels!D340), "", Vessels!D340), ""))</f>
        <v/>
      </c>
      <c r="E340" s="21" t="str">
        <f>IF($N$1="Piping", IF(ISBLANK(Piping!E340), "", Piping!E340), IF($N$1="Vessels", IF(ISBLANK(Vessels!E340), "", Vessels!E340), ""))</f>
        <v/>
      </c>
      <c r="F340" s="21" t="str">
        <f>IF($N$1="Piping", IF(ISBLANK(Piping!F340), "", Piping!F340), IF($N$1="Vessels", IF(ISBLANK(Vessels!F340), "", Vessels!F340), ""))</f>
        <v/>
      </c>
      <c r="G340" s="21">
        <f>IF($N$1="Piping", IF(ISBLANK(Piping!G340), "", Piping!G340), IF($N$1="Vessels", IF(ISBLANK(Vessels!G340), "", Vessels!G340), ""))</f>
        <v>0</v>
      </c>
      <c r="H340" s="21" t="str">
        <f>IF($N$1="Piping", IF(ISBLANK(Piping!H340), "", Piping!H340), IF($N$1="Vessels", IF(ISBLANK(Vessels!H340), "", Vessels!H340), ""))</f>
        <v/>
      </c>
      <c r="I340" s="21" t="str">
        <f>IF($N$1="Piping", IF(ISBLANK(Piping!I340), "", Piping!I340), IF($N$1="Vessels", IF(ISBLANK(Vessels!I340), "", Vessels!I340), ""))</f>
        <v/>
      </c>
      <c r="J340" s="21" t="str">
        <f>IF($N$1="Piping", IF(ISBLANK(Piping!J340), "", Piping!J340), IF($N$1="Vessels", IF(ISBLANK(Vessels!J340), "", Vessels!J340), ""))</f>
        <v/>
      </c>
      <c r="K340" s="21" t="str">
        <f>IF($N$1="Piping", IF(ISBLANK(Piping!K340), "", Piping!K340), IF($N$1="Vessels", IF(ISBLANK(Vessels!K340), "", Vessels!K340), ""))</f>
        <v/>
      </c>
      <c r="L340" s="21" t="str">
        <f>IF($N$1="Piping", IF(ISBLANK(Piping!L340), "", Piping!L340), IF($N$1="Vessels", IF(ISBLANK(Vessels!L340), "", Vessels!L340), ""))</f>
        <v/>
      </c>
      <c r="M340" s="21"/>
      <c r="N340" s="21"/>
      <c r="O340" s="21"/>
      <c r="P340" s="21"/>
      <c r="Q340" s="21" t="str">
        <f>IF($N$1="Piping", IF(ISBLANK(Piping!T340), "", Piping!T340), IF($N$1="Vessels", IF(ISBLANK(Vessels!T340), "", Vessels!T340), ""))</f>
        <v/>
      </c>
      <c r="R340" s="51" t="str">
        <f>IF($N$1="Piping", IF(ISBLANK(Piping!U340), "", Piping!U340), IF($N$1="Vessels", IF(ISBLANK(Vessels!U340), "", Vessels!U340), ""))</f>
        <v/>
      </c>
      <c r="S340" s="118" t="str">
        <f>IF(B340&lt;&gt;"",IF($N$1="Piping", IF(ISBLANK(Piping!$J$3), "", Piping!$J$3), IF($N$1="Vessels", IF(ISBLANK(Vessels!$J$3), "", Vessels!$J$3), "")),"")</f>
        <v/>
      </c>
      <c r="T340" s="37"/>
      <c r="U340" s="37"/>
      <c r="V340" s="37"/>
      <c r="W340" s="37"/>
      <c r="X340" s="37"/>
      <c r="Y340" s="37"/>
      <c r="Z340" s="37"/>
    </row>
    <row r="341" spans="1:26" ht="15.75" customHeight="1" x14ac:dyDescent="0.3">
      <c r="A341" s="22">
        <f>IF($N$1="Piping", IF(ISBLANK(Piping!A341), "", Piping!A341), IF($N$1="Vessels", IF(ISBLANK(Vessels!A341), "", Vessels!A341), ""))</f>
        <v>84.4</v>
      </c>
      <c r="B341" s="21" t="str">
        <f>IF($N$1="Piping", IF(ISBLANK(Piping!B341), "", Piping!B341), IF($N$1="Vessels", IF(ISBLANK(Vessels!B341), "", Vessels!B341), ""))</f>
        <v/>
      </c>
      <c r="C341" s="21" t="str">
        <f>IF($N$1="Piping", IF(ISBLANK(Piping!C341), "", Piping!C341), IF($N$1="Vessels", IF(ISBLANK(Vessels!C341), "", Vessels!C341), ""))</f>
        <v>Piping</v>
      </c>
      <c r="D341" s="21" t="str">
        <f>IF($N$1="Piping", IF(ISBLANK(Piping!D341), "", Piping!D341), IF($N$1="Vessels", IF(ISBLANK(Vessels!D341), "", Vessels!D341), ""))</f>
        <v/>
      </c>
      <c r="E341" s="21" t="str">
        <f>IF($N$1="Piping", IF(ISBLANK(Piping!E341), "", Piping!E341), IF($N$1="Vessels", IF(ISBLANK(Vessels!E341), "", Vessels!E341), ""))</f>
        <v/>
      </c>
      <c r="F341" s="21" t="str">
        <f>IF($N$1="Piping", IF(ISBLANK(Piping!F341), "", Piping!F341), IF($N$1="Vessels", IF(ISBLANK(Vessels!F341), "", Vessels!F341), ""))</f>
        <v/>
      </c>
      <c r="G341" s="21">
        <f>IF($N$1="Piping", IF(ISBLANK(Piping!G341), "", Piping!G341), IF($N$1="Vessels", IF(ISBLANK(Vessels!G341), "", Vessels!G341), ""))</f>
        <v>0</v>
      </c>
      <c r="H341" s="21" t="str">
        <f>IF($N$1="Piping", IF(ISBLANK(Piping!H341), "", Piping!H341), IF($N$1="Vessels", IF(ISBLANK(Vessels!H341), "", Vessels!H341), ""))</f>
        <v/>
      </c>
      <c r="I341" s="21" t="str">
        <f>IF($N$1="Piping", IF(ISBLANK(Piping!I341), "", Piping!I341), IF($N$1="Vessels", IF(ISBLANK(Vessels!I341), "", Vessels!I341), ""))</f>
        <v/>
      </c>
      <c r="J341" s="21" t="str">
        <f>IF($N$1="Piping", IF(ISBLANK(Piping!J341), "", Piping!J341), IF($N$1="Vessels", IF(ISBLANK(Vessels!J341), "", Vessels!J341), ""))</f>
        <v/>
      </c>
      <c r="K341" s="21" t="str">
        <f>IF($N$1="Piping", IF(ISBLANK(Piping!K341), "", Piping!K341), IF($N$1="Vessels", IF(ISBLANK(Vessels!K341), "", Vessels!K341), ""))</f>
        <v/>
      </c>
      <c r="L341" s="21" t="str">
        <f>IF($N$1="Piping", IF(ISBLANK(Piping!L341), "", Piping!L341), IF($N$1="Vessels", IF(ISBLANK(Vessels!L341), "", Vessels!L341), ""))</f>
        <v/>
      </c>
      <c r="M341" s="21"/>
      <c r="N341" s="21"/>
      <c r="O341" s="21"/>
      <c r="P341" s="21"/>
      <c r="Q341" s="21" t="str">
        <f>IF($N$1="Piping", IF(ISBLANK(Piping!T341), "", Piping!T341), IF($N$1="Vessels", IF(ISBLANK(Vessels!T341), "", Vessels!T341), ""))</f>
        <v/>
      </c>
      <c r="R341" s="51" t="str">
        <f>IF($N$1="Piping", IF(ISBLANK(Piping!U341), "", Piping!U341), IF($N$1="Vessels", IF(ISBLANK(Vessels!U341), "", Vessels!U341), ""))</f>
        <v/>
      </c>
      <c r="S341" s="118" t="str">
        <f>IF(B341&lt;&gt;"",IF($N$1="Piping", IF(ISBLANK(Piping!$J$3), "", Piping!$J$3), IF($N$1="Vessels", IF(ISBLANK(Vessels!$J$3), "", Vessels!$J$3), "")),"")</f>
        <v/>
      </c>
      <c r="T341" s="37"/>
      <c r="U341" s="37"/>
      <c r="V341" s="37"/>
      <c r="W341" s="37"/>
      <c r="X341" s="37"/>
      <c r="Y341" s="37"/>
      <c r="Z341" s="37"/>
    </row>
    <row r="342" spans="1:26" ht="15.75" customHeight="1" x14ac:dyDescent="0.3">
      <c r="A342" s="22">
        <f>IF($N$1="Piping", IF(ISBLANK(Piping!A342), "", Piping!A342), IF($N$1="Vessels", IF(ISBLANK(Vessels!A342), "", Vessels!A342), ""))</f>
        <v>85.1</v>
      </c>
      <c r="B342" s="21" t="str">
        <f>IF($N$1="Piping", IF(ISBLANK(Piping!B342), "", Piping!B342), IF($N$1="Vessels", IF(ISBLANK(Vessels!B342), "", Vessels!B342), ""))</f>
        <v/>
      </c>
      <c r="C342" s="21" t="str">
        <f>IF($N$1="Piping", IF(ISBLANK(Piping!C342), "", Piping!C342), IF($N$1="Vessels", IF(ISBLANK(Vessels!C342), "", Vessels!C342), ""))</f>
        <v>Piping</v>
      </c>
      <c r="D342" s="21" t="str">
        <f>IF($N$1="Piping", IF(ISBLANK(Piping!D342), "", Piping!D342), IF($N$1="Vessels", IF(ISBLANK(Vessels!D342), "", Vessels!D342), ""))</f>
        <v/>
      </c>
      <c r="E342" s="21" t="str">
        <f>IF($N$1="Piping", IF(ISBLANK(Piping!E342), "", Piping!E342), IF($N$1="Vessels", IF(ISBLANK(Vessels!E342), "", Vessels!E342), ""))</f>
        <v/>
      </c>
      <c r="F342" s="21" t="str">
        <f>IF($N$1="Piping", IF(ISBLANK(Piping!F342), "", Piping!F342), IF($N$1="Vessels", IF(ISBLANK(Vessels!F342), "", Vessels!F342), ""))</f>
        <v/>
      </c>
      <c r="G342" s="21">
        <f>IF($N$1="Piping", IF(ISBLANK(Piping!G342), "", Piping!G342), IF($N$1="Vessels", IF(ISBLANK(Vessels!G342), "", Vessels!G342), ""))</f>
        <v>0</v>
      </c>
      <c r="H342" s="21" t="str">
        <f>IF($N$1="Piping", IF(ISBLANK(Piping!H342), "", Piping!H342), IF($N$1="Vessels", IF(ISBLANK(Vessels!H342), "", Vessels!H342), ""))</f>
        <v/>
      </c>
      <c r="I342" s="21" t="str">
        <f>IF($N$1="Piping", IF(ISBLANK(Piping!I342), "", Piping!I342), IF($N$1="Vessels", IF(ISBLANK(Vessels!I342), "", Vessels!I342), ""))</f>
        <v/>
      </c>
      <c r="J342" s="21" t="str">
        <f>IF($N$1="Piping", IF(ISBLANK(Piping!J342), "", Piping!J342), IF($N$1="Vessels", IF(ISBLANK(Vessels!J342), "", Vessels!J342), ""))</f>
        <v/>
      </c>
      <c r="K342" s="21" t="str">
        <f>IF($N$1="Piping", IF(ISBLANK(Piping!K342), "", Piping!K342), IF($N$1="Vessels", IF(ISBLANK(Vessels!K342), "", Vessels!K342), ""))</f>
        <v/>
      </c>
      <c r="L342" s="21" t="str">
        <f>IF($N$1="Piping", IF(ISBLANK(Piping!L342), "", Piping!L342), IF($N$1="Vessels", IF(ISBLANK(Vessels!L342), "", Vessels!L342), ""))</f>
        <v/>
      </c>
      <c r="M342" s="21"/>
      <c r="N342" s="21"/>
      <c r="O342" s="21"/>
      <c r="P342" s="21"/>
      <c r="Q342" s="21" t="str">
        <f>IF($N$1="Piping", IF(ISBLANK(Piping!T342), "", Piping!T342), IF($N$1="Vessels", IF(ISBLANK(Vessels!T342), "", Vessels!T342), ""))</f>
        <v/>
      </c>
      <c r="R342" s="51" t="str">
        <f>IF($N$1="Piping", IF(ISBLANK(Piping!U342), "", Piping!U342), IF($N$1="Vessels", IF(ISBLANK(Vessels!U342), "", Vessels!U342), ""))</f>
        <v/>
      </c>
      <c r="S342" s="118" t="str">
        <f>IF(B342&lt;&gt;"",IF($N$1="Piping", IF(ISBLANK(Piping!$J$3), "", Piping!$J$3), IF($N$1="Vessels", IF(ISBLANK(Vessels!$J$3), "", Vessels!$J$3), "")),"")</f>
        <v/>
      </c>
      <c r="T342" s="37"/>
      <c r="U342" s="37"/>
      <c r="V342" s="37"/>
      <c r="W342" s="37"/>
      <c r="X342" s="37"/>
      <c r="Y342" s="37"/>
      <c r="Z342" s="37"/>
    </row>
    <row r="343" spans="1:26" ht="15.75" customHeight="1" x14ac:dyDescent="0.3">
      <c r="A343" s="22">
        <f>IF($N$1="Piping", IF(ISBLANK(Piping!A343), "", Piping!A343), IF($N$1="Vessels", IF(ISBLANK(Vessels!A343), "", Vessels!A343), ""))</f>
        <v>85.2</v>
      </c>
      <c r="B343" s="21" t="str">
        <f>IF($N$1="Piping", IF(ISBLANK(Piping!B343), "", Piping!B343), IF($N$1="Vessels", IF(ISBLANK(Vessels!B343), "", Vessels!B343), ""))</f>
        <v/>
      </c>
      <c r="C343" s="21" t="str">
        <f>IF($N$1="Piping", IF(ISBLANK(Piping!C343), "", Piping!C343), IF($N$1="Vessels", IF(ISBLANK(Vessels!C343), "", Vessels!C343), ""))</f>
        <v>Piping</v>
      </c>
      <c r="D343" s="21" t="str">
        <f>IF($N$1="Piping", IF(ISBLANK(Piping!D343), "", Piping!D343), IF($N$1="Vessels", IF(ISBLANK(Vessels!D343), "", Vessels!D343), ""))</f>
        <v/>
      </c>
      <c r="E343" s="21" t="str">
        <f>IF($N$1="Piping", IF(ISBLANK(Piping!E343), "", Piping!E343), IF($N$1="Vessels", IF(ISBLANK(Vessels!E343), "", Vessels!E343), ""))</f>
        <v/>
      </c>
      <c r="F343" s="21" t="str">
        <f>IF($N$1="Piping", IF(ISBLANK(Piping!F343), "", Piping!F343), IF($N$1="Vessels", IF(ISBLANK(Vessels!F343), "", Vessels!F343), ""))</f>
        <v/>
      </c>
      <c r="G343" s="21">
        <f>IF($N$1="Piping", IF(ISBLANK(Piping!G343), "", Piping!G343), IF($N$1="Vessels", IF(ISBLANK(Vessels!G343), "", Vessels!G343), ""))</f>
        <v>0</v>
      </c>
      <c r="H343" s="21" t="str">
        <f>IF($N$1="Piping", IF(ISBLANK(Piping!H343), "", Piping!H343), IF($N$1="Vessels", IF(ISBLANK(Vessels!H343), "", Vessels!H343), ""))</f>
        <v/>
      </c>
      <c r="I343" s="21" t="str">
        <f>IF($N$1="Piping", IF(ISBLANK(Piping!I343), "", Piping!I343), IF($N$1="Vessels", IF(ISBLANK(Vessels!I343), "", Vessels!I343), ""))</f>
        <v/>
      </c>
      <c r="J343" s="21" t="str">
        <f>IF($N$1="Piping", IF(ISBLANK(Piping!J343), "", Piping!J343), IF($N$1="Vessels", IF(ISBLANK(Vessels!J343), "", Vessels!J343), ""))</f>
        <v/>
      </c>
      <c r="K343" s="21" t="str">
        <f>IF($N$1="Piping", IF(ISBLANK(Piping!K343), "", Piping!K343), IF($N$1="Vessels", IF(ISBLANK(Vessels!K343), "", Vessels!K343), ""))</f>
        <v/>
      </c>
      <c r="L343" s="21" t="str">
        <f>IF($N$1="Piping", IF(ISBLANK(Piping!L343), "", Piping!L343), IF($N$1="Vessels", IF(ISBLANK(Vessels!L343), "", Vessels!L343), ""))</f>
        <v/>
      </c>
      <c r="M343" s="21"/>
      <c r="N343" s="21"/>
      <c r="O343" s="21"/>
      <c r="P343" s="21"/>
      <c r="Q343" s="21" t="str">
        <f>IF($N$1="Piping", IF(ISBLANK(Piping!T343), "", Piping!T343), IF($N$1="Vessels", IF(ISBLANK(Vessels!T343), "", Vessels!T343), ""))</f>
        <v/>
      </c>
      <c r="R343" s="51" t="str">
        <f>IF($N$1="Piping", IF(ISBLANK(Piping!U343), "", Piping!U343), IF($N$1="Vessels", IF(ISBLANK(Vessels!U343), "", Vessels!U343), ""))</f>
        <v/>
      </c>
      <c r="S343" s="118" t="str">
        <f>IF(B343&lt;&gt;"",IF($N$1="Piping", IF(ISBLANK(Piping!$J$3), "", Piping!$J$3), IF($N$1="Vessels", IF(ISBLANK(Vessels!$J$3), "", Vessels!$J$3), "")),"")</f>
        <v/>
      </c>
      <c r="T343" s="37"/>
      <c r="U343" s="37"/>
      <c r="V343" s="37"/>
      <c r="W343" s="37"/>
      <c r="X343" s="37"/>
      <c r="Y343" s="37"/>
      <c r="Z343" s="37"/>
    </row>
    <row r="344" spans="1:26" ht="15.75" customHeight="1" x14ac:dyDescent="0.3">
      <c r="A344" s="22">
        <f>IF($N$1="Piping", IF(ISBLANK(Piping!A344), "", Piping!A344), IF($N$1="Vessels", IF(ISBLANK(Vessels!A344), "", Vessels!A344), ""))</f>
        <v>85.3</v>
      </c>
      <c r="B344" s="21" t="str">
        <f>IF($N$1="Piping", IF(ISBLANK(Piping!B344), "", Piping!B344), IF($N$1="Vessels", IF(ISBLANK(Vessels!B344), "", Vessels!B344), ""))</f>
        <v/>
      </c>
      <c r="C344" s="21" t="str">
        <f>IF($N$1="Piping", IF(ISBLANK(Piping!C344), "", Piping!C344), IF($N$1="Vessels", IF(ISBLANK(Vessels!C344), "", Vessels!C344), ""))</f>
        <v>Piping</v>
      </c>
      <c r="D344" s="21" t="str">
        <f>IF($N$1="Piping", IF(ISBLANK(Piping!D344), "", Piping!D344), IF($N$1="Vessels", IF(ISBLANK(Vessels!D344), "", Vessels!D344), ""))</f>
        <v/>
      </c>
      <c r="E344" s="21" t="str">
        <f>IF($N$1="Piping", IF(ISBLANK(Piping!E344), "", Piping!E344), IF($N$1="Vessels", IF(ISBLANK(Vessels!E344), "", Vessels!E344), ""))</f>
        <v/>
      </c>
      <c r="F344" s="21" t="str">
        <f>IF($N$1="Piping", IF(ISBLANK(Piping!F344), "", Piping!F344), IF($N$1="Vessels", IF(ISBLANK(Vessels!F344), "", Vessels!F344), ""))</f>
        <v/>
      </c>
      <c r="G344" s="21">
        <f>IF($N$1="Piping", IF(ISBLANK(Piping!G344), "", Piping!G344), IF($N$1="Vessels", IF(ISBLANK(Vessels!G344), "", Vessels!G344), ""))</f>
        <v>0</v>
      </c>
      <c r="H344" s="21" t="str">
        <f>IF($N$1="Piping", IF(ISBLANK(Piping!H344), "", Piping!H344), IF($N$1="Vessels", IF(ISBLANK(Vessels!H344), "", Vessels!H344), ""))</f>
        <v/>
      </c>
      <c r="I344" s="21" t="str">
        <f>IF($N$1="Piping", IF(ISBLANK(Piping!I344), "", Piping!I344), IF($N$1="Vessels", IF(ISBLANK(Vessels!I344), "", Vessels!I344), ""))</f>
        <v/>
      </c>
      <c r="J344" s="21" t="str">
        <f>IF($N$1="Piping", IF(ISBLANK(Piping!J344), "", Piping!J344), IF($N$1="Vessels", IF(ISBLANK(Vessels!J344), "", Vessels!J344), ""))</f>
        <v/>
      </c>
      <c r="K344" s="21" t="str">
        <f>IF($N$1="Piping", IF(ISBLANK(Piping!K344), "", Piping!K344), IF($N$1="Vessels", IF(ISBLANK(Vessels!K344), "", Vessels!K344), ""))</f>
        <v/>
      </c>
      <c r="L344" s="21" t="str">
        <f>IF($N$1="Piping", IF(ISBLANK(Piping!L344), "", Piping!L344), IF($N$1="Vessels", IF(ISBLANK(Vessels!L344), "", Vessels!L344), ""))</f>
        <v/>
      </c>
      <c r="M344" s="21"/>
      <c r="N344" s="21"/>
      <c r="O344" s="21"/>
      <c r="P344" s="21"/>
      <c r="Q344" s="21" t="str">
        <f>IF($N$1="Piping", IF(ISBLANK(Piping!T344), "", Piping!T344), IF($N$1="Vessels", IF(ISBLANK(Vessels!T344), "", Vessels!T344), ""))</f>
        <v/>
      </c>
      <c r="R344" s="51" t="str">
        <f>IF($N$1="Piping", IF(ISBLANK(Piping!U344), "", Piping!U344), IF($N$1="Vessels", IF(ISBLANK(Vessels!U344), "", Vessels!U344), ""))</f>
        <v/>
      </c>
      <c r="S344" s="118" t="str">
        <f>IF(B344&lt;&gt;"",IF($N$1="Piping", IF(ISBLANK(Piping!$J$3), "", Piping!$J$3), IF($N$1="Vessels", IF(ISBLANK(Vessels!$J$3), "", Vessels!$J$3), "")),"")</f>
        <v/>
      </c>
      <c r="T344" s="37"/>
      <c r="U344" s="37"/>
      <c r="V344" s="37"/>
      <c r="W344" s="37"/>
      <c r="X344" s="37"/>
      <c r="Y344" s="37"/>
      <c r="Z344" s="37"/>
    </row>
    <row r="345" spans="1:26" ht="15.75" customHeight="1" x14ac:dyDescent="0.3">
      <c r="A345" s="22">
        <f>IF($N$1="Piping", IF(ISBLANK(Piping!A345), "", Piping!A345), IF($N$1="Vessels", IF(ISBLANK(Vessels!A345), "", Vessels!A345), ""))</f>
        <v>85.4</v>
      </c>
      <c r="B345" s="21" t="str">
        <f>IF($N$1="Piping", IF(ISBLANK(Piping!B345), "", Piping!B345), IF($N$1="Vessels", IF(ISBLANK(Vessels!B345), "", Vessels!B345), ""))</f>
        <v/>
      </c>
      <c r="C345" s="21" t="str">
        <f>IF($N$1="Piping", IF(ISBLANK(Piping!C345), "", Piping!C345), IF($N$1="Vessels", IF(ISBLANK(Vessels!C345), "", Vessels!C345), ""))</f>
        <v>Piping</v>
      </c>
      <c r="D345" s="21" t="str">
        <f>IF($N$1="Piping", IF(ISBLANK(Piping!D345), "", Piping!D345), IF($N$1="Vessels", IF(ISBLANK(Vessels!D345), "", Vessels!D345), ""))</f>
        <v/>
      </c>
      <c r="E345" s="21" t="str">
        <f>IF($N$1="Piping", IF(ISBLANK(Piping!E345), "", Piping!E345), IF($N$1="Vessels", IF(ISBLANK(Vessels!E345), "", Vessels!E345), ""))</f>
        <v/>
      </c>
      <c r="F345" s="21" t="str">
        <f>IF($N$1="Piping", IF(ISBLANK(Piping!F345), "", Piping!F345), IF($N$1="Vessels", IF(ISBLANK(Vessels!F345), "", Vessels!F345), ""))</f>
        <v/>
      </c>
      <c r="G345" s="21">
        <f>IF($N$1="Piping", IF(ISBLANK(Piping!G345), "", Piping!G345), IF($N$1="Vessels", IF(ISBLANK(Vessels!G345), "", Vessels!G345), ""))</f>
        <v>0</v>
      </c>
      <c r="H345" s="21" t="str">
        <f>IF($N$1="Piping", IF(ISBLANK(Piping!H345), "", Piping!H345), IF($N$1="Vessels", IF(ISBLANK(Vessels!H345), "", Vessels!H345), ""))</f>
        <v/>
      </c>
      <c r="I345" s="21" t="str">
        <f>IF($N$1="Piping", IF(ISBLANK(Piping!I345), "", Piping!I345), IF($N$1="Vessels", IF(ISBLANK(Vessels!I345), "", Vessels!I345), ""))</f>
        <v/>
      </c>
      <c r="J345" s="21" t="str">
        <f>IF($N$1="Piping", IF(ISBLANK(Piping!J345), "", Piping!J345), IF($N$1="Vessels", IF(ISBLANK(Vessels!J345), "", Vessels!J345), ""))</f>
        <v/>
      </c>
      <c r="K345" s="21" t="str">
        <f>IF($N$1="Piping", IF(ISBLANK(Piping!K345), "", Piping!K345), IF($N$1="Vessels", IF(ISBLANK(Vessels!K345), "", Vessels!K345), ""))</f>
        <v/>
      </c>
      <c r="L345" s="21" t="str">
        <f>IF($N$1="Piping", IF(ISBLANK(Piping!L345), "", Piping!L345), IF($N$1="Vessels", IF(ISBLANK(Vessels!L345), "", Vessels!L345), ""))</f>
        <v/>
      </c>
      <c r="M345" s="21"/>
      <c r="N345" s="21"/>
      <c r="O345" s="21"/>
      <c r="P345" s="21"/>
      <c r="Q345" s="21" t="str">
        <f>IF($N$1="Piping", IF(ISBLANK(Piping!T345), "", Piping!T345), IF($N$1="Vessels", IF(ISBLANK(Vessels!T345), "", Vessels!T345), ""))</f>
        <v/>
      </c>
      <c r="R345" s="51" t="str">
        <f>IF($N$1="Piping", IF(ISBLANK(Piping!U345), "", Piping!U345), IF($N$1="Vessels", IF(ISBLANK(Vessels!U345), "", Vessels!U345), ""))</f>
        <v/>
      </c>
      <c r="S345" s="118" t="str">
        <f>IF(B345&lt;&gt;"",IF($N$1="Piping", IF(ISBLANK(Piping!$J$3), "", Piping!$J$3), IF($N$1="Vessels", IF(ISBLANK(Vessels!$J$3), "", Vessels!$J$3), "")),"")</f>
        <v/>
      </c>
      <c r="T345" s="37"/>
      <c r="U345" s="37"/>
      <c r="V345" s="37"/>
      <c r="W345" s="37"/>
      <c r="X345" s="37"/>
      <c r="Y345" s="37"/>
      <c r="Z345" s="37"/>
    </row>
    <row r="346" spans="1:26" ht="15.75" customHeight="1" x14ac:dyDescent="0.3">
      <c r="A346" s="22">
        <f>IF($N$1="Piping", IF(ISBLANK(Piping!A346), "", Piping!A346), IF($N$1="Vessels", IF(ISBLANK(Vessels!A346), "", Vessels!A346), ""))</f>
        <v>86.1</v>
      </c>
      <c r="B346" s="21" t="str">
        <f>IF($N$1="Piping", IF(ISBLANK(Piping!B346), "", Piping!B346), IF($N$1="Vessels", IF(ISBLANK(Vessels!B346), "", Vessels!B346), ""))</f>
        <v/>
      </c>
      <c r="C346" s="21" t="str">
        <f>IF($N$1="Piping", IF(ISBLANK(Piping!C346), "", Piping!C346), IF($N$1="Vessels", IF(ISBLANK(Vessels!C346), "", Vessels!C346), ""))</f>
        <v>Piping</v>
      </c>
      <c r="D346" s="21" t="str">
        <f>IF($N$1="Piping", IF(ISBLANK(Piping!D346), "", Piping!D346), IF($N$1="Vessels", IF(ISBLANK(Vessels!D346), "", Vessels!D346), ""))</f>
        <v/>
      </c>
      <c r="E346" s="21" t="str">
        <f>IF($N$1="Piping", IF(ISBLANK(Piping!E346), "", Piping!E346), IF($N$1="Vessels", IF(ISBLANK(Vessels!E346), "", Vessels!E346), ""))</f>
        <v/>
      </c>
      <c r="F346" s="21" t="str">
        <f>IF($N$1="Piping", IF(ISBLANK(Piping!F346), "", Piping!F346), IF($N$1="Vessels", IF(ISBLANK(Vessels!F346), "", Vessels!F346), ""))</f>
        <v/>
      </c>
      <c r="G346" s="21">
        <f>IF($N$1="Piping", IF(ISBLANK(Piping!G346), "", Piping!G346), IF($N$1="Vessels", IF(ISBLANK(Vessels!G346), "", Vessels!G346), ""))</f>
        <v>0</v>
      </c>
      <c r="H346" s="21" t="str">
        <f>IF($N$1="Piping", IF(ISBLANK(Piping!H346), "", Piping!H346), IF($N$1="Vessels", IF(ISBLANK(Vessels!H346), "", Vessels!H346), ""))</f>
        <v/>
      </c>
      <c r="I346" s="21" t="str">
        <f>IF($N$1="Piping", IF(ISBLANK(Piping!I346), "", Piping!I346), IF($N$1="Vessels", IF(ISBLANK(Vessels!I346), "", Vessels!I346), ""))</f>
        <v/>
      </c>
      <c r="J346" s="21" t="str">
        <f>IF($N$1="Piping", IF(ISBLANK(Piping!J346), "", Piping!J346), IF($N$1="Vessels", IF(ISBLANK(Vessels!J346), "", Vessels!J346), ""))</f>
        <v/>
      </c>
      <c r="K346" s="21" t="str">
        <f>IF($N$1="Piping", IF(ISBLANK(Piping!K346), "", Piping!K346), IF($N$1="Vessels", IF(ISBLANK(Vessels!K346), "", Vessels!K346), ""))</f>
        <v/>
      </c>
      <c r="L346" s="21" t="str">
        <f>IF($N$1="Piping", IF(ISBLANK(Piping!L346), "", Piping!L346), IF($N$1="Vessels", IF(ISBLANK(Vessels!L346), "", Vessels!L346), ""))</f>
        <v/>
      </c>
      <c r="M346" s="21"/>
      <c r="N346" s="21"/>
      <c r="O346" s="21"/>
      <c r="P346" s="21"/>
      <c r="Q346" s="21" t="str">
        <f>IF($N$1="Piping", IF(ISBLANK(Piping!T346), "", Piping!T346), IF($N$1="Vessels", IF(ISBLANK(Vessels!T346), "", Vessels!T346), ""))</f>
        <v/>
      </c>
      <c r="R346" s="51" t="str">
        <f>IF($N$1="Piping", IF(ISBLANK(Piping!U346), "", Piping!U346), IF($N$1="Vessels", IF(ISBLANK(Vessels!U346), "", Vessels!U346), ""))</f>
        <v/>
      </c>
      <c r="S346" s="118" t="str">
        <f>IF(B346&lt;&gt;"",IF($N$1="Piping", IF(ISBLANK(Piping!$J$3), "", Piping!$J$3), IF($N$1="Vessels", IF(ISBLANK(Vessels!$J$3), "", Vessels!$J$3), "")),"")</f>
        <v/>
      </c>
      <c r="T346" s="37"/>
      <c r="U346" s="37"/>
      <c r="V346" s="37"/>
      <c r="W346" s="37"/>
      <c r="X346" s="37"/>
      <c r="Y346" s="37"/>
      <c r="Z346" s="37"/>
    </row>
    <row r="347" spans="1:26" ht="15.75" customHeight="1" x14ac:dyDescent="0.3">
      <c r="A347" s="22">
        <f>IF($N$1="Piping", IF(ISBLANK(Piping!A347), "", Piping!A347), IF($N$1="Vessels", IF(ISBLANK(Vessels!A347), "", Vessels!A347), ""))</f>
        <v>86.2</v>
      </c>
      <c r="B347" s="21" t="str">
        <f>IF($N$1="Piping", IF(ISBLANK(Piping!B347), "", Piping!B347), IF($N$1="Vessels", IF(ISBLANK(Vessels!B347), "", Vessels!B347), ""))</f>
        <v/>
      </c>
      <c r="C347" s="21" t="str">
        <f>IF($N$1="Piping", IF(ISBLANK(Piping!C347), "", Piping!C347), IF($N$1="Vessels", IF(ISBLANK(Vessels!C347), "", Vessels!C347), ""))</f>
        <v>Piping</v>
      </c>
      <c r="D347" s="21" t="str">
        <f>IF($N$1="Piping", IF(ISBLANK(Piping!D347), "", Piping!D347), IF($N$1="Vessels", IF(ISBLANK(Vessels!D347), "", Vessels!D347), ""))</f>
        <v/>
      </c>
      <c r="E347" s="21" t="str">
        <f>IF($N$1="Piping", IF(ISBLANK(Piping!E347), "", Piping!E347), IF($N$1="Vessels", IF(ISBLANK(Vessels!E347), "", Vessels!E347), ""))</f>
        <v/>
      </c>
      <c r="F347" s="21" t="str">
        <f>IF($N$1="Piping", IF(ISBLANK(Piping!F347), "", Piping!F347), IF($N$1="Vessels", IF(ISBLANK(Vessels!F347), "", Vessels!F347), ""))</f>
        <v/>
      </c>
      <c r="G347" s="21">
        <f>IF($N$1="Piping", IF(ISBLANK(Piping!G347), "", Piping!G347), IF($N$1="Vessels", IF(ISBLANK(Vessels!G347), "", Vessels!G347), ""))</f>
        <v>0</v>
      </c>
      <c r="H347" s="21" t="str">
        <f>IF($N$1="Piping", IF(ISBLANK(Piping!H347), "", Piping!H347), IF($N$1="Vessels", IF(ISBLANK(Vessels!H347), "", Vessels!H347), ""))</f>
        <v/>
      </c>
      <c r="I347" s="21" t="str">
        <f>IF($N$1="Piping", IF(ISBLANK(Piping!I347), "", Piping!I347), IF($N$1="Vessels", IF(ISBLANK(Vessels!I347), "", Vessels!I347), ""))</f>
        <v/>
      </c>
      <c r="J347" s="21" t="str">
        <f>IF($N$1="Piping", IF(ISBLANK(Piping!J347), "", Piping!J347), IF($N$1="Vessels", IF(ISBLANK(Vessels!J347), "", Vessels!J347), ""))</f>
        <v/>
      </c>
      <c r="K347" s="21" t="str">
        <f>IF($N$1="Piping", IF(ISBLANK(Piping!K347), "", Piping!K347), IF($N$1="Vessels", IF(ISBLANK(Vessels!K347), "", Vessels!K347), ""))</f>
        <v/>
      </c>
      <c r="L347" s="21" t="str">
        <f>IF($N$1="Piping", IF(ISBLANK(Piping!L347), "", Piping!L347), IF($N$1="Vessels", IF(ISBLANK(Vessels!L347), "", Vessels!L347), ""))</f>
        <v/>
      </c>
      <c r="M347" s="21"/>
      <c r="N347" s="21"/>
      <c r="O347" s="21"/>
      <c r="P347" s="21"/>
      <c r="Q347" s="21" t="str">
        <f>IF($N$1="Piping", IF(ISBLANK(Piping!T347), "", Piping!T347), IF($N$1="Vessels", IF(ISBLANK(Vessels!T347), "", Vessels!T347), ""))</f>
        <v/>
      </c>
      <c r="R347" s="51" t="str">
        <f>IF($N$1="Piping", IF(ISBLANK(Piping!U347), "", Piping!U347), IF($N$1="Vessels", IF(ISBLANK(Vessels!U347), "", Vessels!U347), ""))</f>
        <v/>
      </c>
      <c r="S347" s="118" t="str">
        <f>IF(B347&lt;&gt;"",IF($N$1="Piping", IF(ISBLANK(Piping!$J$3), "", Piping!$J$3), IF($N$1="Vessels", IF(ISBLANK(Vessels!$J$3), "", Vessels!$J$3), "")),"")</f>
        <v/>
      </c>
      <c r="T347" s="37"/>
      <c r="U347" s="37"/>
      <c r="V347" s="37"/>
      <c r="W347" s="37"/>
      <c r="X347" s="37"/>
      <c r="Y347" s="37"/>
      <c r="Z347" s="37"/>
    </row>
    <row r="348" spans="1:26" ht="15.75" customHeight="1" x14ac:dyDescent="0.3">
      <c r="A348" s="22">
        <f>IF($N$1="Piping", IF(ISBLANK(Piping!A348), "", Piping!A348), IF($N$1="Vessels", IF(ISBLANK(Vessels!A348), "", Vessels!A348), ""))</f>
        <v>86.3</v>
      </c>
      <c r="B348" s="21" t="str">
        <f>IF($N$1="Piping", IF(ISBLANK(Piping!B348), "", Piping!B348), IF($N$1="Vessels", IF(ISBLANK(Vessels!B348), "", Vessels!B348), ""))</f>
        <v/>
      </c>
      <c r="C348" s="21" t="str">
        <f>IF($N$1="Piping", IF(ISBLANK(Piping!C348), "", Piping!C348), IF($N$1="Vessels", IF(ISBLANK(Vessels!C348), "", Vessels!C348), ""))</f>
        <v>Piping</v>
      </c>
      <c r="D348" s="21" t="str">
        <f>IF($N$1="Piping", IF(ISBLANK(Piping!D348), "", Piping!D348), IF($N$1="Vessels", IF(ISBLANK(Vessels!D348), "", Vessels!D348), ""))</f>
        <v/>
      </c>
      <c r="E348" s="21" t="str">
        <f>IF($N$1="Piping", IF(ISBLANK(Piping!E348), "", Piping!E348), IF($N$1="Vessels", IF(ISBLANK(Vessels!E348), "", Vessels!E348), ""))</f>
        <v/>
      </c>
      <c r="F348" s="21" t="str">
        <f>IF($N$1="Piping", IF(ISBLANK(Piping!F348), "", Piping!F348), IF($N$1="Vessels", IF(ISBLANK(Vessels!F348), "", Vessels!F348), ""))</f>
        <v/>
      </c>
      <c r="G348" s="21">
        <f>IF($N$1="Piping", IF(ISBLANK(Piping!G348), "", Piping!G348), IF($N$1="Vessels", IF(ISBLANK(Vessels!G348), "", Vessels!G348), ""))</f>
        <v>0</v>
      </c>
      <c r="H348" s="21" t="str">
        <f>IF($N$1="Piping", IF(ISBLANK(Piping!H348), "", Piping!H348), IF($N$1="Vessels", IF(ISBLANK(Vessels!H348), "", Vessels!H348), ""))</f>
        <v/>
      </c>
      <c r="I348" s="21" t="str">
        <f>IF($N$1="Piping", IF(ISBLANK(Piping!I348), "", Piping!I348), IF($N$1="Vessels", IF(ISBLANK(Vessels!I348), "", Vessels!I348), ""))</f>
        <v/>
      </c>
      <c r="J348" s="21" t="str">
        <f>IF($N$1="Piping", IF(ISBLANK(Piping!J348), "", Piping!J348), IF($N$1="Vessels", IF(ISBLANK(Vessels!J348), "", Vessels!J348), ""))</f>
        <v/>
      </c>
      <c r="K348" s="21" t="str">
        <f>IF($N$1="Piping", IF(ISBLANK(Piping!K348), "", Piping!K348), IF($N$1="Vessels", IF(ISBLANK(Vessels!K348), "", Vessels!K348), ""))</f>
        <v/>
      </c>
      <c r="L348" s="21" t="str">
        <f>IF($N$1="Piping", IF(ISBLANK(Piping!L348), "", Piping!L348), IF($N$1="Vessels", IF(ISBLANK(Vessels!L348), "", Vessels!L348), ""))</f>
        <v/>
      </c>
      <c r="M348" s="21"/>
      <c r="N348" s="21"/>
      <c r="O348" s="21"/>
      <c r="P348" s="21"/>
      <c r="Q348" s="21" t="str">
        <f>IF($N$1="Piping", IF(ISBLANK(Piping!T348), "", Piping!T348), IF($N$1="Vessels", IF(ISBLANK(Vessels!T348), "", Vessels!T348), ""))</f>
        <v/>
      </c>
      <c r="R348" s="51" t="str">
        <f>IF($N$1="Piping", IF(ISBLANK(Piping!U348), "", Piping!U348), IF($N$1="Vessels", IF(ISBLANK(Vessels!U348), "", Vessels!U348), ""))</f>
        <v/>
      </c>
      <c r="S348" s="118" t="str">
        <f>IF(B348&lt;&gt;"",IF($N$1="Piping", IF(ISBLANK(Piping!$J$3), "", Piping!$J$3), IF($N$1="Vessels", IF(ISBLANK(Vessels!$J$3), "", Vessels!$J$3), "")),"")</f>
        <v/>
      </c>
      <c r="T348" s="37"/>
      <c r="U348" s="37"/>
      <c r="V348" s="37"/>
      <c r="W348" s="37"/>
      <c r="X348" s="37"/>
      <c r="Y348" s="37"/>
      <c r="Z348" s="37"/>
    </row>
    <row r="349" spans="1:26" ht="15.75" customHeight="1" x14ac:dyDescent="0.3">
      <c r="A349" s="22">
        <f>IF($N$1="Piping", IF(ISBLANK(Piping!A349), "", Piping!A349), IF($N$1="Vessels", IF(ISBLANK(Vessels!A349), "", Vessels!A349), ""))</f>
        <v>86.4</v>
      </c>
      <c r="B349" s="21" t="str">
        <f>IF($N$1="Piping", IF(ISBLANK(Piping!B349), "", Piping!B349), IF($N$1="Vessels", IF(ISBLANK(Vessels!B349), "", Vessels!B349), ""))</f>
        <v/>
      </c>
      <c r="C349" s="21" t="str">
        <f>IF($N$1="Piping", IF(ISBLANK(Piping!C349), "", Piping!C349), IF($N$1="Vessels", IF(ISBLANK(Vessels!C349), "", Vessels!C349), ""))</f>
        <v>Piping</v>
      </c>
      <c r="D349" s="21" t="str">
        <f>IF($N$1="Piping", IF(ISBLANK(Piping!D349), "", Piping!D349), IF($N$1="Vessels", IF(ISBLANK(Vessels!D349), "", Vessels!D349), ""))</f>
        <v/>
      </c>
      <c r="E349" s="21" t="str">
        <f>IF($N$1="Piping", IF(ISBLANK(Piping!E349), "", Piping!E349), IF($N$1="Vessels", IF(ISBLANK(Vessels!E349), "", Vessels!E349), ""))</f>
        <v/>
      </c>
      <c r="F349" s="21" t="str">
        <f>IF($N$1="Piping", IF(ISBLANK(Piping!F349), "", Piping!F349), IF($N$1="Vessels", IF(ISBLANK(Vessels!F349), "", Vessels!F349), ""))</f>
        <v/>
      </c>
      <c r="G349" s="21">
        <f>IF($N$1="Piping", IF(ISBLANK(Piping!G349), "", Piping!G349), IF($N$1="Vessels", IF(ISBLANK(Vessels!G349), "", Vessels!G349), ""))</f>
        <v>0</v>
      </c>
      <c r="H349" s="21" t="str">
        <f>IF($N$1="Piping", IF(ISBLANK(Piping!H349), "", Piping!H349), IF($N$1="Vessels", IF(ISBLANK(Vessels!H349), "", Vessels!H349), ""))</f>
        <v/>
      </c>
      <c r="I349" s="21" t="str">
        <f>IF($N$1="Piping", IF(ISBLANK(Piping!I349), "", Piping!I349), IF($N$1="Vessels", IF(ISBLANK(Vessels!I349), "", Vessels!I349), ""))</f>
        <v/>
      </c>
      <c r="J349" s="21" t="str">
        <f>IF($N$1="Piping", IF(ISBLANK(Piping!J349), "", Piping!J349), IF($N$1="Vessels", IF(ISBLANK(Vessels!J349), "", Vessels!J349), ""))</f>
        <v/>
      </c>
      <c r="K349" s="21" t="str">
        <f>IF($N$1="Piping", IF(ISBLANK(Piping!K349), "", Piping!K349), IF($N$1="Vessels", IF(ISBLANK(Vessels!K349), "", Vessels!K349), ""))</f>
        <v/>
      </c>
      <c r="L349" s="21" t="str">
        <f>IF($N$1="Piping", IF(ISBLANK(Piping!L349), "", Piping!L349), IF($N$1="Vessels", IF(ISBLANK(Vessels!L349), "", Vessels!L349), ""))</f>
        <v/>
      </c>
      <c r="M349" s="21"/>
      <c r="N349" s="21"/>
      <c r="O349" s="21"/>
      <c r="P349" s="21"/>
      <c r="Q349" s="21" t="str">
        <f>IF($N$1="Piping", IF(ISBLANK(Piping!T349), "", Piping!T349), IF($N$1="Vessels", IF(ISBLANK(Vessels!T349), "", Vessels!T349), ""))</f>
        <v/>
      </c>
      <c r="R349" s="51" t="str">
        <f>IF($N$1="Piping", IF(ISBLANK(Piping!U349), "", Piping!U349), IF($N$1="Vessels", IF(ISBLANK(Vessels!U349), "", Vessels!U349), ""))</f>
        <v/>
      </c>
      <c r="S349" s="118" t="str">
        <f>IF(B349&lt;&gt;"",IF($N$1="Piping", IF(ISBLANK(Piping!$J$3), "", Piping!$J$3), IF($N$1="Vessels", IF(ISBLANK(Vessels!$J$3), "", Vessels!$J$3), "")),"")</f>
        <v/>
      </c>
      <c r="T349" s="37"/>
      <c r="U349" s="37"/>
      <c r="V349" s="37"/>
      <c r="W349" s="37"/>
      <c r="X349" s="37"/>
      <c r="Y349" s="37"/>
      <c r="Z349" s="37"/>
    </row>
    <row r="350" spans="1:26" ht="15.75" customHeight="1" x14ac:dyDescent="0.3">
      <c r="A350" s="22">
        <f>IF($N$1="Piping", IF(ISBLANK(Piping!A350), "", Piping!A350), IF($N$1="Vessels", IF(ISBLANK(Vessels!A350), "", Vessels!A350), ""))</f>
        <v>87.1</v>
      </c>
      <c r="B350" s="21" t="str">
        <f>IF($N$1="Piping", IF(ISBLANK(Piping!B350), "", Piping!B350), IF($N$1="Vessels", IF(ISBLANK(Vessels!B350), "", Vessels!B350), ""))</f>
        <v/>
      </c>
      <c r="C350" s="21" t="str">
        <f>IF($N$1="Piping", IF(ISBLANK(Piping!C350), "", Piping!C350), IF($N$1="Vessels", IF(ISBLANK(Vessels!C350), "", Vessels!C350), ""))</f>
        <v>Piping</v>
      </c>
      <c r="D350" s="21" t="str">
        <f>IF($N$1="Piping", IF(ISBLANK(Piping!D350), "", Piping!D350), IF($N$1="Vessels", IF(ISBLANK(Vessels!D350), "", Vessels!D350), ""))</f>
        <v/>
      </c>
      <c r="E350" s="21" t="str">
        <f>IF($N$1="Piping", IF(ISBLANK(Piping!E350), "", Piping!E350), IF($N$1="Vessels", IF(ISBLANK(Vessels!E350), "", Vessels!E350), ""))</f>
        <v/>
      </c>
      <c r="F350" s="21" t="str">
        <f>IF($N$1="Piping", IF(ISBLANK(Piping!F350), "", Piping!F350), IF($N$1="Vessels", IF(ISBLANK(Vessels!F350), "", Vessels!F350), ""))</f>
        <v/>
      </c>
      <c r="G350" s="21">
        <f>IF($N$1="Piping", IF(ISBLANK(Piping!G350), "", Piping!G350), IF($N$1="Vessels", IF(ISBLANK(Vessels!G350), "", Vessels!G350), ""))</f>
        <v>0</v>
      </c>
      <c r="H350" s="21" t="str">
        <f>IF($N$1="Piping", IF(ISBLANK(Piping!H350), "", Piping!H350), IF($N$1="Vessels", IF(ISBLANK(Vessels!H350), "", Vessels!H350), ""))</f>
        <v/>
      </c>
      <c r="I350" s="21" t="str">
        <f>IF($N$1="Piping", IF(ISBLANK(Piping!I350), "", Piping!I350), IF($N$1="Vessels", IF(ISBLANK(Vessels!I350), "", Vessels!I350), ""))</f>
        <v/>
      </c>
      <c r="J350" s="21" t="str">
        <f>IF($N$1="Piping", IF(ISBLANK(Piping!J350), "", Piping!J350), IF($N$1="Vessels", IF(ISBLANK(Vessels!J350), "", Vessels!J350), ""))</f>
        <v/>
      </c>
      <c r="K350" s="21" t="str">
        <f>IF($N$1="Piping", IF(ISBLANK(Piping!K350), "", Piping!K350), IF($N$1="Vessels", IF(ISBLANK(Vessels!K350), "", Vessels!K350), ""))</f>
        <v/>
      </c>
      <c r="L350" s="21" t="str">
        <f>IF($N$1="Piping", IF(ISBLANK(Piping!L350), "", Piping!L350), IF($N$1="Vessels", IF(ISBLANK(Vessels!L350), "", Vessels!L350), ""))</f>
        <v/>
      </c>
      <c r="M350" s="21"/>
      <c r="N350" s="21"/>
      <c r="O350" s="21"/>
      <c r="P350" s="21"/>
      <c r="Q350" s="21" t="str">
        <f>IF($N$1="Piping", IF(ISBLANK(Piping!T350), "", Piping!T350), IF($N$1="Vessels", IF(ISBLANK(Vessels!T350), "", Vessels!T350), ""))</f>
        <v/>
      </c>
      <c r="R350" s="51" t="str">
        <f>IF($N$1="Piping", IF(ISBLANK(Piping!U350), "", Piping!U350), IF($N$1="Vessels", IF(ISBLANK(Vessels!U350), "", Vessels!U350), ""))</f>
        <v/>
      </c>
      <c r="S350" s="118" t="str">
        <f>IF(B350&lt;&gt;"",IF($N$1="Piping", IF(ISBLANK(Piping!$J$3), "", Piping!$J$3), IF($N$1="Vessels", IF(ISBLANK(Vessels!$J$3), "", Vessels!$J$3), "")),"")</f>
        <v/>
      </c>
      <c r="T350" s="37"/>
      <c r="U350" s="37"/>
      <c r="V350" s="37"/>
      <c r="W350" s="37"/>
      <c r="X350" s="37"/>
      <c r="Y350" s="37"/>
      <c r="Z350" s="37"/>
    </row>
    <row r="351" spans="1:26" ht="15.75" customHeight="1" x14ac:dyDescent="0.3">
      <c r="A351" s="22">
        <f>IF($N$1="Piping", IF(ISBLANK(Piping!A351), "", Piping!A351), IF($N$1="Vessels", IF(ISBLANK(Vessels!A351), "", Vessels!A351), ""))</f>
        <v>87.2</v>
      </c>
      <c r="B351" s="21" t="str">
        <f>IF($N$1="Piping", IF(ISBLANK(Piping!B351), "", Piping!B351), IF($N$1="Vessels", IF(ISBLANK(Vessels!B351), "", Vessels!B351), ""))</f>
        <v/>
      </c>
      <c r="C351" s="21" t="str">
        <f>IF($N$1="Piping", IF(ISBLANK(Piping!C351), "", Piping!C351), IF($N$1="Vessels", IF(ISBLANK(Vessels!C351), "", Vessels!C351), ""))</f>
        <v>Piping</v>
      </c>
      <c r="D351" s="21" t="str">
        <f>IF($N$1="Piping", IF(ISBLANK(Piping!D351), "", Piping!D351), IF($N$1="Vessels", IF(ISBLANK(Vessels!D351), "", Vessels!D351), ""))</f>
        <v/>
      </c>
      <c r="E351" s="21" t="str">
        <f>IF($N$1="Piping", IF(ISBLANK(Piping!E351), "", Piping!E351), IF($N$1="Vessels", IF(ISBLANK(Vessels!E351), "", Vessels!E351), ""))</f>
        <v/>
      </c>
      <c r="F351" s="21" t="str">
        <f>IF($N$1="Piping", IF(ISBLANK(Piping!F351), "", Piping!F351), IF($N$1="Vessels", IF(ISBLANK(Vessels!F351), "", Vessels!F351), ""))</f>
        <v/>
      </c>
      <c r="G351" s="21">
        <f>IF($N$1="Piping", IF(ISBLANK(Piping!G351), "", Piping!G351), IF($N$1="Vessels", IF(ISBLANK(Vessels!G351), "", Vessels!G351), ""))</f>
        <v>0</v>
      </c>
      <c r="H351" s="21" t="str">
        <f>IF($N$1="Piping", IF(ISBLANK(Piping!H351), "", Piping!H351), IF($N$1="Vessels", IF(ISBLANK(Vessels!H351), "", Vessels!H351), ""))</f>
        <v/>
      </c>
      <c r="I351" s="21" t="str">
        <f>IF($N$1="Piping", IF(ISBLANK(Piping!I351), "", Piping!I351), IF($N$1="Vessels", IF(ISBLANK(Vessels!I351), "", Vessels!I351), ""))</f>
        <v/>
      </c>
      <c r="J351" s="21" t="str">
        <f>IF($N$1="Piping", IF(ISBLANK(Piping!J351), "", Piping!J351), IF($N$1="Vessels", IF(ISBLANK(Vessels!J351), "", Vessels!J351), ""))</f>
        <v/>
      </c>
      <c r="K351" s="21" t="str">
        <f>IF($N$1="Piping", IF(ISBLANK(Piping!K351), "", Piping!K351), IF($N$1="Vessels", IF(ISBLANK(Vessels!K351), "", Vessels!K351), ""))</f>
        <v/>
      </c>
      <c r="L351" s="21" t="str">
        <f>IF($N$1="Piping", IF(ISBLANK(Piping!L351), "", Piping!L351), IF($N$1="Vessels", IF(ISBLANK(Vessels!L351), "", Vessels!L351), ""))</f>
        <v/>
      </c>
      <c r="M351" s="21"/>
      <c r="N351" s="21"/>
      <c r="O351" s="21"/>
      <c r="P351" s="21"/>
      <c r="Q351" s="21" t="str">
        <f>IF($N$1="Piping", IF(ISBLANK(Piping!T351), "", Piping!T351), IF($N$1="Vessels", IF(ISBLANK(Vessels!T351), "", Vessels!T351), ""))</f>
        <v/>
      </c>
      <c r="R351" s="51" t="str">
        <f>IF($N$1="Piping", IF(ISBLANK(Piping!U351), "", Piping!U351), IF($N$1="Vessels", IF(ISBLANK(Vessels!U351), "", Vessels!U351), ""))</f>
        <v/>
      </c>
      <c r="S351" s="118" t="str">
        <f>IF(B351&lt;&gt;"",IF($N$1="Piping", IF(ISBLANK(Piping!$J$3), "", Piping!$J$3), IF($N$1="Vessels", IF(ISBLANK(Vessels!$J$3), "", Vessels!$J$3), "")),"")</f>
        <v/>
      </c>
      <c r="T351" s="37"/>
      <c r="U351" s="37"/>
      <c r="V351" s="37"/>
      <c r="W351" s="37"/>
      <c r="X351" s="37"/>
      <c r="Y351" s="37"/>
      <c r="Z351" s="37"/>
    </row>
    <row r="352" spans="1:26" ht="15.75" customHeight="1" x14ac:dyDescent="0.3">
      <c r="A352" s="22">
        <f>IF($N$1="Piping", IF(ISBLANK(Piping!A352), "", Piping!A352), IF($N$1="Vessels", IF(ISBLANK(Vessels!A352), "", Vessels!A352), ""))</f>
        <v>87.3</v>
      </c>
      <c r="B352" s="21" t="str">
        <f>IF($N$1="Piping", IF(ISBLANK(Piping!B352), "", Piping!B352), IF($N$1="Vessels", IF(ISBLANK(Vessels!B352), "", Vessels!B352), ""))</f>
        <v/>
      </c>
      <c r="C352" s="21" t="str">
        <f>IF($N$1="Piping", IF(ISBLANK(Piping!C352), "", Piping!C352), IF($N$1="Vessels", IF(ISBLANK(Vessels!C352), "", Vessels!C352), ""))</f>
        <v>Piping</v>
      </c>
      <c r="D352" s="21" t="str">
        <f>IF($N$1="Piping", IF(ISBLANK(Piping!D352), "", Piping!D352), IF($N$1="Vessels", IF(ISBLANK(Vessels!D352), "", Vessels!D352), ""))</f>
        <v/>
      </c>
      <c r="E352" s="21" t="str">
        <f>IF($N$1="Piping", IF(ISBLANK(Piping!E352), "", Piping!E352), IF($N$1="Vessels", IF(ISBLANK(Vessels!E352), "", Vessels!E352), ""))</f>
        <v/>
      </c>
      <c r="F352" s="21" t="str">
        <f>IF($N$1="Piping", IF(ISBLANK(Piping!F352), "", Piping!F352), IF($N$1="Vessels", IF(ISBLANK(Vessels!F352), "", Vessels!F352), ""))</f>
        <v/>
      </c>
      <c r="G352" s="21">
        <f>IF($N$1="Piping", IF(ISBLANK(Piping!G352), "", Piping!G352), IF($N$1="Vessels", IF(ISBLANK(Vessels!G352), "", Vessels!G352), ""))</f>
        <v>0</v>
      </c>
      <c r="H352" s="21" t="str">
        <f>IF($N$1="Piping", IF(ISBLANK(Piping!H352), "", Piping!H352), IF($N$1="Vessels", IF(ISBLANK(Vessels!H352), "", Vessels!H352), ""))</f>
        <v/>
      </c>
      <c r="I352" s="21" t="str">
        <f>IF($N$1="Piping", IF(ISBLANK(Piping!I352), "", Piping!I352), IF($N$1="Vessels", IF(ISBLANK(Vessels!I352), "", Vessels!I352), ""))</f>
        <v/>
      </c>
      <c r="J352" s="21" t="str">
        <f>IF($N$1="Piping", IF(ISBLANK(Piping!J352), "", Piping!J352), IF($N$1="Vessels", IF(ISBLANK(Vessels!J352), "", Vessels!J352), ""))</f>
        <v/>
      </c>
      <c r="K352" s="21" t="str">
        <f>IF($N$1="Piping", IF(ISBLANK(Piping!K352), "", Piping!K352), IF($N$1="Vessels", IF(ISBLANK(Vessels!K352), "", Vessels!K352), ""))</f>
        <v/>
      </c>
      <c r="L352" s="21" t="str">
        <f>IF($N$1="Piping", IF(ISBLANK(Piping!L352), "", Piping!L352), IF($N$1="Vessels", IF(ISBLANK(Vessels!L352), "", Vessels!L352), ""))</f>
        <v/>
      </c>
      <c r="M352" s="21"/>
      <c r="N352" s="21"/>
      <c r="O352" s="21"/>
      <c r="P352" s="21"/>
      <c r="Q352" s="21" t="str">
        <f>IF($N$1="Piping", IF(ISBLANK(Piping!T352), "", Piping!T352), IF($N$1="Vessels", IF(ISBLANK(Vessels!T352), "", Vessels!T352), ""))</f>
        <v/>
      </c>
      <c r="R352" s="51" t="str">
        <f>IF($N$1="Piping", IF(ISBLANK(Piping!U352), "", Piping!U352), IF($N$1="Vessels", IF(ISBLANK(Vessels!U352), "", Vessels!U352), ""))</f>
        <v/>
      </c>
      <c r="S352" s="118" t="str">
        <f>IF(B352&lt;&gt;"",IF($N$1="Piping", IF(ISBLANK(Piping!$J$3), "", Piping!$J$3), IF($N$1="Vessels", IF(ISBLANK(Vessels!$J$3), "", Vessels!$J$3), "")),"")</f>
        <v/>
      </c>
      <c r="T352" s="37"/>
      <c r="U352" s="37"/>
      <c r="V352" s="37"/>
      <c r="W352" s="37"/>
      <c r="X352" s="37"/>
      <c r="Y352" s="37"/>
      <c r="Z352" s="37"/>
    </row>
    <row r="353" spans="1:26" ht="15.75" customHeight="1" x14ac:dyDescent="0.3">
      <c r="A353" s="22">
        <f>IF($N$1="Piping", IF(ISBLANK(Piping!A353), "", Piping!A353), IF($N$1="Vessels", IF(ISBLANK(Vessels!A353), "", Vessels!A353), ""))</f>
        <v>87.4</v>
      </c>
      <c r="B353" s="21" t="str">
        <f>IF($N$1="Piping", IF(ISBLANK(Piping!B353), "", Piping!B353), IF($N$1="Vessels", IF(ISBLANK(Vessels!B353), "", Vessels!B353), ""))</f>
        <v/>
      </c>
      <c r="C353" s="21" t="str">
        <f>IF($N$1="Piping", IF(ISBLANK(Piping!C353), "", Piping!C353), IF($N$1="Vessels", IF(ISBLANK(Vessels!C353), "", Vessels!C353), ""))</f>
        <v>Piping</v>
      </c>
      <c r="D353" s="21" t="str">
        <f>IF($N$1="Piping", IF(ISBLANK(Piping!D353), "", Piping!D353), IF($N$1="Vessels", IF(ISBLANK(Vessels!D353), "", Vessels!D353), ""))</f>
        <v/>
      </c>
      <c r="E353" s="21" t="str">
        <f>IF($N$1="Piping", IF(ISBLANK(Piping!E353), "", Piping!E353), IF($N$1="Vessels", IF(ISBLANK(Vessels!E353), "", Vessels!E353), ""))</f>
        <v/>
      </c>
      <c r="F353" s="21" t="str">
        <f>IF($N$1="Piping", IF(ISBLANK(Piping!F353), "", Piping!F353), IF($N$1="Vessels", IF(ISBLANK(Vessels!F353), "", Vessels!F353), ""))</f>
        <v/>
      </c>
      <c r="G353" s="21">
        <f>IF($N$1="Piping", IF(ISBLANK(Piping!G353), "", Piping!G353), IF($N$1="Vessels", IF(ISBLANK(Vessels!G353), "", Vessels!G353), ""))</f>
        <v>0</v>
      </c>
      <c r="H353" s="21" t="str">
        <f>IF($N$1="Piping", IF(ISBLANK(Piping!H353), "", Piping!H353), IF($N$1="Vessels", IF(ISBLANK(Vessels!H353), "", Vessels!H353), ""))</f>
        <v/>
      </c>
      <c r="I353" s="21" t="str">
        <f>IF($N$1="Piping", IF(ISBLANK(Piping!I353), "", Piping!I353), IF($N$1="Vessels", IF(ISBLANK(Vessels!I353), "", Vessels!I353), ""))</f>
        <v/>
      </c>
      <c r="J353" s="21" t="str">
        <f>IF($N$1="Piping", IF(ISBLANK(Piping!J353), "", Piping!J353), IF($N$1="Vessels", IF(ISBLANK(Vessels!J353), "", Vessels!J353), ""))</f>
        <v/>
      </c>
      <c r="K353" s="21" t="str">
        <f>IF($N$1="Piping", IF(ISBLANK(Piping!K353), "", Piping!K353), IF($N$1="Vessels", IF(ISBLANK(Vessels!K353), "", Vessels!K353), ""))</f>
        <v/>
      </c>
      <c r="L353" s="21" t="str">
        <f>IF($N$1="Piping", IF(ISBLANK(Piping!L353), "", Piping!L353), IF($N$1="Vessels", IF(ISBLANK(Vessels!L353), "", Vessels!L353), ""))</f>
        <v/>
      </c>
      <c r="M353" s="21"/>
      <c r="N353" s="21"/>
      <c r="O353" s="21"/>
      <c r="P353" s="21"/>
      <c r="Q353" s="21" t="str">
        <f>IF($N$1="Piping", IF(ISBLANK(Piping!T353), "", Piping!T353), IF($N$1="Vessels", IF(ISBLANK(Vessels!T353), "", Vessels!T353), ""))</f>
        <v/>
      </c>
      <c r="R353" s="51" t="str">
        <f>IF($N$1="Piping", IF(ISBLANK(Piping!U353), "", Piping!U353), IF($N$1="Vessels", IF(ISBLANK(Vessels!U353), "", Vessels!U353), ""))</f>
        <v/>
      </c>
      <c r="S353" s="118" t="str">
        <f>IF(B353&lt;&gt;"",IF($N$1="Piping", IF(ISBLANK(Piping!$J$3), "", Piping!$J$3), IF($N$1="Vessels", IF(ISBLANK(Vessels!$J$3), "", Vessels!$J$3), "")),"")</f>
        <v/>
      </c>
      <c r="T353" s="37"/>
      <c r="U353" s="37"/>
      <c r="V353" s="37"/>
      <c r="W353" s="37"/>
      <c r="X353" s="37"/>
      <c r="Y353" s="37"/>
      <c r="Z353" s="37"/>
    </row>
    <row r="354" spans="1:26" ht="15.75" customHeight="1" x14ac:dyDescent="0.3">
      <c r="A354" s="22">
        <f>IF($N$1="Piping", IF(ISBLANK(Piping!A354), "", Piping!A354), IF($N$1="Vessels", IF(ISBLANK(Vessels!A354), "", Vessels!A354), ""))</f>
        <v>88.1</v>
      </c>
      <c r="B354" s="21" t="str">
        <f>IF($N$1="Piping", IF(ISBLANK(Piping!B354), "", Piping!B354), IF($N$1="Vessels", IF(ISBLANK(Vessels!B354), "", Vessels!B354), ""))</f>
        <v/>
      </c>
      <c r="C354" s="21" t="str">
        <f>IF($N$1="Piping", IF(ISBLANK(Piping!C354), "", Piping!C354), IF($N$1="Vessels", IF(ISBLANK(Vessels!C354), "", Vessels!C354), ""))</f>
        <v>Piping</v>
      </c>
      <c r="D354" s="21" t="str">
        <f>IF($N$1="Piping", IF(ISBLANK(Piping!D354), "", Piping!D354), IF($N$1="Vessels", IF(ISBLANK(Vessels!D354), "", Vessels!D354), ""))</f>
        <v/>
      </c>
      <c r="E354" s="21" t="str">
        <f>IF($N$1="Piping", IF(ISBLANK(Piping!E354), "", Piping!E354), IF($N$1="Vessels", IF(ISBLANK(Vessels!E354), "", Vessels!E354), ""))</f>
        <v/>
      </c>
      <c r="F354" s="21" t="str">
        <f>IF($N$1="Piping", IF(ISBLANK(Piping!F354), "", Piping!F354), IF($N$1="Vessels", IF(ISBLANK(Vessels!F354), "", Vessels!F354), ""))</f>
        <v/>
      </c>
      <c r="G354" s="21">
        <f>IF($N$1="Piping", IF(ISBLANK(Piping!G354), "", Piping!G354), IF($N$1="Vessels", IF(ISBLANK(Vessels!G354), "", Vessels!G354), ""))</f>
        <v>0</v>
      </c>
      <c r="H354" s="21" t="str">
        <f>IF($N$1="Piping", IF(ISBLANK(Piping!H354), "", Piping!H354), IF($N$1="Vessels", IF(ISBLANK(Vessels!H354), "", Vessels!H354), ""))</f>
        <v/>
      </c>
      <c r="I354" s="21" t="str">
        <f>IF($N$1="Piping", IF(ISBLANK(Piping!I354), "", Piping!I354), IF($N$1="Vessels", IF(ISBLANK(Vessels!I354), "", Vessels!I354), ""))</f>
        <v/>
      </c>
      <c r="J354" s="21" t="str">
        <f>IF($N$1="Piping", IF(ISBLANK(Piping!J354), "", Piping!J354), IF($N$1="Vessels", IF(ISBLANK(Vessels!J354), "", Vessels!J354), ""))</f>
        <v/>
      </c>
      <c r="K354" s="21" t="str">
        <f>IF($N$1="Piping", IF(ISBLANK(Piping!K354), "", Piping!K354), IF($N$1="Vessels", IF(ISBLANK(Vessels!K354), "", Vessels!K354), ""))</f>
        <v/>
      </c>
      <c r="L354" s="21" t="str">
        <f>IF($N$1="Piping", IF(ISBLANK(Piping!L354), "", Piping!L354), IF($N$1="Vessels", IF(ISBLANK(Vessels!L354), "", Vessels!L354), ""))</f>
        <v/>
      </c>
      <c r="M354" s="21"/>
      <c r="N354" s="21"/>
      <c r="O354" s="21"/>
      <c r="P354" s="21"/>
      <c r="Q354" s="21" t="str">
        <f>IF($N$1="Piping", IF(ISBLANK(Piping!T354), "", Piping!T354), IF($N$1="Vessels", IF(ISBLANK(Vessels!T354), "", Vessels!T354), ""))</f>
        <v/>
      </c>
      <c r="R354" s="51" t="str">
        <f>IF($N$1="Piping", IF(ISBLANK(Piping!U354), "", Piping!U354), IF($N$1="Vessels", IF(ISBLANK(Vessels!U354), "", Vessels!U354), ""))</f>
        <v/>
      </c>
      <c r="S354" s="118" t="str">
        <f>IF(B354&lt;&gt;"",IF($N$1="Piping", IF(ISBLANK(Piping!$J$3), "", Piping!$J$3), IF($N$1="Vessels", IF(ISBLANK(Vessels!$J$3), "", Vessels!$J$3), "")),"")</f>
        <v/>
      </c>
      <c r="T354" s="37"/>
      <c r="U354" s="37"/>
      <c r="V354" s="37"/>
      <c r="W354" s="37"/>
      <c r="X354" s="37"/>
      <c r="Y354" s="37"/>
      <c r="Z354" s="37"/>
    </row>
    <row r="355" spans="1:26" ht="15.75" customHeight="1" x14ac:dyDescent="0.3">
      <c r="A355" s="22">
        <f>IF($N$1="Piping", IF(ISBLANK(Piping!A355), "", Piping!A355), IF($N$1="Vessels", IF(ISBLANK(Vessels!A355), "", Vessels!A355), ""))</f>
        <v>88.2</v>
      </c>
      <c r="B355" s="21" t="str">
        <f>IF($N$1="Piping", IF(ISBLANK(Piping!B355), "", Piping!B355), IF($N$1="Vessels", IF(ISBLANK(Vessels!B355), "", Vessels!B355), ""))</f>
        <v/>
      </c>
      <c r="C355" s="21" t="str">
        <f>IF($N$1="Piping", IF(ISBLANK(Piping!C355), "", Piping!C355), IF($N$1="Vessels", IF(ISBLANK(Vessels!C355), "", Vessels!C355), ""))</f>
        <v>Piping</v>
      </c>
      <c r="D355" s="21" t="str">
        <f>IF($N$1="Piping", IF(ISBLANK(Piping!D355), "", Piping!D355), IF($N$1="Vessels", IF(ISBLANK(Vessels!D355), "", Vessels!D355), ""))</f>
        <v/>
      </c>
      <c r="E355" s="21" t="str">
        <f>IF($N$1="Piping", IF(ISBLANK(Piping!E355), "", Piping!E355), IF($N$1="Vessels", IF(ISBLANK(Vessels!E355), "", Vessels!E355), ""))</f>
        <v/>
      </c>
      <c r="F355" s="21" t="str">
        <f>IF($N$1="Piping", IF(ISBLANK(Piping!F355), "", Piping!F355), IF($N$1="Vessels", IF(ISBLANK(Vessels!F355), "", Vessels!F355), ""))</f>
        <v/>
      </c>
      <c r="G355" s="21">
        <f>IF($N$1="Piping", IF(ISBLANK(Piping!G355), "", Piping!G355), IF($N$1="Vessels", IF(ISBLANK(Vessels!G355), "", Vessels!G355), ""))</f>
        <v>0</v>
      </c>
      <c r="H355" s="21" t="str">
        <f>IF($N$1="Piping", IF(ISBLANK(Piping!H355), "", Piping!H355), IF($N$1="Vessels", IF(ISBLANK(Vessels!H355), "", Vessels!H355), ""))</f>
        <v/>
      </c>
      <c r="I355" s="21" t="str">
        <f>IF($N$1="Piping", IF(ISBLANK(Piping!I355), "", Piping!I355), IF($N$1="Vessels", IF(ISBLANK(Vessels!I355), "", Vessels!I355), ""))</f>
        <v/>
      </c>
      <c r="J355" s="21" t="str">
        <f>IF($N$1="Piping", IF(ISBLANK(Piping!J355), "", Piping!J355), IF($N$1="Vessels", IF(ISBLANK(Vessels!J355), "", Vessels!J355), ""))</f>
        <v/>
      </c>
      <c r="K355" s="21" t="str">
        <f>IF($N$1="Piping", IF(ISBLANK(Piping!K355), "", Piping!K355), IF($N$1="Vessels", IF(ISBLANK(Vessels!K355), "", Vessels!K355), ""))</f>
        <v/>
      </c>
      <c r="L355" s="21" t="str">
        <f>IF($N$1="Piping", IF(ISBLANK(Piping!L355), "", Piping!L355), IF($N$1="Vessels", IF(ISBLANK(Vessels!L355), "", Vessels!L355), ""))</f>
        <v/>
      </c>
      <c r="M355" s="21"/>
      <c r="N355" s="21"/>
      <c r="O355" s="21"/>
      <c r="P355" s="21"/>
      <c r="Q355" s="21" t="str">
        <f>IF($N$1="Piping", IF(ISBLANK(Piping!T355), "", Piping!T355), IF($N$1="Vessels", IF(ISBLANK(Vessels!T355), "", Vessels!T355), ""))</f>
        <v/>
      </c>
      <c r="R355" s="51" t="str">
        <f>IF($N$1="Piping", IF(ISBLANK(Piping!U355), "", Piping!U355), IF($N$1="Vessels", IF(ISBLANK(Vessels!U355), "", Vessels!U355), ""))</f>
        <v/>
      </c>
      <c r="S355" s="118" t="str">
        <f>IF(B355&lt;&gt;"",IF($N$1="Piping", IF(ISBLANK(Piping!$J$3), "", Piping!$J$3), IF($N$1="Vessels", IF(ISBLANK(Vessels!$J$3), "", Vessels!$J$3), "")),"")</f>
        <v/>
      </c>
      <c r="T355" s="37"/>
      <c r="U355" s="37"/>
      <c r="V355" s="37"/>
      <c r="W355" s="37"/>
      <c r="X355" s="37"/>
      <c r="Y355" s="37"/>
      <c r="Z355" s="37"/>
    </row>
    <row r="356" spans="1:26" ht="15.75" customHeight="1" x14ac:dyDescent="0.3">
      <c r="A356" s="22">
        <f>IF($N$1="Piping", IF(ISBLANK(Piping!A356), "", Piping!A356), IF($N$1="Vessels", IF(ISBLANK(Vessels!A356), "", Vessels!A356), ""))</f>
        <v>88.3</v>
      </c>
      <c r="B356" s="21" t="str">
        <f>IF($N$1="Piping", IF(ISBLANK(Piping!B356), "", Piping!B356), IF($N$1="Vessels", IF(ISBLANK(Vessels!B356), "", Vessels!B356), ""))</f>
        <v/>
      </c>
      <c r="C356" s="21" t="str">
        <f>IF($N$1="Piping", IF(ISBLANK(Piping!C356), "", Piping!C356), IF($N$1="Vessels", IF(ISBLANK(Vessels!C356), "", Vessels!C356), ""))</f>
        <v>Piping</v>
      </c>
      <c r="D356" s="21" t="str">
        <f>IF($N$1="Piping", IF(ISBLANK(Piping!D356), "", Piping!D356), IF($N$1="Vessels", IF(ISBLANK(Vessels!D356), "", Vessels!D356), ""))</f>
        <v/>
      </c>
      <c r="E356" s="21" t="str">
        <f>IF($N$1="Piping", IF(ISBLANK(Piping!E356), "", Piping!E356), IF($N$1="Vessels", IF(ISBLANK(Vessels!E356), "", Vessels!E356), ""))</f>
        <v/>
      </c>
      <c r="F356" s="21" t="str">
        <f>IF($N$1="Piping", IF(ISBLANK(Piping!F356), "", Piping!F356), IF($N$1="Vessels", IF(ISBLANK(Vessels!F356), "", Vessels!F356), ""))</f>
        <v/>
      </c>
      <c r="G356" s="21">
        <f>IF($N$1="Piping", IF(ISBLANK(Piping!G356), "", Piping!G356), IF($N$1="Vessels", IF(ISBLANK(Vessels!G356), "", Vessels!G356), ""))</f>
        <v>0</v>
      </c>
      <c r="H356" s="21" t="str">
        <f>IF($N$1="Piping", IF(ISBLANK(Piping!H356), "", Piping!H356), IF($N$1="Vessels", IF(ISBLANK(Vessels!H356), "", Vessels!H356), ""))</f>
        <v/>
      </c>
      <c r="I356" s="21" t="str">
        <f>IF($N$1="Piping", IF(ISBLANK(Piping!I356), "", Piping!I356), IF($N$1="Vessels", IF(ISBLANK(Vessels!I356), "", Vessels!I356), ""))</f>
        <v/>
      </c>
      <c r="J356" s="21" t="str">
        <f>IF($N$1="Piping", IF(ISBLANK(Piping!J356), "", Piping!J356), IF($N$1="Vessels", IF(ISBLANK(Vessels!J356), "", Vessels!J356), ""))</f>
        <v/>
      </c>
      <c r="K356" s="21" t="str">
        <f>IF($N$1="Piping", IF(ISBLANK(Piping!K356), "", Piping!K356), IF($N$1="Vessels", IF(ISBLANK(Vessels!K356), "", Vessels!K356), ""))</f>
        <v/>
      </c>
      <c r="L356" s="21" t="str">
        <f>IF($N$1="Piping", IF(ISBLANK(Piping!L356), "", Piping!L356), IF($N$1="Vessels", IF(ISBLANK(Vessels!L356), "", Vessels!L356), ""))</f>
        <v/>
      </c>
      <c r="M356" s="21"/>
      <c r="N356" s="21"/>
      <c r="O356" s="21"/>
      <c r="P356" s="21"/>
      <c r="Q356" s="21" t="str">
        <f>IF($N$1="Piping", IF(ISBLANK(Piping!T356), "", Piping!T356), IF($N$1="Vessels", IF(ISBLANK(Vessels!T356), "", Vessels!T356), ""))</f>
        <v/>
      </c>
      <c r="R356" s="51" t="str">
        <f>IF($N$1="Piping", IF(ISBLANK(Piping!U356), "", Piping!U356), IF($N$1="Vessels", IF(ISBLANK(Vessels!U356), "", Vessels!U356), ""))</f>
        <v/>
      </c>
      <c r="S356" s="118" t="str">
        <f>IF(B356&lt;&gt;"",IF($N$1="Piping", IF(ISBLANK(Piping!$J$3), "", Piping!$J$3), IF($N$1="Vessels", IF(ISBLANK(Vessels!$J$3), "", Vessels!$J$3), "")),"")</f>
        <v/>
      </c>
      <c r="T356" s="37"/>
      <c r="U356" s="37"/>
      <c r="V356" s="37"/>
      <c r="W356" s="37"/>
      <c r="X356" s="37"/>
      <c r="Y356" s="37"/>
      <c r="Z356" s="37"/>
    </row>
    <row r="357" spans="1:26" ht="15.75" customHeight="1" x14ac:dyDescent="0.3">
      <c r="A357" s="22">
        <f>IF($N$1="Piping", IF(ISBLANK(Piping!A357), "", Piping!A357), IF($N$1="Vessels", IF(ISBLANK(Vessels!A357), "", Vessels!A357), ""))</f>
        <v>88.4</v>
      </c>
      <c r="B357" s="21" t="str">
        <f>IF($N$1="Piping", IF(ISBLANK(Piping!B357), "", Piping!B357), IF($N$1="Vessels", IF(ISBLANK(Vessels!B357), "", Vessels!B357), ""))</f>
        <v/>
      </c>
      <c r="C357" s="21" t="str">
        <f>IF($N$1="Piping", IF(ISBLANK(Piping!C357), "", Piping!C357), IF($N$1="Vessels", IF(ISBLANK(Vessels!C357), "", Vessels!C357), ""))</f>
        <v>Piping</v>
      </c>
      <c r="D357" s="21" t="str">
        <f>IF($N$1="Piping", IF(ISBLANK(Piping!D357), "", Piping!D357), IF($N$1="Vessels", IF(ISBLANK(Vessels!D357), "", Vessels!D357), ""))</f>
        <v/>
      </c>
      <c r="E357" s="21" t="str">
        <f>IF($N$1="Piping", IF(ISBLANK(Piping!E357), "", Piping!E357), IF($N$1="Vessels", IF(ISBLANK(Vessels!E357), "", Vessels!E357), ""))</f>
        <v/>
      </c>
      <c r="F357" s="21" t="str">
        <f>IF($N$1="Piping", IF(ISBLANK(Piping!F357), "", Piping!F357), IF($N$1="Vessels", IF(ISBLANK(Vessels!F357), "", Vessels!F357), ""))</f>
        <v/>
      </c>
      <c r="G357" s="21">
        <f>IF($N$1="Piping", IF(ISBLANK(Piping!G357), "", Piping!G357), IF($N$1="Vessels", IF(ISBLANK(Vessels!G357), "", Vessels!G357), ""))</f>
        <v>0</v>
      </c>
      <c r="H357" s="21" t="str">
        <f>IF($N$1="Piping", IF(ISBLANK(Piping!H357), "", Piping!H357), IF($N$1="Vessels", IF(ISBLANK(Vessels!H357), "", Vessels!H357), ""))</f>
        <v/>
      </c>
      <c r="I357" s="21" t="str">
        <f>IF($N$1="Piping", IF(ISBLANK(Piping!I357), "", Piping!I357), IF($N$1="Vessels", IF(ISBLANK(Vessels!I357), "", Vessels!I357), ""))</f>
        <v/>
      </c>
      <c r="J357" s="21" t="str">
        <f>IF($N$1="Piping", IF(ISBLANK(Piping!J357), "", Piping!J357), IF($N$1="Vessels", IF(ISBLANK(Vessels!J357), "", Vessels!J357), ""))</f>
        <v/>
      </c>
      <c r="K357" s="21" t="str">
        <f>IF($N$1="Piping", IF(ISBLANK(Piping!K357), "", Piping!K357), IF($N$1="Vessels", IF(ISBLANK(Vessels!K357), "", Vessels!K357), ""))</f>
        <v/>
      </c>
      <c r="L357" s="21" t="str">
        <f>IF($N$1="Piping", IF(ISBLANK(Piping!L357), "", Piping!L357), IF($N$1="Vessels", IF(ISBLANK(Vessels!L357), "", Vessels!L357), ""))</f>
        <v/>
      </c>
      <c r="M357" s="21"/>
      <c r="N357" s="21"/>
      <c r="O357" s="21"/>
      <c r="P357" s="21"/>
      <c r="Q357" s="21" t="str">
        <f>IF($N$1="Piping", IF(ISBLANK(Piping!T357), "", Piping!T357), IF($N$1="Vessels", IF(ISBLANK(Vessels!T357), "", Vessels!T357), ""))</f>
        <v/>
      </c>
      <c r="R357" s="51" t="str">
        <f>IF($N$1="Piping", IF(ISBLANK(Piping!U357), "", Piping!U357), IF($N$1="Vessels", IF(ISBLANK(Vessels!U357), "", Vessels!U357), ""))</f>
        <v/>
      </c>
      <c r="S357" s="118" t="str">
        <f>IF(B357&lt;&gt;"",IF($N$1="Piping", IF(ISBLANK(Piping!$J$3), "", Piping!$J$3), IF($N$1="Vessels", IF(ISBLANK(Vessels!$J$3), "", Vessels!$J$3), "")),"")</f>
        <v/>
      </c>
      <c r="T357" s="37"/>
      <c r="U357" s="37"/>
      <c r="V357" s="37"/>
      <c r="W357" s="37"/>
      <c r="X357" s="37"/>
      <c r="Y357" s="37"/>
      <c r="Z357" s="37"/>
    </row>
    <row r="358" spans="1:26" ht="15.75" customHeight="1" x14ac:dyDescent="0.3">
      <c r="A358" s="22">
        <f>IF($N$1="Piping", IF(ISBLANK(Piping!A358), "", Piping!A358), IF($N$1="Vessels", IF(ISBLANK(Vessels!A358), "", Vessels!A358), ""))</f>
        <v>89.1</v>
      </c>
      <c r="B358" s="21" t="str">
        <f>IF($N$1="Piping", IF(ISBLANK(Piping!B358), "", Piping!B358), IF($N$1="Vessels", IF(ISBLANK(Vessels!B358), "", Vessels!B358), ""))</f>
        <v/>
      </c>
      <c r="C358" s="21" t="str">
        <f>IF($N$1="Piping", IF(ISBLANK(Piping!C358), "", Piping!C358), IF($N$1="Vessels", IF(ISBLANK(Vessels!C358), "", Vessels!C358), ""))</f>
        <v>Piping</v>
      </c>
      <c r="D358" s="21" t="str">
        <f>IF($N$1="Piping", IF(ISBLANK(Piping!D358), "", Piping!D358), IF($N$1="Vessels", IF(ISBLANK(Vessels!D358), "", Vessels!D358), ""))</f>
        <v/>
      </c>
      <c r="E358" s="21" t="str">
        <f>IF($N$1="Piping", IF(ISBLANK(Piping!E358), "", Piping!E358), IF($N$1="Vessels", IF(ISBLANK(Vessels!E358), "", Vessels!E358), ""))</f>
        <v/>
      </c>
      <c r="F358" s="21" t="str">
        <f>IF($N$1="Piping", IF(ISBLANK(Piping!F358), "", Piping!F358), IF($N$1="Vessels", IF(ISBLANK(Vessels!F358), "", Vessels!F358), ""))</f>
        <v/>
      </c>
      <c r="G358" s="21">
        <f>IF($N$1="Piping", IF(ISBLANK(Piping!G358), "", Piping!G358), IF($N$1="Vessels", IF(ISBLANK(Vessels!G358), "", Vessels!G358), ""))</f>
        <v>0</v>
      </c>
      <c r="H358" s="21" t="str">
        <f>IF($N$1="Piping", IF(ISBLANK(Piping!H358), "", Piping!H358), IF($N$1="Vessels", IF(ISBLANK(Vessels!H358), "", Vessels!H358), ""))</f>
        <v/>
      </c>
      <c r="I358" s="21" t="str">
        <f>IF($N$1="Piping", IF(ISBLANK(Piping!I358), "", Piping!I358), IF($N$1="Vessels", IF(ISBLANK(Vessels!I358), "", Vessels!I358), ""))</f>
        <v/>
      </c>
      <c r="J358" s="21" t="str">
        <f>IF($N$1="Piping", IF(ISBLANK(Piping!J358), "", Piping!J358), IF($N$1="Vessels", IF(ISBLANK(Vessels!J358), "", Vessels!J358), ""))</f>
        <v/>
      </c>
      <c r="K358" s="21" t="str">
        <f>IF($N$1="Piping", IF(ISBLANK(Piping!K358), "", Piping!K358), IF($N$1="Vessels", IF(ISBLANK(Vessels!K358), "", Vessels!K358), ""))</f>
        <v/>
      </c>
      <c r="L358" s="21" t="str">
        <f>IF($N$1="Piping", IF(ISBLANK(Piping!L358), "", Piping!L358), IF($N$1="Vessels", IF(ISBLANK(Vessels!L358), "", Vessels!L358), ""))</f>
        <v/>
      </c>
      <c r="M358" s="21"/>
      <c r="N358" s="21"/>
      <c r="O358" s="21"/>
      <c r="P358" s="21"/>
      <c r="Q358" s="21" t="str">
        <f>IF($N$1="Piping", IF(ISBLANK(Piping!T358), "", Piping!T358), IF($N$1="Vessels", IF(ISBLANK(Vessels!T358), "", Vessels!T358), ""))</f>
        <v/>
      </c>
      <c r="R358" s="51" t="str">
        <f>IF($N$1="Piping", IF(ISBLANK(Piping!U358), "", Piping!U358), IF($N$1="Vessels", IF(ISBLANK(Vessels!U358), "", Vessels!U358), ""))</f>
        <v/>
      </c>
      <c r="S358" s="118" t="str">
        <f>IF(B358&lt;&gt;"",IF($N$1="Piping", IF(ISBLANK(Piping!$J$3), "", Piping!$J$3), IF($N$1="Vessels", IF(ISBLANK(Vessels!$J$3), "", Vessels!$J$3), "")),"")</f>
        <v/>
      </c>
      <c r="T358" s="37"/>
      <c r="U358" s="37"/>
      <c r="V358" s="37"/>
      <c r="W358" s="37"/>
      <c r="X358" s="37"/>
      <c r="Y358" s="37"/>
      <c r="Z358" s="37"/>
    </row>
    <row r="359" spans="1:26" ht="15.75" customHeight="1" x14ac:dyDescent="0.3">
      <c r="A359" s="22">
        <f>IF($N$1="Piping", IF(ISBLANK(Piping!A359), "", Piping!A359), IF($N$1="Vessels", IF(ISBLANK(Vessels!A359), "", Vessels!A359), ""))</f>
        <v>89.2</v>
      </c>
      <c r="B359" s="21" t="str">
        <f>IF($N$1="Piping", IF(ISBLANK(Piping!B359), "", Piping!B359), IF($N$1="Vessels", IF(ISBLANK(Vessels!B359), "", Vessels!B359), ""))</f>
        <v/>
      </c>
      <c r="C359" s="21" t="str">
        <f>IF($N$1="Piping", IF(ISBLANK(Piping!C359), "", Piping!C359), IF($N$1="Vessels", IF(ISBLANK(Vessels!C359), "", Vessels!C359), ""))</f>
        <v>Piping</v>
      </c>
      <c r="D359" s="21" t="str">
        <f>IF($N$1="Piping", IF(ISBLANK(Piping!D359), "", Piping!D359), IF($N$1="Vessels", IF(ISBLANK(Vessels!D359), "", Vessels!D359), ""))</f>
        <v/>
      </c>
      <c r="E359" s="21" t="str">
        <f>IF($N$1="Piping", IF(ISBLANK(Piping!E359), "", Piping!E359), IF($N$1="Vessels", IF(ISBLANK(Vessels!E359), "", Vessels!E359), ""))</f>
        <v/>
      </c>
      <c r="F359" s="21" t="str">
        <f>IF($N$1="Piping", IF(ISBLANK(Piping!F359), "", Piping!F359), IF($N$1="Vessels", IF(ISBLANK(Vessels!F359), "", Vessels!F359), ""))</f>
        <v/>
      </c>
      <c r="G359" s="21">
        <f>IF($N$1="Piping", IF(ISBLANK(Piping!G359), "", Piping!G359), IF($N$1="Vessels", IF(ISBLANK(Vessels!G359), "", Vessels!G359), ""))</f>
        <v>0</v>
      </c>
      <c r="H359" s="21" t="str">
        <f>IF($N$1="Piping", IF(ISBLANK(Piping!H359), "", Piping!H359), IF($N$1="Vessels", IF(ISBLANK(Vessels!H359), "", Vessels!H359), ""))</f>
        <v/>
      </c>
      <c r="I359" s="21" t="str">
        <f>IF($N$1="Piping", IF(ISBLANK(Piping!I359), "", Piping!I359), IF($N$1="Vessels", IF(ISBLANK(Vessels!I359), "", Vessels!I359), ""))</f>
        <v/>
      </c>
      <c r="J359" s="21" t="str">
        <f>IF($N$1="Piping", IF(ISBLANK(Piping!J359), "", Piping!J359), IF($N$1="Vessels", IF(ISBLANK(Vessels!J359), "", Vessels!J359), ""))</f>
        <v/>
      </c>
      <c r="K359" s="21" t="str">
        <f>IF($N$1="Piping", IF(ISBLANK(Piping!K359), "", Piping!K359), IF($N$1="Vessels", IF(ISBLANK(Vessels!K359), "", Vessels!K359), ""))</f>
        <v/>
      </c>
      <c r="L359" s="21" t="str">
        <f>IF($N$1="Piping", IF(ISBLANK(Piping!L359), "", Piping!L359), IF($N$1="Vessels", IF(ISBLANK(Vessels!L359), "", Vessels!L359), ""))</f>
        <v/>
      </c>
      <c r="M359" s="21"/>
      <c r="N359" s="21"/>
      <c r="O359" s="21"/>
      <c r="P359" s="21"/>
      <c r="Q359" s="21" t="str">
        <f>IF($N$1="Piping", IF(ISBLANK(Piping!T359), "", Piping!T359), IF($N$1="Vessels", IF(ISBLANK(Vessels!T359), "", Vessels!T359), ""))</f>
        <v/>
      </c>
      <c r="R359" s="51" t="str">
        <f>IF($N$1="Piping", IF(ISBLANK(Piping!U359), "", Piping!U359), IF($N$1="Vessels", IF(ISBLANK(Vessels!U359), "", Vessels!U359), ""))</f>
        <v/>
      </c>
      <c r="S359" s="118" t="str">
        <f>IF(B359&lt;&gt;"",IF($N$1="Piping", IF(ISBLANK(Piping!$J$3), "", Piping!$J$3), IF($N$1="Vessels", IF(ISBLANK(Vessels!$J$3), "", Vessels!$J$3), "")),"")</f>
        <v/>
      </c>
      <c r="T359" s="37"/>
      <c r="U359" s="37"/>
      <c r="V359" s="37"/>
      <c r="W359" s="37"/>
      <c r="X359" s="37"/>
      <c r="Y359" s="37"/>
      <c r="Z359" s="37"/>
    </row>
    <row r="360" spans="1:26" ht="15.75" customHeight="1" x14ac:dyDescent="0.3">
      <c r="A360" s="22">
        <f>IF($N$1="Piping", IF(ISBLANK(Piping!A360), "", Piping!A360), IF($N$1="Vessels", IF(ISBLANK(Vessels!A360), "", Vessels!A360), ""))</f>
        <v>89.3</v>
      </c>
      <c r="B360" s="21" t="str">
        <f>IF($N$1="Piping", IF(ISBLANK(Piping!B360), "", Piping!B360), IF($N$1="Vessels", IF(ISBLANK(Vessels!B360), "", Vessels!B360), ""))</f>
        <v/>
      </c>
      <c r="C360" s="21" t="str">
        <f>IF($N$1="Piping", IF(ISBLANK(Piping!C360), "", Piping!C360), IF($N$1="Vessels", IF(ISBLANK(Vessels!C360), "", Vessels!C360), ""))</f>
        <v>Piping</v>
      </c>
      <c r="D360" s="21" t="str">
        <f>IF($N$1="Piping", IF(ISBLANK(Piping!D360), "", Piping!D360), IF($N$1="Vessels", IF(ISBLANK(Vessels!D360), "", Vessels!D360), ""))</f>
        <v/>
      </c>
      <c r="E360" s="21" t="str">
        <f>IF($N$1="Piping", IF(ISBLANK(Piping!E360), "", Piping!E360), IF($N$1="Vessels", IF(ISBLANK(Vessels!E360), "", Vessels!E360), ""))</f>
        <v/>
      </c>
      <c r="F360" s="21" t="str">
        <f>IF($N$1="Piping", IF(ISBLANK(Piping!F360), "", Piping!F360), IF($N$1="Vessels", IF(ISBLANK(Vessels!F360), "", Vessels!F360), ""))</f>
        <v/>
      </c>
      <c r="G360" s="21">
        <f>IF($N$1="Piping", IF(ISBLANK(Piping!G360), "", Piping!G360), IF($N$1="Vessels", IF(ISBLANK(Vessels!G360), "", Vessels!G360), ""))</f>
        <v>0</v>
      </c>
      <c r="H360" s="21" t="str">
        <f>IF($N$1="Piping", IF(ISBLANK(Piping!H360), "", Piping!H360), IF($N$1="Vessels", IF(ISBLANK(Vessels!H360), "", Vessels!H360), ""))</f>
        <v/>
      </c>
      <c r="I360" s="21" t="str">
        <f>IF($N$1="Piping", IF(ISBLANK(Piping!I360), "", Piping!I360), IF($N$1="Vessels", IF(ISBLANK(Vessels!I360), "", Vessels!I360), ""))</f>
        <v/>
      </c>
      <c r="J360" s="21" t="str">
        <f>IF($N$1="Piping", IF(ISBLANK(Piping!J360), "", Piping!J360), IF($N$1="Vessels", IF(ISBLANK(Vessels!J360), "", Vessels!J360), ""))</f>
        <v/>
      </c>
      <c r="K360" s="21" t="str">
        <f>IF($N$1="Piping", IF(ISBLANK(Piping!K360), "", Piping!K360), IF($N$1="Vessels", IF(ISBLANK(Vessels!K360), "", Vessels!K360), ""))</f>
        <v/>
      </c>
      <c r="L360" s="21" t="str">
        <f>IF($N$1="Piping", IF(ISBLANK(Piping!L360), "", Piping!L360), IF($N$1="Vessels", IF(ISBLANK(Vessels!L360), "", Vessels!L360), ""))</f>
        <v/>
      </c>
      <c r="M360" s="21"/>
      <c r="N360" s="21"/>
      <c r="O360" s="21"/>
      <c r="P360" s="21"/>
      <c r="Q360" s="21" t="str">
        <f>IF($N$1="Piping", IF(ISBLANK(Piping!T360), "", Piping!T360), IF($N$1="Vessels", IF(ISBLANK(Vessels!T360), "", Vessels!T360), ""))</f>
        <v/>
      </c>
      <c r="R360" s="51" t="str">
        <f>IF($N$1="Piping", IF(ISBLANK(Piping!U360), "", Piping!U360), IF($N$1="Vessels", IF(ISBLANK(Vessels!U360), "", Vessels!U360), ""))</f>
        <v/>
      </c>
      <c r="S360" s="118" t="str">
        <f>IF(B360&lt;&gt;"",IF($N$1="Piping", IF(ISBLANK(Piping!$J$3), "", Piping!$J$3), IF($N$1="Vessels", IF(ISBLANK(Vessels!$J$3), "", Vessels!$J$3), "")),"")</f>
        <v/>
      </c>
      <c r="T360" s="37"/>
      <c r="U360" s="37"/>
      <c r="V360" s="37"/>
      <c r="W360" s="37"/>
      <c r="X360" s="37"/>
      <c r="Y360" s="37"/>
      <c r="Z360" s="37"/>
    </row>
    <row r="361" spans="1:26" ht="15.75" customHeight="1" x14ac:dyDescent="0.3">
      <c r="A361" s="22">
        <f>IF($N$1="Piping", IF(ISBLANK(Piping!A361), "", Piping!A361), IF($N$1="Vessels", IF(ISBLANK(Vessels!A361), "", Vessels!A361), ""))</f>
        <v>89.4</v>
      </c>
      <c r="B361" s="21" t="str">
        <f>IF($N$1="Piping", IF(ISBLANK(Piping!B361), "", Piping!B361), IF($N$1="Vessels", IF(ISBLANK(Vessels!B361), "", Vessels!B361), ""))</f>
        <v/>
      </c>
      <c r="C361" s="21" t="str">
        <f>IF($N$1="Piping", IF(ISBLANK(Piping!C361), "", Piping!C361), IF($N$1="Vessels", IF(ISBLANK(Vessels!C361), "", Vessels!C361), ""))</f>
        <v>Piping</v>
      </c>
      <c r="D361" s="21" t="str">
        <f>IF($N$1="Piping", IF(ISBLANK(Piping!D361), "", Piping!D361), IF($N$1="Vessels", IF(ISBLANK(Vessels!D361), "", Vessels!D361), ""))</f>
        <v/>
      </c>
      <c r="E361" s="21" t="str">
        <f>IF($N$1="Piping", IF(ISBLANK(Piping!E361), "", Piping!E361), IF($N$1="Vessels", IF(ISBLANK(Vessels!E361), "", Vessels!E361), ""))</f>
        <v/>
      </c>
      <c r="F361" s="21" t="str">
        <f>IF($N$1="Piping", IF(ISBLANK(Piping!F361), "", Piping!F361), IF($N$1="Vessels", IF(ISBLANK(Vessels!F361), "", Vessels!F361), ""))</f>
        <v/>
      </c>
      <c r="G361" s="21">
        <f>IF($N$1="Piping", IF(ISBLANK(Piping!G361), "", Piping!G361), IF($N$1="Vessels", IF(ISBLANK(Vessels!G361), "", Vessels!G361), ""))</f>
        <v>0</v>
      </c>
      <c r="H361" s="21" t="str">
        <f>IF($N$1="Piping", IF(ISBLANK(Piping!H361), "", Piping!H361), IF($N$1="Vessels", IF(ISBLANK(Vessels!H361), "", Vessels!H361), ""))</f>
        <v/>
      </c>
      <c r="I361" s="21" t="str">
        <f>IF($N$1="Piping", IF(ISBLANK(Piping!I361), "", Piping!I361), IF($N$1="Vessels", IF(ISBLANK(Vessels!I361), "", Vessels!I361), ""))</f>
        <v/>
      </c>
      <c r="J361" s="21" t="str">
        <f>IF($N$1="Piping", IF(ISBLANK(Piping!J361), "", Piping!J361), IF($N$1="Vessels", IF(ISBLANK(Vessels!J361), "", Vessels!J361), ""))</f>
        <v/>
      </c>
      <c r="K361" s="21" t="str">
        <f>IF($N$1="Piping", IF(ISBLANK(Piping!K361), "", Piping!K361), IF($N$1="Vessels", IF(ISBLANK(Vessels!K361), "", Vessels!K361), ""))</f>
        <v/>
      </c>
      <c r="L361" s="21" t="str">
        <f>IF($N$1="Piping", IF(ISBLANK(Piping!L361), "", Piping!L361), IF($N$1="Vessels", IF(ISBLANK(Vessels!L361), "", Vessels!L361), ""))</f>
        <v/>
      </c>
      <c r="M361" s="21"/>
      <c r="N361" s="21"/>
      <c r="O361" s="21"/>
      <c r="P361" s="21"/>
      <c r="Q361" s="21" t="str">
        <f>IF($N$1="Piping", IF(ISBLANK(Piping!T361), "", Piping!T361), IF($N$1="Vessels", IF(ISBLANK(Vessels!T361), "", Vessels!T361), ""))</f>
        <v/>
      </c>
      <c r="R361" s="51" t="str">
        <f>IF($N$1="Piping", IF(ISBLANK(Piping!U361), "", Piping!U361), IF($N$1="Vessels", IF(ISBLANK(Vessels!U361), "", Vessels!U361), ""))</f>
        <v/>
      </c>
      <c r="S361" s="118" t="str">
        <f>IF(B361&lt;&gt;"",IF($N$1="Piping", IF(ISBLANK(Piping!$J$3), "", Piping!$J$3), IF($N$1="Vessels", IF(ISBLANK(Vessels!$J$3), "", Vessels!$J$3), "")),"")</f>
        <v/>
      </c>
      <c r="T361" s="37"/>
      <c r="U361" s="37"/>
      <c r="V361" s="37"/>
      <c r="W361" s="37"/>
      <c r="X361" s="37"/>
      <c r="Y361" s="37"/>
      <c r="Z361" s="37"/>
    </row>
    <row r="362" spans="1:26" ht="15.75" customHeight="1" x14ac:dyDescent="0.3">
      <c r="A362" s="22">
        <f>IF($N$1="Piping", IF(ISBLANK(Piping!A362), "", Piping!A362), IF($N$1="Vessels", IF(ISBLANK(Vessels!A362), "", Vessels!A362), ""))</f>
        <v>90.1</v>
      </c>
      <c r="B362" s="21" t="str">
        <f>IF($N$1="Piping", IF(ISBLANK(Piping!B362), "", Piping!B362), IF($N$1="Vessels", IF(ISBLANK(Vessels!B362), "", Vessels!B362), ""))</f>
        <v/>
      </c>
      <c r="C362" s="21" t="str">
        <f>IF($N$1="Piping", IF(ISBLANK(Piping!C362), "", Piping!C362), IF($N$1="Vessels", IF(ISBLANK(Vessels!C362), "", Vessels!C362), ""))</f>
        <v>Piping</v>
      </c>
      <c r="D362" s="21" t="str">
        <f>IF($N$1="Piping", IF(ISBLANK(Piping!D362), "", Piping!D362), IF($N$1="Vessels", IF(ISBLANK(Vessels!D362), "", Vessels!D362), ""))</f>
        <v/>
      </c>
      <c r="E362" s="21" t="str">
        <f>IF($N$1="Piping", IF(ISBLANK(Piping!E362), "", Piping!E362), IF($N$1="Vessels", IF(ISBLANK(Vessels!E362), "", Vessels!E362), ""))</f>
        <v/>
      </c>
      <c r="F362" s="21" t="str">
        <f>IF($N$1="Piping", IF(ISBLANK(Piping!F362), "", Piping!F362), IF($N$1="Vessels", IF(ISBLANK(Vessels!F362), "", Vessels!F362), ""))</f>
        <v/>
      </c>
      <c r="G362" s="21">
        <f>IF($N$1="Piping", IF(ISBLANK(Piping!G362), "", Piping!G362), IF($N$1="Vessels", IF(ISBLANK(Vessels!G362), "", Vessels!G362), ""))</f>
        <v>0</v>
      </c>
      <c r="H362" s="21" t="str">
        <f>IF($N$1="Piping", IF(ISBLANK(Piping!H362), "", Piping!H362), IF($N$1="Vessels", IF(ISBLANK(Vessels!H362), "", Vessels!H362), ""))</f>
        <v/>
      </c>
      <c r="I362" s="21" t="str">
        <f>IF($N$1="Piping", IF(ISBLANK(Piping!I362), "", Piping!I362), IF($N$1="Vessels", IF(ISBLANK(Vessels!I362), "", Vessels!I362), ""))</f>
        <v/>
      </c>
      <c r="J362" s="21" t="str">
        <f>IF($N$1="Piping", IF(ISBLANK(Piping!J362), "", Piping!J362), IF($N$1="Vessels", IF(ISBLANK(Vessels!J362), "", Vessels!J362), ""))</f>
        <v/>
      </c>
      <c r="K362" s="21" t="str">
        <f>IF($N$1="Piping", IF(ISBLANK(Piping!K362), "", Piping!K362), IF($N$1="Vessels", IF(ISBLANK(Vessels!K362), "", Vessels!K362), ""))</f>
        <v/>
      </c>
      <c r="L362" s="21" t="str">
        <f>IF($N$1="Piping", IF(ISBLANK(Piping!L362), "", Piping!L362), IF($N$1="Vessels", IF(ISBLANK(Vessels!L362), "", Vessels!L362), ""))</f>
        <v/>
      </c>
      <c r="M362" s="21"/>
      <c r="N362" s="21"/>
      <c r="O362" s="21"/>
      <c r="P362" s="21"/>
      <c r="Q362" s="21" t="str">
        <f>IF($N$1="Piping", IF(ISBLANK(Piping!T362), "", Piping!T362), IF($N$1="Vessels", IF(ISBLANK(Vessels!T362), "", Vessels!T362), ""))</f>
        <v/>
      </c>
      <c r="R362" s="51" t="str">
        <f>IF($N$1="Piping", IF(ISBLANK(Piping!U362), "", Piping!U362), IF($N$1="Vessels", IF(ISBLANK(Vessels!U362), "", Vessels!U362), ""))</f>
        <v/>
      </c>
      <c r="S362" s="118" t="str">
        <f>IF(B362&lt;&gt;"",IF($N$1="Piping", IF(ISBLANK(Piping!$J$3), "", Piping!$J$3), IF($N$1="Vessels", IF(ISBLANK(Vessels!$J$3), "", Vessels!$J$3), "")),"")</f>
        <v/>
      </c>
      <c r="T362" s="37"/>
      <c r="U362" s="37"/>
      <c r="V362" s="37"/>
      <c r="W362" s="37"/>
      <c r="X362" s="37"/>
      <c r="Y362" s="37"/>
      <c r="Z362" s="37"/>
    </row>
    <row r="363" spans="1:26" ht="15.75" customHeight="1" x14ac:dyDescent="0.3">
      <c r="A363" s="22">
        <f>IF($N$1="Piping", IF(ISBLANK(Piping!A363), "", Piping!A363), IF($N$1="Vessels", IF(ISBLANK(Vessels!A363), "", Vessels!A363), ""))</f>
        <v>90.2</v>
      </c>
      <c r="B363" s="21" t="str">
        <f>IF($N$1="Piping", IF(ISBLANK(Piping!B363), "", Piping!B363), IF($N$1="Vessels", IF(ISBLANK(Vessels!B363), "", Vessels!B363), ""))</f>
        <v/>
      </c>
      <c r="C363" s="21" t="str">
        <f>IF($N$1="Piping", IF(ISBLANK(Piping!C363), "", Piping!C363), IF($N$1="Vessels", IF(ISBLANK(Vessels!C363), "", Vessels!C363), ""))</f>
        <v>Piping</v>
      </c>
      <c r="D363" s="21" t="str">
        <f>IF($N$1="Piping", IF(ISBLANK(Piping!D363), "", Piping!D363), IF($N$1="Vessels", IF(ISBLANK(Vessels!D363), "", Vessels!D363), ""))</f>
        <v/>
      </c>
      <c r="E363" s="21" t="str">
        <f>IF($N$1="Piping", IF(ISBLANK(Piping!E363), "", Piping!E363), IF($N$1="Vessels", IF(ISBLANK(Vessels!E363), "", Vessels!E363), ""))</f>
        <v/>
      </c>
      <c r="F363" s="21" t="str">
        <f>IF($N$1="Piping", IF(ISBLANK(Piping!F363), "", Piping!F363), IF($N$1="Vessels", IF(ISBLANK(Vessels!F363), "", Vessels!F363), ""))</f>
        <v/>
      </c>
      <c r="G363" s="21">
        <f>IF($N$1="Piping", IF(ISBLANK(Piping!G363), "", Piping!G363), IF($N$1="Vessels", IF(ISBLANK(Vessels!G363), "", Vessels!G363), ""))</f>
        <v>0</v>
      </c>
      <c r="H363" s="21" t="str">
        <f>IF($N$1="Piping", IF(ISBLANK(Piping!H363), "", Piping!H363), IF($N$1="Vessels", IF(ISBLANK(Vessels!H363), "", Vessels!H363), ""))</f>
        <v/>
      </c>
      <c r="I363" s="21" t="str">
        <f>IF($N$1="Piping", IF(ISBLANK(Piping!I363), "", Piping!I363), IF($N$1="Vessels", IF(ISBLANK(Vessels!I363), "", Vessels!I363), ""))</f>
        <v/>
      </c>
      <c r="J363" s="21" t="str">
        <f>IF($N$1="Piping", IF(ISBLANK(Piping!J363), "", Piping!J363), IF($N$1="Vessels", IF(ISBLANK(Vessels!J363), "", Vessels!J363), ""))</f>
        <v/>
      </c>
      <c r="K363" s="21" t="str">
        <f>IF($N$1="Piping", IF(ISBLANK(Piping!K363), "", Piping!K363), IF($N$1="Vessels", IF(ISBLANK(Vessels!K363), "", Vessels!K363), ""))</f>
        <v/>
      </c>
      <c r="L363" s="21" t="str">
        <f>IF($N$1="Piping", IF(ISBLANK(Piping!L363), "", Piping!L363), IF($N$1="Vessels", IF(ISBLANK(Vessels!L363), "", Vessels!L363), ""))</f>
        <v/>
      </c>
      <c r="M363" s="21"/>
      <c r="N363" s="21"/>
      <c r="O363" s="21"/>
      <c r="P363" s="21"/>
      <c r="Q363" s="21" t="str">
        <f>IF($N$1="Piping", IF(ISBLANK(Piping!T363), "", Piping!T363), IF($N$1="Vessels", IF(ISBLANK(Vessels!T363), "", Vessels!T363), ""))</f>
        <v/>
      </c>
      <c r="R363" s="51" t="str">
        <f>IF($N$1="Piping", IF(ISBLANK(Piping!U363), "", Piping!U363), IF($N$1="Vessels", IF(ISBLANK(Vessels!U363), "", Vessels!U363), ""))</f>
        <v/>
      </c>
      <c r="S363" s="118" t="str">
        <f>IF(B363&lt;&gt;"",IF($N$1="Piping", IF(ISBLANK(Piping!$J$3), "", Piping!$J$3), IF($N$1="Vessels", IF(ISBLANK(Vessels!$J$3), "", Vessels!$J$3), "")),"")</f>
        <v/>
      </c>
      <c r="T363" s="37"/>
      <c r="U363" s="37"/>
      <c r="V363" s="37"/>
      <c r="W363" s="37"/>
      <c r="X363" s="37"/>
      <c r="Y363" s="37"/>
      <c r="Z363" s="37"/>
    </row>
    <row r="364" spans="1:26" ht="15.75" customHeight="1" x14ac:dyDescent="0.3">
      <c r="A364" s="22">
        <f>IF($N$1="Piping", IF(ISBLANK(Piping!A364), "", Piping!A364), IF($N$1="Vessels", IF(ISBLANK(Vessels!A364), "", Vessels!A364), ""))</f>
        <v>90.3</v>
      </c>
      <c r="B364" s="21" t="str">
        <f>IF($N$1="Piping", IF(ISBLANK(Piping!B364), "", Piping!B364), IF($N$1="Vessels", IF(ISBLANK(Vessels!B364), "", Vessels!B364), ""))</f>
        <v/>
      </c>
      <c r="C364" s="21" t="str">
        <f>IF($N$1="Piping", IF(ISBLANK(Piping!C364), "", Piping!C364), IF($N$1="Vessels", IF(ISBLANK(Vessels!C364), "", Vessels!C364), ""))</f>
        <v>Piping</v>
      </c>
      <c r="D364" s="21" t="str">
        <f>IF($N$1="Piping", IF(ISBLANK(Piping!D364), "", Piping!D364), IF($N$1="Vessels", IF(ISBLANK(Vessels!D364), "", Vessels!D364), ""))</f>
        <v/>
      </c>
      <c r="E364" s="21" t="str">
        <f>IF($N$1="Piping", IF(ISBLANK(Piping!E364), "", Piping!E364), IF($N$1="Vessels", IF(ISBLANK(Vessels!E364), "", Vessels!E364), ""))</f>
        <v/>
      </c>
      <c r="F364" s="21" t="str">
        <f>IF($N$1="Piping", IF(ISBLANK(Piping!F364), "", Piping!F364), IF($N$1="Vessels", IF(ISBLANK(Vessels!F364), "", Vessels!F364), ""))</f>
        <v/>
      </c>
      <c r="G364" s="21">
        <f>IF($N$1="Piping", IF(ISBLANK(Piping!G364), "", Piping!G364), IF($N$1="Vessels", IF(ISBLANK(Vessels!G364), "", Vessels!G364), ""))</f>
        <v>0</v>
      </c>
      <c r="H364" s="21" t="str">
        <f>IF($N$1="Piping", IF(ISBLANK(Piping!H364), "", Piping!H364), IF($N$1="Vessels", IF(ISBLANK(Vessels!H364), "", Vessels!H364), ""))</f>
        <v/>
      </c>
      <c r="I364" s="21" t="str">
        <f>IF($N$1="Piping", IF(ISBLANK(Piping!I364), "", Piping!I364), IF($N$1="Vessels", IF(ISBLANK(Vessels!I364), "", Vessels!I364), ""))</f>
        <v/>
      </c>
      <c r="J364" s="21" t="str">
        <f>IF($N$1="Piping", IF(ISBLANK(Piping!J364), "", Piping!J364), IF($N$1="Vessels", IF(ISBLANK(Vessels!J364), "", Vessels!J364), ""))</f>
        <v/>
      </c>
      <c r="K364" s="21" t="str">
        <f>IF($N$1="Piping", IF(ISBLANK(Piping!K364), "", Piping!K364), IF($N$1="Vessels", IF(ISBLANK(Vessels!K364), "", Vessels!K364), ""))</f>
        <v/>
      </c>
      <c r="L364" s="21" t="str">
        <f>IF($N$1="Piping", IF(ISBLANK(Piping!L364), "", Piping!L364), IF($N$1="Vessels", IF(ISBLANK(Vessels!L364), "", Vessels!L364), ""))</f>
        <v/>
      </c>
      <c r="M364" s="21"/>
      <c r="N364" s="21"/>
      <c r="O364" s="21"/>
      <c r="P364" s="21"/>
      <c r="Q364" s="21" t="str">
        <f>IF($N$1="Piping", IF(ISBLANK(Piping!T364), "", Piping!T364), IF($N$1="Vessels", IF(ISBLANK(Vessels!T364), "", Vessels!T364), ""))</f>
        <v/>
      </c>
      <c r="R364" s="51" t="str">
        <f>IF($N$1="Piping", IF(ISBLANK(Piping!U364), "", Piping!U364), IF($N$1="Vessels", IF(ISBLANK(Vessels!U364), "", Vessels!U364), ""))</f>
        <v/>
      </c>
      <c r="S364" s="118" t="str">
        <f>IF(B364&lt;&gt;"",IF($N$1="Piping", IF(ISBLANK(Piping!$J$3), "", Piping!$J$3), IF($N$1="Vessels", IF(ISBLANK(Vessels!$J$3), "", Vessels!$J$3), "")),"")</f>
        <v/>
      </c>
      <c r="T364" s="37"/>
      <c r="U364" s="37"/>
      <c r="V364" s="37"/>
      <c r="W364" s="37"/>
      <c r="X364" s="37"/>
      <c r="Y364" s="37"/>
      <c r="Z364" s="37"/>
    </row>
    <row r="365" spans="1:26" ht="15.75" customHeight="1" x14ac:dyDescent="0.3">
      <c r="A365" s="22">
        <f>IF($N$1="Piping", IF(ISBLANK(Piping!A365), "", Piping!A365), IF($N$1="Vessels", IF(ISBLANK(Vessels!A365), "", Vessels!A365), ""))</f>
        <v>90.4</v>
      </c>
      <c r="B365" s="21" t="str">
        <f>IF($N$1="Piping", IF(ISBLANK(Piping!B365), "", Piping!B365), IF($N$1="Vessels", IF(ISBLANK(Vessels!B365), "", Vessels!B365), ""))</f>
        <v/>
      </c>
      <c r="C365" s="21" t="str">
        <f>IF($N$1="Piping", IF(ISBLANK(Piping!C365), "", Piping!C365), IF($N$1="Vessels", IF(ISBLANK(Vessels!C365), "", Vessels!C365), ""))</f>
        <v>Piping</v>
      </c>
      <c r="D365" s="21" t="str">
        <f>IF($N$1="Piping", IF(ISBLANK(Piping!D365), "", Piping!D365), IF($N$1="Vessels", IF(ISBLANK(Vessels!D365), "", Vessels!D365), ""))</f>
        <v/>
      </c>
      <c r="E365" s="21" t="str">
        <f>IF($N$1="Piping", IF(ISBLANK(Piping!E365), "", Piping!E365), IF($N$1="Vessels", IF(ISBLANK(Vessels!E365), "", Vessels!E365), ""))</f>
        <v/>
      </c>
      <c r="F365" s="21" t="str">
        <f>IF($N$1="Piping", IF(ISBLANK(Piping!F365), "", Piping!F365), IF($N$1="Vessels", IF(ISBLANK(Vessels!F365), "", Vessels!F365), ""))</f>
        <v/>
      </c>
      <c r="G365" s="21">
        <f>IF($N$1="Piping", IF(ISBLANK(Piping!G365), "", Piping!G365), IF($N$1="Vessels", IF(ISBLANK(Vessels!G365), "", Vessels!G365), ""))</f>
        <v>0</v>
      </c>
      <c r="H365" s="21" t="str">
        <f>IF($N$1="Piping", IF(ISBLANK(Piping!H365), "", Piping!H365), IF($N$1="Vessels", IF(ISBLANK(Vessels!H365), "", Vessels!H365), ""))</f>
        <v/>
      </c>
      <c r="I365" s="21" t="str">
        <f>IF($N$1="Piping", IF(ISBLANK(Piping!I365), "", Piping!I365), IF($N$1="Vessels", IF(ISBLANK(Vessels!I365), "", Vessels!I365), ""))</f>
        <v/>
      </c>
      <c r="J365" s="21" t="str">
        <f>IF($N$1="Piping", IF(ISBLANK(Piping!J365), "", Piping!J365), IF($N$1="Vessels", IF(ISBLANK(Vessels!J365), "", Vessels!J365), ""))</f>
        <v/>
      </c>
      <c r="K365" s="21" t="str">
        <f>IF($N$1="Piping", IF(ISBLANK(Piping!K365), "", Piping!K365), IF($N$1="Vessels", IF(ISBLANK(Vessels!K365), "", Vessels!K365), ""))</f>
        <v/>
      </c>
      <c r="L365" s="21" t="str">
        <f>IF($N$1="Piping", IF(ISBLANK(Piping!L365), "", Piping!L365), IF($N$1="Vessels", IF(ISBLANK(Vessels!L365), "", Vessels!L365), ""))</f>
        <v/>
      </c>
      <c r="M365" s="21"/>
      <c r="N365" s="21"/>
      <c r="O365" s="21"/>
      <c r="P365" s="21"/>
      <c r="Q365" s="21" t="str">
        <f>IF($N$1="Piping", IF(ISBLANK(Piping!T365), "", Piping!T365), IF($N$1="Vessels", IF(ISBLANK(Vessels!T365), "", Vessels!T365), ""))</f>
        <v/>
      </c>
      <c r="R365" s="51" t="str">
        <f>IF($N$1="Piping", IF(ISBLANK(Piping!U365), "", Piping!U365), IF($N$1="Vessels", IF(ISBLANK(Vessels!U365), "", Vessels!U365), ""))</f>
        <v/>
      </c>
      <c r="S365" s="118" t="str">
        <f>IF(B365&lt;&gt;"",IF($N$1="Piping", IF(ISBLANK(Piping!$J$3), "", Piping!$J$3), IF($N$1="Vessels", IF(ISBLANK(Vessels!$J$3), "", Vessels!$J$3), "")),"")</f>
        <v/>
      </c>
      <c r="T365" s="37"/>
      <c r="U365" s="37"/>
      <c r="V365" s="37"/>
      <c r="W365" s="37"/>
      <c r="X365" s="37"/>
      <c r="Y365" s="37"/>
      <c r="Z365" s="37"/>
    </row>
    <row r="366" spans="1:26" ht="15.75" customHeight="1" x14ac:dyDescent="0.3">
      <c r="A366" s="22">
        <f>IF($N$1="Piping", IF(ISBLANK(Piping!A366), "", Piping!A366), IF($N$1="Vessels", IF(ISBLANK(Vessels!A366), "", Vessels!A366), ""))</f>
        <v>91.1</v>
      </c>
      <c r="B366" s="21" t="str">
        <f>IF($N$1="Piping", IF(ISBLANK(Piping!B366), "", Piping!B366), IF($N$1="Vessels", IF(ISBLANK(Vessels!B366), "", Vessels!B366), ""))</f>
        <v/>
      </c>
      <c r="C366" s="21" t="str">
        <f>IF($N$1="Piping", IF(ISBLANK(Piping!C366), "", Piping!C366), IF($N$1="Vessels", IF(ISBLANK(Vessels!C366), "", Vessels!C366), ""))</f>
        <v>Piping</v>
      </c>
      <c r="D366" s="21" t="str">
        <f>IF($N$1="Piping", IF(ISBLANK(Piping!D366), "", Piping!D366), IF($N$1="Vessels", IF(ISBLANK(Vessels!D366), "", Vessels!D366), ""))</f>
        <v/>
      </c>
      <c r="E366" s="21" t="str">
        <f>IF($N$1="Piping", IF(ISBLANK(Piping!E366), "", Piping!E366), IF($N$1="Vessels", IF(ISBLANK(Vessels!E366), "", Vessels!E366), ""))</f>
        <v/>
      </c>
      <c r="F366" s="21" t="str">
        <f>IF($N$1="Piping", IF(ISBLANK(Piping!F366), "", Piping!F366), IF($N$1="Vessels", IF(ISBLANK(Vessels!F366), "", Vessels!F366), ""))</f>
        <v/>
      </c>
      <c r="G366" s="21">
        <f>IF($N$1="Piping", IF(ISBLANK(Piping!G366), "", Piping!G366), IF($N$1="Vessels", IF(ISBLANK(Vessels!G366), "", Vessels!G366), ""))</f>
        <v>0</v>
      </c>
      <c r="H366" s="21" t="str">
        <f>IF($N$1="Piping", IF(ISBLANK(Piping!H366), "", Piping!H366), IF($N$1="Vessels", IF(ISBLANK(Vessels!H366), "", Vessels!H366), ""))</f>
        <v/>
      </c>
      <c r="I366" s="21" t="str">
        <f>IF($N$1="Piping", IF(ISBLANK(Piping!I366), "", Piping!I366), IF($N$1="Vessels", IF(ISBLANK(Vessels!I366), "", Vessels!I366), ""))</f>
        <v/>
      </c>
      <c r="J366" s="21" t="str">
        <f>IF($N$1="Piping", IF(ISBLANK(Piping!J366), "", Piping!J366), IF($N$1="Vessels", IF(ISBLANK(Vessels!J366), "", Vessels!J366), ""))</f>
        <v/>
      </c>
      <c r="K366" s="21" t="str">
        <f>IF($N$1="Piping", IF(ISBLANK(Piping!K366), "", Piping!K366), IF($N$1="Vessels", IF(ISBLANK(Vessels!K366), "", Vessels!K366), ""))</f>
        <v/>
      </c>
      <c r="L366" s="21" t="str">
        <f>IF($N$1="Piping", IF(ISBLANK(Piping!L366), "", Piping!L366), IF($N$1="Vessels", IF(ISBLANK(Vessels!L366), "", Vessels!L366), ""))</f>
        <v/>
      </c>
      <c r="M366" s="21"/>
      <c r="N366" s="21"/>
      <c r="O366" s="21"/>
      <c r="P366" s="21"/>
      <c r="Q366" s="21" t="str">
        <f>IF($N$1="Piping", IF(ISBLANK(Piping!T366), "", Piping!T366), IF($N$1="Vessels", IF(ISBLANK(Vessels!T366), "", Vessels!T366), ""))</f>
        <v/>
      </c>
      <c r="R366" s="51" t="str">
        <f>IF($N$1="Piping", IF(ISBLANK(Piping!U366), "", Piping!U366), IF($N$1="Vessels", IF(ISBLANK(Vessels!U366), "", Vessels!U366), ""))</f>
        <v/>
      </c>
      <c r="S366" s="118" t="str">
        <f>IF(B366&lt;&gt;"",IF($N$1="Piping", IF(ISBLANK(Piping!$J$3), "", Piping!$J$3), IF($N$1="Vessels", IF(ISBLANK(Vessels!$J$3), "", Vessels!$J$3), "")),"")</f>
        <v/>
      </c>
      <c r="T366" s="37"/>
      <c r="U366" s="37"/>
      <c r="V366" s="37"/>
      <c r="W366" s="37"/>
      <c r="X366" s="37"/>
      <c r="Y366" s="37"/>
      <c r="Z366" s="37"/>
    </row>
    <row r="367" spans="1:26" ht="15.75" customHeight="1" x14ac:dyDescent="0.3">
      <c r="A367" s="22">
        <f>IF($N$1="Piping", IF(ISBLANK(Piping!A367), "", Piping!A367), IF($N$1="Vessels", IF(ISBLANK(Vessels!A367), "", Vessels!A367), ""))</f>
        <v>91.2</v>
      </c>
      <c r="B367" s="21" t="str">
        <f>IF($N$1="Piping", IF(ISBLANK(Piping!B367), "", Piping!B367), IF($N$1="Vessels", IF(ISBLANK(Vessels!B367), "", Vessels!B367), ""))</f>
        <v/>
      </c>
      <c r="C367" s="21" t="str">
        <f>IF($N$1="Piping", IF(ISBLANK(Piping!C367), "", Piping!C367), IF($N$1="Vessels", IF(ISBLANK(Vessels!C367), "", Vessels!C367), ""))</f>
        <v>Piping</v>
      </c>
      <c r="D367" s="21" t="str">
        <f>IF($N$1="Piping", IF(ISBLANK(Piping!D367), "", Piping!D367), IF($N$1="Vessels", IF(ISBLANK(Vessels!D367), "", Vessels!D367), ""))</f>
        <v/>
      </c>
      <c r="E367" s="21" t="str">
        <f>IF($N$1="Piping", IF(ISBLANK(Piping!E367), "", Piping!E367), IF($N$1="Vessels", IF(ISBLANK(Vessels!E367), "", Vessels!E367), ""))</f>
        <v/>
      </c>
      <c r="F367" s="21" t="str">
        <f>IF($N$1="Piping", IF(ISBLANK(Piping!F367), "", Piping!F367), IF($N$1="Vessels", IF(ISBLANK(Vessels!F367), "", Vessels!F367), ""))</f>
        <v/>
      </c>
      <c r="G367" s="21">
        <f>IF($N$1="Piping", IF(ISBLANK(Piping!G367), "", Piping!G367), IF($N$1="Vessels", IF(ISBLANK(Vessels!G367), "", Vessels!G367), ""))</f>
        <v>0</v>
      </c>
      <c r="H367" s="21" t="str">
        <f>IF($N$1="Piping", IF(ISBLANK(Piping!H367), "", Piping!H367), IF($N$1="Vessels", IF(ISBLANK(Vessels!H367), "", Vessels!H367), ""))</f>
        <v/>
      </c>
      <c r="I367" s="21" t="str">
        <f>IF($N$1="Piping", IF(ISBLANK(Piping!I367), "", Piping!I367), IF($N$1="Vessels", IF(ISBLANK(Vessels!I367), "", Vessels!I367), ""))</f>
        <v/>
      </c>
      <c r="J367" s="21" t="str">
        <f>IF($N$1="Piping", IF(ISBLANK(Piping!J367), "", Piping!J367), IF($N$1="Vessels", IF(ISBLANK(Vessels!J367), "", Vessels!J367), ""))</f>
        <v/>
      </c>
      <c r="K367" s="21" t="str">
        <f>IF($N$1="Piping", IF(ISBLANK(Piping!K367), "", Piping!K367), IF($N$1="Vessels", IF(ISBLANK(Vessels!K367), "", Vessels!K367), ""))</f>
        <v/>
      </c>
      <c r="L367" s="21" t="str">
        <f>IF($N$1="Piping", IF(ISBLANK(Piping!L367), "", Piping!L367), IF($N$1="Vessels", IF(ISBLANK(Vessels!L367), "", Vessels!L367), ""))</f>
        <v/>
      </c>
      <c r="M367" s="21"/>
      <c r="N367" s="21"/>
      <c r="O367" s="21"/>
      <c r="P367" s="21"/>
      <c r="Q367" s="21" t="str">
        <f>IF($N$1="Piping", IF(ISBLANK(Piping!T367), "", Piping!T367), IF($N$1="Vessels", IF(ISBLANK(Vessels!T367), "", Vessels!T367), ""))</f>
        <v/>
      </c>
      <c r="R367" s="51" t="str">
        <f>IF($N$1="Piping", IF(ISBLANK(Piping!U367), "", Piping!U367), IF($N$1="Vessels", IF(ISBLANK(Vessels!U367), "", Vessels!U367), ""))</f>
        <v/>
      </c>
      <c r="S367" s="118" t="str">
        <f>IF(B367&lt;&gt;"",IF($N$1="Piping", IF(ISBLANK(Piping!$J$3), "", Piping!$J$3), IF($N$1="Vessels", IF(ISBLANK(Vessels!$J$3), "", Vessels!$J$3), "")),"")</f>
        <v/>
      </c>
      <c r="T367" s="37"/>
      <c r="U367" s="37"/>
      <c r="V367" s="37"/>
      <c r="W367" s="37"/>
      <c r="X367" s="37"/>
      <c r="Y367" s="37"/>
      <c r="Z367" s="37"/>
    </row>
    <row r="368" spans="1:26" ht="15.75" customHeight="1" x14ac:dyDescent="0.3">
      <c r="A368" s="22">
        <f>IF($N$1="Piping", IF(ISBLANK(Piping!A368), "", Piping!A368), IF($N$1="Vessels", IF(ISBLANK(Vessels!A368), "", Vessels!A368), ""))</f>
        <v>91.3</v>
      </c>
      <c r="B368" s="21" t="str">
        <f>IF($N$1="Piping", IF(ISBLANK(Piping!B368), "", Piping!B368), IF($N$1="Vessels", IF(ISBLANK(Vessels!B368), "", Vessels!B368), ""))</f>
        <v/>
      </c>
      <c r="C368" s="21" t="str">
        <f>IF($N$1="Piping", IF(ISBLANK(Piping!C368), "", Piping!C368), IF($N$1="Vessels", IF(ISBLANK(Vessels!C368), "", Vessels!C368), ""))</f>
        <v>Piping</v>
      </c>
      <c r="D368" s="21" t="str">
        <f>IF($N$1="Piping", IF(ISBLANK(Piping!D368), "", Piping!D368), IF($N$1="Vessels", IF(ISBLANK(Vessels!D368), "", Vessels!D368), ""))</f>
        <v/>
      </c>
      <c r="E368" s="21" t="str">
        <f>IF($N$1="Piping", IF(ISBLANK(Piping!E368), "", Piping!E368), IF($N$1="Vessels", IF(ISBLANK(Vessels!E368), "", Vessels!E368), ""))</f>
        <v/>
      </c>
      <c r="F368" s="21" t="str">
        <f>IF($N$1="Piping", IF(ISBLANK(Piping!F368), "", Piping!F368), IF($N$1="Vessels", IF(ISBLANK(Vessels!F368), "", Vessels!F368), ""))</f>
        <v/>
      </c>
      <c r="G368" s="21">
        <f>IF($N$1="Piping", IF(ISBLANK(Piping!G368), "", Piping!G368), IF($N$1="Vessels", IF(ISBLANK(Vessels!G368), "", Vessels!G368), ""))</f>
        <v>0</v>
      </c>
      <c r="H368" s="21" t="str">
        <f>IF($N$1="Piping", IF(ISBLANK(Piping!H368), "", Piping!H368), IF($N$1="Vessels", IF(ISBLANK(Vessels!H368), "", Vessels!H368), ""))</f>
        <v/>
      </c>
      <c r="I368" s="21" t="str">
        <f>IF($N$1="Piping", IF(ISBLANK(Piping!I368), "", Piping!I368), IF($N$1="Vessels", IF(ISBLANK(Vessels!I368), "", Vessels!I368), ""))</f>
        <v/>
      </c>
      <c r="J368" s="21" t="str">
        <f>IF($N$1="Piping", IF(ISBLANK(Piping!J368), "", Piping!J368), IF($N$1="Vessels", IF(ISBLANK(Vessels!J368), "", Vessels!J368), ""))</f>
        <v/>
      </c>
      <c r="K368" s="21" t="str">
        <f>IF($N$1="Piping", IF(ISBLANK(Piping!K368), "", Piping!K368), IF($N$1="Vessels", IF(ISBLANK(Vessels!K368), "", Vessels!K368), ""))</f>
        <v/>
      </c>
      <c r="L368" s="21" t="str">
        <f>IF($N$1="Piping", IF(ISBLANK(Piping!L368), "", Piping!L368), IF($N$1="Vessels", IF(ISBLANK(Vessels!L368), "", Vessels!L368), ""))</f>
        <v/>
      </c>
      <c r="M368" s="21"/>
      <c r="N368" s="21"/>
      <c r="O368" s="21"/>
      <c r="P368" s="21"/>
      <c r="Q368" s="21" t="str">
        <f>IF($N$1="Piping", IF(ISBLANK(Piping!T368), "", Piping!T368), IF($N$1="Vessels", IF(ISBLANK(Vessels!T368), "", Vessels!T368), ""))</f>
        <v/>
      </c>
      <c r="R368" s="51" t="str">
        <f>IF($N$1="Piping", IF(ISBLANK(Piping!U368), "", Piping!U368), IF($N$1="Vessels", IF(ISBLANK(Vessels!U368), "", Vessels!U368), ""))</f>
        <v/>
      </c>
      <c r="S368" s="118" t="str">
        <f>IF(B368&lt;&gt;"",IF($N$1="Piping", IF(ISBLANK(Piping!$J$3), "", Piping!$J$3), IF($N$1="Vessels", IF(ISBLANK(Vessels!$J$3), "", Vessels!$J$3), "")),"")</f>
        <v/>
      </c>
      <c r="T368" s="37"/>
      <c r="U368" s="37"/>
      <c r="V368" s="37"/>
      <c r="W368" s="37"/>
      <c r="X368" s="37"/>
      <c r="Y368" s="37"/>
      <c r="Z368" s="37"/>
    </row>
    <row r="369" spans="1:26" ht="15.75" customHeight="1" x14ac:dyDescent="0.3">
      <c r="A369" s="22">
        <f>IF($N$1="Piping", IF(ISBLANK(Piping!A369), "", Piping!A369), IF($N$1="Vessels", IF(ISBLANK(Vessels!A369), "", Vessels!A369), ""))</f>
        <v>91.4</v>
      </c>
      <c r="B369" s="21" t="str">
        <f>IF($N$1="Piping", IF(ISBLANK(Piping!B369), "", Piping!B369), IF($N$1="Vessels", IF(ISBLANK(Vessels!B369), "", Vessels!B369), ""))</f>
        <v/>
      </c>
      <c r="C369" s="21" t="str">
        <f>IF($N$1="Piping", IF(ISBLANK(Piping!C369), "", Piping!C369), IF($N$1="Vessels", IF(ISBLANK(Vessels!C369), "", Vessels!C369), ""))</f>
        <v>Piping</v>
      </c>
      <c r="D369" s="21" t="str">
        <f>IF($N$1="Piping", IF(ISBLANK(Piping!D369), "", Piping!D369), IF($N$1="Vessels", IF(ISBLANK(Vessels!D369), "", Vessels!D369), ""))</f>
        <v/>
      </c>
      <c r="E369" s="21" t="str">
        <f>IF($N$1="Piping", IF(ISBLANK(Piping!E369), "", Piping!E369), IF($N$1="Vessels", IF(ISBLANK(Vessels!E369), "", Vessels!E369), ""))</f>
        <v/>
      </c>
      <c r="F369" s="21" t="str">
        <f>IF($N$1="Piping", IF(ISBLANK(Piping!F369), "", Piping!F369), IF($N$1="Vessels", IF(ISBLANK(Vessels!F369), "", Vessels!F369), ""))</f>
        <v/>
      </c>
      <c r="G369" s="21">
        <f>IF($N$1="Piping", IF(ISBLANK(Piping!G369), "", Piping!G369), IF($N$1="Vessels", IF(ISBLANK(Vessels!G369), "", Vessels!G369), ""))</f>
        <v>0</v>
      </c>
      <c r="H369" s="21" t="str">
        <f>IF($N$1="Piping", IF(ISBLANK(Piping!H369), "", Piping!H369), IF($N$1="Vessels", IF(ISBLANK(Vessels!H369), "", Vessels!H369), ""))</f>
        <v/>
      </c>
      <c r="I369" s="21" t="str">
        <f>IF($N$1="Piping", IF(ISBLANK(Piping!I369), "", Piping!I369), IF($N$1="Vessels", IF(ISBLANK(Vessels!I369), "", Vessels!I369), ""))</f>
        <v/>
      </c>
      <c r="J369" s="21" t="str">
        <f>IF($N$1="Piping", IF(ISBLANK(Piping!J369), "", Piping!J369), IF($N$1="Vessels", IF(ISBLANK(Vessels!J369), "", Vessels!J369), ""))</f>
        <v/>
      </c>
      <c r="K369" s="21" t="str">
        <f>IF($N$1="Piping", IF(ISBLANK(Piping!K369), "", Piping!K369), IF($N$1="Vessels", IF(ISBLANK(Vessels!K369), "", Vessels!K369), ""))</f>
        <v/>
      </c>
      <c r="L369" s="21" t="str">
        <f>IF($N$1="Piping", IF(ISBLANK(Piping!L369), "", Piping!L369), IF($N$1="Vessels", IF(ISBLANK(Vessels!L369), "", Vessels!L369), ""))</f>
        <v/>
      </c>
      <c r="M369" s="21"/>
      <c r="N369" s="21"/>
      <c r="O369" s="21"/>
      <c r="P369" s="21"/>
      <c r="Q369" s="21" t="str">
        <f>IF($N$1="Piping", IF(ISBLANK(Piping!T369), "", Piping!T369), IF($N$1="Vessels", IF(ISBLANK(Vessels!T369), "", Vessels!T369), ""))</f>
        <v/>
      </c>
      <c r="R369" s="51" t="str">
        <f>IF($N$1="Piping", IF(ISBLANK(Piping!U369), "", Piping!U369), IF($N$1="Vessels", IF(ISBLANK(Vessels!U369), "", Vessels!U369), ""))</f>
        <v/>
      </c>
      <c r="S369" s="118" t="str">
        <f>IF(B369&lt;&gt;"",IF($N$1="Piping", IF(ISBLANK(Piping!$J$3), "", Piping!$J$3), IF($N$1="Vessels", IF(ISBLANK(Vessels!$J$3), "", Vessels!$J$3), "")),"")</f>
        <v/>
      </c>
      <c r="T369" s="37"/>
      <c r="U369" s="37"/>
      <c r="V369" s="37"/>
      <c r="W369" s="37"/>
      <c r="X369" s="37"/>
      <c r="Y369" s="37"/>
      <c r="Z369" s="37"/>
    </row>
    <row r="370" spans="1:26" ht="15.75" customHeight="1" x14ac:dyDescent="0.3">
      <c r="A370" s="22">
        <f>IF($N$1="Piping", IF(ISBLANK(Piping!A370), "", Piping!A370), IF($N$1="Vessels", IF(ISBLANK(Vessels!A370), "", Vessels!A370), ""))</f>
        <v>92.1</v>
      </c>
      <c r="B370" s="21" t="str">
        <f>IF($N$1="Piping", IF(ISBLANK(Piping!B370), "", Piping!B370), IF($N$1="Vessels", IF(ISBLANK(Vessels!B370), "", Vessels!B370), ""))</f>
        <v/>
      </c>
      <c r="C370" s="21" t="str">
        <f>IF($N$1="Piping", IF(ISBLANK(Piping!C370), "", Piping!C370), IF($N$1="Vessels", IF(ISBLANK(Vessels!C370), "", Vessels!C370), ""))</f>
        <v>Piping</v>
      </c>
      <c r="D370" s="21" t="str">
        <f>IF($N$1="Piping", IF(ISBLANK(Piping!D370), "", Piping!D370), IF($N$1="Vessels", IF(ISBLANK(Vessels!D370), "", Vessels!D370), ""))</f>
        <v/>
      </c>
      <c r="E370" s="21" t="str">
        <f>IF($N$1="Piping", IF(ISBLANK(Piping!E370), "", Piping!E370), IF($N$1="Vessels", IF(ISBLANK(Vessels!E370), "", Vessels!E370), ""))</f>
        <v/>
      </c>
      <c r="F370" s="21" t="str">
        <f>IF($N$1="Piping", IF(ISBLANK(Piping!F370), "", Piping!F370), IF($N$1="Vessels", IF(ISBLANK(Vessels!F370), "", Vessels!F370), ""))</f>
        <v/>
      </c>
      <c r="G370" s="21">
        <f>IF($N$1="Piping", IF(ISBLANK(Piping!G370), "", Piping!G370), IF($N$1="Vessels", IF(ISBLANK(Vessels!G370), "", Vessels!G370), ""))</f>
        <v>0</v>
      </c>
      <c r="H370" s="21" t="str">
        <f>IF($N$1="Piping", IF(ISBLANK(Piping!H370), "", Piping!H370), IF($N$1="Vessels", IF(ISBLANK(Vessels!H370), "", Vessels!H370), ""))</f>
        <v/>
      </c>
      <c r="I370" s="21" t="str">
        <f>IF($N$1="Piping", IF(ISBLANK(Piping!I370), "", Piping!I370), IF($N$1="Vessels", IF(ISBLANK(Vessels!I370), "", Vessels!I370), ""))</f>
        <v/>
      </c>
      <c r="J370" s="21" t="str">
        <f>IF($N$1="Piping", IF(ISBLANK(Piping!J370), "", Piping!J370), IF($N$1="Vessels", IF(ISBLANK(Vessels!J370), "", Vessels!J370), ""))</f>
        <v/>
      </c>
      <c r="K370" s="21" t="str">
        <f>IF($N$1="Piping", IF(ISBLANK(Piping!K370), "", Piping!K370), IF($N$1="Vessels", IF(ISBLANK(Vessels!K370), "", Vessels!K370), ""))</f>
        <v/>
      </c>
      <c r="L370" s="21" t="str">
        <f>IF($N$1="Piping", IF(ISBLANK(Piping!L370), "", Piping!L370), IF($N$1="Vessels", IF(ISBLANK(Vessels!L370), "", Vessels!L370), ""))</f>
        <v/>
      </c>
      <c r="M370" s="21"/>
      <c r="N370" s="21"/>
      <c r="O370" s="21"/>
      <c r="P370" s="21"/>
      <c r="Q370" s="21" t="str">
        <f>IF($N$1="Piping", IF(ISBLANK(Piping!T370), "", Piping!T370), IF($N$1="Vessels", IF(ISBLANK(Vessels!T370), "", Vessels!T370), ""))</f>
        <v/>
      </c>
      <c r="R370" s="51" t="str">
        <f>IF($N$1="Piping", IF(ISBLANK(Piping!U370), "", Piping!U370), IF($N$1="Vessels", IF(ISBLANK(Vessels!U370), "", Vessels!U370), ""))</f>
        <v/>
      </c>
      <c r="S370" s="118" t="str">
        <f>IF(B370&lt;&gt;"",IF($N$1="Piping", IF(ISBLANK(Piping!$J$3), "", Piping!$J$3), IF($N$1="Vessels", IF(ISBLANK(Vessels!$J$3), "", Vessels!$J$3), "")),"")</f>
        <v/>
      </c>
      <c r="T370" s="37"/>
      <c r="U370" s="37"/>
      <c r="V370" s="37"/>
      <c r="W370" s="37"/>
      <c r="X370" s="37"/>
      <c r="Y370" s="37"/>
      <c r="Z370" s="37"/>
    </row>
    <row r="371" spans="1:26" ht="15.75" customHeight="1" x14ac:dyDescent="0.3">
      <c r="A371" s="22">
        <f>IF($N$1="Piping", IF(ISBLANK(Piping!A371), "", Piping!A371), IF($N$1="Vessels", IF(ISBLANK(Vessels!A371), "", Vessels!A371), ""))</f>
        <v>92.2</v>
      </c>
      <c r="B371" s="21" t="str">
        <f>IF($N$1="Piping", IF(ISBLANK(Piping!B371), "", Piping!B371), IF($N$1="Vessels", IF(ISBLANK(Vessels!B371), "", Vessels!B371), ""))</f>
        <v/>
      </c>
      <c r="C371" s="21" t="str">
        <f>IF($N$1="Piping", IF(ISBLANK(Piping!C371), "", Piping!C371), IF($N$1="Vessels", IF(ISBLANK(Vessels!C371), "", Vessels!C371), ""))</f>
        <v>Piping</v>
      </c>
      <c r="D371" s="21" t="str">
        <f>IF($N$1="Piping", IF(ISBLANK(Piping!D371), "", Piping!D371), IF($N$1="Vessels", IF(ISBLANK(Vessels!D371), "", Vessels!D371), ""))</f>
        <v/>
      </c>
      <c r="E371" s="21" t="str">
        <f>IF($N$1="Piping", IF(ISBLANK(Piping!E371), "", Piping!E371), IF($N$1="Vessels", IF(ISBLANK(Vessels!E371), "", Vessels!E371), ""))</f>
        <v/>
      </c>
      <c r="F371" s="21" t="str">
        <f>IF($N$1="Piping", IF(ISBLANK(Piping!F371), "", Piping!F371), IF($N$1="Vessels", IF(ISBLANK(Vessels!F371), "", Vessels!F371), ""))</f>
        <v/>
      </c>
      <c r="G371" s="21">
        <f>IF($N$1="Piping", IF(ISBLANK(Piping!G371), "", Piping!G371), IF($N$1="Vessels", IF(ISBLANK(Vessels!G371), "", Vessels!G371), ""))</f>
        <v>0</v>
      </c>
      <c r="H371" s="21" t="str">
        <f>IF($N$1="Piping", IF(ISBLANK(Piping!H371), "", Piping!H371), IF($N$1="Vessels", IF(ISBLANK(Vessels!H371), "", Vessels!H371), ""))</f>
        <v/>
      </c>
      <c r="I371" s="21" t="str">
        <f>IF($N$1="Piping", IF(ISBLANK(Piping!I371), "", Piping!I371), IF($N$1="Vessels", IF(ISBLANK(Vessels!I371), "", Vessels!I371), ""))</f>
        <v/>
      </c>
      <c r="J371" s="21" t="str">
        <f>IF($N$1="Piping", IF(ISBLANK(Piping!J371), "", Piping!J371), IF($N$1="Vessels", IF(ISBLANK(Vessels!J371), "", Vessels!J371), ""))</f>
        <v/>
      </c>
      <c r="K371" s="21" t="str">
        <f>IF($N$1="Piping", IF(ISBLANK(Piping!K371), "", Piping!K371), IF($N$1="Vessels", IF(ISBLANK(Vessels!K371), "", Vessels!K371), ""))</f>
        <v/>
      </c>
      <c r="L371" s="21" t="str">
        <f>IF($N$1="Piping", IF(ISBLANK(Piping!L371), "", Piping!L371), IF($N$1="Vessels", IF(ISBLANK(Vessels!L371), "", Vessels!L371), ""))</f>
        <v/>
      </c>
      <c r="M371" s="21"/>
      <c r="N371" s="21"/>
      <c r="O371" s="21"/>
      <c r="P371" s="21"/>
      <c r="Q371" s="21" t="str">
        <f>IF($N$1="Piping", IF(ISBLANK(Piping!T371), "", Piping!T371), IF($N$1="Vessels", IF(ISBLANK(Vessels!T371), "", Vessels!T371), ""))</f>
        <v/>
      </c>
      <c r="R371" s="51" t="str">
        <f>IF($N$1="Piping", IF(ISBLANK(Piping!U371), "", Piping!U371), IF($N$1="Vessels", IF(ISBLANK(Vessels!U371), "", Vessels!U371), ""))</f>
        <v/>
      </c>
      <c r="S371" s="118" t="str">
        <f>IF(B371&lt;&gt;"",IF($N$1="Piping", IF(ISBLANK(Piping!$J$3), "", Piping!$J$3), IF($N$1="Vessels", IF(ISBLANK(Vessels!$J$3), "", Vessels!$J$3), "")),"")</f>
        <v/>
      </c>
      <c r="T371" s="37"/>
      <c r="U371" s="37"/>
      <c r="V371" s="37"/>
      <c r="W371" s="37"/>
      <c r="X371" s="37"/>
      <c r="Y371" s="37"/>
      <c r="Z371" s="37"/>
    </row>
    <row r="372" spans="1:26" ht="15.75" customHeight="1" x14ac:dyDescent="0.3">
      <c r="A372" s="22">
        <f>IF($N$1="Piping", IF(ISBLANK(Piping!A372), "", Piping!A372), IF($N$1="Vessels", IF(ISBLANK(Vessels!A372), "", Vessels!A372), ""))</f>
        <v>92.3</v>
      </c>
      <c r="B372" s="21" t="str">
        <f>IF($N$1="Piping", IF(ISBLANK(Piping!B372), "", Piping!B372), IF($N$1="Vessels", IF(ISBLANK(Vessels!B372), "", Vessels!B372), ""))</f>
        <v/>
      </c>
      <c r="C372" s="21" t="str">
        <f>IF($N$1="Piping", IF(ISBLANK(Piping!C372), "", Piping!C372), IF($N$1="Vessels", IF(ISBLANK(Vessels!C372), "", Vessels!C372), ""))</f>
        <v>Piping</v>
      </c>
      <c r="D372" s="21" t="str">
        <f>IF($N$1="Piping", IF(ISBLANK(Piping!D372), "", Piping!D372), IF($N$1="Vessels", IF(ISBLANK(Vessels!D372), "", Vessels!D372), ""))</f>
        <v/>
      </c>
      <c r="E372" s="21" t="str">
        <f>IF($N$1="Piping", IF(ISBLANK(Piping!E372), "", Piping!E372), IF($N$1="Vessels", IF(ISBLANK(Vessels!E372), "", Vessels!E372), ""))</f>
        <v/>
      </c>
      <c r="F372" s="21" t="str">
        <f>IF($N$1="Piping", IF(ISBLANK(Piping!F372), "", Piping!F372), IF($N$1="Vessels", IF(ISBLANK(Vessels!F372), "", Vessels!F372), ""))</f>
        <v/>
      </c>
      <c r="G372" s="21">
        <f>IF($N$1="Piping", IF(ISBLANK(Piping!G372), "", Piping!G372), IF($N$1="Vessels", IF(ISBLANK(Vessels!G372), "", Vessels!G372), ""))</f>
        <v>0</v>
      </c>
      <c r="H372" s="21" t="str">
        <f>IF($N$1="Piping", IF(ISBLANK(Piping!H372), "", Piping!H372), IF($N$1="Vessels", IF(ISBLANK(Vessels!H372), "", Vessels!H372), ""))</f>
        <v/>
      </c>
      <c r="I372" s="21" t="str">
        <f>IF($N$1="Piping", IF(ISBLANK(Piping!I372), "", Piping!I372), IF($N$1="Vessels", IF(ISBLANK(Vessels!I372), "", Vessels!I372), ""))</f>
        <v/>
      </c>
      <c r="J372" s="21" t="str">
        <f>IF($N$1="Piping", IF(ISBLANK(Piping!J372), "", Piping!J372), IF($N$1="Vessels", IF(ISBLANK(Vessels!J372), "", Vessels!J372), ""))</f>
        <v/>
      </c>
      <c r="K372" s="21" t="str">
        <f>IF($N$1="Piping", IF(ISBLANK(Piping!K372), "", Piping!K372), IF($N$1="Vessels", IF(ISBLANK(Vessels!K372), "", Vessels!K372), ""))</f>
        <v/>
      </c>
      <c r="L372" s="21" t="str">
        <f>IF($N$1="Piping", IF(ISBLANK(Piping!L372), "", Piping!L372), IF($N$1="Vessels", IF(ISBLANK(Vessels!L372), "", Vessels!L372), ""))</f>
        <v/>
      </c>
      <c r="M372" s="21"/>
      <c r="N372" s="21"/>
      <c r="O372" s="21"/>
      <c r="P372" s="21"/>
      <c r="Q372" s="21" t="str">
        <f>IF($N$1="Piping", IF(ISBLANK(Piping!T372), "", Piping!T372), IF($N$1="Vessels", IF(ISBLANK(Vessels!T372), "", Vessels!T372), ""))</f>
        <v/>
      </c>
      <c r="R372" s="51" t="str">
        <f>IF($N$1="Piping", IF(ISBLANK(Piping!U372), "", Piping!U372), IF($N$1="Vessels", IF(ISBLANK(Vessels!U372), "", Vessels!U372), ""))</f>
        <v/>
      </c>
      <c r="S372" s="118" t="str">
        <f>IF(B372&lt;&gt;"",IF($N$1="Piping", IF(ISBLANK(Piping!$J$3), "", Piping!$J$3), IF($N$1="Vessels", IF(ISBLANK(Vessels!$J$3), "", Vessels!$J$3), "")),"")</f>
        <v/>
      </c>
      <c r="T372" s="37"/>
      <c r="U372" s="37"/>
      <c r="V372" s="37"/>
      <c r="W372" s="37"/>
      <c r="X372" s="37"/>
      <c r="Y372" s="37"/>
      <c r="Z372" s="37"/>
    </row>
    <row r="373" spans="1:26" ht="15.75" customHeight="1" x14ac:dyDescent="0.3">
      <c r="A373" s="22">
        <f>IF($N$1="Piping", IF(ISBLANK(Piping!A373), "", Piping!A373), IF($N$1="Vessels", IF(ISBLANK(Vessels!A373), "", Vessels!A373), ""))</f>
        <v>92.4</v>
      </c>
      <c r="B373" s="21" t="str">
        <f>IF($N$1="Piping", IF(ISBLANK(Piping!B373), "", Piping!B373), IF($N$1="Vessels", IF(ISBLANK(Vessels!B373), "", Vessels!B373), ""))</f>
        <v/>
      </c>
      <c r="C373" s="21" t="str">
        <f>IF($N$1="Piping", IF(ISBLANK(Piping!C373), "", Piping!C373), IF($N$1="Vessels", IF(ISBLANK(Vessels!C373), "", Vessels!C373), ""))</f>
        <v>Piping</v>
      </c>
      <c r="D373" s="21" t="str">
        <f>IF($N$1="Piping", IF(ISBLANK(Piping!D373), "", Piping!D373), IF($N$1="Vessels", IF(ISBLANK(Vessels!D373), "", Vessels!D373), ""))</f>
        <v/>
      </c>
      <c r="E373" s="21" t="str">
        <f>IF($N$1="Piping", IF(ISBLANK(Piping!E373), "", Piping!E373), IF($N$1="Vessels", IF(ISBLANK(Vessels!E373), "", Vessels!E373), ""))</f>
        <v/>
      </c>
      <c r="F373" s="21" t="str">
        <f>IF($N$1="Piping", IF(ISBLANK(Piping!F373), "", Piping!F373), IF($N$1="Vessels", IF(ISBLANK(Vessels!F373), "", Vessels!F373), ""))</f>
        <v/>
      </c>
      <c r="G373" s="21">
        <f>IF($N$1="Piping", IF(ISBLANK(Piping!G373), "", Piping!G373), IF($N$1="Vessels", IF(ISBLANK(Vessels!G373), "", Vessels!G373), ""))</f>
        <v>0</v>
      </c>
      <c r="H373" s="21" t="str">
        <f>IF($N$1="Piping", IF(ISBLANK(Piping!H373), "", Piping!H373), IF($N$1="Vessels", IF(ISBLANK(Vessels!H373), "", Vessels!H373), ""))</f>
        <v/>
      </c>
      <c r="I373" s="21" t="str">
        <f>IF($N$1="Piping", IF(ISBLANK(Piping!I373), "", Piping!I373), IF($N$1="Vessels", IF(ISBLANK(Vessels!I373), "", Vessels!I373), ""))</f>
        <v/>
      </c>
      <c r="J373" s="21" t="str">
        <f>IF($N$1="Piping", IF(ISBLANK(Piping!J373), "", Piping!J373), IF($N$1="Vessels", IF(ISBLANK(Vessels!J373), "", Vessels!J373), ""))</f>
        <v/>
      </c>
      <c r="K373" s="21" t="str">
        <f>IF($N$1="Piping", IF(ISBLANK(Piping!K373), "", Piping!K373), IF($N$1="Vessels", IF(ISBLANK(Vessels!K373), "", Vessels!K373), ""))</f>
        <v/>
      </c>
      <c r="L373" s="21" t="str">
        <f>IF($N$1="Piping", IF(ISBLANK(Piping!L373), "", Piping!L373), IF($N$1="Vessels", IF(ISBLANK(Vessels!L373), "", Vessels!L373), ""))</f>
        <v/>
      </c>
      <c r="M373" s="21"/>
      <c r="N373" s="21"/>
      <c r="O373" s="21"/>
      <c r="P373" s="21"/>
      <c r="Q373" s="21" t="str">
        <f>IF($N$1="Piping", IF(ISBLANK(Piping!T373), "", Piping!T373), IF($N$1="Vessels", IF(ISBLANK(Vessels!T373), "", Vessels!T373), ""))</f>
        <v/>
      </c>
      <c r="R373" s="51" t="str">
        <f>IF($N$1="Piping", IF(ISBLANK(Piping!U373), "", Piping!U373), IF($N$1="Vessels", IF(ISBLANK(Vessels!U373), "", Vessels!U373), ""))</f>
        <v/>
      </c>
      <c r="S373" s="118" t="str">
        <f>IF(B373&lt;&gt;"",IF($N$1="Piping", IF(ISBLANK(Piping!$J$3), "", Piping!$J$3), IF($N$1="Vessels", IF(ISBLANK(Vessels!$J$3), "", Vessels!$J$3), "")),"")</f>
        <v/>
      </c>
      <c r="T373" s="37"/>
      <c r="U373" s="37"/>
      <c r="V373" s="37"/>
      <c r="W373" s="37"/>
      <c r="X373" s="37"/>
      <c r="Y373" s="37"/>
      <c r="Z373" s="37"/>
    </row>
    <row r="374" spans="1:26" ht="15.75" customHeight="1" x14ac:dyDescent="0.3">
      <c r="A374" s="22">
        <f>IF($N$1="Piping", IF(ISBLANK(Piping!A374), "", Piping!A374), IF($N$1="Vessels", IF(ISBLANK(Vessels!A374), "", Vessels!A374), ""))</f>
        <v>93.1</v>
      </c>
      <c r="B374" s="21" t="str">
        <f>IF($N$1="Piping", IF(ISBLANK(Piping!B374), "", Piping!B374), IF($N$1="Vessels", IF(ISBLANK(Vessels!B374), "", Vessels!B374), ""))</f>
        <v/>
      </c>
      <c r="C374" s="21" t="str">
        <f>IF($N$1="Piping", IF(ISBLANK(Piping!C374), "", Piping!C374), IF($N$1="Vessels", IF(ISBLANK(Vessels!C374), "", Vessels!C374), ""))</f>
        <v>Piping</v>
      </c>
      <c r="D374" s="21" t="str">
        <f>IF($N$1="Piping", IF(ISBLANK(Piping!D374), "", Piping!D374), IF($N$1="Vessels", IF(ISBLANK(Vessels!D374), "", Vessels!D374), ""))</f>
        <v/>
      </c>
      <c r="E374" s="21" t="str">
        <f>IF($N$1="Piping", IF(ISBLANK(Piping!E374), "", Piping!E374), IF($N$1="Vessels", IF(ISBLANK(Vessels!E374), "", Vessels!E374), ""))</f>
        <v/>
      </c>
      <c r="F374" s="21" t="str">
        <f>IF($N$1="Piping", IF(ISBLANK(Piping!F374), "", Piping!F374), IF($N$1="Vessels", IF(ISBLANK(Vessels!F374), "", Vessels!F374), ""))</f>
        <v/>
      </c>
      <c r="G374" s="21">
        <f>IF($N$1="Piping", IF(ISBLANK(Piping!G374), "", Piping!G374), IF($N$1="Vessels", IF(ISBLANK(Vessels!G374), "", Vessels!G374), ""))</f>
        <v>0</v>
      </c>
      <c r="H374" s="21" t="str">
        <f>IF($N$1="Piping", IF(ISBLANK(Piping!H374), "", Piping!H374), IF($N$1="Vessels", IF(ISBLANK(Vessels!H374), "", Vessels!H374), ""))</f>
        <v/>
      </c>
      <c r="I374" s="21" t="str">
        <f>IF($N$1="Piping", IF(ISBLANK(Piping!I374), "", Piping!I374), IF($N$1="Vessels", IF(ISBLANK(Vessels!I374), "", Vessels!I374), ""))</f>
        <v/>
      </c>
      <c r="J374" s="21" t="str">
        <f>IF($N$1="Piping", IF(ISBLANK(Piping!J374), "", Piping!J374), IF($N$1="Vessels", IF(ISBLANK(Vessels!J374), "", Vessels!J374), ""))</f>
        <v/>
      </c>
      <c r="K374" s="21" t="str">
        <f>IF($N$1="Piping", IF(ISBLANK(Piping!K374), "", Piping!K374), IF($N$1="Vessels", IF(ISBLANK(Vessels!K374), "", Vessels!K374), ""))</f>
        <v/>
      </c>
      <c r="L374" s="21" t="str">
        <f>IF($N$1="Piping", IF(ISBLANK(Piping!L374), "", Piping!L374), IF($N$1="Vessels", IF(ISBLANK(Vessels!L374), "", Vessels!L374), ""))</f>
        <v/>
      </c>
      <c r="M374" s="21"/>
      <c r="N374" s="21"/>
      <c r="O374" s="21"/>
      <c r="P374" s="21"/>
      <c r="Q374" s="21" t="str">
        <f>IF($N$1="Piping", IF(ISBLANK(Piping!T374), "", Piping!T374), IF($N$1="Vessels", IF(ISBLANK(Vessels!T374), "", Vessels!T374), ""))</f>
        <v/>
      </c>
      <c r="R374" s="51" t="str">
        <f>IF($N$1="Piping", IF(ISBLANK(Piping!U374), "", Piping!U374), IF($N$1="Vessels", IF(ISBLANK(Vessels!U374), "", Vessels!U374), ""))</f>
        <v/>
      </c>
      <c r="S374" s="118" t="str">
        <f>IF(B374&lt;&gt;"",IF($N$1="Piping", IF(ISBLANK(Piping!$J$3), "", Piping!$J$3), IF($N$1="Vessels", IF(ISBLANK(Vessels!$J$3), "", Vessels!$J$3), "")),"")</f>
        <v/>
      </c>
      <c r="T374" s="37"/>
      <c r="U374" s="37"/>
      <c r="V374" s="37"/>
      <c r="W374" s="37"/>
      <c r="X374" s="37"/>
      <c r="Y374" s="37"/>
      <c r="Z374" s="37"/>
    </row>
    <row r="375" spans="1:26" ht="15.75" customHeight="1" x14ac:dyDescent="0.3">
      <c r="A375" s="22">
        <f>IF($N$1="Piping", IF(ISBLANK(Piping!A375), "", Piping!A375), IF($N$1="Vessels", IF(ISBLANK(Vessels!A375), "", Vessels!A375), ""))</f>
        <v>93.2</v>
      </c>
      <c r="B375" s="21" t="str">
        <f>IF($N$1="Piping", IF(ISBLANK(Piping!B375), "", Piping!B375), IF($N$1="Vessels", IF(ISBLANK(Vessels!B375), "", Vessels!B375), ""))</f>
        <v/>
      </c>
      <c r="C375" s="21" t="str">
        <f>IF($N$1="Piping", IF(ISBLANK(Piping!C375), "", Piping!C375), IF($N$1="Vessels", IF(ISBLANK(Vessels!C375), "", Vessels!C375), ""))</f>
        <v>Piping</v>
      </c>
      <c r="D375" s="21" t="str">
        <f>IF($N$1="Piping", IF(ISBLANK(Piping!D375), "", Piping!D375), IF($N$1="Vessels", IF(ISBLANK(Vessels!D375), "", Vessels!D375), ""))</f>
        <v/>
      </c>
      <c r="E375" s="21" t="str">
        <f>IF($N$1="Piping", IF(ISBLANK(Piping!E375), "", Piping!E375), IF($N$1="Vessels", IF(ISBLANK(Vessels!E375), "", Vessels!E375), ""))</f>
        <v/>
      </c>
      <c r="F375" s="21" t="str">
        <f>IF($N$1="Piping", IF(ISBLANK(Piping!F375), "", Piping!F375), IF($N$1="Vessels", IF(ISBLANK(Vessels!F375), "", Vessels!F375), ""))</f>
        <v/>
      </c>
      <c r="G375" s="21">
        <f>IF($N$1="Piping", IF(ISBLANK(Piping!G375), "", Piping!G375), IF($N$1="Vessels", IF(ISBLANK(Vessels!G375), "", Vessels!G375), ""))</f>
        <v>0</v>
      </c>
      <c r="H375" s="21" t="str">
        <f>IF($N$1="Piping", IF(ISBLANK(Piping!H375), "", Piping!H375), IF($N$1="Vessels", IF(ISBLANK(Vessels!H375), "", Vessels!H375), ""))</f>
        <v/>
      </c>
      <c r="I375" s="21" t="str">
        <f>IF($N$1="Piping", IF(ISBLANK(Piping!I375), "", Piping!I375), IF($N$1="Vessels", IF(ISBLANK(Vessels!I375), "", Vessels!I375), ""))</f>
        <v/>
      </c>
      <c r="J375" s="21" t="str">
        <f>IF($N$1="Piping", IF(ISBLANK(Piping!J375), "", Piping!J375), IF($N$1="Vessels", IF(ISBLANK(Vessels!J375), "", Vessels!J375), ""))</f>
        <v/>
      </c>
      <c r="K375" s="21" t="str">
        <f>IF($N$1="Piping", IF(ISBLANK(Piping!K375), "", Piping!K375), IF($N$1="Vessels", IF(ISBLANK(Vessels!K375), "", Vessels!K375), ""))</f>
        <v/>
      </c>
      <c r="L375" s="21" t="str">
        <f>IF($N$1="Piping", IF(ISBLANK(Piping!L375), "", Piping!L375), IF($N$1="Vessels", IF(ISBLANK(Vessels!L375), "", Vessels!L375), ""))</f>
        <v/>
      </c>
      <c r="M375" s="21"/>
      <c r="N375" s="21"/>
      <c r="O375" s="21"/>
      <c r="P375" s="21"/>
      <c r="Q375" s="21" t="str">
        <f>IF($N$1="Piping", IF(ISBLANK(Piping!T375), "", Piping!T375), IF($N$1="Vessels", IF(ISBLANK(Vessels!T375), "", Vessels!T375), ""))</f>
        <v/>
      </c>
      <c r="R375" s="51" t="str">
        <f>IF($N$1="Piping", IF(ISBLANK(Piping!U375), "", Piping!U375), IF($N$1="Vessels", IF(ISBLANK(Vessels!U375), "", Vessels!U375), ""))</f>
        <v/>
      </c>
      <c r="S375" s="118" t="str">
        <f>IF(B375&lt;&gt;"",IF($N$1="Piping", IF(ISBLANK(Piping!$J$3), "", Piping!$J$3), IF($N$1="Vessels", IF(ISBLANK(Vessels!$J$3), "", Vessels!$J$3), "")),"")</f>
        <v/>
      </c>
      <c r="T375" s="37"/>
      <c r="U375" s="37"/>
      <c r="V375" s="37"/>
      <c r="W375" s="37"/>
      <c r="X375" s="37"/>
      <c r="Y375" s="37"/>
      <c r="Z375" s="37"/>
    </row>
    <row r="376" spans="1:26" ht="15.75" customHeight="1" x14ac:dyDescent="0.3">
      <c r="A376" s="22">
        <f>IF($N$1="Piping", IF(ISBLANK(Piping!A376), "", Piping!A376), IF($N$1="Vessels", IF(ISBLANK(Vessels!A376), "", Vessels!A376), ""))</f>
        <v>93.3</v>
      </c>
      <c r="B376" s="21" t="str">
        <f>IF($N$1="Piping", IF(ISBLANK(Piping!B376), "", Piping!B376), IF($N$1="Vessels", IF(ISBLANK(Vessels!B376), "", Vessels!B376), ""))</f>
        <v/>
      </c>
      <c r="C376" s="21" t="str">
        <f>IF($N$1="Piping", IF(ISBLANK(Piping!C376), "", Piping!C376), IF($N$1="Vessels", IF(ISBLANK(Vessels!C376), "", Vessels!C376), ""))</f>
        <v>Piping</v>
      </c>
      <c r="D376" s="21" t="str">
        <f>IF($N$1="Piping", IF(ISBLANK(Piping!D376), "", Piping!D376), IF($N$1="Vessels", IF(ISBLANK(Vessels!D376), "", Vessels!D376), ""))</f>
        <v/>
      </c>
      <c r="E376" s="21" t="str">
        <f>IF($N$1="Piping", IF(ISBLANK(Piping!E376), "", Piping!E376), IF($N$1="Vessels", IF(ISBLANK(Vessels!E376), "", Vessels!E376), ""))</f>
        <v/>
      </c>
      <c r="F376" s="21" t="str">
        <f>IF($N$1="Piping", IF(ISBLANK(Piping!F376), "", Piping!F376), IF($N$1="Vessels", IF(ISBLANK(Vessels!F376), "", Vessels!F376), ""))</f>
        <v/>
      </c>
      <c r="G376" s="21">
        <f>IF($N$1="Piping", IF(ISBLANK(Piping!G376), "", Piping!G376), IF($N$1="Vessels", IF(ISBLANK(Vessels!G376), "", Vessels!G376), ""))</f>
        <v>0</v>
      </c>
      <c r="H376" s="21" t="str">
        <f>IF($N$1="Piping", IF(ISBLANK(Piping!H376), "", Piping!H376), IF($N$1="Vessels", IF(ISBLANK(Vessels!H376), "", Vessels!H376), ""))</f>
        <v/>
      </c>
      <c r="I376" s="21" t="str">
        <f>IF($N$1="Piping", IF(ISBLANK(Piping!I376), "", Piping!I376), IF($N$1="Vessels", IF(ISBLANK(Vessels!I376), "", Vessels!I376), ""))</f>
        <v/>
      </c>
      <c r="J376" s="21" t="str">
        <f>IF($N$1="Piping", IF(ISBLANK(Piping!J376), "", Piping!J376), IF($N$1="Vessels", IF(ISBLANK(Vessels!J376), "", Vessels!J376), ""))</f>
        <v/>
      </c>
      <c r="K376" s="21" t="str">
        <f>IF($N$1="Piping", IF(ISBLANK(Piping!K376), "", Piping!K376), IF($N$1="Vessels", IF(ISBLANK(Vessels!K376), "", Vessels!K376), ""))</f>
        <v/>
      </c>
      <c r="L376" s="21" t="str">
        <f>IF($N$1="Piping", IF(ISBLANK(Piping!L376), "", Piping!L376), IF($N$1="Vessels", IF(ISBLANK(Vessels!L376), "", Vessels!L376), ""))</f>
        <v/>
      </c>
      <c r="M376" s="21"/>
      <c r="N376" s="21"/>
      <c r="O376" s="21"/>
      <c r="P376" s="21"/>
      <c r="Q376" s="21" t="str">
        <f>IF($N$1="Piping", IF(ISBLANK(Piping!T376), "", Piping!T376), IF($N$1="Vessels", IF(ISBLANK(Vessels!T376), "", Vessels!T376), ""))</f>
        <v/>
      </c>
      <c r="R376" s="51" t="str">
        <f>IF($N$1="Piping", IF(ISBLANK(Piping!U376), "", Piping!U376), IF($N$1="Vessels", IF(ISBLANK(Vessels!U376), "", Vessels!U376), ""))</f>
        <v/>
      </c>
      <c r="S376" s="118" t="str">
        <f>IF(B376&lt;&gt;"",IF($N$1="Piping", IF(ISBLANK(Piping!$J$3), "", Piping!$J$3), IF($N$1="Vessels", IF(ISBLANK(Vessels!$J$3), "", Vessels!$J$3), "")),"")</f>
        <v/>
      </c>
      <c r="T376" s="37"/>
      <c r="U376" s="37"/>
      <c r="V376" s="37"/>
      <c r="W376" s="37"/>
      <c r="X376" s="37"/>
      <c r="Y376" s="37"/>
      <c r="Z376" s="37"/>
    </row>
    <row r="377" spans="1:26" ht="15.75" customHeight="1" x14ac:dyDescent="0.3">
      <c r="A377" s="22">
        <f>IF($N$1="Piping", IF(ISBLANK(Piping!A377), "", Piping!A377), IF($N$1="Vessels", IF(ISBLANK(Vessels!A377), "", Vessels!A377), ""))</f>
        <v>93.4</v>
      </c>
      <c r="B377" s="21" t="str">
        <f>IF($N$1="Piping", IF(ISBLANK(Piping!B377), "", Piping!B377), IF($N$1="Vessels", IF(ISBLANK(Vessels!B377), "", Vessels!B377), ""))</f>
        <v/>
      </c>
      <c r="C377" s="21" t="str">
        <f>IF($N$1="Piping", IF(ISBLANK(Piping!C377), "", Piping!C377), IF($N$1="Vessels", IF(ISBLANK(Vessels!C377), "", Vessels!C377), ""))</f>
        <v>Piping</v>
      </c>
      <c r="D377" s="21" t="str">
        <f>IF($N$1="Piping", IF(ISBLANK(Piping!D377), "", Piping!D377), IF($N$1="Vessels", IF(ISBLANK(Vessels!D377), "", Vessels!D377), ""))</f>
        <v/>
      </c>
      <c r="E377" s="21" t="str">
        <f>IF($N$1="Piping", IF(ISBLANK(Piping!E377), "", Piping!E377), IF($N$1="Vessels", IF(ISBLANK(Vessels!E377), "", Vessels!E377), ""))</f>
        <v/>
      </c>
      <c r="F377" s="21" t="str">
        <f>IF($N$1="Piping", IF(ISBLANK(Piping!F377), "", Piping!F377), IF($N$1="Vessels", IF(ISBLANK(Vessels!F377), "", Vessels!F377), ""))</f>
        <v/>
      </c>
      <c r="G377" s="21">
        <f>IF($N$1="Piping", IF(ISBLANK(Piping!G377), "", Piping!G377), IF($N$1="Vessels", IF(ISBLANK(Vessels!G377), "", Vessels!G377), ""))</f>
        <v>0</v>
      </c>
      <c r="H377" s="21" t="str">
        <f>IF($N$1="Piping", IF(ISBLANK(Piping!H377), "", Piping!H377), IF($N$1="Vessels", IF(ISBLANK(Vessels!H377), "", Vessels!H377), ""))</f>
        <v/>
      </c>
      <c r="I377" s="21" t="str">
        <f>IF($N$1="Piping", IF(ISBLANK(Piping!I377), "", Piping!I377), IF($N$1="Vessels", IF(ISBLANK(Vessels!I377), "", Vessels!I377), ""))</f>
        <v/>
      </c>
      <c r="J377" s="21" t="str">
        <f>IF($N$1="Piping", IF(ISBLANK(Piping!J377), "", Piping!J377), IF($N$1="Vessels", IF(ISBLANK(Vessels!J377), "", Vessels!J377), ""))</f>
        <v/>
      </c>
      <c r="K377" s="21" t="str">
        <f>IF($N$1="Piping", IF(ISBLANK(Piping!K377), "", Piping!K377), IF($N$1="Vessels", IF(ISBLANK(Vessels!K377), "", Vessels!K377), ""))</f>
        <v/>
      </c>
      <c r="L377" s="21" t="str">
        <f>IF($N$1="Piping", IF(ISBLANK(Piping!L377), "", Piping!L377), IF($N$1="Vessels", IF(ISBLANK(Vessels!L377), "", Vessels!L377), ""))</f>
        <v/>
      </c>
      <c r="M377" s="21"/>
      <c r="N377" s="21"/>
      <c r="O377" s="21"/>
      <c r="P377" s="21"/>
      <c r="Q377" s="21" t="str">
        <f>IF($N$1="Piping", IF(ISBLANK(Piping!T377), "", Piping!T377), IF($N$1="Vessels", IF(ISBLANK(Vessels!T377), "", Vessels!T377), ""))</f>
        <v/>
      </c>
      <c r="R377" s="51" t="str">
        <f>IF($N$1="Piping", IF(ISBLANK(Piping!U377), "", Piping!U377), IF($N$1="Vessels", IF(ISBLANK(Vessels!U377), "", Vessels!U377), ""))</f>
        <v/>
      </c>
      <c r="S377" s="118" t="str">
        <f>IF(B377&lt;&gt;"",IF($N$1="Piping", IF(ISBLANK(Piping!$J$3), "", Piping!$J$3), IF($N$1="Vessels", IF(ISBLANK(Vessels!$J$3), "", Vessels!$J$3), "")),"")</f>
        <v/>
      </c>
      <c r="T377" s="37"/>
      <c r="U377" s="37"/>
      <c r="V377" s="37"/>
      <c r="W377" s="37"/>
      <c r="X377" s="37"/>
      <c r="Y377" s="37"/>
      <c r="Z377" s="37"/>
    </row>
    <row r="378" spans="1:26" ht="15.75" customHeight="1" x14ac:dyDescent="0.3">
      <c r="A378" s="22">
        <f>IF($N$1="Piping", IF(ISBLANK(Piping!A378), "", Piping!A378), IF($N$1="Vessels", IF(ISBLANK(Vessels!A378), "", Vessels!A378), ""))</f>
        <v>94.1</v>
      </c>
      <c r="B378" s="21" t="str">
        <f>IF($N$1="Piping", IF(ISBLANK(Piping!B378), "", Piping!B378), IF($N$1="Vessels", IF(ISBLANK(Vessels!B378), "", Vessels!B378), ""))</f>
        <v/>
      </c>
      <c r="C378" s="21" t="str">
        <f>IF($N$1="Piping", IF(ISBLANK(Piping!C378), "", Piping!C378), IF($N$1="Vessels", IF(ISBLANK(Vessels!C378), "", Vessels!C378), ""))</f>
        <v>Piping</v>
      </c>
      <c r="D378" s="21" t="str">
        <f>IF($N$1="Piping", IF(ISBLANK(Piping!D378), "", Piping!D378), IF($N$1="Vessels", IF(ISBLANK(Vessels!D378), "", Vessels!D378), ""))</f>
        <v/>
      </c>
      <c r="E378" s="21" t="str">
        <f>IF($N$1="Piping", IF(ISBLANK(Piping!E378), "", Piping!E378), IF($N$1="Vessels", IF(ISBLANK(Vessels!E378), "", Vessels!E378), ""))</f>
        <v/>
      </c>
      <c r="F378" s="21" t="str">
        <f>IF($N$1="Piping", IF(ISBLANK(Piping!F378), "", Piping!F378), IF($N$1="Vessels", IF(ISBLANK(Vessels!F378), "", Vessels!F378), ""))</f>
        <v/>
      </c>
      <c r="G378" s="21">
        <f>IF($N$1="Piping", IF(ISBLANK(Piping!G378), "", Piping!G378), IF($N$1="Vessels", IF(ISBLANK(Vessels!G378), "", Vessels!G378), ""))</f>
        <v>0</v>
      </c>
      <c r="H378" s="21" t="str">
        <f>IF($N$1="Piping", IF(ISBLANK(Piping!H378), "", Piping!H378), IF($N$1="Vessels", IF(ISBLANK(Vessels!H378), "", Vessels!H378), ""))</f>
        <v/>
      </c>
      <c r="I378" s="21" t="str">
        <f>IF($N$1="Piping", IF(ISBLANK(Piping!I378), "", Piping!I378), IF($N$1="Vessels", IF(ISBLANK(Vessels!I378), "", Vessels!I378), ""))</f>
        <v/>
      </c>
      <c r="J378" s="21" t="str">
        <f>IF($N$1="Piping", IF(ISBLANK(Piping!J378), "", Piping!J378), IF($N$1="Vessels", IF(ISBLANK(Vessels!J378), "", Vessels!J378), ""))</f>
        <v/>
      </c>
      <c r="K378" s="21" t="str">
        <f>IF($N$1="Piping", IF(ISBLANK(Piping!K378), "", Piping!K378), IF($N$1="Vessels", IF(ISBLANK(Vessels!K378), "", Vessels!K378), ""))</f>
        <v/>
      </c>
      <c r="L378" s="21" t="str">
        <f>IF($N$1="Piping", IF(ISBLANK(Piping!L378), "", Piping!L378), IF($N$1="Vessels", IF(ISBLANK(Vessels!L378), "", Vessels!L378), ""))</f>
        <v/>
      </c>
      <c r="M378" s="21"/>
      <c r="N378" s="21"/>
      <c r="O378" s="21"/>
      <c r="P378" s="21"/>
      <c r="Q378" s="21" t="str">
        <f>IF($N$1="Piping", IF(ISBLANK(Piping!T378), "", Piping!T378), IF($N$1="Vessels", IF(ISBLANK(Vessels!T378), "", Vessels!T378), ""))</f>
        <v/>
      </c>
      <c r="R378" s="51" t="str">
        <f>IF($N$1="Piping", IF(ISBLANK(Piping!U378), "", Piping!U378), IF($N$1="Vessels", IF(ISBLANK(Vessels!U378), "", Vessels!U378), ""))</f>
        <v/>
      </c>
      <c r="S378" s="118" t="str">
        <f>IF(B378&lt;&gt;"",IF($N$1="Piping", IF(ISBLANK(Piping!$J$3), "", Piping!$J$3), IF($N$1="Vessels", IF(ISBLANK(Vessels!$J$3), "", Vessels!$J$3), "")),"")</f>
        <v/>
      </c>
      <c r="T378" s="37"/>
      <c r="U378" s="37"/>
      <c r="V378" s="37"/>
      <c r="W378" s="37"/>
      <c r="X378" s="37"/>
      <c r="Y378" s="37"/>
      <c r="Z378" s="37"/>
    </row>
    <row r="379" spans="1:26" ht="15.75" customHeight="1" x14ac:dyDescent="0.3">
      <c r="A379" s="22">
        <f>IF($N$1="Piping", IF(ISBLANK(Piping!A379), "", Piping!A379), IF($N$1="Vessels", IF(ISBLANK(Vessels!A379), "", Vessels!A379), ""))</f>
        <v>94.2</v>
      </c>
      <c r="B379" s="21" t="str">
        <f>IF($N$1="Piping", IF(ISBLANK(Piping!B379), "", Piping!B379), IF($N$1="Vessels", IF(ISBLANK(Vessels!B379), "", Vessels!B379), ""))</f>
        <v/>
      </c>
      <c r="C379" s="21" t="str">
        <f>IF($N$1="Piping", IF(ISBLANK(Piping!C379), "", Piping!C379), IF($N$1="Vessels", IF(ISBLANK(Vessels!C379), "", Vessels!C379), ""))</f>
        <v>Piping</v>
      </c>
      <c r="D379" s="21" t="str">
        <f>IF($N$1="Piping", IF(ISBLANK(Piping!D379), "", Piping!D379), IF($N$1="Vessels", IF(ISBLANK(Vessels!D379), "", Vessels!D379), ""))</f>
        <v/>
      </c>
      <c r="E379" s="21" t="str">
        <f>IF($N$1="Piping", IF(ISBLANK(Piping!E379), "", Piping!E379), IF($N$1="Vessels", IF(ISBLANK(Vessels!E379), "", Vessels!E379), ""))</f>
        <v/>
      </c>
      <c r="F379" s="21" t="str">
        <f>IF($N$1="Piping", IF(ISBLANK(Piping!F379), "", Piping!F379), IF($N$1="Vessels", IF(ISBLANK(Vessels!F379), "", Vessels!F379), ""))</f>
        <v/>
      </c>
      <c r="G379" s="21">
        <f>IF($N$1="Piping", IF(ISBLANK(Piping!G379), "", Piping!G379), IF($N$1="Vessels", IF(ISBLANK(Vessels!G379), "", Vessels!G379), ""))</f>
        <v>0</v>
      </c>
      <c r="H379" s="21" t="str">
        <f>IF($N$1="Piping", IF(ISBLANK(Piping!H379), "", Piping!H379), IF($N$1="Vessels", IF(ISBLANK(Vessels!H379), "", Vessels!H379), ""))</f>
        <v/>
      </c>
      <c r="I379" s="21" t="str">
        <f>IF($N$1="Piping", IF(ISBLANK(Piping!I379), "", Piping!I379), IF($N$1="Vessels", IF(ISBLANK(Vessels!I379), "", Vessels!I379), ""))</f>
        <v/>
      </c>
      <c r="J379" s="21" t="str">
        <f>IF($N$1="Piping", IF(ISBLANK(Piping!J379), "", Piping!J379), IF($N$1="Vessels", IF(ISBLANK(Vessels!J379), "", Vessels!J379), ""))</f>
        <v/>
      </c>
      <c r="K379" s="21" t="str">
        <f>IF($N$1="Piping", IF(ISBLANK(Piping!K379), "", Piping!K379), IF($N$1="Vessels", IF(ISBLANK(Vessels!K379), "", Vessels!K379), ""))</f>
        <v/>
      </c>
      <c r="L379" s="21" t="str">
        <f>IF($N$1="Piping", IF(ISBLANK(Piping!L379), "", Piping!L379), IF($N$1="Vessels", IF(ISBLANK(Vessels!L379), "", Vessels!L379), ""))</f>
        <v/>
      </c>
      <c r="M379" s="21"/>
      <c r="N379" s="21"/>
      <c r="O379" s="21"/>
      <c r="P379" s="21"/>
      <c r="Q379" s="21" t="str">
        <f>IF($N$1="Piping", IF(ISBLANK(Piping!T379), "", Piping!T379), IF($N$1="Vessels", IF(ISBLANK(Vessels!T379), "", Vessels!T379), ""))</f>
        <v/>
      </c>
      <c r="R379" s="51" t="str">
        <f>IF($N$1="Piping", IF(ISBLANK(Piping!U379), "", Piping!U379), IF($N$1="Vessels", IF(ISBLANK(Vessels!U379), "", Vessels!U379), ""))</f>
        <v/>
      </c>
      <c r="S379" s="118" t="str">
        <f>IF(B379&lt;&gt;"",IF($N$1="Piping", IF(ISBLANK(Piping!$J$3), "", Piping!$J$3), IF($N$1="Vessels", IF(ISBLANK(Vessels!$J$3), "", Vessels!$J$3), "")),"")</f>
        <v/>
      </c>
      <c r="T379" s="37"/>
      <c r="U379" s="37"/>
      <c r="V379" s="37"/>
      <c r="W379" s="37"/>
      <c r="X379" s="37"/>
      <c r="Y379" s="37"/>
      <c r="Z379" s="37"/>
    </row>
    <row r="380" spans="1:26" ht="15.75" customHeight="1" x14ac:dyDescent="0.3">
      <c r="A380" s="22">
        <f>IF($N$1="Piping", IF(ISBLANK(Piping!A380), "", Piping!A380), IF($N$1="Vessels", IF(ISBLANK(Vessels!A380), "", Vessels!A380), ""))</f>
        <v>94.3</v>
      </c>
      <c r="B380" s="21" t="str">
        <f>IF($N$1="Piping", IF(ISBLANK(Piping!B380), "", Piping!B380), IF($N$1="Vessels", IF(ISBLANK(Vessels!B380), "", Vessels!B380), ""))</f>
        <v/>
      </c>
      <c r="C380" s="21" t="str">
        <f>IF($N$1="Piping", IF(ISBLANK(Piping!C380), "", Piping!C380), IF($N$1="Vessels", IF(ISBLANK(Vessels!C380), "", Vessels!C380), ""))</f>
        <v>Piping</v>
      </c>
      <c r="D380" s="21" t="str">
        <f>IF($N$1="Piping", IF(ISBLANK(Piping!D380), "", Piping!D380), IF($N$1="Vessels", IF(ISBLANK(Vessels!D380), "", Vessels!D380), ""))</f>
        <v/>
      </c>
      <c r="E380" s="21" t="str">
        <f>IF($N$1="Piping", IF(ISBLANK(Piping!E380), "", Piping!E380), IF($N$1="Vessels", IF(ISBLANK(Vessels!E380), "", Vessels!E380), ""))</f>
        <v/>
      </c>
      <c r="F380" s="21" t="str">
        <f>IF($N$1="Piping", IF(ISBLANK(Piping!F380), "", Piping!F380), IF($N$1="Vessels", IF(ISBLANK(Vessels!F380), "", Vessels!F380), ""))</f>
        <v/>
      </c>
      <c r="G380" s="21">
        <f>IF($N$1="Piping", IF(ISBLANK(Piping!G380), "", Piping!G380), IF($N$1="Vessels", IF(ISBLANK(Vessels!G380), "", Vessels!G380), ""))</f>
        <v>0</v>
      </c>
      <c r="H380" s="21" t="str">
        <f>IF($N$1="Piping", IF(ISBLANK(Piping!H380), "", Piping!H380), IF($N$1="Vessels", IF(ISBLANK(Vessels!H380), "", Vessels!H380), ""))</f>
        <v/>
      </c>
      <c r="I380" s="21" t="str">
        <f>IF($N$1="Piping", IF(ISBLANK(Piping!I380), "", Piping!I380), IF($N$1="Vessels", IF(ISBLANK(Vessels!I380), "", Vessels!I380), ""))</f>
        <v/>
      </c>
      <c r="J380" s="21" t="str">
        <f>IF($N$1="Piping", IF(ISBLANK(Piping!J380), "", Piping!J380), IF($N$1="Vessels", IF(ISBLANK(Vessels!J380), "", Vessels!J380), ""))</f>
        <v/>
      </c>
      <c r="K380" s="21" t="str">
        <f>IF($N$1="Piping", IF(ISBLANK(Piping!K380), "", Piping!K380), IF($N$1="Vessels", IF(ISBLANK(Vessels!K380), "", Vessels!K380), ""))</f>
        <v/>
      </c>
      <c r="L380" s="21" t="str">
        <f>IF($N$1="Piping", IF(ISBLANK(Piping!L380), "", Piping!L380), IF($N$1="Vessels", IF(ISBLANK(Vessels!L380), "", Vessels!L380), ""))</f>
        <v/>
      </c>
      <c r="M380" s="21"/>
      <c r="N380" s="21"/>
      <c r="O380" s="21"/>
      <c r="P380" s="21"/>
      <c r="Q380" s="21" t="str">
        <f>IF($N$1="Piping", IF(ISBLANK(Piping!T380), "", Piping!T380), IF($N$1="Vessels", IF(ISBLANK(Vessels!T380), "", Vessels!T380), ""))</f>
        <v/>
      </c>
      <c r="R380" s="51" t="str">
        <f>IF($N$1="Piping", IF(ISBLANK(Piping!U380), "", Piping!U380), IF($N$1="Vessels", IF(ISBLANK(Vessels!U380), "", Vessels!U380), ""))</f>
        <v/>
      </c>
      <c r="S380" s="118" t="str">
        <f>IF(B380&lt;&gt;"",IF($N$1="Piping", IF(ISBLANK(Piping!$J$3), "", Piping!$J$3), IF($N$1="Vessels", IF(ISBLANK(Vessels!$J$3), "", Vessels!$J$3), "")),"")</f>
        <v/>
      </c>
      <c r="T380" s="37"/>
      <c r="U380" s="37"/>
      <c r="V380" s="37"/>
      <c r="W380" s="37"/>
      <c r="X380" s="37"/>
      <c r="Y380" s="37"/>
      <c r="Z380" s="37"/>
    </row>
    <row r="381" spans="1:26" ht="15.75" customHeight="1" x14ac:dyDescent="0.3">
      <c r="A381" s="22">
        <f>IF($N$1="Piping", IF(ISBLANK(Piping!A381), "", Piping!A381), IF($N$1="Vessels", IF(ISBLANK(Vessels!A381), "", Vessels!A381), ""))</f>
        <v>94.4</v>
      </c>
      <c r="B381" s="21" t="str">
        <f>IF($N$1="Piping", IF(ISBLANK(Piping!B381), "", Piping!B381), IF($N$1="Vessels", IF(ISBLANK(Vessels!B381), "", Vessels!B381), ""))</f>
        <v/>
      </c>
      <c r="C381" s="21" t="str">
        <f>IF($N$1="Piping", IF(ISBLANK(Piping!C381), "", Piping!C381), IF($N$1="Vessels", IF(ISBLANK(Vessels!C381), "", Vessels!C381), ""))</f>
        <v>Piping</v>
      </c>
      <c r="D381" s="21" t="str">
        <f>IF($N$1="Piping", IF(ISBLANK(Piping!D381), "", Piping!D381), IF($N$1="Vessels", IF(ISBLANK(Vessels!D381), "", Vessels!D381), ""))</f>
        <v/>
      </c>
      <c r="E381" s="21" t="str">
        <f>IF($N$1="Piping", IF(ISBLANK(Piping!E381), "", Piping!E381), IF($N$1="Vessels", IF(ISBLANK(Vessels!E381), "", Vessels!E381), ""))</f>
        <v/>
      </c>
      <c r="F381" s="21" t="str">
        <f>IF($N$1="Piping", IF(ISBLANK(Piping!F381), "", Piping!F381), IF($N$1="Vessels", IF(ISBLANK(Vessels!F381), "", Vessels!F381), ""))</f>
        <v/>
      </c>
      <c r="G381" s="21">
        <f>IF($N$1="Piping", IF(ISBLANK(Piping!G381), "", Piping!G381), IF($N$1="Vessels", IF(ISBLANK(Vessels!G381), "", Vessels!G381), ""))</f>
        <v>0</v>
      </c>
      <c r="H381" s="21" t="str">
        <f>IF($N$1="Piping", IF(ISBLANK(Piping!H381), "", Piping!H381), IF($N$1="Vessels", IF(ISBLANK(Vessels!H381), "", Vessels!H381), ""))</f>
        <v/>
      </c>
      <c r="I381" s="21" t="str">
        <f>IF($N$1="Piping", IF(ISBLANK(Piping!I381), "", Piping!I381), IF($N$1="Vessels", IF(ISBLANK(Vessels!I381), "", Vessels!I381), ""))</f>
        <v/>
      </c>
      <c r="J381" s="21" t="str">
        <f>IF($N$1="Piping", IF(ISBLANK(Piping!J381), "", Piping!J381), IF($N$1="Vessels", IF(ISBLANK(Vessels!J381), "", Vessels!J381), ""))</f>
        <v/>
      </c>
      <c r="K381" s="21" t="str">
        <f>IF($N$1="Piping", IF(ISBLANK(Piping!K381), "", Piping!K381), IF($N$1="Vessels", IF(ISBLANK(Vessels!K381), "", Vessels!K381), ""))</f>
        <v/>
      </c>
      <c r="L381" s="21" t="str">
        <f>IF($N$1="Piping", IF(ISBLANK(Piping!L381), "", Piping!L381), IF($N$1="Vessels", IF(ISBLANK(Vessels!L381), "", Vessels!L381), ""))</f>
        <v/>
      </c>
      <c r="M381" s="21"/>
      <c r="N381" s="21"/>
      <c r="O381" s="21"/>
      <c r="P381" s="21"/>
      <c r="Q381" s="21" t="str">
        <f>IF($N$1="Piping", IF(ISBLANK(Piping!T381), "", Piping!T381), IF($N$1="Vessels", IF(ISBLANK(Vessels!T381), "", Vessels!T381), ""))</f>
        <v/>
      </c>
      <c r="R381" s="51" t="str">
        <f>IF($N$1="Piping", IF(ISBLANK(Piping!U381), "", Piping!U381), IF($N$1="Vessels", IF(ISBLANK(Vessels!U381), "", Vessels!U381), ""))</f>
        <v/>
      </c>
      <c r="S381" s="118" t="str">
        <f>IF(B381&lt;&gt;"",IF($N$1="Piping", IF(ISBLANK(Piping!$J$3), "", Piping!$J$3), IF($N$1="Vessels", IF(ISBLANK(Vessels!$J$3), "", Vessels!$J$3), "")),"")</f>
        <v/>
      </c>
      <c r="T381" s="37"/>
      <c r="U381" s="37"/>
      <c r="V381" s="37"/>
      <c r="W381" s="37"/>
      <c r="X381" s="37"/>
      <c r="Y381" s="37"/>
      <c r="Z381" s="37"/>
    </row>
    <row r="382" spans="1:26" ht="15.75" customHeight="1" x14ac:dyDescent="0.3">
      <c r="A382" s="22">
        <f>IF($N$1="Piping", IF(ISBLANK(Piping!A382), "", Piping!A382), IF($N$1="Vessels", IF(ISBLANK(Vessels!A382), "", Vessels!A382), ""))</f>
        <v>95.1</v>
      </c>
      <c r="B382" s="21" t="str">
        <f>IF($N$1="Piping", IF(ISBLANK(Piping!B382), "", Piping!B382), IF($N$1="Vessels", IF(ISBLANK(Vessels!B382), "", Vessels!B382), ""))</f>
        <v/>
      </c>
      <c r="C382" s="21" t="str">
        <f>IF($N$1="Piping", IF(ISBLANK(Piping!C382), "", Piping!C382), IF($N$1="Vessels", IF(ISBLANK(Vessels!C382), "", Vessels!C382), ""))</f>
        <v>Piping</v>
      </c>
      <c r="D382" s="21" t="str">
        <f>IF($N$1="Piping", IF(ISBLANK(Piping!D382), "", Piping!D382), IF($N$1="Vessels", IF(ISBLANK(Vessels!D382), "", Vessels!D382), ""))</f>
        <v/>
      </c>
      <c r="E382" s="21" t="str">
        <f>IF($N$1="Piping", IF(ISBLANK(Piping!E382), "", Piping!E382), IF($N$1="Vessels", IF(ISBLANK(Vessels!E382), "", Vessels!E382), ""))</f>
        <v/>
      </c>
      <c r="F382" s="21" t="str">
        <f>IF($N$1="Piping", IF(ISBLANK(Piping!F382), "", Piping!F382), IF($N$1="Vessels", IF(ISBLANK(Vessels!F382), "", Vessels!F382), ""))</f>
        <v/>
      </c>
      <c r="G382" s="21">
        <f>IF($N$1="Piping", IF(ISBLANK(Piping!G382), "", Piping!G382), IF($N$1="Vessels", IF(ISBLANK(Vessels!G382), "", Vessels!G382), ""))</f>
        <v>0</v>
      </c>
      <c r="H382" s="21" t="str">
        <f>IF($N$1="Piping", IF(ISBLANK(Piping!H382), "", Piping!H382), IF($N$1="Vessels", IF(ISBLANK(Vessels!H382), "", Vessels!H382), ""))</f>
        <v/>
      </c>
      <c r="I382" s="21" t="str">
        <f>IF($N$1="Piping", IF(ISBLANK(Piping!I382), "", Piping!I382), IF($N$1="Vessels", IF(ISBLANK(Vessels!I382), "", Vessels!I382), ""))</f>
        <v/>
      </c>
      <c r="J382" s="21" t="str">
        <f>IF($N$1="Piping", IF(ISBLANK(Piping!J382), "", Piping!J382), IF($N$1="Vessels", IF(ISBLANK(Vessels!J382), "", Vessels!J382), ""))</f>
        <v/>
      </c>
      <c r="K382" s="21" t="str">
        <f>IF($N$1="Piping", IF(ISBLANK(Piping!K382), "", Piping!K382), IF($N$1="Vessels", IF(ISBLANK(Vessels!K382), "", Vessels!K382), ""))</f>
        <v/>
      </c>
      <c r="L382" s="21" t="str">
        <f>IF($N$1="Piping", IF(ISBLANK(Piping!L382), "", Piping!L382), IF($N$1="Vessels", IF(ISBLANK(Vessels!L382), "", Vessels!L382), ""))</f>
        <v/>
      </c>
      <c r="M382" s="21"/>
      <c r="N382" s="21"/>
      <c r="O382" s="21"/>
      <c r="P382" s="21"/>
      <c r="Q382" s="21" t="str">
        <f>IF($N$1="Piping", IF(ISBLANK(Piping!T382), "", Piping!T382), IF($N$1="Vessels", IF(ISBLANK(Vessels!T382), "", Vessels!T382), ""))</f>
        <v/>
      </c>
      <c r="R382" s="51" t="str">
        <f>IF($N$1="Piping", IF(ISBLANK(Piping!U382), "", Piping!U382), IF($N$1="Vessels", IF(ISBLANK(Vessels!U382), "", Vessels!U382), ""))</f>
        <v/>
      </c>
      <c r="S382" s="118" t="str">
        <f>IF(B382&lt;&gt;"",IF($N$1="Piping", IF(ISBLANK(Piping!$J$3), "", Piping!$J$3), IF($N$1="Vessels", IF(ISBLANK(Vessels!$J$3), "", Vessels!$J$3), "")),"")</f>
        <v/>
      </c>
      <c r="T382" s="37"/>
      <c r="U382" s="37"/>
      <c r="V382" s="37"/>
      <c r="W382" s="37"/>
      <c r="X382" s="37"/>
      <c r="Y382" s="37"/>
      <c r="Z382" s="37"/>
    </row>
    <row r="383" spans="1:26" ht="15.75" customHeight="1" x14ac:dyDescent="0.3">
      <c r="A383" s="22">
        <f>IF($N$1="Piping", IF(ISBLANK(Piping!A383), "", Piping!A383), IF($N$1="Vessels", IF(ISBLANK(Vessels!A383), "", Vessels!A383), ""))</f>
        <v>95.2</v>
      </c>
      <c r="B383" s="21" t="str">
        <f>IF($N$1="Piping", IF(ISBLANK(Piping!B383), "", Piping!B383), IF($N$1="Vessels", IF(ISBLANK(Vessels!B383), "", Vessels!B383), ""))</f>
        <v/>
      </c>
      <c r="C383" s="21" t="str">
        <f>IF($N$1="Piping", IF(ISBLANK(Piping!C383), "", Piping!C383), IF($N$1="Vessels", IF(ISBLANK(Vessels!C383), "", Vessels!C383), ""))</f>
        <v>Piping</v>
      </c>
      <c r="D383" s="21" t="str">
        <f>IF($N$1="Piping", IF(ISBLANK(Piping!D383), "", Piping!D383), IF($N$1="Vessels", IF(ISBLANK(Vessels!D383), "", Vessels!D383), ""))</f>
        <v/>
      </c>
      <c r="E383" s="21" t="str">
        <f>IF($N$1="Piping", IF(ISBLANK(Piping!E383), "", Piping!E383), IF($N$1="Vessels", IF(ISBLANK(Vessels!E383), "", Vessels!E383), ""))</f>
        <v/>
      </c>
      <c r="F383" s="21" t="str">
        <f>IF($N$1="Piping", IF(ISBLANK(Piping!F383), "", Piping!F383), IF($N$1="Vessels", IF(ISBLANK(Vessels!F383), "", Vessels!F383), ""))</f>
        <v/>
      </c>
      <c r="G383" s="21">
        <f>IF($N$1="Piping", IF(ISBLANK(Piping!G383), "", Piping!G383), IF($N$1="Vessels", IF(ISBLANK(Vessels!G383), "", Vessels!G383), ""))</f>
        <v>0</v>
      </c>
      <c r="H383" s="21" t="str">
        <f>IF($N$1="Piping", IF(ISBLANK(Piping!H383), "", Piping!H383), IF($N$1="Vessels", IF(ISBLANK(Vessels!H383), "", Vessels!H383), ""))</f>
        <v/>
      </c>
      <c r="I383" s="21" t="str">
        <f>IF($N$1="Piping", IF(ISBLANK(Piping!I383), "", Piping!I383), IF($N$1="Vessels", IF(ISBLANK(Vessels!I383), "", Vessels!I383), ""))</f>
        <v/>
      </c>
      <c r="J383" s="21" t="str">
        <f>IF($N$1="Piping", IF(ISBLANK(Piping!J383), "", Piping!J383), IF($N$1="Vessels", IF(ISBLANK(Vessels!J383), "", Vessels!J383), ""))</f>
        <v/>
      </c>
      <c r="K383" s="21" t="str">
        <f>IF($N$1="Piping", IF(ISBLANK(Piping!K383), "", Piping!K383), IF($N$1="Vessels", IF(ISBLANK(Vessels!K383), "", Vessels!K383), ""))</f>
        <v/>
      </c>
      <c r="L383" s="21" t="str">
        <f>IF($N$1="Piping", IF(ISBLANK(Piping!L383), "", Piping!L383), IF($N$1="Vessels", IF(ISBLANK(Vessels!L383), "", Vessels!L383), ""))</f>
        <v/>
      </c>
      <c r="M383" s="21"/>
      <c r="N383" s="21"/>
      <c r="O383" s="21"/>
      <c r="P383" s="21"/>
      <c r="Q383" s="21" t="str">
        <f>IF($N$1="Piping", IF(ISBLANK(Piping!T383), "", Piping!T383), IF($N$1="Vessels", IF(ISBLANK(Vessels!T383), "", Vessels!T383), ""))</f>
        <v/>
      </c>
      <c r="R383" s="51" t="str">
        <f>IF($N$1="Piping", IF(ISBLANK(Piping!U383), "", Piping!U383), IF($N$1="Vessels", IF(ISBLANK(Vessels!U383), "", Vessels!U383), ""))</f>
        <v/>
      </c>
      <c r="S383" s="118" t="str">
        <f>IF(B383&lt;&gt;"",IF($N$1="Piping", IF(ISBLANK(Piping!$J$3), "", Piping!$J$3), IF($N$1="Vessels", IF(ISBLANK(Vessels!$J$3), "", Vessels!$J$3), "")),"")</f>
        <v/>
      </c>
      <c r="T383" s="37"/>
      <c r="U383" s="37"/>
      <c r="V383" s="37"/>
      <c r="W383" s="37"/>
      <c r="X383" s="37"/>
      <c r="Y383" s="37"/>
      <c r="Z383" s="37"/>
    </row>
    <row r="384" spans="1:26" ht="15.75" customHeight="1" x14ac:dyDescent="0.3">
      <c r="A384" s="22">
        <f>IF($N$1="Piping", IF(ISBLANK(Piping!A384), "", Piping!A384), IF($N$1="Vessels", IF(ISBLANK(Vessels!A384), "", Vessels!A384), ""))</f>
        <v>95.3</v>
      </c>
      <c r="B384" s="21" t="str">
        <f>IF($N$1="Piping", IF(ISBLANK(Piping!B384), "", Piping!B384), IF($N$1="Vessels", IF(ISBLANK(Vessels!B384), "", Vessels!B384), ""))</f>
        <v/>
      </c>
      <c r="C384" s="21" t="str">
        <f>IF($N$1="Piping", IF(ISBLANK(Piping!C384), "", Piping!C384), IF($N$1="Vessels", IF(ISBLANK(Vessels!C384), "", Vessels!C384), ""))</f>
        <v>Piping</v>
      </c>
      <c r="D384" s="21" t="str">
        <f>IF($N$1="Piping", IF(ISBLANK(Piping!D384), "", Piping!D384), IF($N$1="Vessels", IF(ISBLANK(Vessels!D384), "", Vessels!D384), ""))</f>
        <v/>
      </c>
      <c r="E384" s="21" t="str">
        <f>IF($N$1="Piping", IF(ISBLANK(Piping!E384), "", Piping!E384), IF($N$1="Vessels", IF(ISBLANK(Vessels!E384), "", Vessels!E384), ""))</f>
        <v/>
      </c>
      <c r="F384" s="21" t="str">
        <f>IF($N$1="Piping", IF(ISBLANK(Piping!F384), "", Piping!F384), IF($N$1="Vessels", IF(ISBLANK(Vessels!F384), "", Vessels!F384), ""))</f>
        <v/>
      </c>
      <c r="G384" s="21">
        <f>IF($N$1="Piping", IF(ISBLANK(Piping!G384), "", Piping!G384), IF($N$1="Vessels", IF(ISBLANK(Vessels!G384), "", Vessels!G384), ""))</f>
        <v>0</v>
      </c>
      <c r="H384" s="21" t="str">
        <f>IF($N$1="Piping", IF(ISBLANK(Piping!H384), "", Piping!H384), IF($N$1="Vessels", IF(ISBLANK(Vessels!H384), "", Vessels!H384), ""))</f>
        <v/>
      </c>
      <c r="I384" s="21" t="str">
        <f>IF($N$1="Piping", IF(ISBLANK(Piping!I384), "", Piping!I384), IF($N$1="Vessels", IF(ISBLANK(Vessels!I384), "", Vessels!I384), ""))</f>
        <v/>
      </c>
      <c r="J384" s="21" t="str">
        <f>IF($N$1="Piping", IF(ISBLANK(Piping!J384), "", Piping!J384), IF($N$1="Vessels", IF(ISBLANK(Vessels!J384), "", Vessels!J384), ""))</f>
        <v/>
      </c>
      <c r="K384" s="21" t="str">
        <f>IF($N$1="Piping", IF(ISBLANK(Piping!K384), "", Piping!K384), IF($N$1="Vessels", IF(ISBLANK(Vessels!K384), "", Vessels!K384), ""))</f>
        <v/>
      </c>
      <c r="L384" s="21" t="str">
        <f>IF($N$1="Piping", IF(ISBLANK(Piping!L384), "", Piping!L384), IF($N$1="Vessels", IF(ISBLANK(Vessels!L384), "", Vessels!L384), ""))</f>
        <v/>
      </c>
      <c r="M384" s="21"/>
      <c r="N384" s="21"/>
      <c r="O384" s="21"/>
      <c r="P384" s="21"/>
      <c r="Q384" s="21" t="str">
        <f>IF($N$1="Piping", IF(ISBLANK(Piping!T384), "", Piping!T384), IF($N$1="Vessels", IF(ISBLANK(Vessels!T384), "", Vessels!T384), ""))</f>
        <v/>
      </c>
      <c r="R384" s="51" t="str">
        <f>IF($N$1="Piping", IF(ISBLANK(Piping!U384), "", Piping!U384), IF($N$1="Vessels", IF(ISBLANK(Vessels!U384), "", Vessels!U384), ""))</f>
        <v/>
      </c>
      <c r="S384" s="118" t="str">
        <f>IF(B384&lt;&gt;"",IF($N$1="Piping", IF(ISBLANK(Piping!$J$3), "", Piping!$J$3), IF($N$1="Vessels", IF(ISBLANK(Vessels!$J$3), "", Vessels!$J$3), "")),"")</f>
        <v/>
      </c>
      <c r="T384" s="37"/>
      <c r="U384" s="37"/>
      <c r="V384" s="37"/>
      <c r="W384" s="37"/>
      <c r="X384" s="37"/>
      <c r="Y384" s="37"/>
      <c r="Z384" s="37"/>
    </row>
    <row r="385" spans="1:26" ht="15.75" customHeight="1" x14ac:dyDescent="0.3">
      <c r="A385" s="22">
        <f>IF($N$1="Piping", IF(ISBLANK(Piping!A385), "", Piping!A385), IF($N$1="Vessels", IF(ISBLANK(Vessels!A385), "", Vessels!A385), ""))</f>
        <v>95.4</v>
      </c>
      <c r="B385" s="21" t="str">
        <f>IF($N$1="Piping", IF(ISBLANK(Piping!B385), "", Piping!B385), IF($N$1="Vessels", IF(ISBLANK(Vessels!B385), "", Vessels!B385), ""))</f>
        <v/>
      </c>
      <c r="C385" s="21" t="str">
        <f>IF($N$1="Piping", IF(ISBLANK(Piping!C385), "", Piping!C385), IF($N$1="Vessels", IF(ISBLANK(Vessels!C385), "", Vessels!C385), ""))</f>
        <v>Piping</v>
      </c>
      <c r="D385" s="21" t="str">
        <f>IF($N$1="Piping", IF(ISBLANK(Piping!D385), "", Piping!D385), IF($N$1="Vessels", IF(ISBLANK(Vessels!D385), "", Vessels!D385), ""))</f>
        <v/>
      </c>
      <c r="E385" s="21" t="str">
        <f>IF($N$1="Piping", IF(ISBLANK(Piping!E385), "", Piping!E385), IF($N$1="Vessels", IF(ISBLANK(Vessels!E385), "", Vessels!E385), ""))</f>
        <v/>
      </c>
      <c r="F385" s="21" t="str">
        <f>IF($N$1="Piping", IF(ISBLANK(Piping!F385), "", Piping!F385), IF($N$1="Vessels", IF(ISBLANK(Vessels!F385), "", Vessels!F385), ""))</f>
        <v/>
      </c>
      <c r="G385" s="21">
        <f>IF($N$1="Piping", IF(ISBLANK(Piping!G385), "", Piping!G385), IF($N$1="Vessels", IF(ISBLANK(Vessels!G385), "", Vessels!G385), ""))</f>
        <v>0</v>
      </c>
      <c r="H385" s="21" t="str">
        <f>IF($N$1="Piping", IF(ISBLANK(Piping!H385), "", Piping!H385), IF($N$1="Vessels", IF(ISBLANK(Vessels!H385), "", Vessels!H385), ""))</f>
        <v/>
      </c>
      <c r="I385" s="21" t="str">
        <f>IF($N$1="Piping", IF(ISBLANK(Piping!I385), "", Piping!I385), IF($N$1="Vessels", IF(ISBLANK(Vessels!I385), "", Vessels!I385), ""))</f>
        <v/>
      </c>
      <c r="J385" s="21" t="str">
        <f>IF($N$1="Piping", IF(ISBLANK(Piping!J385), "", Piping!J385), IF($N$1="Vessels", IF(ISBLANK(Vessels!J385), "", Vessels!J385), ""))</f>
        <v/>
      </c>
      <c r="K385" s="21" t="str">
        <f>IF($N$1="Piping", IF(ISBLANK(Piping!K385), "", Piping!K385), IF($N$1="Vessels", IF(ISBLANK(Vessels!K385), "", Vessels!K385), ""))</f>
        <v/>
      </c>
      <c r="L385" s="21" t="str">
        <f>IF($N$1="Piping", IF(ISBLANK(Piping!L385), "", Piping!L385), IF($N$1="Vessels", IF(ISBLANK(Vessels!L385), "", Vessels!L385), ""))</f>
        <v/>
      </c>
      <c r="M385" s="21"/>
      <c r="N385" s="21"/>
      <c r="O385" s="21"/>
      <c r="P385" s="21"/>
      <c r="Q385" s="21" t="str">
        <f>IF($N$1="Piping", IF(ISBLANK(Piping!T385), "", Piping!T385), IF($N$1="Vessels", IF(ISBLANK(Vessels!T385), "", Vessels!T385), ""))</f>
        <v/>
      </c>
      <c r="R385" s="51" t="str">
        <f>IF($N$1="Piping", IF(ISBLANK(Piping!U385), "", Piping!U385), IF($N$1="Vessels", IF(ISBLANK(Vessels!U385), "", Vessels!U385), ""))</f>
        <v/>
      </c>
      <c r="S385" s="118" t="str">
        <f>IF(B385&lt;&gt;"",IF($N$1="Piping", IF(ISBLANK(Piping!$J$3), "", Piping!$J$3), IF($N$1="Vessels", IF(ISBLANK(Vessels!$J$3), "", Vessels!$J$3), "")),"")</f>
        <v/>
      </c>
      <c r="T385" s="37"/>
      <c r="U385" s="37"/>
      <c r="V385" s="37"/>
      <c r="W385" s="37"/>
      <c r="X385" s="37"/>
      <c r="Y385" s="37"/>
      <c r="Z385" s="37"/>
    </row>
    <row r="386" spans="1:26" ht="15.75" customHeight="1" x14ac:dyDescent="0.3">
      <c r="A386" s="22">
        <f>IF($N$1="Piping", IF(ISBLANK(Piping!A386), "", Piping!A386), IF($N$1="Vessels", IF(ISBLANK(Vessels!A386), "", Vessels!A386), ""))</f>
        <v>96.1</v>
      </c>
      <c r="B386" s="21" t="str">
        <f>IF($N$1="Piping", IF(ISBLANK(Piping!B386), "", Piping!B386), IF($N$1="Vessels", IF(ISBLANK(Vessels!B386), "", Vessels!B386), ""))</f>
        <v/>
      </c>
      <c r="C386" s="21" t="str">
        <f>IF($N$1="Piping", IF(ISBLANK(Piping!C386), "", Piping!C386), IF($N$1="Vessels", IF(ISBLANK(Vessels!C386), "", Vessels!C386), ""))</f>
        <v>Piping</v>
      </c>
      <c r="D386" s="21" t="str">
        <f>IF($N$1="Piping", IF(ISBLANK(Piping!D386), "", Piping!D386), IF($N$1="Vessels", IF(ISBLANK(Vessels!D386), "", Vessels!D386), ""))</f>
        <v/>
      </c>
      <c r="E386" s="21" t="str">
        <f>IF($N$1="Piping", IF(ISBLANK(Piping!E386), "", Piping!E386), IF($N$1="Vessels", IF(ISBLANK(Vessels!E386), "", Vessels!E386), ""))</f>
        <v/>
      </c>
      <c r="F386" s="21" t="str">
        <f>IF($N$1="Piping", IF(ISBLANK(Piping!F386), "", Piping!F386), IF($N$1="Vessels", IF(ISBLANK(Vessels!F386), "", Vessels!F386), ""))</f>
        <v/>
      </c>
      <c r="G386" s="21">
        <f>IF($N$1="Piping", IF(ISBLANK(Piping!G386), "", Piping!G386), IF($N$1="Vessels", IF(ISBLANK(Vessels!G386), "", Vessels!G386), ""))</f>
        <v>0</v>
      </c>
      <c r="H386" s="21" t="str">
        <f>IF($N$1="Piping", IF(ISBLANK(Piping!H386), "", Piping!H386), IF($N$1="Vessels", IF(ISBLANK(Vessels!H386), "", Vessels!H386), ""))</f>
        <v/>
      </c>
      <c r="I386" s="21" t="str">
        <f>IF($N$1="Piping", IF(ISBLANK(Piping!I386), "", Piping!I386), IF($N$1="Vessels", IF(ISBLANK(Vessels!I386), "", Vessels!I386), ""))</f>
        <v/>
      </c>
      <c r="J386" s="21" t="str">
        <f>IF($N$1="Piping", IF(ISBLANK(Piping!J386), "", Piping!J386), IF($N$1="Vessels", IF(ISBLANK(Vessels!J386), "", Vessels!J386), ""))</f>
        <v/>
      </c>
      <c r="K386" s="21" t="str">
        <f>IF($N$1="Piping", IF(ISBLANK(Piping!K386), "", Piping!K386), IF($N$1="Vessels", IF(ISBLANK(Vessels!K386), "", Vessels!K386), ""))</f>
        <v/>
      </c>
      <c r="L386" s="21" t="str">
        <f>IF($N$1="Piping", IF(ISBLANK(Piping!L386), "", Piping!L386), IF($N$1="Vessels", IF(ISBLANK(Vessels!L386), "", Vessels!L386), ""))</f>
        <v/>
      </c>
      <c r="M386" s="21"/>
      <c r="N386" s="21"/>
      <c r="O386" s="21"/>
      <c r="P386" s="21"/>
      <c r="Q386" s="21" t="str">
        <f>IF($N$1="Piping", IF(ISBLANK(Piping!T386), "", Piping!T386), IF($N$1="Vessels", IF(ISBLANK(Vessels!T386), "", Vessels!T386), ""))</f>
        <v/>
      </c>
      <c r="R386" s="51" t="str">
        <f>IF($N$1="Piping", IF(ISBLANK(Piping!U386), "", Piping!U386), IF($N$1="Vessels", IF(ISBLANK(Vessels!U386), "", Vessels!U386), ""))</f>
        <v/>
      </c>
      <c r="S386" s="118" t="str">
        <f>IF(B386&lt;&gt;"",IF($N$1="Piping", IF(ISBLANK(Piping!$J$3), "", Piping!$J$3), IF($N$1="Vessels", IF(ISBLANK(Vessels!$J$3), "", Vessels!$J$3), "")),"")</f>
        <v/>
      </c>
      <c r="T386" s="37"/>
      <c r="U386" s="37"/>
      <c r="V386" s="37"/>
      <c r="W386" s="37"/>
      <c r="X386" s="37"/>
      <c r="Y386" s="37"/>
      <c r="Z386" s="37"/>
    </row>
    <row r="387" spans="1:26" ht="15.75" customHeight="1" x14ac:dyDescent="0.3">
      <c r="A387" s="22">
        <f>IF($N$1="Piping", IF(ISBLANK(Piping!A387), "", Piping!A387), IF($N$1="Vessels", IF(ISBLANK(Vessels!A387), "", Vessels!A387), ""))</f>
        <v>96.2</v>
      </c>
      <c r="B387" s="21" t="str">
        <f>IF($N$1="Piping", IF(ISBLANK(Piping!B387), "", Piping!B387), IF($N$1="Vessels", IF(ISBLANK(Vessels!B387), "", Vessels!B387), ""))</f>
        <v/>
      </c>
      <c r="C387" s="21" t="str">
        <f>IF($N$1="Piping", IF(ISBLANK(Piping!C387), "", Piping!C387), IF($N$1="Vessels", IF(ISBLANK(Vessels!C387), "", Vessels!C387), ""))</f>
        <v>Piping</v>
      </c>
      <c r="D387" s="21" t="str">
        <f>IF($N$1="Piping", IF(ISBLANK(Piping!D387), "", Piping!D387), IF($N$1="Vessels", IF(ISBLANK(Vessels!D387), "", Vessels!D387), ""))</f>
        <v/>
      </c>
      <c r="E387" s="21" t="str">
        <f>IF($N$1="Piping", IF(ISBLANK(Piping!E387), "", Piping!E387), IF($N$1="Vessels", IF(ISBLANK(Vessels!E387), "", Vessels!E387), ""))</f>
        <v/>
      </c>
      <c r="F387" s="21" t="str">
        <f>IF($N$1="Piping", IF(ISBLANK(Piping!F387), "", Piping!F387), IF($N$1="Vessels", IF(ISBLANK(Vessels!F387), "", Vessels!F387), ""))</f>
        <v/>
      </c>
      <c r="G387" s="21">
        <f>IF($N$1="Piping", IF(ISBLANK(Piping!G387), "", Piping!G387), IF($N$1="Vessels", IF(ISBLANK(Vessels!G387), "", Vessels!G387), ""))</f>
        <v>0</v>
      </c>
      <c r="H387" s="21" t="str">
        <f>IF($N$1="Piping", IF(ISBLANK(Piping!H387), "", Piping!H387), IF($N$1="Vessels", IF(ISBLANK(Vessels!H387), "", Vessels!H387), ""))</f>
        <v/>
      </c>
      <c r="I387" s="21" t="str">
        <f>IF($N$1="Piping", IF(ISBLANK(Piping!I387), "", Piping!I387), IF($N$1="Vessels", IF(ISBLANK(Vessels!I387), "", Vessels!I387), ""))</f>
        <v/>
      </c>
      <c r="J387" s="21" t="str">
        <f>IF($N$1="Piping", IF(ISBLANK(Piping!J387), "", Piping!J387), IF($N$1="Vessels", IF(ISBLANK(Vessels!J387), "", Vessels!J387), ""))</f>
        <v/>
      </c>
      <c r="K387" s="21" t="str">
        <f>IF($N$1="Piping", IF(ISBLANK(Piping!K387), "", Piping!K387), IF($N$1="Vessels", IF(ISBLANK(Vessels!K387), "", Vessels!K387), ""))</f>
        <v/>
      </c>
      <c r="L387" s="21" t="str">
        <f>IF($N$1="Piping", IF(ISBLANK(Piping!L387), "", Piping!L387), IF($N$1="Vessels", IF(ISBLANK(Vessels!L387), "", Vessels!L387), ""))</f>
        <v/>
      </c>
      <c r="M387" s="21"/>
      <c r="N387" s="21"/>
      <c r="O387" s="21"/>
      <c r="P387" s="21"/>
      <c r="Q387" s="21" t="str">
        <f>IF($N$1="Piping", IF(ISBLANK(Piping!T387), "", Piping!T387), IF($N$1="Vessels", IF(ISBLANK(Vessels!T387), "", Vessels!T387), ""))</f>
        <v/>
      </c>
      <c r="R387" s="51" t="str">
        <f>IF($N$1="Piping", IF(ISBLANK(Piping!U387), "", Piping!U387), IF($N$1="Vessels", IF(ISBLANK(Vessels!U387), "", Vessels!U387), ""))</f>
        <v/>
      </c>
      <c r="S387" s="118" t="str">
        <f>IF(B387&lt;&gt;"",IF($N$1="Piping", IF(ISBLANK(Piping!$J$3), "", Piping!$J$3), IF($N$1="Vessels", IF(ISBLANK(Vessels!$J$3), "", Vessels!$J$3), "")),"")</f>
        <v/>
      </c>
      <c r="T387" s="37"/>
      <c r="U387" s="37"/>
      <c r="V387" s="37"/>
      <c r="W387" s="37"/>
      <c r="X387" s="37"/>
      <c r="Y387" s="37"/>
      <c r="Z387" s="37"/>
    </row>
    <row r="388" spans="1:26" ht="15.75" customHeight="1" x14ac:dyDescent="0.3">
      <c r="A388" s="22">
        <f>IF($N$1="Piping", IF(ISBLANK(Piping!A388), "", Piping!A388), IF($N$1="Vessels", IF(ISBLANK(Vessels!A388), "", Vessels!A388), ""))</f>
        <v>96.3</v>
      </c>
      <c r="B388" s="21" t="str">
        <f>IF($N$1="Piping", IF(ISBLANK(Piping!B388), "", Piping!B388), IF($N$1="Vessels", IF(ISBLANK(Vessels!B388), "", Vessels!B388), ""))</f>
        <v/>
      </c>
      <c r="C388" s="21" t="str">
        <f>IF($N$1="Piping", IF(ISBLANK(Piping!C388), "", Piping!C388), IF($N$1="Vessels", IF(ISBLANK(Vessels!C388), "", Vessels!C388), ""))</f>
        <v>Piping</v>
      </c>
      <c r="D388" s="21" t="str">
        <f>IF($N$1="Piping", IF(ISBLANK(Piping!D388), "", Piping!D388), IF($N$1="Vessels", IF(ISBLANK(Vessels!D388), "", Vessels!D388), ""))</f>
        <v/>
      </c>
      <c r="E388" s="21" t="str">
        <f>IF($N$1="Piping", IF(ISBLANK(Piping!E388), "", Piping!E388), IF($N$1="Vessels", IF(ISBLANK(Vessels!E388), "", Vessels!E388), ""))</f>
        <v/>
      </c>
      <c r="F388" s="21" t="str">
        <f>IF($N$1="Piping", IF(ISBLANK(Piping!F388), "", Piping!F388), IF($N$1="Vessels", IF(ISBLANK(Vessels!F388), "", Vessels!F388), ""))</f>
        <v/>
      </c>
      <c r="G388" s="21">
        <f>IF($N$1="Piping", IF(ISBLANK(Piping!G388), "", Piping!G388), IF($N$1="Vessels", IF(ISBLANK(Vessels!G388), "", Vessels!G388), ""))</f>
        <v>0</v>
      </c>
      <c r="H388" s="21" t="str">
        <f>IF($N$1="Piping", IF(ISBLANK(Piping!H388), "", Piping!H388), IF($N$1="Vessels", IF(ISBLANK(Vessels!H388), "", Vessels!H388), ""))</f>
        <v/>
      </c>
      <c r="I388" s="21" t="str">
        <f>IF($N$1="Piping", IF(ISBLANK(Piping!I388), "", Piping!I388), IF($N$1="Vessels", IF(ISBLANK(Vessels!I388), "", Vessels!I388), ""))</f>
        <v/>
      </c>
      <c r="J388" s="21" t="str">
        <f>IF($N$1="Piping", IF(ISBLANK(Piping!J388), "", Piping!J388), IF($N$1="Vessels", IF(ISBLANK(Vessels!J388), "", Vessels!J388), ""))</f>
        <v/>
      </c>
      <c r="K388" s="21" t="str">
        <f>IF($N$1="Piping", IF(ISBLANK(Piping!K388), "", Piping!K388), IF($N$1="Vessels", IF(ISBLANK(Vessels!K388), "", Vessels!K388), ""))</f>
        <v/>
      </c>
      <c r="L388" s="21" t="str">
        <f>IF($N$1="Piping", IF(ISBLANK(Piping!L388), "", Piping!L388), IF($N$1="Vessels", IF(ISBLANK(Vessels!L388), "", Vessels!L388), ""))</f>
        <v/>
      </c>
      <c r="M388" s="21"/>
      <c r="N388" s="21"/>
      <c r="O388" s="21"/>
      <c r="P388" s="21"/>
      <c r="Q388" s="21" t="str">
        <f>IF($N$1="Piping", IF(ISBLANK(Piping!T388), "", Piping!T388), IF($N$1="Vessels", IF(ISBLANK(Vessels!T388), "", Vessels!T388), ""))</f>
        <v/>
      </c>
      <c r="R388" s="51" t="str">
        <f>IF($N$1="Piping", IF(ISBLANK(Piping!U388), "", Piping!U388), IF($N$1="Vessels", IF(ISBLANK(Vessels!U388), "", Vessels!U388), ""))</f>
        <v/>
      </c>
      <c r="S388" s="118" t="str">
        <f>IF(B388&lt;&gt;"",IF($N$1="Piping", IF(ISBLANK(Piping!$J$3), "", Piping!$J$3), IF($N$1="Vessels", IF(ISBLANK(Vessels!$J$3), "", Vessels!$J$3), "")),"")</f>
        <v/>
      </c>
      <c r="T388" s="37"/>
      <c r="U388" s="37"/>
      <c r="V388" s="37"/>
      <c r="W388" s="37"/>
      <c r="X388" s="37"/>
      <c r="Y388" s="37"/>
      <c r="Z388" s="37"/>
    </row>
    <row r="389" spans="1:26" ht="15.75" customHeight="1" x14ac:dyDescent="0.3">
      <c r="A389" s="22">
        <f>IF($N$1="Piping", IF(ISBLANK(Piping!A389), "", Piping!A389), IF($N$1="Vessels", IF(ISBLANK(Vessels!A389), "", Vessels!A389), ""))</f>
        <v>96.4</v>
      </c>
      <c r="B389" s="21" t="str">
        <f>IF($N$1="Piping", IF(ISBLANK(Piping!B389), "", Piping!B389), IF($N$1="Vessels", IF(ISBLANK(Vessels!B389), "", Vessels!B389), ""))</f>
        <v/>
      </c>
      <c r="C389" s="21" t="str">
        <f>IF($N$1="Piping", IF(ISBLANK(Piping!C389), "", Piping!C389), IF($N$1="Vessels", IF(ISBLANK(Vessels!C389), "", Vessels!C389), ""))</f>
        <v>Piping</v>
      </c>
      <c r="D389" s="21" t="str">
        <f>IF($N$1="Piping", IF(ISBLANK(Piping!D389), "", Piping!D389), IF($N$1="Vessels", IF(ISBLANK(Vessels!D389), "", Vessels!D389), ""))</f>
        <v/>
      </c>
      <c r="E389" s="21" t="str">
        <f>IF($N$1="Piping", IF(ISBLANK(Piping!E389), "", Piping!E389), IF($N$1="Vessels", IF(ISBLANK(Vessels!E389), "", Vessels!E389), ""))</f>
        <v/>
      </c>
      <c r="F389" s="21" t="str">
        <f>IF($N$1="Piping", IF(ISBLANK(Piping!F389), "", Piping!F389), IF($N$1="Vessels", IF(ISBLANK(Vessels!F389), "", Vessels!F389), ""))</f>
        <v/>
      </c>
      <c r="G389" s="21">
        <f>IF($N$1="Piping", IF(ISBLANK(Piping!G389), "", Piping!G389), IF($N$1="Vessels", IF(ISBLANK(Vessels!G389), "", Vessels!G389), ""))</f>
        <v>0</v>
      </c>
      <c r="H389" s="21" t="str">
        <f>IF($N$1="Piping", IF(ISBLANK(Piping!H389), "", Piping!H389), IF($N$1="Vessels", IF(ISBLANK(Vessels!H389), "", Vessels!H389), ""))</f>
        <v/>
      </c>
      <c r="I389" s="21" t="str">
        <f>IF($N$1="Piping", IF(ISBLANK(Piping!I389), "", Piping!I389), IF($N$1="Vessels", IF(ISBLANK(Vessels!I389), "", Vessels!I389), ""))</f>
        <v/>
      </c>
      <c r="J389" s="21" t="str">
        <f>IF($N$1="Piping", IF(ISBLANK(Piping!J389), "", Piping!J389), IF($N$1="Vessels", IF(ISBLANK(Vessels!J389), "", Vessels!J389), ""))</f>
        <v/>
      </c>
      <c r="K389" s="21" t="str">
        <f>IF($N$1="Piping", IF(ISBLANK(Piping!K389), "", Piping!K389), IF($N$1="Vessels", IF(ISBLANK(Vessels!K389), "", Vessels!K389), ""))</f>
        <v/>
      </c>
      <c r="L389" s="21" t="str">
        <f>IF($N$1="Piping", IF(ISBLANK(Piping!L389), "", Piping!L389), IF($N$1="Vessels", IF(ISBLANK(Vessels!L389), "", Vessels!L389), ""))</f>
        <v/>
      </c>
      <c r="M389" s="21"/>
      <c r="N389" s="21"/>
      <c r="O389" s="21"/>
      <c r="P389" s="21"/>
      <c r="Q389" s="21" t="str">
        <f>IF($N$1="Piping", IF(ISBLANK(Piping!T389), "", Piping!T389), IF($N$1="Vessels", IF(ISBLANK(Vessels!T389), "", Vessels!T389), ""))</f>
        <v/>
      </c>
      <c r="R389" s="51" t="str">
        <f>IF($N$1="Piping", IF(ISBLANK(Piping!U389), "", Piping!U389), IF($N$1="Vessels", IF(ISBLANK(Vessels!U389), "", Vessels!U389), ""))</f>
        <v/>
      </c>
      <c r="S389" s="118" t="str">
        <f>IF(B389&lt;&gt;"",IF($N$1="Piping", IF(ISBLANK(Piping!$J$3), "", Piping!$J$3), IF($N$1="Vessels", IF(ISBLANK(Vessels!$J$3), "", Vessels!$J$3), "")),"")</f>
        <v/>
      </c>
      <c r="T389" s="37"/>
      <c r="U389" s="37"/>
      <c r="V389" s="37"/>
      <c r="W389" s="37"/>
      <c r="X389" s="37"/>
      <c r="Y389" s="37"/>
      <c r="Z389" s="37"/>
    </row>
    <row r="390" spans="1:26" ht="15.75" customHeight="1" x14ac:dyDescent="0.3">
      <c r="A390" s="22">
        <f>IF($N$1="Piping", IF(ISBLANK(Piping!A390), "", Piping!A390), IF($N$1="Vessels", IF(ISBLANK(Vessels!A390), "", Vessels!A390), ""))</f>
        <v>97.1</v>
      </c>
      <c r="B390" s="21" t="str">
        <f>IF($N$1="Piping", IF(ISBLANK(Piping!B390), "", Piping!B390), IF($N$1="Vessels", IF(ISBLANK(Vessels!B390), "", Vessels!B390), ""))</f>
        <v/>
      </c>
      <c r="C390" s="21" t="str">
        <f>IF($N$1="Piping", IF(ISBLANK(Piping!C390), "", Piping!C390), IF($N$1="Vessels", IF(ISBLANK(Vessels!C390), "", Vessels!C390), ""))</f>
        <v>Piping</v>
      </c>
      <c r="D390" s="21" t="str">
        <f>IF($N$1="Piping", IF(ISBLANK(Piping!D390), "", Piping!D390), IF($N$1="Vessels", IF(ISBLANK(Vessels!D390), "", Vessels!D390), ""))</f>
        <v/>
      </c>
      <c r="E390" s="21" t="str">
        <f>IF($N$1="Piping", IF(ISBLANK(Piping!E390), "", Piping!E390), IF($N$1="Vessels", IF(ISBLANK(Vessels!E390), "", Vessels!E390), ""))</f>
        <v/>
      </c>
      <c r="F390" s="21" t="str">
        <f>IF($N$1="Piping", IF(ISBLANK(Piping!F390), "", Piping!F390), IF($N$1="Vessels", IF(ISBLANK(Vessels!F390), "", Vessels!F390), ""))</f>
        <v/>
      </c>
      <c r="G390" s="21">
        <f>IF($N$1="Piping", IF(ISBLANK(Piping!G390), "", Piping!G390), IF($N$1="Vessels", IF(ISBLANK(Vessels!G390), "", Vessels!G390), ""))</f>
        <v>0</v>
      </c>
      <c r="H390" s="21" t="str">
        <f>IF($N$1="Piping", IF(ISBLANK(Piping!H390), "", Piping!H390), IF($N$1="Vessels", IF(ISBLANK(Vessels!H390), "", Vessels!H390), ""))</f>
        <v/>
      </c>
      <c r="I390" s="21" t="str">
        <f>IF($N$1="Piping", IF(ISBLANK(Piping!I390), "", Piping!I390), IF($N$1="Vessels", IF(ISBLANK(Vessels!I390), "", Vessels!I390), ""))</f>
        <v/>
      </c>
      <c r="J390" s="21" t="str">
        <f>IF($N$1="Piping", IF(ISBLANK(Piping!J390), "", Piping!J390), IF($N$1="Vessels", IF(ISBLANK(Vessels!J390), "", Vessels!J390), ""))</f>
        <v/>
      </c>
      <c r="K390" s="21" t="str">
        <f>IF($N$1="Piping", IF(ISBLANK(Piping!K390), "", Piping!K390), IF($N$1="Vessels", IF(ISBLANK(Vessels!K390), "", Vessels!K390), ""))</f>
        <v/>
      </c>
      <c r="L390" s="21" t="str">
        <f>IF($N$1="Piping", IF(ISBLANK(Piping!L390), "", Piping!L390), IF($N$1="Vessels", IF(ISBLANK(Vessels!L390), "", Vessels!L390), ""))</f>
        <v/>
      </c>
      <c r="M390" s="21"/>
      <c r="N390" s="21"/>
      <c r="O390" s="21"/>
      <c r="P390" s="21"/>
      <c r="Q390" s="21" t="str">
        <f>IF($N$1="Piping", IF(ISBLANK(Piping!T390), "", Piping!T390), IF($N$1="Vessels", IF(ISBLANK(Vessels!T390), "", Vessels!T390), ""))</f>
        <v/>
      </c>
      <c r="R390" s="51" t="str">
        <f>IF($N$1="Piping", IF(ISBLANK(Piping!U390), "", Piping!U390), IF($N$1="Vessels", IF(ISBLANK(Vessels!U390), "", Vessels!U390), ""))</f>
        <v/>
      </c>
      <c r="S390" s="118" t="str">
        <f>IF(B390&lt;&gt;"",IF($N$1="Piping", IF(ISBLANK(Piping!$J$3), "", Piping!$J$3), IF($N$1="Vessels", IF(ISBLANK(Vessels!$J$3), "", Vessels!$J$3), "")),"")</f>
        <v/>
      </c>
      <c r="T390" s="37"/>
      <c r="U390" s="37"/>
      <c r="V390" s="37"/>
      <c r="W390" s="37"/>
      <c r="X390" s="37"/>
      <c r="Y390" s="37"/>
      <c r="Z390" s="37"/>
    </row>
    <row r="391" spans="1:26" ht="15.75" customHeight="1" x14ac:dyDescent="0.3">
      <c r="A391" s="22">
        <f>IF($N$1="Piping", IF(ISBLANK(Piping!A391), "", Piping!A391), IF($N$1="Vessels", IF(ISBLANK(Vessels!A391), "", Vessels!A391), ""))</f>
        <v>97.2</v>
      </c>
      <c r="B391" s="21" t="str">
        <f>IF($N$1="Piping", IF(ISBLANK(Piping!B391), "", Piping!B391), IF($N$1="Vessels", IF(ISBLANK(Vessels!B391), "", Vessels!B391), ""))</f>
        <v/>
      </c>
      <c r="C391" s="21" t="str">
        <f>IF($N$1="Piping", IF(ISBLANK(Piping!C391), "", Piping!C391), IF($N$1="Vessels", IF(ISBLANK(Vessels!C391), "", Vessels!C391), ""))</f>
        <v>Piping</v>
      </c>
      <c r="D391" s="21" t="str">
        <f>IF($N$1="Piping", IF(ISBLANK(Piping!D391), "", Piping!D391), IF($N$1="Vessels", IF(ISBLANK(Vessels!D391), "", Vessels!D391), ""))</f>
        <v/>
      </c>
      <c r="E391" s="21" t="str">
        <f>IF($N$1="Piping", IF(ISBLANK(Piping!E391), "", Piping!E391), IF($N$1="Vessels", IF(ISBLANK(Vessels!E391), "", Vessels!E391), ""))</f>
        <v/>
      </c>
      <c r="F391" s="21" t="str">
        <f>IF($N$1="Piping", IF(ISBLANK(Piping!F391), "", Piping!F391), IF($N$1="Vessels", IF(ISBLANK(Vessels!F391), "", Vessels!F391), ""))</f>
        <v/>
      </c>
      <c r="G391" s="21">
        <f>IF($N$1="Piping", IF(ISBLANK(Piping!G391), "", Piping!G391), IF($N$1="Vessels", IF(ISBLANK(Vessels!G391), "", Vessels!G391), ""))</f>
        <v>0</v>
      </c>
      <c r="H391" s="21" t="str">
        <f>IF($N$1="Piping", IF(ISBLANK(Piping!H391), "", Piping!H391), IF($N$1="Vessels", IF(ISBLANK(Vessels!H391), "", Vessels!H391), ""))</f>
        <v/>
      </c>
      <c r="I391" s="21" t="str">
        <f>IF($N$1="Piping", IF(ISBLANK(Piping!I391), "", Piping!I391), IF($N$1="Vessels", IF(ISBLANK(Vessels!I391), "", Vessels!I391), ""))</f>
        <v/>
      </c>
      <c r="J391" s="21" t="str">
        <f>IF($N$1="Piping", IF(ISBLANK(Piping!J391), "", Piping!J391), IF($N$1="Vessels", IF(ISBLANK(Vessels!J391), "", Vessels!J391), ""))</f>
        <v/>
      </c>
      <c r="K391" s="21" t="str">
        <f>IF($N$1="Piping", IF(ISBLANK(Piping!K391), "", Piping!K391), IF($N$1="Vessels", IF(ISBLANK(Vessels!K391), "", Vessels!K391), ""))</f>
        <v/>
      </c>
      <c r="L391" s="21" t="str">
        <f>IF($N$1="Piping", IF(ISBLANK(Piping!L391), "", Piping!L391), IF($N$1="Vessels", IF(ISBLANK(Vessels!L391), "", Vessels!L391), ""))</f>
        <v/>
      </c>
      <c r="M391" s="21"/>
      <c r="N391" s="21"/>
      <c r="O391" s="21"/>
      <c r="P391" s="21"/>
      <c r="Q391" s="21" t="str">
        <f>IF($N$1="Piping", IF(ISBLANK(Piping!T391), "", Piping!T391), IF($N$1="Vessels", IF(ISBLANK(Vessels!T391), "", Vessels!T391), ""))</f>
        <v/>
      </c>
      <c r="R391" s="51" t="str">
        <f>IF($N$1="Piping", IF(ISBLANK(Piping!U391), "", Piping!U391), IF($N$1="Vessels", IF(ISBLANK(Vessels!U391), "", Vessels!U391), ""))</f>
        <v/>
      </c>
      <c r="S391" s="118" t="str">
        <f>IF(B391&lt;&gt;"",IF($N$1="Piping", IF(ISBLANK(Piping!$J$3), "", Piping!$J$3), IF($N$1="Vessels", IF(ISBLANK(Vessels!$J$3), "", Vessels!$J$3), "")),"")</f>
        <v/>
      </c>
      <c r="T391" s="37"/>
      <c r="U391" s="37"/>
      <c r="V391" s="37"/>
      <c r="W391" s="37"/>
      <c r="X391" s="37"/>
      <c r="Y391" s="37"/>
      <c r="Z391" s="37"/>
    </row>
    <row r="392" spans="1:26" ht="15.75" customHeight="1" x14ac:dyDescent="0.3">
      <c r="A392" s="22">
        <f>IF($N$1="Piping", IF(ISBLANK(Piping!A392), "", Piping!A392), IF($N$1="Vessels", IF(ISBLANK(Vessels!A392), "", Vessels!A392), ""))</f>
        <v>97.3</v>
      </c>
      <c r="B392" s="21" t="str">
        <f>IF($N$1="Piping", IF(ISBLANK(Piping!B392), "", Piping!B392), IF($N$1="Vessels", IF(ISBLANK(Vessels!B392), "", Vessels!B392), ""))</f>
        <v/>
      </c>
      <c r="C392" s="21" t="str">
        <f>IF($N$1="Piping", IF(ISBLANK(Piping!C392), "", Piping!C392), IF($N$1="Vessels", IF(ISBLANK(Vessels!C392), "", Vessels!C392), ""))</f>
        <v>Piping</v>
      </c>
      <c r="D392" s="21" t="str">
        <f>IF($N$1="Piping", IF(ISBLANK(Piping!D392), "", Piping!D392), IF($N$1="Vessels", IF(ISBLANK(Vessels!D392), "", Vessels!D392), ""))</f>
        <v/>
      </c>
      <c r="E392" s="21" t="str">
        <f>IF($N$1="Piping", IF(ISBLANK(Piping!E392), "", Piping!E392), IF($N$1="Vessels", IF(ISBLANK(Vessels!E392), "", Vessels!E392), ""))</f>
        <v/>
      </c>
      <c r="F392" s="21" t="str">
        <f>IF($N$1="Piping", IF(ISBLANK(Piping!F392), "", Piping!F392), IF($N$1="Vessels", IF(ISBLANK(Vessels!F392), "", Vessels!F392), ""))</f>
        <v/>
      </c>
      <c r="G392" s="21">
        <f>IF($N$1="Piping", IF(ISBLANK(Piping!G392), "", Piping!G392), IF($N$1="Vessels", IF(ISBLANK(Vessels!G392), "", Vessels!G392), ""))</f>
        <v>0</v>
      </c>
      <c r="H392" s="21" t="str">
        <f>IF($N$1="Piping", IF(ISBLANK(Piping!H392), "", Piping!H392), IF($N$1="Vessels", IF(ISBLANK(Vessels!H392), "", Vessels!H392), ""))</f>
        <v/>
      </c>
      <c r="I392" s="21" t="str">
        <f>IF($N$1="Piping", IF(ISBLANK(Piping!I392), "", Piping!I392), IF($N$1="Vessels", IF(ISBLANK(Vessels!I392), "", Vessels!I392), ""))</f>
        <v/>
      </c>
      <c r="J392" s="21" t="str">
        <f>IF($N$1="Piping", IF(ISBLANK(Piping!J392), "", Piping!J392), IF($N$1="Vessels", IF(ISBLANK(Vessels!J392), "", Vessels!J392), ""))</f>
        <v/>
      </c>
      <c r="K392" s="21" t="str">
        <f>IF($N$1="Piping", IF(ISBLANK(Piping!K392), "", Piping!K392), IF($N$1="Vessels", IF(ISBLANK(Vessels!K392), "", Vessels!K392), ""))</f>
        <v/>
      </c>
      <c r="L392" s="21" t="str">
        <f>IF($N$1="Piping", IF(ISBLANK(Piping!L392), "", Piping!L392), IF($N$1="Vessels", IF(ISBLANK(Vessels!L392), "", Vessels!L392), ""))</f>
        <v/>
      </c>
      <c r="M392" s="21"/>
      <c r="N392" s="21"/>
      <c r="O392" s="21"/>
      <c r="P392" s="21"/>
      <c r="Q392" s="21" t="str">
        <f>IF($N$1="Piping", IF(ISBLANK(Piping!T392), "", Piping!T392), IF($N$1="Vessels", IF(ISBLANK(Vessels!T392), "", Vessels!T392), ""))</f>
        <v/>
      </c>
      <c r="R392" s="51" t="str">
        <f>IF($N$1="Piping", IF(ISBLANK(Piping!U392), "", Piping!U392), IF($N$1="Vessels", IF(ISBLANK(Vessels!U392), "", Vessels!U392), ""))</f>
        <v/>
      </c>
      <c r="S392" s="118" t="str">
        <f>IF(B392&lt;&gt;"",IF($N$1="Piping", IF(ISBLANK(Piping!$J$3), "", Piping!$J$3), IF($N$1="Vessels", IF(ISBLANK(Vessels!$J$3), "", Vessels!$J$3), "")),"")</f>
        <v/>
      </c>
      <c r="T392" s="37"/>
      <c r="U392" s="37"/>
      <c r="V392" s="37"/>
      <c r="W392" s="37"/>
      <c r="X392" s="37"/>
      <c r="Y392" s="37"/>
      <c r="Z392" s="37"/>
    </row>
    <row r="393" spans="1:26" ht="15.75" customHeight="1" x14ac:dyDescent="0.3">
      <c r="A393" s="22">
        <f>IF($N$1="Piping", IF(ISBLANK(Piping!A393), "", Piping!A393), IF($N$1="Vessels", IF(ISBLANK(Vessels!A393), "", Vessels!A393), ""))</f>
        <v>97.4</v>
      </c>
      <c r="B393" s="21" t="str">
        <f>IF($N$1="Piping", IF(ISBLANK(Piping!B393), "", Piping!B393), IF($N$1="Vessels", IF(ISBLANK(Vessels!B393), "", Vessels!B393), ""))</f>
        <v/>
      </c>
      <c r="C393" s="21" t="str">
        <f>IF($N$1="Piping", IF(ISBLANK(Piping!C393), "", Piping!C393), IF($N$1="Vessels", IF(ISBLANK(Vessels!C393), "", Vessels!C393), ""))</f>
        <v>Piping</v>
      </c>
      <c r="D393" s="21" t="str">
        <f>IF($N$1="Piping", IF(ISBLANK(Piping!D393), "", Piping!D393), IF($N$1="Vessels", IF(ISBLANK(Vessels!D393), "", Vessels!D393), ""))</f>
        <v/>
      </c>
      <c r="E393" s="21" t="str">
        <f>IF($N$1="Piping", IF(ISBLANK(Piping!E393), "", Piping!E393), IF($N$1="Vessels", IF(ISBLANK(Vessels!E393), "", Vessels!E393), ""))</f>
        <v/>
      </c>
      <c r="F393" s="21" t="str">
        <f>IF($N$1="Piping", IF(ISBLANK(Piping!F393), "", Piping!F393), IF($N$1="Vessels", IF(ISBLANK(Vessels!F393), "", Vessels!F393), ""))</f>
        <v/>
      </c>
      <c r="G393" s="21">
        <f>IF($N$1="Piping", IF(ISBLANK(Piping!G393), "", Piping!G393), IF($N$1="Vessels", IF(ISBLANK(Vessels!G393), "", Vessels!G393), ""))</f>
        <v>0</v>
      </c>
      <c r="H393" s="21" t="str">
        <f>IF($N$1="Piping", IF(ISBLANK(Piping!H393), "", Piping!H393), IF($N$1="Vessels", IF(ISBLANK(Vessels!H393), "", Vessels!H393), ""))</f>
        <v/>
      </c>
      <c r="I393" s="21" t="str">
        <f>IF($N$1="Piping", IF(ISBLANK(Piping!I393), "", Piping!I393), IF($N$1="Vessels", IF(ISBLANK(Vessels!I393), "", Vessels!I393), ""))</f>
        <v/>
      </c>
      <c r="J393" s="21" t="str">
        <f>IF($N$1="Piping", IF(ISBLANK(Piping!J393), "", Piping!J393), IF($N$1="Vessels", IF(ISBLANK(Vessels!J393), "", Vessels!J393), ""))</f>
        <v/>
      </c>
      <c r="K393" s="21" t="str">
        <f>IF($N$1="Piping", IF(ISBLANK(Piping!K393), "", Piping!K393), IF($N$1="Vessels", IF(ISBLANK(Vessels!K393), "", Vessels!K393), ""))</f>
        <v/>
      </c>
      <c r="L393" s="21" t="str">
        <f>IF($N$1="Piping", IF(ISBLANK(Piping!L393), "", Piping!L393), IF($N$1="Vessels", IF(ISBLANK(Vessels!L393), "", Vessels!L393), ""))</f>
        <v/>
      </c>
      <c r="M393" s="21"/>
      <c r="N393" s="21"/>
      <c r="O393" s="21"/>
      <c r="P393" s="21"/>
      <c r="Q393" s="21" t="str">
        <f>IF($N$1="Piping", IF(ISBLANK(Piping!T393), "", Piping!T393), IF($N$1="Vessels", IF(ISBLANK(Vessels!T393), "", Vessels!T393), ""))</f>
        <v/>
      </c>
      <c r="R393" s="51" t="str">
        <f>IF($N$1="Piping", IF(ISBLANK(Piping!U393), "", Piping!U393), IF($N$1="Vessels", IF(ISBLANK(Vessels!U393), "", Vessels!U393), ""))</f>
        <v/>
      </c>
      <c r="S393" s="118" t="str">
        <f>IF(B393&lt;&gt;"",IF($N$1="Piping", IF(ISBLANK(Piping!$J$3), "", Piping!$J$3), IF($N$1="Vessels", IF(ISBLANK(Vessels!$J$3), "", Vessels!$J$3), "")),"")</f>
        <v/>
      </c>
      <c r="T393" s="37"/>
      <c r="U393" s="37"/>
      <c r="V393" s="37"/>
      <c r="W393" s="37"/>
      <c r="X393" s="37"/>
      <c r="Y393" s="37"/>
      <c r="Z393" s="37"/>
    </row>
    <row r="394" spans="1:26" ht="15.75" customHeight="1" x14ac:dyDescent="0.3">
      <c r="A394" s="22">
        <f>IF($N$1="Piping", IF(ISBLANK(Piping!A394), "", Piping!A394), IF($N$1="Vessels", IF(ISBLANK(Vessels!A394), "", Vessels!A394), ""))</f>
        <v>98.1</v>
      </c>
      <c r="B394" s="21" t="str">
        <f>IF($N$1="Piping", IF(ISBLANK(Piping!B394), "", Piping!B394), IF($N$1="Vessels", IF(ISBLANK(Vessels!B394), "", Vessels!B394), ""))</f>
        <v/>
      </c>
      <c r="C394" s="21" t="str">
        <f>IF($N$1="Piping", IF(ISBLANK(Piping!C394), "", Piping!C394), IF($N$1="Vessels", IF(ISBLANK(Vessels!C394), "", Vessels!C394), ""))</f>
        <v>Piping</v>
      </c>
      <c r="D394" s="21" t="str">
        <f>IF($N$1="Piping", IF(ISBLANK(Piping!D394), "", Piping!D394), IF($N$1="Vessels", IF(ISBLANK(Vessels!D394), "", Vessels!D394), ""))</f>
        <v/>
      </c>
      <c r="E394" s="21" t="str">
        <f>IF($N$1="Piping", IF(ISBLANK(Piping!E394), "", Piping!E394), IF($N$1="Vessels", IF(ISBLANK(Vessels!E394), "", Vessels!E394), ""))</f>
        <v/>
      </c>
      <c r="F394" s="21" t="str">
        <f>IF($N$1="Piping", IF(ISBLANK(Piping!F394), "", Piping!F394), IF($N$1="Vessels", IF(ISBLANK(Vessels!F394), "", Vessels!F394), ""))</f>
        <v/>
      </c>
      <c r="G394" s="21">
        <f>IF($N$1="Piping", IF(ISBLANK(Piping!G394), "", Piping!G394), IF($N$1="Vessels", IF(ISBLANK(Vessels!G394), "", Vessels!G394), ""))</f>
        <v>0</v>
      </c>
      <c r="H394" s="21" t="str">
        <f>IF($N$1="Piping", IF(ISBLANK(Piping!H394), "", Piping!H394), IF($N$1="Vessels", IF(ISBLANK(Vessels!H394), "", Vessels!H394), ""))</f>
        <v/>
      </c>
      <c r="I394" s="21" t="str">
        <f>IF($N$1="Piping", IF(ISBLANK(Piping!I394), "", Piping!I394), IF($N$1="Vessels", IF(ISBLANK(Vessels!I394), "", Vessels!I394), ""))</f>
        <v/>
      </c>
      <c r="J394" s="21" t="str">
        <f>IF($N$1="Piping", IF(ISBLANK(Piping!J394), "", Piping!J394), IF($N$1="Vessels", IF(ISBLANK(Vessels!J394), "", Vessels!J394), ""))</f>
        <v/>
      </c>
      <c r="K394" s="21" t="str">
        <f>IF($N$1="Piping", IF(ISBLANK(Piping!K394), "", Piping!K394), IF($N$1="Vessels", IF(ISBLANK(Vessels!K394), "", Vessels!K394), ""))</f>
        <v/>
      </c>
      <c r="L394" s="21" t="str">
        <f>IF($N$1="Piping", IF(ISBLANK(Piping!L394), "", Piping!L394), IF($N$1="Vessels", IF(ISBLANK(Vessels!L394), "", Vessels!L394), ""))</f>
        <v/>
      </c>
      <c r="M394" s="21"/>
      <c r="N394" s="21"/>
      <c r="O394" s="21"/>
      <c r="P394" s="21"/>
      <c r="Q394" s="21" t="str">
        <f>IF($N$1="Piping", IF(ISBLANK(Piping!T394), "", Piping!T394), IF($N$1="Vessels", IF(ISBLANK(Vessels!T394), "", Vessels!T394), ""))</f>
        <v/>
      </c>
      <c r="R394" s="51" t="str">
        <f>IF($N$1="Piping", IF(ISBLANK(Piping!U394), "", Piping!U394), IF($N$1="Vessels", IF(ISBLANK(Vessels!U394), "", Vessels!U394), ""))</f>
        <v/>
      </c>
      <c r="S394" s="118" t="str">
        <f>IF(B394&lt;&gt;"",IF($N$1="Piping", IF(ISBLANK(Piping!$J$3), "", Piping!$J$3), IF($N$1="Vessels", IF(ISBLANK(Vessels!$J$3), "", Vessels!$J$3), "")),"")</f>
        <v/>
      </c>
      <c r="T394" s="37"/>
      <c r="U394" s="37"/>
      <c r="V394" s="37"/>
      <c r="W394" s="37"/>
      <c r="X394" s="37"/>
      <c r="Y394" s="37"/>
      <c r="Z394" s="37"/>
    </row>
    <row r="395" spans="1:26" ht="15.75" customHeight="1" x14ac:dyDescent="0.3">
      <c r="A395" s="22">
        <f>IF($N$1="Piping", IF(ISBLANK(Piping!A395), "", Piping!A395), IF($N$1="Vessels", IF(ISBLANK(Vessels!A395), "", Vessels!A395), ""))</f>
        <v>98.2</v>
      </c>
      <c r="B395" s="21" t="str">
        <f>IF($N$1="Piping", IF(ISBLANK(Piping!B395), "", Piping!B395), IF($N$1="Vessels", IF(ISBLANK(Vessels!B395), "", Vessels!B395), ""))</f>
        <v/>
      </c>
      <c r="C395" s="21" t="str">
        <f>IF($N$1="Piping", IF(ISBLANK(Piping!C395), "", Piping!C395), IF($N$1="Vessels", IF(ISBLANK(Vessels!C395), "", Vessels!C395), ""))</f>
        <v>Piping</v>
      </c>
      <c r="D395" s="21" t="str">
        <f>IF($N$1="Piping", IF(ISBLANK(Piping!D395), "", Piping!D395), IF($N$1="Vessels", IF(ISBLANK(Vessels!D395), "", Vessels!D395), ""))</f>
        <v/>
      </c>
      <c r="E395" s="21" t="str">
        <f>IF($N$1="Piping", IF(ISBLANK(Piping!E395), "", Piping!E395), IF($N$1="Vessels", IF(ISBLANK(Vessels!E395), "", Vessels!E395), ""))</f>
        <v/>
      </c>
      <c r="F395" s="21" t="str">
        <f>IF($N$1="Piping", IF(ISBLANK(Piping!F395), "", Piping!F395), IF($N$1="Vessels", IF(ISBLANK(Vessels!F395), "", Vessels!F395), ""))</f>
        <v/>
      </c>
      <c r="G395" s="21">
        <f>IF($N$1="Piping", IF(ISBLANK(Piping!G395), "", Piping!G395), IF($N$1="Vessels", IF(ISBLANK(Vessels!G395), "", Vessels!G395), ""))</f>
        <v>0</v>
      </c>
      <c r="H395" s="21" t="str">
        <f>IF($N$1="Piping", IF(ISBLANK(Piping!H395), "", Piping!H395), IF($N$1="Vessels", IF(ISBLANK(Vessels!H395), "", Vessels!H395), ""))</f>
        <v/>
      </c>
      <c r="I395" s="21" t="str">
        <f>IF($N$1="Piping", IF(ISBLANK(Piping!I395), "", Piping!I395), IF($N$1="Vessels", IF(ISBLANK(Vessels!I395), "", Vessels!I395), ""))</f>
        <v/>
      </c>
      <c r="J395" s="21" t="str">
        <f>IF($N$1="Piping", IF(ISBLANK(Piping!J395), "", Piping!J395), IF($N$1="Vessels", IF(ISBLANK(Vessels!J395), "", Vessels!J395), ""))</f>
        <v/>
      </c>
      <c r="K395" s="21" t="str">
        <f>IF($N$1="Piping", IF(ISBLANK(Piping!K395), "", Piping!K395), IF($N$1="Vessels", IF(ISBLANK(Vessels!K395), "", Vessels!K395), ""))</f>
        <v/>
      </c>
      <c r="L395" s="21" t="str">
        <f>IF($N$1="Piping", IF(ISBLANK(Piping!L395), "", Piping!L395), IF($N$1="Vessels", IF(ISBLANK(Vessels!L395), "", Vessels!L395), ""))</f>
        <v/>
      </c>
      <c r="M395" s="21"/>
      <c r="N395" s="21"/>
      <c r="O395" s="21"/>
      <c r="P395" s="21"/>
      <c r="Q395" s="21" t="str">
        <f>IF($N$1="Piping", IF(ISBLANK(Piping!T395), "", Piping!T395), IF($N$1="Vessels", IF(ISBLANK(Vessels!T395), "", Vessels!T395), ""))</f>
        <v/>
      </c>
      <c r="R395" s="51" t="str">
        <f>IF($N$1="Piping", IF(ISBLANK(Piping!U395), "", Piping!U395), IF($N$1="Vessels", IF(ISBLANK(Vessels!U395), "", Vessels!U395), ""))</f>
        <v/>
      </c>
      <c r="S395" s="118" t="str">
        <f>IF(B395&lt;&gt;"",IF($N$1="Piping", IF(ISBLANK(Piping!$J$3), "", Piping!$J$3), IF($N$1="Vessels", IF(ISBLANK(Vessels!$J$3), "", Vessels!$J$3), "")),"")</f>
        <v/>
      </c>
      <c r="T395" s="37"/>
      <c r="U395" s="37"/>
      <c r="V395" s="37"/>
      <c r="W395" s="37"/>
      <c r="X395" s="37"/>
      <c r="Y395" s="37"/>
      <c r="Z395" s="37"/>
    </row>
    <row r="396" spans="1:26" ht="15.75" customHeight="1" x14ac:dyDescent="0.3">
      <c r="A396" s="22">
        <f>IF($N$1="Piping", IF(ISBLANK(Piping!A396), "", Piping!A396), IF($N$1="Vessels", IF(ISBLANK(Vessels!A396), "", Vessels!A396), ""))</f>
        <v>98.3</v>
      </c>
      <c r="B396" s="21" t="str">
        <f>IF($N$1="Piping", IF(ISBLANK(Piping!B396), "", Piping!B396), IF($N$1="Vessels", IF(ISBLANK(Vessels!B396), "", Vessels!B396), ""))</f>
        <v/>
      </c>
      <c r="C396" s="21" t="str">
        <f>IF($N$1="Piping", IF(ISBLANK(Piping!C396), "", Piping!C396), IF($N$1="Vessels", IF(ISBLANK(Vessels!C396), "", Vessels!C396), ""))</f>
        <v>Piping</v>
      </c>
      <c r="D396" s="21" t="str">
        <f>IF($N$1="Piping", IF(ISBLANK(Piping!D396), "", Piping!D396), IF($N$1="Vessels", IF(ISBLANK(Vessels!D396), "", Vessels!D396), ""))</f>
        <v/>
      </c>
      <c r="E396" s="21" t="str">
        <f>IF($N$1="Piping", IF(ISBLANK(Piping!E396), "", Piping!E396), IF($N$1="Vessels", IF(ISBLANK(Vessels!E396), "", Vessels!E396), ""))</f>
        <v/>
      </c>
      <c r="F396" s="21" t="str">
        <f>IF($N$1="Piping", IF(ISBLANK(Piping!F396), "", Piping!F396), IF($N$1="Vessels", IF(ISBLANK(Vessels!F396), "", Vessels!F396), ""))</f>
        <v/>
      </c>
      <c r="G396" s="21">
        <f>IF($N$1="Piping", IF(ISBLANK(Piping!G396), "", Piping!G396), IF($N$1="Vessels", IF(ISBLANK(Vessels!G396), "", Vessels!G396), ""))</f>
        <v>0</v>
      </c>
      <c r="H396" s="21" t="str">
        <f>IF($N$1="Piping", IF(ISBLANK(Piping!H396), "", Piping!H396), IF($N$1="Vessels", IF(ISBLANK(Vessels!H396), "", Vessels!H396), ""))</f>
        <v/>
      </c>
      <c r="I396" s="21" t="str">
        <f>IF($N$1="Piping", IF(ISBLANK(Piping!I396), "", Piping!I396), IF($N$1="Vessels", IF(ISBLANK(Vessels!I396), "", Vessels!I396), ""))</f>
        <v/>
      </c>
      <c r="J396" s="21" t="str">
        <f>IF($N$1="Piping", IF(ISBLANK(Piping!J396), "", Piping!J396), IF($N$1="Vessels", IF(ISBLANK(Vessels!J396), "", Vessels!J396), ""))</f>
        <v/>
      </c>
      <c r="K396" s="21" t="str">
        <f>IF($N$1="Piping", IF(ISBLANK(Piping!K396), "", Piping!K396), IF($N$1="Vessels", IF(ISBLANK(Vessels!K396), "", Vessels!K396), ""))</f>
        <v/>
      </c>
      <c r="L396" s="21" t="str">
        <f>IF($N$1="Piping", IF(ISBLANK(Piping!L396), "", Piping!L396), IF($N$1="Vessels", IF(ISBLANK(Vessels!L396), "", Vessels!L396), ""))</f>
        <v/>
      </c>
      <c r="M396" s="21"/>
      <c r="N396" s="21"/>
      <c r="O396" s="21"/>
      <c r="P396" s="21"/>
      <c r="Q396" s="21" t="str">
        <f>IF($N$1="Piping", IF(ISBLANK(Piping!T396), "", Piping!T396), IF($N$1="Vessels", IF(ISBLANK(Vessels!T396), "", Vessels!T396), ""))</f>
        <v/>
      </c>
      <c r="R396" s="51" t="str">
        <f>IF($N$1="Piping", IF(ISBLANK(Piping!U396), "", Piping!U396), IF($N$1="Vessels", IF(ISBLANK(Vessels!U396), "", Vessels!U396), ""))</f>
        <v/>
      </c>
      <c r="S396" s="118" t="str">
        <f>IF(B396&lt;&gt;"",IF($N$1="Piping", IF(ISBLANK(Piping!$J$3), "", Piping!$J$3), IF($N$1="Vessels", IF(ISBLANK(Vessels!$J$3), "", Vessels!$J$3), "")),"")</f>
        <v/>
      </c>
      <c r="T396" s="37"/>
      <c r="U396" s="37"/>
      <c r="V396" s="37"/>
      <c r="W396" s="37"/>
      <c r="X396" s="37"/>
      <c r="Y396" s="37"/>
      <c r="Z396" s="37"/>
    </row>
    <row r="397" spans="1:26" ht="15.75" customHeight="1" x14ac:dyDescent="0.3">
      <c r="A397" s="22">
        <f>IF($N$1="Piping", IF(ISBLANK(Piping!A397), "", Piping!A397), IF($N$1="Vessels", IF(ISBLANK(Vessels!A397), "", Vessels!A397), ""))</f>
        <v>98.4</v>
      </c>
      <c r="B397" s="21" t="str">
        <f>IF($N$1="Piping", IF(ISBLANK(Piping!B397), "", Piping!B397), IF($N$1="Vessels", IF(ISBLANK(Vessels!B397), "", Vessels!B397), ""))</f>
        <v/>
      </c>
      <c r="C397" s="21" t="str">
        <f>IF($N$1="Piping", IF(ISBLANK(Piping!C397), "", Piping!C397), IF($N$1="Vessels", IF(ISBLANK(Vessels!C397), "", Vessels!C397), ""))</f>
        <v>Piping</v>
      </c>
      <c r="D397" s="21" t="str">
        <f>IF($N$1="Piping", IF(ISBLANK(Piping!D397), "", Piping!D397), IF($N$1="Vessels", IF(ISBLANK(Vessels!D397), "", Vessels!D397), ""))</f>
        <v/>
      </c>
      <c r="E397" s="21" t="str">
        <f>IF($N$1="Piping", IF(ISBLANK(Piping!E397), "", Piping!E397), IF($N$1="Vessels", IF(ISBLANK(Vessels!E397), "", Vessels!E397), ""))</f>
        <v/>
      </c>
      <c r="F397" s="21" t="str">
        <f>IF($N$1="Piping", IF(ISBLANK(Piping!F397), "", Piping!F397), IF($N$1="Vessels", IF(ISBLANK(Vessels!F397), "", Vessels!F397), ""))</f>
        <v/>
      </c>
      <c r="G397" s="21">
        <f>IF($N$1="Piping", IF(ISBLANK(Piping!G397), "", Piping!G397), IF($N$1="Vessels", IF(ISBLANK(Vessels!G397), "", Vessels!G397), ""))</f>
        <v>0</v>
      </c>
      <c r="H397" s="21" t="str">
        <f>IF($N$1="Piping", IF(ISBLANK(Piping!H397), "", Piping!H397), IF($N$1="Vessels", IF(ISBLANK(Vessels!H397), "", Vessels!H397), ""))</f>
        <v/>
      </c>
      <c r="I397" s="21" t="str">
        <f>IF($N$1="Piping", IF(ISBLANK(Piping!I397), "", Piping!I397), IF($N$1="Vessels", IF(ISBLANK(Vessels!I397), "", Vessels!I397), ""))</f>
        <v/>
      </c>
      <c r="J397" s="21" t="str">
        <f>IF($N$1="Piping", IF(ISBLANK(Piping!J397), "", Piping!J397), IF($N$1="Vessels", IF(ISBLANK(Vessels!J397), "", Vessels!J397), ""))</f>
        <v/>
      </c>
      <c r="K397" s="21" t="str">
        <f>IF($N$1="Piping", IF(ISBLANK(Piping!K397), "", Piping!K397), IF($N$1="Vessels", IF(ISBLANK(Vessels!K397), "", Vessels!K397), ""))</f>
        <v/>
      </c>
      <c r="L397" s="21" t="str">
        <f>IF($N$1="Piping", IF(ISBLANK(Piping!L397), "", Piping!L397), IF($N$1="Vessels", IF(ISBLANK(Vessels!L397), "", Vessels!L397), ""))</f>
        <v/>
      </c>
      <c r="M397" s="21"/>
      <c r="N397" s="21"/>
      <c r="O397" s="21"/>
      <c r="P397" s="21"/>
      <c r="Q397" s="21" t="str">
        <f>IF($N$1="Piping", IF(ISBLANK(Piping!T397), "", Piping!T397), IF($N$1="Vessels", IF(ISBLANK(Vessels!T397), "", Vessels!T397), ""))</f>
        <v/>
      </c>
      <c r="R397" s="51" t="str">
        <f>IF($N$1="Piping", IF(ISBLANK(Piping!U397), "", Piping!U397), IF($N$1="Vessels", IF(ISBLANK(Vessels!U397), "", Vessels!U397), ""))</f>
        <v/>
      </c>
      <c r="S397" s="118" t="str">
        <f>IF(B397&lt;&gt;"",IF($N$1="Piping", IF(ISBLANK(Piping!$J$3), "", Piping!$J$3), IF($N$1="Vessels", IF(ISBLANK(Vessels!$J$3), "", Vessels!$J$3), "")),"")</f>
        <v/>
      </c>
      <c r="T397" s="37"/>
      <c r="U397" s="37"/>
      <c r="V397" s="37"/>
      <c r="W397" s="37"/>
      <c r="X397" s="37"/>
      <c r="Y397" s="37"/>
      <c r="Z397" s="37"/>
    </row>
    <row r="398" spans="1:26" ht="15.75" customHeight="1" x14ac:dyDescent="0.3">
      <c r="A398" s="22">
        <f>IF($N$1="Piping", IF(ISBLANK(Piping!A398), "", Piping!A398), IF($N$1="Vessels", IF(ISBLANK(Vessels!A398), "", Vessels!A398), ""))</f>
        <v>99.1</v>
      </c>
      <c r="B398" s="21" t="str">
        <f>IF($N$1="Piping", IF(ISBLANK(Piping!B398), "", Piping!B398), IF($N$1="Vessels", IF(ISBLANK(Vessels!B398), "", Vessels!B398), ""))</f>
        <v/>
      </c>
      <c r="C398" s="21" t="str">
        <f>IF($N$1="Piping", IF(ISBLANK(Piping!C398), "", Piping!C398), IF($N$1="Vessels", IF(ISBLANK(Vessels!C398), "", Vessels!C398), ""))</f>
        <v>Piping</v>
      </c>
      <c r="D398" s="21" t="str">
        <f>IF($N$1="Piping", IF(ISBLANK(Piping!D398), "", Piping!D398), IF($N$1="Vessels", IF(ISBLANK(Vessels!D398), "", Vessels!D398), ""))</f>
        <v/>
      </c>
      <c r="E398" s="21" t="str">
        <f>IF($N$1="Piping", IF(ISBLANK(Piping!E398), "", Piping!E398), IF($N$1="Vessels", IF(ISBLANK(Vessels!E398), "", Vessels!E398), ""))</f>
        <v/>
      </c>
      <c r="F398" s="21" t="str">
        <f>IF($N$1="Piping", IF(ISBLANK(Piping!F398), "", Piping!F398), IF($N$1="Vessels", IF(ISBLANK(Vessels!F398), "", Vessels!F398), ""))</f>
        <v/>
      </c>
      <c r="G398" s="21">
        <f>IF($N$1="Piping", IF(ISBLANK(Piping!G398), "", Piping!G398), IF($N$1="Vessels", IF(ISBLANK(Vessels!G398), "", Vessels!G398), ""))</f>
        <v>0</v>
      </c>
      <c r="H398" s="21" t="str">
        <f>IF($N$1="Piping", IF(ISBLANK(Piping!H398), "", Piping!H398), IF($N$1="Vessels", IF(ISBLANK(Vessels!H398), "", Vessels!H398), ""))</f>
        <v/>
      </c>
      <c r="I398" s="21" t="str">
        <f>IF($N$1="Piping", IF(ISBLANK(Piping!I398), "", Piping!I398), IF($N$1="Vessels", IF(ISBLANK(Vessels!I398), "", Vessels!I398), ""))</f>
        <v/>
      </c>
      <c r="J398" s="21" t="str">
        <f>IF($N$1="Piping", IF(ISBLANK(Piping!J398), "", Piping!J398), IF($N$1="Vessels", IF(ISBLANK(Vessels!J398), "", Vessels!J398), ""))</f>
        <v/>
      </c>
      <c r="K398" s="21" t="str">
        <f>IF($N$1="Piping", IF(ISBLANK(Piping!K398), "", Piping!K398), IF($N$1="Vessels", IF(ISBLANK(Vessels!K398), "", Vessels!K398), ""))</f>
        <v/>
      </c>
      <c r="L398" s="21" t="str">
        <f>IF($N$1="Piping", IF(ISBLANK(Piping!L398), "", Piping!L398), IF($N$1="Vessels", IF(ISBLANK(Vessels!L398), "", Vessels!L398), ""))</f>
        <v/>
      </c>
      <c r="M398" s="21"/>
      <c r="N398" s="21"/>
      <c r="O398" s="21"/>
      <c r="P398" s="21"/>
      <c r="Q398" s="21" t="str">
        <f>IF($N$1="Piping", IF(ISBLANK(Piping!T398), "", Piping!T398), IF($N$1="Vessels", IF(ISBLANK(Vessels!T398), "", Vessels!T398), ""))</f>
        <v/>
      </c>
      <c r="R398" s="51" t="str">
        <f>IF($N$1="Piping", IF(ISBLANK(Piping!U398), "", Piping!U398), IF($N$1="Vessels", IF(ISBLANK(Vessels!U398), "", Vessels!U398), ""))</f>
        <v/>
      </c>
      <c r="S398" s="118" t="str">
        <f>IF(B398&lt;&gt;"",IF($N$1="Piping", IF(ISBLANK(Piping!$J$3), "", Piping!$J$3), IF($N$1="Vessels", IF(ISBLANK(Vessels!$J$3), "", Vessels!$J$3), "")),"")</f>
        <v/>
      </c>
      <c r="T398" s="37"/>
      <c r="U398" s="37"/>
      <c r="V398" s="37"/>
      <c r="W398" s="37"/>
      <c r="X398" s="37"/>
      <c r="Y398" s="37"/>
      <c r="Z398" s="37"/>
    </row>
    <row r="399" spans="1:26" ht="15.75" customHeight="1" x14ac:dyDescent="0.3">
      <c r="A399" s="22">
        <f>IF($N$1="Piping", IF(ISBLANK(Piping!A399), "", Piping!A399), IF($N$1="Vessels", IF(ISBLANK(Vessels!A399), "", Vessels!A399), ""))</f>
        <v>99.2</v>
      </c>
      <c r="B399" s="21" t="str">
        <f>IF($N$1="Piping", IF(ISBLANK(Piping!B399), "", Piping!B399), IF($N$1="Vessels", IF(ISBLANK(Vessels!B399), "", Vessels!B399), ""))</f>
        <v/>
      </c>
      <c r="C399" s="21" t="str">
        <f>IF($N$1="Piping", IF(ISBLANK(Piping!C399), "", Piping!C399), IF($N$1="Vessels", IF(ISBLANK(Vessels!C399), "", Vessels!C399), ""))</f>
        <v>Piping</v>
      </c>
      <c r="D399" s="21" t="str">
        <f>IF($N$1="Piping", IF(ISBLANK(Piping!D399), "", Piping!D399), IF($N$1="Vessels", IF(ISBLANK(Vessels!D399), "", Vessels!D399), ""))</f>
        <v/>
      </c>
      <c r="E399" s="21" t="str">
        <f>IF($N$1="Piping", IF(ISBLANK(Piping!E399), "", Piping!E399), IF($N$1="Vessels", IF(ISBLANK(Vessels!E399), "", Vessels!E399), ""))</f>
        <v/>
      </c>
      <c r="F399" s="21" t="str">
        <f>IF($N$1="Piping", IF(ISBLANK(Piping!F399), "", Piping!F399), IF($N$1="Vessels", IF(ISBLANK(Vessels!F399), "", Vessels!F399), ""))</f>
        <v/>
      </c>
      <c r="G399" s="21">
        <f>IF($N$1="Piping", IF(ISBLANK(Piping!G399), "", Piping!G399), IF($N$1="Vessels", IF(ISBLANK(Vessels!G399), "", Vessels!G399), ""))</f>
        <v>0</v>
      </c>
      <c r="H399" s="21" t="str">
        <f>IF($N$1="Piping", IF(ISBLANK(Piping!H399), "", Piping!H399), IF($N$1="Vessels", IF(ISBLANK(Vessels!H399), "", Vessels!H399), ""))</f>
        <v/>
      </c>
      <c r="I399" s="21" t="str">
        <f>IF($N$1="Piping", IF(ISBLANK(Piping!I399), "", Piping!I399), IF($N$1="Vessels", IF(ISBLANK(Vessels!I399), "", Vessels!I399), ""))</f>
        <v/>
      </c>
      <c r="J399" s="21" t="str">
        <f>IF($N$1="Piping", IF(ISBLANK(Piping!J399), "", Piping!J399), IF($N$1="Vessels", IF(ISBLANK(Vessels!J399), "", Vessels!J399), ""))</f>
        <v/>
      </c>
      <c r="K399" s="21" t="str">
        <f>IF($N$1="Piping", IF(ISBLANK(Piping!K399), "", Piping!K399), IF($N$1="Vessels", IF(ISBLANK(Vessels!K399), "", Vessels!K399), ""))</f>
        <v/>
      </c>
      <c r="L399" s="21" t="str">
        <f>IF($N$1="Piping", IF(ISBLANK(Piping!L399), "", Piping!L399), IF($N$1="Vessels", IF(ISBLANK(Vessels!L399), "", Vessels!L399), ""))</f>
        <v/>
      </c>
      <c r="M399" s="21"/>
      <c r="N399" s="21"/>
      <c r="O399" s="21"/>
      <c r="P399" s="21"/>
      <c r="Q399" s="21" t="str">
        <f>IF($N$1="Piping", IF(ISBLANK(Piping!T399), "", Piping!T399), IF($N$1="Vessels", IF(ISBLANK(Vessels!T399), "", Vessels!T399), ""))</f>
        <v/>
      </c>
      <c r="R399" s="51" t="str">
        <f>IF($N$1="Piping", IF(ISBLANK(Piping!U399), "", Piping!U399), IF($N$1="Vessels", IF(ISBLANK(Vessels!U399), "", Vessels!U399), ""))</f>
        <v/>
      </c>
      <c r="S399" s="118" t="str">
        <f>IF(B399&lt;&gt;"",IF($N$1="Piping", IF(ISBLANK(Piping!$J$3), "", Piping!$J$3), IF($N$1="Vessels", IF(ISBLANK(Vessels!$J$3), "", Vessels!$J$3), "")),"")</f>
        <v/>
      </c>
      <c r="T399" s="37"/>
      <c r="U399" s="37"/>
      <c r="V399" s="37"/>
      <c r="W399" s="37"/>
      <c r="X399" s="37"/>
      <c r="Y399" s="37"/>
      <c r="Z399" s="37"/>
    </row>
    <row r="400" spans="1:26" ht="15.75" customHeight="1" x14ac:dyDescent="0.3">
      <c r="A400" s="22">
        <f>IF($N$1="Piping", IF(ISBLANK(Piping!A400), "", Piping!A400), IF($N$1="Vessels", IF(ISBLANK(Vessels!A400), "", Vessels!A400), ""))</f>
        <v>99.3</v>
      </c>
      <c r="B400" s="21" t="str">
        <f>IF($N$1="Piping", IF(ISBLANK(Piping!B400), "", Piping!B400), IF($N$1="Vessels", IF(ISBLANK(Vessels!B400), "", Vessels!B400), ""))</f>
        <v/>
      </c>
      <c r="C400" s="21" t="str">
        <f>IF($N$1="Piping", IF(ISBLANK(Piping!C400), "", Piping!C400), IF($N$1="Vessels", IF(ISBLANK(Vessels!C400), "", Vessels!C400), ""))</f>
        <v>Piping</v>
      </c>
      <c r="D400" s="21" t="str">
        <f>IF($N$1="Piping", IF(ISBLANK(Piping!D400), "", Piping!D400), IF($N$1="Vessels", IF(ISBLANK(Vessels!D400), "", Vessels!D400), ""))</f>
        <v/>
      </c>
      <c r="E400" s="21" t="str">
        <f>IF($N$1="Piping", IF(ISBLANK(Piping!E400), "", Piping!E400), IF($N$1="Vessels", IF(ISBLANK(Vessels!E400), "", Vessels!E400), ""))</f>
        <v/>
      </c>
      <c r="F400" s="21" t="str">
        <f>IF($N$1="Piping", IF(ISBLANK(Piping!F400), "", Piping!F400), IF($N$1="Vessels", IF(ISBLANK(Vessels!F400), "", Vessels!F400), ""))</f>
        <v/>
      </c>
      <c r="G400" s="21">
        <f>IF($N$1="Piping", IF(ISBLANK(Piping!G400), "", Piping!G400), IF($N$1="Vessels", IF(ISBLANK(Vessels!G400), "", Vessels!G400), ""))</f>
        <v>0</v>
      </c>
      <c r="H400" s="21" t="str">
        <f>IF($N$1="Piping", IF(ISBLANK(Piping!H400), "", Piping!H400), IF($N$1="Vessels", IF(ISBLANK(Vessels!H400), "", Vessels!H400), ""))</f>
        <v/>
      </c>
      <c r="I400" s="21" t="str">
        <f>IF($N$1="Piping", IF(ISBLANK(Piping!I400), "", Piping!I400), IF($N$1="Vessels", IF(ISBLANK(Vessels!I400), "", Vessels!I400), ""))</f>
        <v/>
      </c>
      <c r="J400" s="21" t="str">
        <f>IF($N$1="Piping", IF(ISBLANK(Piping!J400), "", Piping!J400), IF($N$1="Vessels", IF(ISBLANK(Vessels!J400), "", Vessels!J400), ""))</f>
        <v/>
      </c>
      <c r="K400" s="21" t="str">
        <f>IF($N$1="Piping", IF(ISBLANK(Piping!K400), "", Piping!K400), IF($N$1="Vessels", IF(ISBLANK(Vessels!K400), "", Vessels!K400), ""))</f>
        <v/>
      </c>
      <c r="L400" s="21" t="str">
        <f>IF($N$1="Piping", IF(ISBLANK(Piping!L400), "", Piping!L400), IF($N$1="Vessels", IF(ISBLANK(Vessels!L400), "", Vessels!L400), ""))</f>
        <v/>
      </c>
      <c r="M400" s="21"/>
      <c r="N400" s="21"/>
      <c r="O400" s="21"/>
      <c r="P400" s="21"/>
      <c r="Q400" s="21" t="str">
        <f>IF($N$1="Piping", IF(ISBLANK(Piping!T400), "", Piping!T400), IF($N$1="Vessels", IF(ISBLANK(Vessels!T400), "", Vessels!T400), ""))</f>
        <v/>
      </c>
      <c r="R400" s="51" t="str">
        <f>IF($N$1="Piping", IF(ISBLANK(Piping!U400), "", Piping!U400), IF($N$1="Vessels", IF(ISBLANK(Vessels!U400), "", Vessels!U400), ""))</f>
        <v/>
      </c>
      <c r="S400" s="118" t="str">
        <f>IF(B400&lt;&gt;"",IF($N$1="Piping", IF(ISBLANK(Piping!$J$3), "", Piping!$J$3), IF($N$1="Vessels", IF(ISBLANK(Vessels!$J$3), "", Vessels!$J$3), "")),"")</f>
        <v/>
      </c>
      <c r="T400" s="37"/>
      <c r="U400" s="37"/>
      <c r="V400" s="37"/>
      <c r="W400" s="37"/>
      <c r="X400" s="37"/>
      <c r="Y400" s="37"/>
      <c r="Z400" s="37"/>
    </row>
    <row r="401" spans="1:26" ht="15.75" customHeight="1" x14ac:dyDescent="0.3">
      <c r="A401" s="22">
        <f>IF($N$1="Piping", IF(ISBLANK(Piping!A401), "", Piping!A401), IF($N$1="Vessels", IF(ISBLANK(Vessels!A401), "", Vessels!A401), ""))</f>
        <v>99.4</v>
      </c>
      <c r="B401" s="21" t="str">
        <f>IF($N$1="Piping", IF(ISBLANK(Piping!B401), "", Piping!B401), IF($N$1="Vessels", IF(ISBLANK(Vessels!B401), "", Vessels!B401), ""))</f>
        <v/>
      </c>
      <c r="C401" s="21" t="str">
        <f>IF($N$1="Piping", IF(ISBLANK(Piping!C401), "", Piping!C401), IF($N$1="Vessels", IF(ISBLANK(Vessels!C401), "", Vessels!C401), ""))</f>
        <v>Piping</v>
      </c>
      <c r="D401" s="21" t="str">
        <f>IF($N$1="Piping", IF(ISBLANK(Piping!D401), "", Piping!D401), IF($N$1="Vessels", IF(ISBLANK(Vessels!D401), "", Vessels!D401), ""))</f>
        <v/>
      </c>
      <c r="E401" s="21" t="str">
        <f>IF($N$1="Piping", IF(ISBLANK(Piping!E401), "", Piping!E401), IF($N$1="Vessels", IF(ISBLANK(Vessels!E401), "", Vessels!E401), ""))</f>
        <v/>
      </c>
      <c r="F401" s="21" t="str">
        <f>IF($N$1="Piping", IF(ISBLANK(Piping!F401), "", Piping!F401), IF($N$1="Vessels", IF(ISBLANK(Vessels!F401), "", Vessels!F401), ""))</f>
        <v/>
      </c>
      <c r="G401" s="21">
        <f>IF($N$1="Piping", IF(ISBLANK(Piping!G401), "", Piping!G401), IF($N$1="Vessels", IF(ISBLANK(Vessels!G401), "", Vessels!G401), ""))</f>
        <v>0</v>
      </c>
      <c r="H401" s="21" t="str">
        <f>IF($N$1="Piping", IF(ISBLANK(Piping!H401), "", Piping!H401), IF($N$1="Vessels", IF(ISBLANK(Vessels!H401), "", Vessels!H401), ""))</f>
        <v/>
      </c>
      <c r="I401" s="21" t="str">
        <f>IF($N$1="Piping", IF(ISBLANK(Piping!I401), "", Piping!I401), IF($N$1="Vessels", IF(ISBLANK(Vessels!I401), "", Vessels!I401), ""))</f>
        <v/>
      </c>
      <c r="J401" s="21" t="str">
        <f>IF($N$1="Piping", IF(ISBLANK(Piping!J401), "", Piping!J401), IF($N$1="Vessels", IF(ISBLANK(Vessels!J401), "", Vessels!J401), ""))</f>
        <v/>
      </c>
      <c r="K401" s="21" t="str">
        <f>IF($N$1="Piping", IF(ISBLANK(Piping!K401), "", Piping!K401), IF($N$1="Vessels", IF(ISBLANK(Vessels!K401), "", Vessels!K401), ""))</f>
        <v/>
      </c>
      <c r="L401" s="21" t="str">
        <f>IF($N$1="Piping", IF(ISBLANK(Piping!L401), "", Piping!L401), IF($N$1="Vessels", IF(ISBLANK(Vessels!L401), "", Vessels!L401), ""))</f>
        <v/>
      </c>
      <c r="M401" s="21"/>
      <c r="N401" s="21"/>
      <c r="O401" s="21"/>
      <c r="P401" s="21"/>
      <c r="Q401" s="21" t="str">
        <f>IF($N$1="Piping", IF(ISBLANK(Piping!T401), "", Piping!T401), IF($N$1="Vessels", IF(ISBLANK(Vessels!T401), "", Vessels!T401), ""))</f>
        <v/>
      </c>
      <c r="R401" s="51" t="str">
        <f>IF($N$1="Piping", IF(ISBLANK(Piping!U401), "", Piping!U401), IF($N$1="Vessels", IF(ISBLANK(Vessels!U401), "", Vessels!U401), ""))</f>
        <v/>
      </c>
      <c r="S401" s="118" t="str">
        <f>IF(B401&lt;&gt;"",IF($N$1="Piping", IF(ISBLANK(Piping!$J$3), "", Piping!$J$3), IF($N$1="Vessels", IF(ISBLANK(Vessels!$J$3), "", Vessels!$J$3), "")),"")</f>
        <v/>
      </c>
      <c r="T401" s="37"/>
      <c r="U401" s="37"/>
      <c r="V401" s="37"/>
      <c r="W401" s="37"/>
      <c r="X401" s="37"/>
      <c r="Y401" s="37"/>
      <c r="Z401" s="37"/>
    </row>
    <row r="402" spans="1:26" ht="15.75" customHeight="1" x14ac:dyDescent="0.3">
      <c r="A402" s="22">
        <f>IF($N$1="Piping", IF(ISBLANK(Piping!A402), "", Piping!A402), IF($N$1="Vessels", IF(ISBLANK(Vessels!A402), "", Vessels!A402), ""))</f>
        <v>100.1</v>
      </c>
      <c r="B402" s="21" t="str">
        <f>IF($N$1="Piping", IF(ISBLANK(Piping!B402), "", Piping!B402), IF($N$1="Vessels", IF(ISBLANK(Vessels!B402), "", Vessels!B402), ""))</f>
        <v/>
      </c>
      <c r="C402" s="21" t="str">
        <f>IF($N$1="Piping", IF(ISBLANK(Piping!C402), "", Piping!C402), IF($N$1="Vessels", IF(ISBLANK(Vessels!C402), "", Vessels!C402), ""))</f>
        <v>Piping</v>
      </c>
      <c r="D402" s="21" t="str">
        <f>IF($N$1="Piping", IF(ISBLANK(Piping!D402), "", Piping!D402), IF($N$1="Vessels", IF(ISBLANK(Vessels!D402), "", Vessels!D402), ""))</f>
        <v/>
      </c>
      <c r="E402" s="21" t="str">
        <f>IF($N$1="Piping", IF(ISBLANK(Piping!E402), "", Piping!E402), IF($N$1="Vessels", IF(ISBLANK(Vessels!E402), "", Vessels!E402), ""))</f>
        <v/>
      </c>
      <c r="F402" s="21" t="str">
        <f>IF($N$1="Piping", IF(ISBLANK(Piping!F402), "", Piping!F402), IF($N$1="Vessels", IF(ISBLANK(Vessels!F402), "", Vessels!F402), ""))</f>
        <v/>
      </c>
      <c r="G402" s="21">
        <f>IF($N$1="Piping", IF(ISBLANK(Piping!G402), "", Piping!G402), IF($N$1="Vessels", IF(ISBLANK(Vessels!G402), "", Vessels!G402), ""))</f>
        <v>0</v>
      </c>
      <c r="H402" s="21" t="str">
        <f>IF($N$1="Piping", IF(ISBLANK(Piping!H402), "", Piping!H402), IF($N$1="Vessels", IF(ISBLANK(Vessels!H402), "", Vessels!H402), ""))</f>
        <v/>
      </c>
      <c r="I402" s="21" t="str">
        <f>IF($N$1="Piping", IF(ISBLANK(Piping!I402), "", Piping!I402), IF($N$1="Vessels", IF(ISBLANK(Vessels!I402), "", Vessels!I402), ""))</f>
        <v/>
      </c>
      <c r="J402" s="21" t="str">
        <f>IF($N$1="Piping", IF(ISBLANK(Piping!J402), "", Piping!J402), IF($N$1="Vessels", IF(ISBLANK(Vessels!J402), "", Vessels!J402), ""))</f>
        <v/>
      </c>
      <c r="K402" s="21" t="str">
        <f>IF($N$1="Piping", IF(ISBLANK(Piping!K402), "", Piping!K402), IF($N$1="Vessels", IF(ISBLANK(Vessels!K402), "", Vessels!K402), ""))</f>
        <v/>
      </c>
      <c r="L402" s="21" t="str">
        <f>IF($N$1="Piping", IF(ISBLANK(Piping!L402), "", Piping!L402), IF($N$1="Vessels", IF(ISBLANK(Vessels!L402), "", Vessels!L402), ""))</f>
        <v/>
      </c>
      <c r="M402" s="21"/>
      <c r="N402" s="21"/>
      <c r="O402" s="21"/>
      <c r="P402" s="21"/>
      <c r="Q402" s="21" t="str">
        <f>IF($N$1="Piping", IF(ISBLANK(Piping!T402), "", Piping!T402), IF($N$1="Vessels", IF(ISBLANK(Vessels!T402), "", Vessels!T402), ""))</f>
        <v/>
      </c>
      <c r="R402" s="51" t="str">
        <f>IF($N$1="Piping", IF(ISBLANK(Piping!U402), "", Piping!U402), IF($N$1="Vessels", IF(ISBLANK(Vessels!U402), "", Vessels!U402), ""))</f>
        <v/>
      </c>
      <c r="S402" s="118" t="str">
        <f>IF(B402&lt;&gt;"",IF($N$1="Piping", IF(ISBLANK(Piping!$J$3), "", Piping!$J$3), IF($N$1="Vessels", IF(ISBLANK(Vessels!$J$3), "", Vessels!$J$3), "")),"")</f>
        <v/>
      </c>
      <c r="T402" s="37"/>
      <c r="U402" s="37"/>
      <c r="V402" s="37"/>
      <c r="W402" s="37"/>
      <c r="X402" s="37"/>
      <c r="Y402" s="37"/>
      <c r="Z402" s="37"/>
    </row>
    <row r="403" spans="1:26" ht="15.75" customHeight="1" x14ac:dyDescent="0.3">
      <c r="A403" s="22">
        <f>IF($N$1="Piping", IF(ISBLANK(Piping!A403), "", Piping!A403), IF($N$1="Vessels", IF(ISBLANK(Vessels!A403), "", Vessels!A403), ""))</f>
        <v>100.2</v>
      </c>
      <c r="B403" s="21" t="str">
        <f>IF($N$1="Piping", IF(ISBLANK(Piping!B403), "", Piping!B403), IF($N$1="Vessels", IF(ISBLANK(Vessels!B403), "", Vessels!B403), ""))</f>
        <v/>
      </c>
      <c r="C403" s="21" t="str">
        <f>IF($N$1="Piping", IF(ISBLANK(Piping!C403), "", Piping!C403), IF($N$1="Vessels", IF(ISBLANK(Vessels!C403), "", Vessels!C403), ""))</f>
        <v>Piping</v>
      </c>
      <c r="D403" s="21" t="str">
        <f>IF($N$1="Piping", IF(ISBLANK(Piping!D403), "", Piping!D403), IF($N$1="Vessels", IF(ISBLANK(Vessels!D403), "", Vessels!D403), ""))</f>
        <v/>
      </c>
      <c r="E403" s="21" t="str">
        <f>IF($N$1="Piping", IF(ISBLANK(Piping!E403), "", Piping!E403), IF($N$1="Vessels", IF(ISBLANK(Vessels!E403), "", Vessels!E403), ""))</f>
        <v/>
      </c>
      <c r="F403" s="21" t="str">
        <f>IF($N$1="Piping", IF(ISBLANK(Piping!F403), "", Piping!F403), IF($N$1="Vessels", IF(ISBLANK(Vessels!F403), "", Vessels!F403), ""))</f>
        <v/>
      </c>
      <c r="G403" s="21">
        <f>IF($N$1="Piping", IF(ISBLANK(Piping!G403), "", Piping!G403), IF($N$1="Vessels", IF(ISBLANK(Vessels!G403), "", Vessels!G403), ""))</f>
        <v>0</v>
      </c>
      <c r="H403" s="21" t="str">
        <f>IF($N$1="Piping", IF(ISBLANK(Piping!H403), "", Piping!H403), IF($N$1="Vessels", IF(ISBLANK(Vessels!H403), "", Vessels!H403), ""))</f>
        <v/>
      </c>
      <c r="I403" s="21" t="str">
        <f>IF($N$1="Piping", IF(ISBLANK(Piping!I403), "", Piping!I403), IF($N$1="Vessels", IF(ISBLANK(Vessels!I403), "", Vessels!I403), ""))</f>
        <v/>
      </c>
      <c r="J403" s="21" t="str">
        <f>IF($N$1="Piping", IF(ISBLANK(Piping!J403), "", Piping!J403), IF($N$1="Vessels", IF(ISBLANK(Vessels!J403), "", Vessels!J403), ""))</f>
        <v/>
      </c>
      <c r="K403" s="21" t="str">
        <f>IF($N$1="Piping", IF(ISBLANK(Piping!K403), "", Piping!K403), IF($N$1="Vessels", IF(ISBLANK(Vessels!K403), "", Vessels!K403), ""))</f>
        <v/>
      </c>
      <c r="L403" s="21" t="str">
        <f>IF($N$1="Piping", IF(ISBLANK(Piping!L403), "", Piping!L403), IF($N$1="Vessels", IF(ISBLANK(Vessels!L403), "", Vessels!L403), ""))</f>
        <v/>
      </c>
      <c r="M403" s="21"/>
      <c r="N403" s="21"/>
      <c r="O403" s="21"/>
      <c r="P403" s="21"/>
      <c r="Q403" s="21" t="str">
        <f>IF($N$1="Piping", IF(ISBLANK(Piping!T403), "", Piping!T403), IF($N$1="Vessels", IF(ISBLANK(Vessels!T403), "", Vessels!T403), ""))</f>
        <v/>
      </c>
      <c r="R403" s="51" t="str">
        <f>IF($N$1="Piping", IF(ISBLANK(Piping!U403), "", Piping!U403), IF($N$1="Vessels", IF(ISBLANK(Vessels!U403), "", Vessels!U403), ""))</f>
        <v/>
      </c>
      <c r="S403" s="118" t="str">
        <f>IF(B403&lt;&gt;"",IF($N$1="Piping", IF(ISBLANK(Piping!$J$3), "", Piping!$J$3), IF($N$1="Vessels", IF(ISBLANK(Vessels!$J$3), "", Vessels!$J$3), "")),"")</f>
        <v/>
      </c>
      <c r="T403" s="37"/>
      <c r="U403" s="37"/>
      <c r="V403" s="37"/>
      <c r="W403" s="37"/>
      <c r="X403" s="37"/>
      <c r="Y403" s="37"/>
      <c r="Z403" s="37"/>
    </row>
    <row r="404" spans="1:26" ht="15.75" customHeight="1" x14ac:dyDescent="0.3">
      <c r="A404" s="22">
        <f>IF($N$1="Piping", IF(ISBLANK(Piping!A404), "", Piping!A404), IF($N$1="Vessels", IF(ISBLANK(Vessels!A404), "", Vessels!A404), ""))</f>
        <v>100.3</v>
      </c>
      <c r="B404" s="21" t="str">
        <f>IF($N$1="Piping", IF(ISBLANK(Piping!B404), "", Piping!B404), IF($N$1="Vessels", IF(ISBLANK(Vessels!B404), "", Vessels!B404), ""))</f>
        <v/>
      </c>
      <c r="C404" s="21" t="str">
        <f>IF($N$1="Piping", IF(ISBLANK(Piping!C404), "", Piping!C404), IF($N$1="Vessels", IF(ISBLANK(Vessels!C404), "", Vessels!C404), ""))</f>
        <v>Piping</v>
      </c>
      <c r="D404" s="21" t="str">
        <f>IF($N$1="Piping", IF(ISBLANK(Piping!D404), "", Piping!D404), IF($N$1="Vessels", IF(ISBLANK(Vessels!D404), "", Vessels!D404), ""))</f>
        <v/>
      </c>
      <c r="E404" s="21" t="str">
        <f>IF($N$1="Piping", IF(ISBLANK(Piping!E404), "", Piping!E404), IF($N$1="Vessels", IF(ISBLANK(Vessels!E404), "", Vessels!E404), ""))</f>
        <v/>
      </c>
      <c r="F404" s="21" t="str">
        <f>IF($N$1="Piping", IF(ISBLANK(Piping!F404), "", Piping!F404), IF($N$1="Vessels", IF(ISBLANK(Vessels!F404), "", Vessels!F404), ""))</f>
        <v/>
      </c>
      <c r="G404" s="21">
        <f>IF($N$1="Piping", IF(ISBLANK(Piping!G404), "", Piping!G404), IF($N$1="Vessels", IF(ISBLANK(Vessels!G404), "", Vessels!G404), ""))</f>
        <v>0</v>
      </c>
      <c r="H404" s="21" t="str">
        <f>IF($N$1="Piping", IF(ISBLANK(Piping!H404), "", Piping!H404), IF($N$1="Vessels", IF(ISBLANK(Vessels!H404), "", Vessels!H404), ""))</f>
        <v/>
      </c>
      <c r="I404" s="21" t="str">
        <f>IF($N$1="Piping", IF(ISBLANK(Piping!I404), "", Piping!I404), IF($N$1="Vessels", IF(ISBLANK(Vessels!I404), "", Vessels!I404), ""))</f>
        <v/>
      </c>
      <c r="J404" s="21" t="str">
        <f>IF($N$1="Piping", IF(ISBLANK(Piping!J404), "", Piping!J404), IF($N$1="Vessels", IF(ISBLANK(Vessels!J404), "", Vessels!J404), ""))</f>
        <v/>
      </c>
      <c r="K404" s="21" t="str">
        <f>IF($N$1="Piping", IF(ISBLANK(Piping!K404), "", Piping!K404), IF($N$1="Vessels", IF(ISBLANK(Vessels!K404), "", Vessels!K404), ""))</f>
        <v/>
      </c>
      <c r="L404" s="21" t="str">
        <f>IF($N$1="Piping", IF(ISBLANK(Piping!L404), "", Piping!L404), IF($N$1="Vessels", IF(ISBLANK(Vessels!L404), "", Vessels!L404), ""))</f>
        <v/>
      </c>
      <c r="M404" s="21"/>
      <c r="N404" s="21"/>
      <c r="O404" s="21"/>
      <c r="P404" s="21"/>
      <c r="Q404" s="21" t="str">
        <f>IF($N$1="Piping", IF(ISBLANK(Piping!T404), "", Piping!T404), IF($N$1="Vessels", IF(ISBLANK(Vessels!T404), "", Vessels!T404), ""))</f>
        <v/>
      </c>
      <c r="R404" s="51" t="str">
        <f>IF($N$1="Piping", IF(ISBLANK(Piping!U404), "", Piping!U404), IF($N$1="Vessels", IF(ISBLANK(Vessels!U404), "", Vessels!U404), ""))</f>
        <v/>
      </c>
      <c r="S404" s="118" t="str">
        <f>IF(B404&lt;&gt;"",IF($N$1="Piping", IF(ISBLANK(Piping!$J$3), "", Piping!$J$3), IF($N$1="Vessels", IF(ISBLANK(Vessels!$J$3), "", Vessels!$J$3), "")),"")</f>
        <v/>
      </c>
      <c r="T404" s="37"/>
      <c r="U404" s="37"/>
      <c r="V404" s="37"/>
      <c r="W404" s="37"/>
      <c r="X404" s="37"/>
      <c r="Y404" s="37"/>
      <c r="Z404" s="37"/>
    </row>
    <row r="405" spans="1:26" ht="15.75" customHeight="1" x14ac:dyDescent="0.3">
      <c r="A405" s="22">
        <f>IF($N$1="Piping", IF(ISBLANK(Piping!A405), "", Piping!A405), IF($N$1="Vessels", IF(ISBLANK(Vessels!A405), "", Vessels!A405), ""))</f>
        <v>100.4</v>
      </c>
      <c r="B405" s="21" t="str">
        <f>IF($N$1="Piping", IF(ISBLANK(Piping!B405), "", Piping!B405), IF($N$1="Vessels", IF(ISBLANK(Vessels!B405), "", Vessels!B405), ""))</f>
        <v/>
      </c>
      <c r="C405" s="21" t="str">
        <f>IF($N$1="Piping", IF(ISBLANK(Piping!C405), "", Piping!C405), IF($N$1="Vessels", IF(ISBLANK(Vessels!C405), "", Vessels!C405), ""))</f>
        <v>Piping</v>
      </c>
      <c r="D405" s="21" t="str">
        <f>IF($N$1="Piping", IF(ISBLANK(Piping!D405), "", Piping!D405), IF($N$1="Vessels", IF(ISBLANK(Vessels!D405), "", Vessels!D405), ""))</f>
        <v/>
      </c>
      <c r="E405" s="21" t="str">
        <f>IF($N$1="Piping", IF(ISBLANK(Piping!E405), "", Piping!E405), IF($N$1="Vessels", IF(ISBLANK(Vessels!E405), "", Vessels!E405), ""))</f>
        <v/>
      </c>
      <c r="F405" s="21" t="str">
        <f>IF($N$1="Piping", IF(ISBLANK(Piping!F405), "", Piping!F405), IF($N$1="Vessels", IF(ISBLANK(Vessels!F405), "", Vessels!F405), ""))</f>
        <v/>
      </c>
      <c r="G405" s="21">
        <f>IF($N$1="Piping", IF(ISBLANK(Piping!G405), "", Piping!G405), IF($N$1="Vessels", IF(ISBLANK(Vessels!G405), "", Vessels!G405), ""))</f>
        <v>0</v>
      </c>
      <c r="H405" s="21" t="str">
        <f>IF($N$1="Piping", IF(ISBLANK(Piping!H405), "", Piping!H405), IF($N$1="Vessels", IF(ISBLANK(Vessels!H405), "", Vessels!H405), ""))</f>
        <v/>
      </c>
      <c r="I405" s="21" t="str">
        <f>IF($N$1="Piping", IF(ISBLANK(Piping!I405), "", Piping!I405), IF($N$1="Vessels", IF(ISBLANK(Vessels!I405), "", Vessels!I405), ""))</f>
        <v/>
      </c>
      <c r="J405" s="21" t="str">
        <f>IF($N$1="Piping", IF(ISBLANK(Piping!J405), "", Piping!J405), IF($N$1="Vessels", IF(ISBLANK(Vessels!J405), "", Vessels!J405), ""))</f>
        <v/>
      </c>
      <c r="K405" s="21" t="str">
        <f>IF($N$1="Piping", IF(ISBLANK(Piping!K405), "", Piping!K405), IF($N$1="Vessels", IF(ISBLANK(Vessels!K405), "", Vessels!K405), ""))</f>
        <v/>
      </c>
      <c r="L405" s="21" t="str">
        <f>IF($N$1="Piping", IF(ISBLANK(Piping!L405), "", Piping!L405), IF($N$1="Vessels", IF(ISBLANK(Vessels!L405), "", Vessels!L405), ""))</f>
        <v/>
      </c>
      <c r="M405" s="21"/>
      <c r="N405" s="21"/>
      <c r="O405" s="21"/>
      <c r="P405" s="21"/>
      <c r="Q405" s="21" t="str">
        <f>IF($N$1="Piping", IF(ISBLANK(Piping!T405), "", Piping!T405), IF($N$1="Vessels", IF(ISBLANK(Vessels!T405), "", Vessels!T405), ""))</f>
        <v/>
      </c>
      <c r="R405" s="51" t="str">
        <f>IF($N$1="Piping", IF(ISBLANK(Piping!U405), "", Piping!U405), IF($N$1="Vessels", IF(ISBLANK(Vessels!U405), "", Vessels!U405), ""))</f>
        <v/>
      </c>
      <c r="S405" s="118" t="str">
        <f>IF(B405&lt;&gt;"",IF($N$1="Piping", IF(ISBLANK(Piping!$J$3), "", Piping!$J$3), IF($N$1="Vessels", IF(ISBLANK(Vessels!$J$3), "", Vessels!$J$3), "")),"")</f>
        <v/>
      </c>
      <c r="T405" s="37"/>
      <c r="U405" s="37"/>
      <c r="V405" s="37"/>
      <c r="W405" s="37"/>
      <c r="X405" s="37"/>
      <c r="Y405" s="37"/>
      <c r="Z405" s="37"/>
    </row>
    <row r="406" spans="1:26" ht="15.75" customHeight="1" x14ac:dyDescent="0.3">
      <c r="A406" s="22">
        <f>IF($N$1="Piping", IF(ISBLANK(Piping!A406), "", Piping!A406), IF($N$1="Vessels", IF(ISBLANK(Vessels!A406), "", Vessels!A406), ""))</f>
        <v>101.1</v>
      </c>
      <c r="B406" s="21" t="str">
        <f>IF($N$1="Piping", IF(ISBLANK(Piping!B406), "", Piping!B406), IF($N$1="Vessels", IF(ISBLANK(Vessels!B406), "", Vessels!B406), ""))</f>
        <v/>
      </c>
      <c r="C406" s="21" t="str">
        <f>IF($N$1="Piping", IF(ISBLANK(Piping!C406), "", Piping!C406), IF($N$1="Vessels", IF(ISBLANK(Vessels!C406), "", Vessels!C406), ""))</f>
        <v>Piping</v>
      </c>
      <c r="D406" s="21" t="str">
        <f>IF($N$1="Piping", IF(ISBLANK(Piping!D406), "", Piping!D406), IF($N$1="Vessels", IF(ISBLANK(Vessels!D406), "", Vessels!D406), ""))</f>
        <v/>
      </c>
      <c r="E406" s="21" t="str">
        <f>IF($N$1="Piping", IF(ISBLANK(Piping!E406), "", Piping!E406), IF($N$1="Vessels", IF(ISBLANK(Vessels!E406), "", Vessels!E406), ""))</f>
        <v/>
      </c>
      <c r="F406" s="21" t="str">
        <f>IF($N$1="Piping", IF(ISBLANK(Piping!F406), "", Piping!F406), IF($N$1="Vessels", IF(ISBLANK(Vessels!F406), "", Vessels!F406), ""))</f>
        <v/>
      </c>
      <c r="G406" s="21">
        <f>IF($N$1="Piping", IF(ISBLANK(Piping!G406), "", Piping!G406), IF($N$1="Vessels", IF(ISBLANK(Vessels!G406), "", Vessels!G406), ""))</f>
        <v>0</v>
      </c>
      <c r="H406" s="21" t="str">
        <f>IF($N$1="Piping", IF(ISBLANK(Piping!H406), "", Piping!H406), IF($N$1="Vessels", IF(ISBLANK(Vessels!H406), "", Vessels!H406), ""))</f>
        <v/>
      </c>
      <c r="I406" s="21" t="str">
        <f>IF($N$1="Piping", IF(ISBLANK(Piping!I406), "", Piping!I406), IF($N$1="Vessels", IF(ISBLANK(Vessels!I406), "", Vessels!I406), ""))</f>
        <v/>
      </c>
      <c r="J406" s="21" t="str">
        <f>IF($N$1="Piping", IF(ISBLANK(Piping!J406), "", Piping!J406), IF($N$1="Vessels", IF(ISBLANK(Vessels!J406), "", Vessels!J406), ""))</f>
        <v/>
      </c>
      <c r="K406" s="21" t="str">
        <f>IF($N$1="Piping", IF(ISBLANK(Piping!K406), "", Piping!K406), IF($N$1="Vessels", IF(ISBLANK(Vessels!K406), "", Vessels!K406), ""))</f>
        <v/>
      </c>
      <c r="L406" s="21" t="str">
        <f>IF($N$1="Piping", IF(ISBLANK(Piping!L406), "", Piping!L406), IF($N$1="Vessels", IF(ISBLANK(Vessels!L406), "", Vessels!L406), ""))</f>
        <v/>
      </c>
      <c r="M406" s="21"/>
      <c r="N406" s="21"/>
      <c r="O406" s="21"/>
      <c r="P406" s="21"/>
      <c r="Q406" s="21" t="str">
        <f>IF($N$1="Piping", IF(ISBLANK(Piping!T406), "", Piping!T406), IF($N$1="Vessels", IF(ISBLANK(Vessels!T406), "", Vessels!T406), ""))</f>
        <v/>
      </c>
      <c r="R406" s="51" t="str">
        <f>IF($N$1="Piping", IF(ISBLANK(Piping!U406), "", Piping!U406), IF($N$1="Vessels", IF(ISBLANK(Vessels!U406), "", Vessels!U406), ""))</f>
        <v/>
      </c>
      <c r="S406" s="118" t="str">
        <f>IF(B406&lt;&gt;"",IF($N$1="Piping", IF(ISBLANK(Piping!$J$3), "", Piping!$J$3), IF($N$1="Vessels", IF(ISBLANK(Vessels!$J$3), "", Vessels!$J$3), "")),"")</f>
        <v/>
      </c>
      <c r="T406" s="37"/>
      <c r="U406" s="37"/>
      <c r="V406" s="37"/>
      <c r="W406" s="37"/>
      <c r="X406" s="37"/>
      <c r="Y406" s="37"/>
      <c r="Z406" s="37"/>
    </row>
    <row r="407" spans="1:26" ht="15.75" customHeight="1" x14ac:dyDescent="0.3">
      <c r="A407" s="22">
        <f>IF($N$1="Piping", IF(ISBLANK(Piping!A407), "", Piping!A407), IF($N$1="Vessels", IF(ISBLANK(Vessels!A407), "", Vessels!A407), ""))</f>
        <v>101.2</v>
      </c>
      <c r="B407" s="21" t="str">
        <f>IF($N$1="Piping", IF(ISBLANK(Piping!B407), "", Piping!B407), IF($N$1="Vessels", IF(ISBLANK(Vessels!B407), "", Vessels!B407), ""))</f>
        <v/>
      </c>
      <c r="C407" s="21" t="str">
        <f>IF($N$1="Piping", IF(ISBLANK(Piping!C407), "", Piping!C407), IF($N$1="Vessels", IF(ISBLANK(Vessels!C407), "", Vessels!C407), ""))</f>
        <v>Piping</v>
      </c>
      <c r="D407" s="21" t="str">
        <f>IF($N$1="Piping", IF(ISBLANK(Piping!D407), "", Piping!D407), IF($N$1="Vessels", IF(ISBLANK(Vessels!D407), "", Vessels!D407), ""))</f>
        <v/>
      </c>
      <c r="E407" s="21" t="str">
        <f>IF($N$1="Piping", IF(ISBLANK(Piping!E407), "", Piping!E407), IF($N$1="Vessels", IF(ISBLANK(Vessels!E407), "", Vessels!E407), ""))</f>
        <v/>
      </c>
      <c r="F407" s="21" t="str">
        <f>IF($N$1="Piping", IF(ISBLANK(Piping!F407), "", Piping!F407), IF($N$1="Vessels", IF(ISBLANK(Vessels!F407), "", Vessels!F407), ""))</f>
        <v/>
      </c>
      <c r="G407" s="21">
        <f>IF($N$1="Piping", IF(ISBLANK(Piping!G407), "", Piping!G407), IF($N$1="Vessels", IF(ISBLANK(Vessels!G407), "", Vessels!G407), ""))</f>
        <v>0</v>
      </c>
      <c r="H407" s="21" t="str">
        <f>IF($N$1="Piping", IF(ISBLANK(Piping!H407), "", Piping!H407), IF($N$1="Vessels", IF(ISBLANK(Vessels!H407), "", Vessels!H407), ""))</f>
        <v/>
      </c>
      <c r="I407" s="21" t="str">
        <f>IF($N$1="Piping", IF(ISBLANK(Piping!I407), "", Piping!I407), IF($N$1="Vessels", IF(ISBLANK(Vessels!I407), "", Vessels!I407), ""))</f>
        <v/>
      </c>
      <c r="J407" s="21" t="str">
        <f>IF($N$1="Piping", IF(ISBLANK(Piping!J407), "", Piping!J407), IF($N$1="Vessels", IF(ISBLANK(Vessels!J407), "", Vessels!J407), ""))</f>
        <v/>
      </c>
      <c r="K407" s="21" t="str">
        <f>IF($N$1="Piping", IF(ISBLANK(Piping!K407), "", Piping!K407), IF($N$1="Vessels", IF(ISBLANK(Vessels!K407), "", Vessels!K407), ""))</f>
        <v/>
      </c>
      <c r="L407" s="21" t="str">
        <f>IF($N$1="Piping", IF(ISBLANK(Piping!L407), "", Piping!L407), IF($N$1="Vessels", IF(ISBLANK(Vessels!L407), "", Vessels!L407), ""))</f>
        <v/>
      </c>
      <c r="M407" s="21"/>
      <c r="N407" s="21"/>
      <c r="O407" s="21"/>
      <c r="P407" s="21"/>
      <c r="Q407" s="21" t="str">
        <f>IF($N$1="Piping", IF(ISBLANK(Piping!T407), "", Piping!T407), IF($N$1="Vessels", IF(ISBLANK(Vessels!T407), "", Vessels!T407), ""))</f>
        <v/>
      </c>
      <c r="R407" s="51" t="str">
        <f>IF($N$1="Piping", IF(ISBLANK(Piping!U407), "", Piping!U407), IF($N$1="Vessels", IF(ISBLANK(Vessels!U407), "", Vessels!U407), ""))</f>
        <v/>
      </c>
      <c r="S407" s="118" t="str">
        <f>IF(B407&lt;&gt;"",IF($N$1="Piping", IF(ISBLANK(Piping!$J$3), "", Piping!$J$3), IF($N$1="Vessels", IF(ISBLANK(Vessels!$J$3), "", Vessels!$J$3), "")),"")</f>
        <v/>
      </c>
      <c r="T407" s="37"/>
      <c r="U407" s="37"/>
      <c r="V407" s="37"/>
      <c r="W407" s="37"/>
      <c r="X407" s="37"/>
      <c r="Y407" s="37"/>
      <c r="Z407" s="37"/>
    </row>
    <row r="408" spans="1:26" ht="15.75" customHeight="1" x14ac:dyDescent="0.3">
      <c r="A408" s="22">
        <f>IF($N$1="Piping", IF(ISBLANK(Piping!A408), "", Piping!A408), IF($N$1="Vessels", IF(ISBLANK(Vessels!A408), "", Vessels!A408), ""))</f>
        <v>101.3</v>
      </c>
      <c r="B408" s="21" t="str">
        <f>IF($N$1="Piping", IF(ISBLANK(Piping!B408), "", Piping!B408), IF($N$1="Vessels", IF(ISBLANK(Vessels!B408), "", Vessels!B408), ""))</f>
        <v/>
      </c>
      <c r="C408" s="21" t="str">
        <f>IF($N$1="Piping", IF(ISBLANK(Piping!C408), "", Piping!C408), IF($N$1="Vessels", IF(ISBLANK(Vessels!C408), "", Vessels!C408), ""))</f>
        <v>Piping</v>
      </c>
      <c r="D408" s="21" t="str">
        <f>IF($N$1="Piping", IF(ISBLANK(Piping!D408), "", Piping!D408), IF($N$1="Vessels", IF(ISBLANK(Vessels!D408), "", Vessels!D408), ""))</f>
        <v/>
      </c>
      <c r="E408" s="21" t="str">
        <f>IF($N$1="Piping", IF(ISBLANK(Piping!E408), "", Piping!E408), IF($N$1="Vessels", IF(ISBLANK(Vessels!E408), "", Vessels!E408), ""))</f>
        <v/>
      </c>
      <c r="F408" s="21" t="str">
        <f>IF($N$1="Piping", IF(ISBLANK(Piping!F408), "", Piping!F408), IF($N$1="Vessels", IF(ISBLANK(Vessels!F408), "", Vessels!F408), ""))</f>
        <v/>
      </c>
      <c r="G408" s="21">
        <f>IF($N$1="Piping", IF(ISBLANK(Piping!G408), "", Piping!G408), IF($N$1="Vessels", IF(ISBLANK(Vessels!G408), "", Vessels!G408), ""))</f>
        <v>0</v>
      </c>
      <c r="H408" s="21" t="str">
        <f>IF($N$1="Piping", IF(ISBLANK(Piping!H408), "", Piping!H408), IF($N$1="Vessels", IF(ISBLANK(Vessels!H408), "", Vessels!H408), ""))</f>
        <v/>
      </c>
      <c r="I408" s="21" t="str">
        <f>IF($N$1="Piping", IF(ISBLANK(Piping!I408), "", Piping!I408), IF($N$1="Vessels", IF(ISBLANK(Vessels!I408), "", Vessels!I408), ""))</f>
        <v/>
      </c>
      <c r="J408" s="21" t="str">
        <f>IF($N$1="Piping", IF(ISBLANK(Piping!J408), "", Piping!J408), IF($N$1="Vessels", IF(ISBLANK(Vessels!J408), "", Vessels!J408), ""))</f>
        <v/>
      </c>
      <c r="K408" s="21" t="str">
        <f>IF($N$1="Piping", IF(ISBLANK(Piping!K408), "", Piping!K408), IF($N$1="Vessels", IF(ISBLANK(Vessels!K408), "", Vessels!K408), ""))</f>
        <v/>
      </c>
      <c r="L408" s="21" t="str">
        <f>IF($N$1="Piping", IF(ISBLANK(Piping!L408), "", Piping!L408), IF($N$1="Vessels", IF(ISBLANK(Vessels!L408), "", Vessels!L408), ""))</f>
        <v/>
      </c>
      <c r="M408" s="21"/>
      <c r="N408" s="21"/>
      <c r="O408" s="21"/>
      <c r="P408" s="21"/>
      <c r="Q408" s="21" t="str">
        <f>IF($N$1="Piping", IF(ISBLANK(Piping!T408), "", Piping!T408), IF($N$1="Vessels", IF(ISBLANK(Vessels!T408), "", Vessels!T408), ""))</f>
        <v/>
      </c>
      <c r="R408" s="51" t="str">
        <f>IF($N$1="Piping", IF(ISBLANK(Piping!U408), "", Piping!U408), IF($N$1="Vessels", IF(ISBLANK(Vessels!U408), "", Vessels!U408), ""))</f>
        <v/>
      </c>
      <c r="S408" s="118" t="str">
        <f>IF(B408&lt;&gt;"",IF($N$1="Piping", IF(ISBLANK(Piping!$J$3), "", Piping!$J$3), IF($N$1="Vessels", IF(ISBLANK(Vessels!$J$3), "", Vessels!$J$3), "")),"")</f>
        <v/>
      </c>
      <c r="T408" s="37"/>
      <c r="U408" s="37"/>
      <c r="V408" s="37"/>
      <c r="W408" s="37"/>
      <c r="X408" s="37"/>
      <c r="Y408" s="37"/>
      <c r="Z408" s="37"/>
    </row>
    <row r="409" spans="1:26" ht="15.75" customHeight="1" x14ac:dyDescent="0.3">
      <c r="A409" s="22">
        <f>IF($N$1="Piping", IF(ISBLANK(Piping!A409), "", Piping!A409), IF($N$1="Vessels", IF(ISBLANK(Vessels!A409), "", Vessels!A409), ""))</f>
        <v>101.4</v>
      </c>
      <c r="B409" s="21" t="str">
        <f>IF($N$1="Piping", IF(ISBLANK(Piping!B409), "", Piping!B409), IF($N$1="Vessels", IF(ISBLANK(Vessels!B409), "", Vessels!B409), ""))</f>
        <v/>
      </c>
      <c r="C409" s="21" t="str">
        <f>IF($N$1="Piping", IF(ISBLANK(Piping!C409), "", Piping!C409), IF($N$1="Vessels", IF(ISBLANK(Vessels!C409), "", Vessels!C409), ""))</f>
        <v>Piping</v>
      </c>
      <c r="D409" s="21" t="str">
        <f>IF($N$1="Piping", IF(ISBLANK(Piping!D409), "", Piping!D409), IF($N$1="Vessels", IF(ISBLANK(Vessels!D409), "", Vessels!D409), ""))</f>
        <v/>
      </c>
      <c r="E409" s="21" t="str">
        <f>IF($N$1="Piping", IF(ISBLANK(Piping!E409), "", Piping!E409), IF($N$1="Vessels", IF(ISBLANK(Vessels!E409), "", Vessels!E409), ""))</f>
        <v/>
      </c>
      <c r="F409" s="21" t="str">
        <f>IF($N$1="Piping", IF(ISBLANK(Piping!F409), "", Piping!F409), IF($N$1="Vessels", IF(ISBLANK(Vessels!F409), "", Vessels!F409), ""))</f>
        <v/>
      </c>
      <c r="G409" s="21">
        <f>IF($N$1="Piping", IF(ISBLANK(Piping!G409), "", Piping!G409), IF($N$1="Vessels", IF(ISBLANK(Vessels!G409), "", Vessels!G409), ""))</f>
        <v>0</v>
      </c>
      <c r="H409" s="21" t="str">
        <f>IF($N$1="Piping", IF(ISBLANK(Piping!H409), "", Piping!H409), IF($N$1="Vessels", IF(ISBLANK(Vessels!H409), "", Vessels!H409), ""))</f>
        <v/>
      </c>
      <c r="I409" s="21" t="str">
        <f>IF($N$1="Piping", IF(ISBLANK(Piping!I409), "", Piping!I409), IF($N$1="Vessels", IF(ISBLANK(Vessels!I409), "", Vessels!I409), ""))</f>
        <v/>
      </c>
      <c r="J409" s="21" t="str">
        <f>IF($N$1="Piping", IF(ISBLANK(Piping!J409), "", Piping!J409), IF($N$1="Vessels", IF(ISBLANK(Vessels!J409), "", Vessels!J409), ""))</f>
        <v/>
      </c>
      <c r="K409" s="21" t="str">
        <f>IF($N$1="Piping", IF(ISBLANK(Piping!K409), "", Piping!K409), IF($N$1="Vessels", IF(ISBLANK(Vessels!K409), "", Vessels!K409), ""))</f>
        <v/>
      </c>
      <c r="L409" s="21" t="str">
        <f>IF($N$1="Piping", IF(ISBLANK(Piping!L409), "", Piping!L409), IF($N$1="Vessels", IF(ISBLANK(Vessels!L409), "", Vessels!L409), ""))</f>
        <v/>
      </c>
      <c r="M409" s="21"/>
      <c r="N409" s="21"/>
      <c r="O409" s="21"/>
      <c r="P409" s="21"/>
      <c r="Q409" s="21" t="str">
        <f>IF($N$1="Piping", IF(ISBLANK(Piping!T409), "", Piping!T409), IF($N$1="Vessels", IF(ISBLANK(Vessels!T409), "", Vessels!T409), ""))</f>
        <v/>
      </c>
      <c r="R409" s="51" t="str">
        <f>IF($N$1="Piping", IF(ISBLANK(Piping!U409), "", Piping!U409), IF($N$1="Vessels", IF(ISBLANK(Vessels!U409), "", Vessels!U409), ""))</f>
        <v/>
      </c>
      <c r="S409" s="118" t="str">
        <f>IF(B409&lt;&gt;"",IF($N$1="Piping", IF(ISBLANK(Piping!$J$3), "", Piping!$J$3), IF($N$1="Vessels", IF(ISBLANK(Vessels!$J$3), "", Vessels!$J$3), "")),"")</f>
        <v/>
      </c>
      <c r="T409" s="37"/>
      <c r="U409" s="37"/>
      <c r="V409" s="37"/>
      <c r="W409" s="37"/>
      <c r="X409" s="37"/>
      <c r="Y409" s="37"/>
      <c r="Z409" s="37"/>
    </row>
    <row r="410" spans="1:26" ht="15.75" customHeight="1" x14ac:dyDescent="0.3">
      <c r="A410" s="22">
        <f>IF($N$1="Piping", IF(ISBLANK(Piping!A410), "", Piping!A410), IF($N$1="Vessels", IF(ISBLANK(Vessels!A410), "", Vessels!A410), ""))</f>
        <v>102.1</v>
      </c>
      <c r="B410" s="21" t="str">
        <f>IF($N$1="Piping", IF(ISBLANK(Piping!B410), "", Piping!B410), IF($N$1="Vessels", IF(ISBLANK(Vessels!B410), "", Vessels!B410), ""))</f>
        <v/>
      </c>
      <c r="C410" s="21" t="str">
        <f>IF($N$1="Piping", IF(ISBLANK(Piping!C410), "", Piping!C410), IF($N$1="Vessels", IF(ISBLANK(Vessels!C410), "", Vessels!C410), ""))</f>
        <v>Piping</v>
      </c>
      <c r="D410" s="21" t="str">
        <f>IF($N$1="Piping", IF(ISBLANK(Piping!D410), "", Piping!D410), IF($N$1="Vessels", IF(ISBLANK(Vessels!D410), "", Vessels!D410), ""))</f>
        <v/>
      </c>
      <c r="E410" s="21" t="str">
        <f>IF($N$1="Piping", IF(ISBLANK(Piping!E410), "", Piping!E410), IF($N$1="Vessels", IF(ISBLANK(Vessels!E410), "", Vessels!E410), ""))</f>
        <v/>
      </c>
      <c r="F410" s="21" t="str">
        <f>IF($N$1="Piping", IF(ISBLANK(Piping!F410), "", Piping!F410), IF($N$1="Vessels", IF(ISBLANK(Vessels!F410), "", Vessels!F410), ""))</f>
        <v/>
      </c>
      <c r="G410" s="21">
        <f>IF($N$1="Piping", IF(ISBLANK(Piping!G410), "", Piping!G410), IF($N$1="Vessels", IF(ISBLANK(Vessels!G410), "", Vessels!G410), ""))</f>
        <v>0</v>
      </c>
      <c r="H410" s="21" t="str">
        <f>IF($N$1="Piping", IF(ISBLANK(Piping!H410), "", Piping!H410), IF($N$1="Vessels", IF(ISBLANK(Vessels!H410), "", Vessels!H410), ""))</f>
        <v/>
      </c>
      <c r="I410" s="21" t="str">
        <f>IF($N$1="Piping", IF(ISBLANK(Piping!I410), "", Piping!I410), IF($N$1="Vessels", IF(ISBLANK(Vessels!I410), "", Vessels!I410), ""))</f>
        <v/>
      </c>
      <c r="J410" s="21" t="str">
        <f>IF($N$1="Piping", IF(ISBLANK(Piping!J410), "", Piping!J410), IF($N$1="Vessels", IF(ISBLANK(Vessels!J410), "", Vessels!J410), ""))</f>
        <v/>
      </c>
      <c r="K410" s="21" t="str">
        <f>IF($N$1="Piping", IF(ISBLANK(Piping!K410), "", Piping!K410), IF($N$1="Vessels", IF(ISBLANK(Vessels!K410), "", Vessels!K410), ""))</f>
        <v/>
      </c>
      <c r="L410" s="21" t="str">
        <f>IF($N$1="Piping", IF(ISBLANK(Piping!L410), "", Piping!L410), IF($N$1="Vessels", IF(ISBLANK(Vessels!L410), "", Vessels!L410), ""))</f>
        <v/>
      </c>
      <c r="M410" s="21"/>
      <c r="N410" s="21"/>
      <c r="O410" s="21"/>
      <c r="P410" s="21"/>
      <c r="Q410" s="21" t="str">
        <f>IF($N$1="Piping", IF(ISBLANK(Piping!T410), "", Piping!T410), IF($N$1="Vessels", IF(ISBLANK(Vessels!T410), "", Vessels!T410), ""))</f>
        <v/>
      </c>
      <c r="R410" s="51" t="str">
        <f>IF($N$1="Piping", IF(ISBLANK(Piping!U410), "", Piping!U410), IF($N$1="Vessels", IF(ISBLANK(Vessels!U410), "", Vessels!U410), ""))</f>
        <v/>
      </c>
      <c r="S410" s="118" t="str">
        <f>IF(B410&lt;&gt;"",IF($N$1="Piping", IF(ISBLANK(Piping!$J$3), "", Piping!$J$3), IF($N$1="Vessels", IF(ISBLANK(Vessels!$J$3), "", Vessels!$J$3), "")),"")</f>
        <v/>
      </c>
      <c r="T410" s="37"/>
      <c r="U410" s="37"/>
      <c r="V410" s="37"/>
      <c r="W410" s="37"/>
      <c r="X410" s="37"/>
      <c r="Y410" s="37"/>
      <c r="Z410" s="37"/>
    </row>
    <row r="411" spans="1:26" ht="15.75" customHeight="1" x14ac:dyDescent="0.3">
      <c r="A411" s="22">
        <f>IF($N$1="Piping", IF(ISBLANK(Piping!A411), "", Piping!A411), IF($N$1="Vessels", IF(ISBLANK(Vessels!A411), "", Vessels!A411), ""))</f>
        <v>102.2</v>
      </c>
      <c r="B411" s="21" t="str">
        <f>IF($N$1="Piping", IF(ISBLANK(Piping!B411), "", Piping!B411), IF($N$1="Vessels", IF(ISBLANK(Vessels!B411), "", Vessels!B411), ""))</f>
        <v/>
      </c>
      <c r="C411" s="21" t="str">
        <f>IF($N$1="Piping", IF(ISBLANK(Piping!C411), "", Piping!C411), IF($N$1="Vessels", IF(ISBLANK(Vessels!C411), "", Vessels!C411), ""))</f>
        <v>Piping</v>
      </c>
      <c r="D411" s="21" t="str">
        <f>IF($N$1="Piping", IF(ISBLANK(Piping!D411), "", Piping!D411), IF($N$1="Vessels", IF(ISBLANK(Vessels!D411), "", Vessels!D411), ""))</f>
        <v/>
      </c>
      <c r="E411" s="21" t="str">
        <f>IF($N$1="Piping", IF(ISBLANK(Piping!E411), "", Piping!E411), IF($N$1="Vessels", IF(ISBLANK(Vessels!E411), "", Vessels!E411), ""))</f>
        <v/>
      </c>
      <c r="F411" s="21" t="str">
        <f>IF($N$1="Piping", IF(ISBLANK(Piping!F411), "", Piping!F411), IF($N$1="Vessels", IF(ISBLANK(Vessels!F411), "", Vessels!F411), ""))</f>
        <v/>
      </c>
      <c r="G411" s="21">
        <f>IF($N$1="Piping", IF(ISBLANK(Piping!G411), "", Piping!G411), IF($N$1="Vessels", IF(ISBLANK(Vessels!G411), "", Vessels!G411), ""))</f>
        <v>0</v>
      </c>
      <c r="H411" s="21" t="str">
        <f>IF($N$1="Piping", IF(ISBLANK(Piping!H411), "", Piping!H411), IF($N$1="Vessels", IF(ISBLANK(Vessels!H411), "", Vessels!H411), ""))</f>
        <v/>
      </c>
      <c r="I411" s="21" t="str">
        <f>IF($N$1="Piping", IF(ISBLANK(Piping!I411), "", Piping!I411), IF($N$1="Vessels", IF(ISBLANK(Vessels!I411), "", Vessels!I411), ""))</f>
        <v/>
      </c>
      <c r="J411" s="21" t="str">
        <f>IF($N$1="Piping", IF(ISBLANK(Piping!J411), "", Piping!J411), IF($N$1="Vessels", IF(ISBLANK(Vessels!J411), "", Vessels!J411), ""))</f>
        <v/>
      </c>
      <c r="K411" s="21" t="str">
        <f>IF($N$1="Piping", IF(ISBLANK(Piping!K411), "", Piping!K411), IF($N$1="Vessels", IF(ISBLANK(Vessels!K411), "", Vessels!K411), ""))</f>
        <v/>
      </c>
      <c r="L411" s="21" t="str">
        <f>IF($N$1="Piping", IF(ISBLANK(Piping!L411), "", Piping!L411), IF($N$1="Vessels", IF(ISBLANK(Vessels!L411), "", Vessels!L411), ""))</f>
        <v/>
      </c>
      <c r="M411" s="21"/>
      <c r="N411" s="21"/>
      <c r="O411" s="21"/>
      <c r="P411" s="21"/>
      <c r="Q411" s="21" t="str">
        <f>IF($N$1="Piping", IF(ISBLANK(Piping!T411), "", Piping!T411), IF($N$1="Vessels", IF(ISBLANK(Vessels!T411), "", Vessels!T411), ""))</f>
        <v/>
      </c>
      <c r="R411" s="51" t="str">
        <f>IF($N$1="Piping", IF(ISBLANK(Piping!U411), "", Piping!U411), IF($N$1="Vessels", IF(ISBLANK(Vessels!U411), "", Vessels!U411), ""))</f>
        <v/>
      </c>
      <c r="S411" s="118" t="str">
        <f>IF(B411&lt;&gt;"",IF($N$1="Piping", IF(ISBLANK(Piping!$J$3), "", Piping!$J$3), IF($N$1="Vessels", IF(ISBLANK(Vessels!$J$3), "", Vessels!$J$3), "")),"")</f>
        <v/>
      </c>
      <c r="T411" s="37"/>
      <c r="U411" s="37"/>
      <c r="V411" s="37"/>
      <c r="W411" s="37"/>
      <c r="X411" s="37"/>
      <c r="Y411" s="37"/>
      <c r="Z411" s="37"/>
    </row>
    <row r="412" spans="1:26" ht="15.75" customHeight="1" x14ac:dyDescent="0.3">
      <c r="A412" s="22">
        <f>IF($N$1="Piping", IF(ISBLANK(Piping!A412), "", Piping!A412), IF($N$1="Vessels", IF(ISBLANK(Vessels!A412), "", Vessels!A412), ""))</f>
        <v>102.3</v>
      </c>
      <c r="B412" s="21" t="str">
        <f>IF($N$1="Piping", IF(ISBLANK(Piping!B412), "", Piping!B412), IF($N$1="Vessels", IF(ISBLANK(Vessels!B412), "", Vessels!B412), ""))</f>
        <v/>
      </c>
      <c r="C412" s="21" t="str">
        <f>IF($N$1="Piping", IF(ISBLANK(Piping!C412), "", Piping!C412), IF($N$1="Vessels", IF(ISBLANK(Vessels!C412), "", Vessels!C412), ""))</f>
        <v>Piping</v>
      </c>
      <c r="D412" s="21" t="str">
        <f>IF($N$1="Piping", IF(ISBLANK(Piping!D412), "", Piping!D412), IF($N$1="Vessels", IF(ISBLANK(Vessels!D412), "", Vessels!D412), ""))</f>
        <v/>
      </c>
      <c r="E412" s="21" t="str">
        <f>IF($N$1="Piping", IF(ISBLANK(Piping!E412), "", Piping!E412), IF($N$1="Vessels", IF(ISBLANK(Vessels!E412), "", Vessels!E412), ""))</f>
        <v/>
      </c>
      <c r="F412" s="21" t="str">
        <f>IF($N$1="Piping", IF(ISBLANK(Piping!F412), "", Piping!F412), IF($N$1="Vessels", IF(ISBLANK(Vessels!F412), "", Vessels!F412), ""))</f>
        <v/>
      </c>
      <c r="G412" s="21">
        <f>IF($N$1="Piping", IF(ISBLANK(Piping!G412), "", Piping!G412), IF($N$1="Vessels", IF(ISBLANK(Vessels!G412), "", Vessels!G412), ""))</f>
        <v>0</v>
      </c>
      <c r="H412" s="21" t="str">
        <f>IF($N$1="Piping", IF(ISBLANK(Piping!H412), "", Piping!H412), IF($N$1="Vessels", IF(ISBLANK(Vessels!H412), "", Vessels!H412), ""))</f>
        <v/>
      </c>
      <c r="I412" s="21" t="str">
        <f>IF($N$1="Piping", IF(ISBLANK(Piping!I412), "", Piping!I412), IF($N$1="Vessels", IF(ISBLANK(Vessels!I412), "", Vessels!I412), ""))</f>
        <v/>
      </c>
      <c r="J412" s="21" t="str">
        <f>IF($N$1="Piping", IF(ISBLANK(Piping!J412), "", Piping!J412), IF($N$1="Vessels", IF(ISBLANK(Vessels!J412), "", Vessels!J412), ""))</f>
        <v/>
      </c>
      <c r="K412" s="21" t="str">
        <f>IF($N$1="Piping", IF(ISBLANK(Piping!K412), "", Piping!K412), IF($N$1="Vessels", IF(ISBLANK(Vessels!K412), "", Vessels!K412), ""))</f>
        <v/>
      </c>
      <c r="L412" s="21" t="str">
        <f>IF($N$1="Piping", IF(ISBLANK(Piping!L412), "", Piping!L412), IF($N$1="Vessels", IF(ISBLANK(Vessels!L412), "", Vessels!L412), ""))</f>
        <v/>
      </c>
      <c r="M412" s="21"/>
      <c r="N412" s="21"/>
      <c r="O412" s="21"/>
      <c r="P412" s="21"/>
      <c r="Q412" s="21" t="str">
        <f>IF($N$1="Piping", IF(ISBLANK(Piping!T412), "", Piping!T412), IF($N$1="Vessels", IF(ISBLANK(Vessels!T412), "", Vessels!T412), ""))</f>
        <v/>
      </c>
      <c r="R412" s="51" t="str">
        <f>IF($N$1="Piping", IF(ISBLANK(Piping!U412), "", Piping!U412), IF($N$1="Vessels", IF(ISBLANK(Vessels!U412), "", Vessels!U412), ""))</f>
        <v/>
      </c>
      <c r="S412" s="118" t="str">
        <f>IF(B412&lt;&gt;"",IF($N$1="Piping", IF(ISBLANK(Piping!$J$3), "", Piping!$J$3), IF($N$1="Vessels", IF(ISBLANK(Vessels!$J$3), "", Vessels!$J$3), "")),"")</f>
        <v/>
      </c>
      <c r="T412" s="37"/>
      <c r="U412" s="37"/>
      <c r="V412" s="37"/>
      <c r="W412" s="37"/>
      <c r="X412" s="37"/>
      <c r="Y412" s="37"/>
      <c r="Z412" s="37"/>
    </row>
    <row r="413" spans="1:26" ht="15.75" customHeight="1" x14ac:dyDescent="0.3">
      <c r="A413" s="22">
        <f>IF($N$1="Piping", IF(ISBLANK(Piping!A413), "", Piping!A413), IF($N$1="Vessels", IF(ISBLANK(Vessels!A413), "", Vessels!A413), ""))</f>
        <v>102.4</v>
      </c>
      <c r="B413" s="21" t="str">
        <f>IF($N$1="Piping", IF(ISBLANK(Piping!B413), "", Piping!B413), IF($N$1="Vessels", IF(ISBLANK(Vessels!B413), "", Vessels!B413), ""))</f>
        <v/>
      </c>
      <c r="C413" s="21" t="str">
        <f>IF($N$1="Piping", IF(ISBLANK(Piping!C413), "", Piping!C413), IF($N$1="Vessels", IF(ISBLANK(Vessels!C413), "", Vessels!C413), ""))</f>
        <v>Piping</v>
      </c>
      <c r="D413" s="21" t="str">
        <f>IF($N$1="Piping", IF(ISBLANK(Piping!D413), "", Piping!D413), IF($N$1="Vessels", IF(ISBLANK(Vessels!D413), "", Vessels!D413), ""))</f>
        <v/>
      </c>
      <c r="E413" s="21" t="str">
        <f>IF($N$1="Piping", IF(ISBLANK(Piping!E413), "", Piping!E413), IF($N$1="Vessels", IF(ISBLANK(Vessels!E413), "", Vessels!E413), ""))</f>
        <v/>
      </c>
      <c r="F413" s="21" t="str">
        <f>IF($N$1="Piping", IF(ISBLANK(Piping!F413), "", Piping!F413), IF($N$1="Vessels", IF(ISBLANK(Vessels!F413), "", Vessels!F413), ""))</f>
        <v/>
      </c>
      <c r="G413" s="21">
        <f>IF($N$1="Piping", IF(ISBLANK(Piping!G413), "", Piping!G413), IF($N$1="Vessels", IF(ISBLANK(Vessels!G413), "", Vessels!G413), ""))</f>
        <v>0</v>
      </c>
      <c r="H413" s="21" t="str">
        <f>IF($N$1="Piping", IF(ISBLANK(Piping!H413), "", Piping!H413), IF($N$1="Vessels", IF(ISBLANK(Vessels!H413), "", Vessels!H413), ""))</f>
        <v/>
      </c>
      <c r="I413" s="21" t="str">
        <f>IF($N$1="Piping", IF(ISBLANK(Piping!I413), "", Piping!I413), IF($N$1="Vessels", IF(ISBLANK(Vessels!I413), "", Vessels!I413), ""))</f>
        <v/>
      </c>
      <c r="J413" s="21" t="str">
        <f>IF($N$1="Piping", IF(ISBLANK(Piping!J413), "", Piping!J413), IF($N$1="Vessels", IF(ISBLANK(Vessels!J413), "", Vessels!J413), ""))</f>
        <v/>
      </c>
      <c r="K413" s="21" t="str">
        <f>IF($N$1="Piping", IF(ISBLANK(Piping!K413), "", Piping!K413), IF($N$1="Vessels", IF(ISBLANK(Vessels!K413), "", Vessels!K413), ""))</f>
        <v/>
      </c>
      <c r="L413" s="21" t="str">
        <f>IF($N$1="Piping", IF(ISBLANK(Piping!L413), "", Piping!L413), IF($N$1="Vessels", IF(ISBLANK(Vessels!L413), "", Vessels!L413), ""))</f>
        <v/>
      </c>
      <c r="M413" s="21"/>
      <c r="N413" s="21"/>
      <c r="O413" s="21"/>
      <c r="P413" s="21"/>
      <c r="Q413" s="21" t="str">
        <f>IF($N$1="Piping", IF(ISBLANK(Piping!T413), "", Piping!T413), IF($N$1="Vessels", IF(ISBLANK(Vessels!T413), "", Vessels!T413), ""))</f>
        <v/>
      </c>
      <c r="R413" s="51" t="str">
        <f>IF($N$1="Piping", IF(ISBLANK(Piping!U413), "", Piping!U413), IF($N$1="Vessels", IF(ISBLANK(Vessels!U413), "", Vessels!U413), ""))</f>
        <v/>
      </c>
      <c r="S413" s="118" t="str">
        <f>IF(B413&lt;&gt;"",IF($N$1="Piping", IF(ISBLANK(Piping!$J$3), "", Piping!$J$3), IF($N$1="Vessels", IF(ISBLANK(Vessels!$J$3), "", Vessels!$J$3), "")),"")</f>
        <v/>
      </c>
      <c r="T413" s="37"/>
      <c r="U413" s="37"/>
      <c r="V413" s="37"/>
      <c r="W413" s="37"/>
      <c r="X413" s="37"/>
      <c r="Y413" s="37"/>
      <c r="Z413" s="37"/>
    </row>
    <row r="414" spans="1:26" ht="15.75" customHeight="1" x14ac:dyDescent="0.3">
      <c r="A414" s="22">
        <f>IF($N$1="Piping", IF(ISBLANK(Piping!A414), "", Piping!A414), IF($N$1="Vessels", IF(ISBLANK(Vessels!A414), "", Vessels!A414), ""))</f>
        <v>103.1</v>
      </c>
      <c r="B414" s="21" t="str">
        <f>IF($N$1="Piping", IF(ISBLANK(Piping!B414), "", Piping!B414), IF($N$1="Vessels", IF(ISBLANK(Vessels!B414), "", Vessels!B414), ""))</f>
        <v/>
      </c>
      <c r="C414" s="21" t="str">
        <f>IF($N$1="Piping", IF(ISBLANK(Piping!C414), "", Piping!C414), IF($N$1="Vessels", IF(ISBLANK(Vessels!C414), "", Vessels!C414), ""))</f>
        <v>Piping</v>
      </c>
      <c r="D414" s="21" t="str">
        <f>IF($N$1="Piping", IF(ISBLANK(Piping!D414), "", Piping!D414), IF($N$1="Vessels", IF(ISBLANK(Vessels!D414), "", Vessels!D414), ""))</f>
        <v/>
      </c>
      <c r="E414" s="21" t="str">
        <f>IF($N$1="Piping", IF(ISBLANK(Piping!E414), "", Piping!E414), IF($N$1="Vessels", IF(ISBLANK(Vessels!E414), "", Vessels!E414), ""))</f>
        <v/>
      </c>
      <c r="F414" s="21" t="str">
        <f>IF($N$1="Piping", IF(ISBLANK(Piping!F414), "", Piping!F414), IF($N$1="Vessels", IF(ISBLANK(Vessels!F414), "", Vessels!F414), ""))</f>
        <v/>
      </c>
      <c r="G414" s="21">
        <f>IF($N$1="Piping", IF(ISBLANK(Piping!G414), "", Piping!G414), IF($N$1="Vessels", IF(ISBLANK(Vessels!G414), "", Vessels!G414), ""))</f>
        <v>0</v>
      </c>
      <c r="H414" s="21" t="str">
        <f>IF($N$1="Piping", IF(ISBLANK(Piping!H414), "", Piping!H414), IF($N$1="Vessels", IF(ISBLANK(Vessels!H414), "", Vessels!H414), ""))</f>
        <v/>
      </c>
      <c r="I414" s="21" t="str">
        <f>IF($N$1="Piping", IF(ISBLANK(Piping!I414), "", Piping!I414), IF($N$1="Vessels", IF(ISBLANK(Vessels!I414), "", Vessels!I414), ""))</f>
        <v/>
      </c>
      <c r="J414" s="21" t="str">
        <f>IF($N$1="Piping", IF(ISBLANK(Piping!J414), "", Piping!J414), IF($N$1="Vessels", IF(ISBLANK(Vessels!J414), "", Vessels!J414), ""))</f>
        <v/>
      </c>
      <c r="K414" s="21" t="str">
        <f>IF($N$1="Piping", IF(ISBLANK(Piping!K414), "", Piping!K414), IF($N$1="Vessels", IF(ISBLANK(Vessels!K414), "", Vessels!K414), ""))</f>
        <v/>
      </c>
      <c r="L414" s="21" t="str">
        <f>IF($N$1="Piping", IF(ISBLANK(Piping!L414), "", Piping!L414), IF($N$1="Vessels", IF(ISBLANK(Vessels!L414), "", Vessels!L414), ""))</f>
        <v/>
      </c>
      <c r="M414" s="21"/>
      <c r="N414" s="21"/>
      <c r="O414" s="21"/>
      <c r="P414" s="21"/>
      <c r="Q414" s="21" t="str">
        <f>IF($N$1="Piping", IF(ISBLANK(Piping!T414), "", Piping!T414), IF($N$1="Vessels", IF(ISBLANK(Vessels!T414), "", Vessels!T414), ""))</f>
        <v/>
      </c>
      <c r="R414" s="51" t="str">
        <f>IF($N$1="Piping", IF(ISBLANK(Piping!U414), "", Piping!U414), IF($N$1="Vessels", IF(ISBLANK(Vessels!U414), "", Vessels!U414), ""))</f>
        <v/>
      </c>
      <c r="S414" s="118" t="str">
        <f>IF(B414&lt;&gt;"",IF($N$1="Piping", IF(ISBLANK(Piping!$J$3), "", Piping!$J$3), IF($N$1="Vessels", IF(ISBLANK(Vessels!$J$3), "", Vessels!$J$3), "")),"")</f>
        <v/>
      </c>
      <c r="T414" s="37"/>
      <c r="U414" s="37"/>
      <c r="V414" s="37"/>
      <c r="W414" s="37"/>
      <c r="X414" s="37"/>
      <c r="Y414" s="37"/>
      <c r="Z414" s="37"/>
    </row>
    <row r="415" spans="1:26" ht="15.75" customHeight="1" x14ac:dyDescent="0.3">
      <c r="A415" s="22">
        <f>IF($N$1="Piping", IF(ISBLANK(Piping!A415), "", Piping!A415), IF($N$1="Vessels", IF(ISBLANK(Vessels!A415), "", Vessels!A415), ""))</f>
        <v>103.2</v>
      </c>
      <c r="B415" s="21" t="str">
        <f>IF($N$1="Piping", IF(ISBLANK(Piping!B415), "", Piping!B415), IF($N$1="Vessels", IF(ISBLANK(Vessels!B415), "", Vessels!B415), ""))</f>
        <v/>
      </c>
      <c r="C415" s="21" t="str">
        <f>IF($N$1="Piping", IF(ISBLANK(Piping!C415), "", Piping!C415), IF($N$1="Vessels", IF(ISBLANK(Vessels!C415), "", Vessels!C415), ""))</f>
        <v>Piping</v>
      </c>
      <c r="D415" s="21" t="str">
        <f>IF($N$1="Piping", IF(ISBLANK(Piping!D415), "", Piping!D415), IF($N$1="Vessels", IF(ISBLANK(Vessels!D415), "", Vessels!D415), ""))</f>
        <v/>
      </c>
      <c r="E415" s="21" t="str">
        <f>IF($N$1="Piping", IF(ISBLANK(Piping!E415), "", Piping!E415), IF($N$1="Vessels", IF(ISBLANK(Vessels!E415), "", Vessels!E415), ""))</f>
        <v/>
      </c>
      <c r="F415" s="21" t="str">
        <f>IF($N$1="Piping", IF(ISBLANK(Piping!F415), "", Piping!F415), IF($N$1="Vessels", IF(ISBLANK(Vessels!F415), "", Vessels!F415), ""))</f>
        <v/>
      </c>
      <c r="G415" s="21">
        <f>IF($N$1="Piping", IF(ISBLANK(Piping!G415), "", Piping!G415), IF($N$1="Vessels", IF(ISBLANK(Vessels!G415), "", Vessels!G415), ""))</f>
        <v>0</v>
      </c>
      <c r="H415" s="21" t="str">
        <f>IF($N$1="Piping", IF(ISBLANK(Piping!H415), "", Piping!H415), IF($N$1="Vessels", IF(ISBLANK(Vessels!H415), "", Vessels!H415), ""))</f>
        <v/>
      </c>
      <c r="I415" s="21" t="str">
        <f>IF($N$1="Piping", IF(ISBLANK(Piping!I415), "", Piping!I415), IF($N$1="Vessels", IF(ISBLANK(Vessels!I415), "", Vessels!I415), ""))</f>
        <v/>
      </c>
      <c r="J415" s="21" t="str">
        <f>IF($N$1="Piping", IF(ISBLANK(Piping!J415), "", Piping!J415), IF($N$1="Vessels", IF(ISBLANK(Vessels!J415), "", Vessels!J415), ""))</f>
        <v/>
      </c>
      <c r="K415" s="21" t="str">
        <f>IF($N$1="Piping", IF(ISBLANK(Piping!K415), "", Piping!K415), IF($N$1="Vessels", IF(ISBLANK(Vessels!K415), "", Vessels!K415), ""))</f>
        <v/>
      </c>
      <c r="L415" s="21" t="str">
        <f>IF($N$1="Piping", IF(ISBLANK(Piping!L415), "", Piping!L415), IF($N$1="Vessels", IF(ISBLANK(Vessels!L415), "", Vessels!L415), ""))</f>
        <v/>
      </c>
      <c r="M415" s="21"/>
      <c r="N415" s="21"/>
      <c r="O415" s="21"/>
      <c r="P415" s="21"/>
      <c r="Q415" s="21" t="str">
        <f>IF($N$1="Piping", IF(ISBLANK(Piping!T415), "", Piping!T415), IF($N$1="Vessels", IF(ISBLANK(Vessels!T415), "", Vessels!T415), ""))</f>
        <v/>
      </c>
      <c r="R415" s="51" t="str">
        <f>IF($N$1="Piping", IF(ISBLANK(Piping!U415), "", Piping!U415), IF($N$1="Vessels", IF(ISBLANK(Vessels!U415), "", Vessels!U415), ""))</f>
        <v/>
      </c>
      <c r="S415" s="118" t="str">
        <f>IF(B415&lt;&gt;"",IF($N$1="Piping", IF(ISBLANK(Piping!$J$3), "", Piping!$J$3), IF($N$1="Vessels", IF(ISBLANK(Vessels!$J$3), "", Vessels!$J$3), "")),"")</f>
        <v/>
      </c>
      <c r="T415" s="37"/>
      <c r="U415" s="37"/>
      <c r="V415" s="37"/>
      <c r="W415" s="37"/>
      <c r="X415" s="37"/>
      <c r="Y415" s="37"/>
      <c r="Z415" s="37"/>
    </row>
    <row r="416" spans="1:26" ht="15.75" customHeight="1" x14ac:dyDescent="0.3">
      <c r="A416" s="22">
        <f>IF($N$1="Piping", IF(ISBLANK(Piping!A416), "", Piping!A416), IF($N$1="Vessels", IF(ISBLANK(Vessels!A416), "", Vessels!A416), ""))</f>
        <v>103.3</v>
      </c>
      <c r="B416" s="21" t="str">
        <f>IF($N$1="Piping", IF(ISBLANK(Piping!B416), "", Piping!B416), IF($N$1="Vessels", IF(ISBLANK(Vessels!B416), "", Vessels!B416), ""))</f>
        <v/>
      </c>
      <c r="C416" s="21" t="str">
        <f>IF($N$1="Piping", IF(ISBLANK(Piping!C416), "", Piping!C416), IF($N$1="Vessels", IF(ISBLANK(Vessels!C416), "", Vessels!C416), ""))</f>
        <v>Piping</v>
      </c>
      <c r="D416" s="21" t="str">
        <f>IF($N$1="Piping", IF(ISBLANK(Piping!D416), "", Piping!D416), IF($N$1="Vessels", IF(ISBLANK(Vessels!D416), "", Vessels!D416), ""))</f>
        <v/>
      </c>
      <c r="E416" s="21" t="str">
        <f>IF($N$1="Piping", IF(ISBLANK(Piping!E416), "", Piping!E416), IF($N$1="Vessels", IF(ISBLANK(Vessels!E416), "", Vessels!E416), ""))</f>
        <v/>
      </c>
      <c r="F416" s="21" t="str">
        <f>IF($N$1="Piping", IF(ISBLANK(Piping!F416), "", Piping!F416), IF($N$1="Vessels", IF(ISBLANK(Vessels!F416), "", Vessels!F416), ""))</f>
        <v/>
      </c>
      <c r="G416" s="21">
        <f>IF($N$1="Piping", IF(ISBLANK(Piping!G416), "", Piping!G416), IF($N$1="Vessels", IF(ISBLANK(Vessels!G416), "", Vessels!G416), ""))</f>
        <v>0</v>
      </c>
      <c r="H416" s="21" t="str">
        <f>IF($N$1="Piping", IF(ISBLANK(Piping!H416), "", Piping!H416), IF($N$1="Vessels", IF(ISBLANK(Vessels!H416), "", Vessels!H416), ""))</f>
        <v/>
      </c>
      <c r="I416" s="21" t="str">
        <f>IF($N$1="Piping", IF(ISBLANK(Piping!I416), "", Piping!I416), IF($N$1="Vessels", IF(ISBLANK(Vessels!I416), "", Vessels!I416), ""))</f>
        <v/>
      </c>
      <c r="J416" s="21" t="str">
        <f>IF($N$1="Piping", IF(ISBLANK(Piping!J416), "", Piping!J416), IF($N$1="Vessels", IF(ISBLANK(Vessels!J416), "", Vessels!J416), ""))</f>
        <v/>
      </c>
      <c r="K416" s="21" t="str">
        <f>IF($N$1="Piping", IF(ISBLANK(Piping!K416), "", Piping!K416), IF($N$1="Vessels", IF(ISBLANK(Vessels!K416), "", Vessels!K416), ""))</f>
        <v/>
      </c>
      <c r="L416" s="21" t="str">
        <f>IF($N$1="Piping", IF(ISBLANK(Piping!L416), "", Piping!L416), IF($N$1="Vessels", IF(ISBLANK(Vessels!L416), "", Vessels!L416), ""))</f>
        <v/>
      </c>
      <c r="M416" s="21"/>
      <c r="N416" s="21"/>
      <c r="O416" s="21"/>
      <c r="P416" s="21"/>
      <c r="Q416" s="21" t="str">
        <f>IF($N$1="Piping", IF(ISBLANK(Piping!T416), "", Piping!T416), IF($N$1="Vessels", IF(ISBLANK(Vessels!T416), "", Vessels!T416), ""))</f>
        <v/>
      </c>
      <c r="R416" s="51" t="str">
        <f>IF($N$1="Piping", IF(ISBLANK(Piping!U416), "", Piping!U416), IF($N$1="Vessels", IF(ISBLANK(Vessels!U416), "", Vessels!U416), ""))</f>
        <v/>
      </c>
      <c r="S416" s="118" t="str">
        <f>IF(B416&lt;&gt;"",IF($N$1="Piping", IF(ISBLANK(Piping!$J$3), "", Piping!$J$3), IF($N$1="Vessels", IF(ISBLANK(Vessels!$J$3), "", Vessels!$J$3), "")),"")</f>
        <v/>
      </c>
      <c r="T416" s="37"/>
      <c r="U416" s="37"/>
      <c r="V416" s="37"/>
      <c r="W416" s="37"/>
      <c r="X416" s="37"/>
      <c r="Y416" s="37"/>
      <c r="Z416" s="37"/>
    </row>
    <row r="417" spans="1:26" ht="15.75" customHeight="1" x14ac:dyDescent="0.3">
      <c r="A417" s="22">
        <f>IF($N$1="Piping", IF(ISBLANK(Piping!A417), "", Piping!A417), IF($N$1="Vessels", IF(ISBLANK(Vessels!A417), "", Vessels!A417), ""))</f>
        <v>103.4</v>
      </c>
      <c r="B417" s="21" t="str">
        <f>IF($N$1="Piping", IF(ISBLANK(Piping!B417), "", Piping!B417), IF($N$1="Vessels", IF(ISBLANK(Vessels!B417), "", Vessels!B417), ""))</f>
        <v/>
      </c>
      <c r="C417" s="21" t="str">
        <f>IF($N$1="Piping", IF(ISBLANK(Piping!C417), "", Piping!C417), IF($N$1="Vessels", IF(ISBLANK(Vessels!C417), "", Vessels!C417), ""))</f>
        <v>Piping</v>
      </c>
      <c r="D417" s="21" t="str">
        <f>IF($N$1="Piping", IF(ISBLANK(Piping!D417), "", Piping!D417), IF($N$1="Vessels", IF(ISBLANK(Vessels!D417), "", Vessels!D417), ""))</f>
        <v/>
      </c>
      <c r="E417" s="21" t="str">
        <f>IF($N$1="Piping", IF(ISBLANK(Piping!E417), "", Piping!E417), IF($N$1="Vessels", IF(ISBLANK(Vessels!E417), "", Vessels!E417), ""))</f>
        <v/>
      </c>
      <c r="F417" s="21" t="str">
        <f>IF($N$1="Piping", IF(ISBLANK(Piping!F417), "", Piping!F417), IF($N$1="Vessels", IF(ISBLANK(Vessels!F417), "", Vessels!F417), ""))</f>
        <v/>
      </c>
      <c r="G417" s="21">
        <f>IF($N$1="Piping", IF(ISBLANK(Piping!G417), "", Piping!G417), IF($N$1="Vessels", IF(ISBLANK(Vessels!G417), "", Vessels!G417), ""))</f>
        <v>0</v>
      </c>
      <c r="H417" s="21" t="str">
        <f>IF($N$1="Piping", IF(ISBLANK(Piping!H417), "", Piping!H417), IF($N$1="Vessels", IF(ISBLANK(Vessels!H417), "", Vessels!H417), ""))</f>
        <v/>
      </c>
      <c r="I417" s="21" t="str">
        <f>IF($N$1="Piping", IF(ISBLANK(Piping!I417), "", Piping!I417), IF($N$1="Vessels", IF(ISBLANK(Vessels!I417), "", Vessels!I417), ""))</f>
        <v/>
      </c>
      <c r="J417" s="21" t="str">
        <f>IF($N$1="Piping", IF(ISBLANK(Piping!J417), "", Piping!J417), IF($N$1="Vessels", IF(ISBLANK(Vessels!J417), "", Vessels!J417), ""))</f>
        <v/>
      </c>
      <c r="K417" s="21" t="str">
        <f>IF($N$1="Piping", IF(ISBLANK(Piping!K417), "", Piping!K417), IF($N$1="Vessels", IF(ISBLANK(Vessels!K417), "", Vessels!K417), ""))</f>
        <v/>
      </c>
      <c r="L417" s="21" t="str">
        <f>IF($N$1="Piping", IF(ISBLANK(Piping!L417), "", Piping!L417), IF($N$1="Vessels", IF(ISBLANK(Vessels!L417), "", Vessels!L417), ""))</f>
        <v/>
      </c>
      <c r="M417" s="21"/>
      <c r="N417" s="21"/>
      <c r="O417" s="21"/>
      <c r="P417" s="21"/>
      <c r="Q417" s="21" t="str">
        <f>IF($N$1="Piping", IF(ISBLANK(Piping!T417), "", Piping!T417), IF($N$1="Vessels", IF(ISBLANK(Vessels!T417), "", Vessels!T417), ""))</f>
        <v/>
      </c>
      <c r="R417" s="51" t="str">
        <f>IF($N$1="Piping", IF(ISBLANK(Piping!U417), "", Piping!U417), IF($N$1="Vessels", IF(ISBLANK(Vessels!U417), "", Vessels!U417), ""))</f>
        <v/>
      </c>
      <c r="S417" s="118" t="str">
        <f>IF(B417&lt;&gt;"",IF($N$1="Piping", IF(ISBLANK(Piping!$J$3), "", Piping!$J$3), IF($N$1="Vessels", IF(ISBLANK(Vessels!$J$3), "", Vessels!$J$3), "")),"")</f>
        <v/>
      </c>
      <c r="T417" s="37"/>
      <c r="U417" s="37"/>
      <c r="V417" s="37"/>
      <c r="W417" s="37"/>
      <c r="X417" s="37"/>
      <c r="Y417" s="37"/>
      <c r="Z417" s="37"/>
    </row>
    <row r="418" spans="1:26" ht="15.75" customHeight="1" x14ac:dyDescent="0.3">
      <c r="A418" s="22">
        <f>IF($N$1="Piping", IF(ISBLANK(Piping!A418), "", Piping!A418), IF($N$1="Vessels", IF(ISBLANK(Vessels!A418), "", Vessels!A418), ""))</f>
        <v>104.1</v>
      </c>
      <c r="B418" s="21" t="str">
        <f>IF($N$1="Piping", IF(ISBLANK(Piping!B418), "", Piping!B418), IF($N$1="Vessels", IF(ISBLANK(Vessels!B418), "", Vessels!B418), ""))</f>
        <v/>
      </c>
      <c r="C418" s="21" t="str">
        <f>IF($N$1="Piping", IF(ISBLANK(Piping!C418), "", Piping!C418), IF($N$1="Vessels", IF(ISBLANK(Vessels!C418), "", Vessels!C418), ""))</f>
        <v>Piping</v>
      </c>
      <c r="D418" s="21" t="str">
        <f>IF($N$1="Piping", IF(ISBLANK(Piping!D418), "", Piping!D418), IF($N$1="Vessels", IF(ISBLANK(Vessels!D418), "", Vessels!D418), ""))</f>
        <v/>
      </c>
      <c r="E418" s="21" t="str">
        <f>IF($N$1="Piping", IF(ISBLANK(Piping!E418), "", Piping!E418), IF($N$1="Vessels", IF(ISBLANK(Vessels!E418), "", Vessels!E418), ""))</f>
        <v/>
      </c>
      <c r="F418" s="21" t="str">
        <f>IF($N$1="Piping", IF(ISBLANK(Piping!F418), "", Piping!F418), IF($N$1="Vessels", IF(ISBLANK(Vessels!F418), "", Vessels!F418), ""))</f>
        <v/>
      </c>
      <c r="G418" s="21">
        <f>IF($N$1="Piping", IF(ISBLANK(Piping!G418), "", Piping!G418), IF($N$1="Vessels", IF(ISBLANK(Vessels!G418), "", Vessels!G418), ""))</f>
        <v>0</v>
      </c>
      <c r="H418" s="21" t="str">
        <f>IF($N$1="Piping", IF(ISBLANK(Piping!H418), "", Piping!H418), IF($N$1="Vessels", IF(ISBLANK(Vessels!H418), "", Vessels!H418), ""))</f>
        <v/>
      </c>
      <c r="I418" s="21" t="str">
        <f>IF($N$1="Piping", IF(ISBLANK(Piping!I418), "", Piping!I418), IF($N$1="Vessels", IF(ISBLANK(Vessels!I418), "", Vessels!I418), ""))</f>
        <v/>
      </c>
      <c r="J418" s="21" t="str">
        <f>IF($N$1="Piping", IF(ISBLANK(Piping!J418), "", Piping!J418), IF($N$1="Vessels", IF(ISBLANK(Vessels!J418), "", Vessels!J418), ""))</f>
        <v/>
      </c>
      <c r="K418" s="21" t="str">
        <f>IF($N$1="Piping", IF(ISBLANK(Piping!K418), "", Piping!K418), IF($N$1="Vessels", IF(ISBLANK(Vessels!K418), "", Vessels!K418), ""))</f>
        <v/>
      </c>
      <c r="L418" s="21" t="str">
        <f>IF($N$1="Piping", IF(ISBLANK(Piping!L418), "", Piping!L418), IF($N$1="Vessels", IF(ISBLANK(Vessels!L418), "", Vessels!L418), ""))</f>
        <v/>
      </c>
      <c r="M418" s="21"/>
      <c r="N418" s="21"/>
      <c r="O418" s="21"/>
      <c r="P418" s="21"/>
      <c r="Q418" s="21" t="str">
        <f>IF($N$1="Piping", IF(ISBLANK(Piping!T418), "", Piping!T418), IF($N$1="Vessels", IF(ISBLANK(Vessels!T418), "", Vessels!T418), ""))</f>
        <v/>
      </c>
      <c r="R418" s="51" t="str">
        <f>IF($N$1="Piping", IF(ISBLANK(Piping!U418), "", Piping!U418), IF($N$1="Vessels", IF(ISBLANK(Vessels!U418), "", Vessels!U418), ""))</f>
        <v/>
      </c>
      <c r="S418" s="118" t="str">
        <f>IF(B418&lt;&gt;"",IF($N$1="Piping", IF(ISBLANK(Piping!$J$3), "", Piping!$J$3), IF($N$1="Vessels", IF(ISBLANK(Vessels!$J$3), "", Vessels!$J$3), "")),"")</f>
        <v/>
      </c>
      <c r="T418" s="37"/>
      <c r="U418" s="37"/>
      <c r="V418" s="37"/>
      <c r="W418" s="37"/>
      <c r="X418" s="37"/>
      <c r="Y418" s="37"/>
      <c r="Z418" s="37"/>
    </row>
    <row r="419" spans="1:26" ht="15.75" customHeight="1" x14ac:dyDescent="0.3">
      <c r="A419" s="22">
        <f>IF($N$1="Piping", IF(ISBLANK(Piping!A419), "", Piping!A419), IF($N$1="Vessels", IF(ISBLANK(Vessels!A419), "", Vessels!A419), ""))</f>
        <v>104.2</v>
      </c>
      <c r="B419" s="21" t="str">
        <f>IF($N$1="Piping", IF(ISBLANK(Piping!B419), "", Piping!B419), IF($N$1="Vessels", IF(ISBLANK(Vessels!B419), "", Vessels!B419), ""))</f>
        <v/>
      </c>
      <c r="C419" s="21" t="str">
        <f>IF($N$1="Piping", IF(ISBLANK(Piping!C419), "", Piping!C419), IF($N$1="Vessels", IF(ISBLANK(Vessels!C419), "", Vessels!C419), ""))</f>
        <v>Piping</v>
      </c>
      <c r="D419" s="21" t="str">
        <f>IF($N$1="Piping", IF(ISBLANK(Piping!D419), "", Piping!D419), IF($N$1="Vessels", IF(ISBLANK(Vessels!D419), "", Vessels!D419), ""))</f>
        <v/>
      </c>
      <c r="E419" s="21" t="str">
        <f>IF($N$1="Piping", IF(ISBLANK(Piping!E419), "", Piping!E419), IF($N$1="Vessels", IF(ISBLANK(Vessels!E419), "", Vessels!E419), ""))</f>
        <v/>
      </c>
      <c r="F419" s="21" t="str">
        <f>IF($N$1="Piping", IF(ISBLANK(Piping!F419), "", Piping!F419), IF($N$1="Vessels", IF(ISBLANK(Vessels!F419), "", Vessels!F419), ""))</f>
        <v/>
      </c>
      <c r="G419" s="21">
        <f>IF($N$1="Piping", IF(ISBLANK(Piping!G419), "", Piping!G419), IF($N$1="Vessels", IF(ISBLANK(Vessels!G419), "", Vessels!G419), ""))</f>
        <v>0</v>
      </c>
      <c r="H419" s="21" t="str">
        <f>IF($N$1="Piping", IF(ISBLANK(Piping!H419), "", Piping!H419), IF($N$1="Vessels", IF(ISBLANK(Vessels!H419), "", Vessels!H419), ""))</f>
        <v/>
      </c>
      <c r="I419" s="21" t="str">
        <f>IF($N$1="Piping", IF(ISBLANK(Piping!I419), "", Piping!I419), IF($N$1="Vessels", IF(ISBLANK(Vessels!I419), "", Vessels!I419), ""))</f>
        <v/>
      </c>
      <c r="J419" s="21" t="str">
        <f>IF($N$1="Piping", IF(ISBLANK(Piping!J419), "", Piping!J419), IF($N$1="Vessels", IF(ISBLANK(Vessels!J419), "", Vessels!J419), ""))</f>
        <v/>
      </c>
      <c r="K419" s="21" t="str">
        <f>IF($N$1="Piping", IF(ISBLANK(Piping!K419), "", Piping!K419), IF($N$1="Vessels", IF(ISBLANK(Vessels!K419), "", Vessels!K419), ""))</f>
        <v/>
      </c>
      <c r="L419" s="21" t="str">
        <f>IF($N$1="Piping", IF(ISBLANK(Piping!L419), "", Piping!L419), IF($N$1="Vessels", IF(ISBLANK(Vessels!L419), "", Vessels!L419), ""))</f>
        <v/>
      </c>
      <c r="M419" s="21"/>
      <c r="N419" s="21"/>
      <c r="O419" s="21"/>
      <c r="P419" s="21"/>
      <c r="Q419" s="21" t="str">
        <f>IF($N$1="Piping", IF(ISBLANK(Piping!T419), "", Piping!T419), IF($N$1="Vessels", IF(ISBLANK(Vessels!T419), "", Vessels!T419), ""))</f>
        <v/>
      </c>
      <c r="R419" s="51" t="str">
        <f>IF($N$1="Piping", IF(ISBLANK(Piping!U419), "", Piping!U419), IF($N$1="Vessels", IF(ISBLANK(Vessels!U419), "", Vessels!U419), ""))</f>
        <v/>
      </c>
      <c r="S419" s="118" t="str">
        <f>IF(B419&lt;&gt;"",IF($N$1="Piping", IF(ISBLANK(Piping!$J$3), "", Piping!$J$3), IF($N$1="Vessels", IF(ISBLANK(Vessels!$J$3), "", Vessels!$J$3), "")),"")</f>
        <v/>
      </c>
      <c r="T419" s="37"/>
      <c r="U419" s="37"/>
      <c r="V419" s="37"/>
      <c r="W419" s="37"/>
      <c r="X419" s="37"/>
      <c r="Y419" s="37"/>
      <c r="Z419" s="37"/>
    </row>
    <row r="420" spans="1:26" ht="15.75" customHeight="1" x14ac:dyDescent="0.3">
      <c r="A420" s="22">
        <f>IF($N$1="Piping", IF(ISBLANK(Piping!A420), "", Piping!A420), IF($N$1="Vessels", IF(ISBLANK(Vessels!A420), "", Vessels!A420), ""))</f>
        <v>104.3</v>
      </c>
      <c r="B420" s="21" t="str">
        <f>IF($N$1="Piping", IF(ISBLANK(Piping!B420), "", Piping!B420), IF($N$1="Vessels", IF(ISBLANK(Vessels!B420), "", Vessels!B420), ""))</f>
        <v/>
      </c>
      <c r="C420" s="21" t="str">
        <f>IF($N$1="Piping", IF(ISBLANK(Piping!C420), "", Piping!C420), IF($N$1="Vessels", IF(ISBLANK(Vessels!C420), "", Vessels!C420), ""))</f>
        <v>Piping</v>
      </c>
      <c r="D420" s="21" t="str">
        <f>IF($N$1="Piping", IF(ISBLANK(Piping!D420), "", Piping!D420), IF($N$1="Vessels", IF(ISBLANK(Vessels!D420), "", Vessels!D420), ""))</f>
        <v/>
      </c>
      <c r="E420" s="21" t="str">
        <f>IF($N$1="Piping", IF(ISBLANK(Piping!E420), "", Piping!E420), IF($N$1="Vessels", IF(ISBLANK(Vessels!E420), "", Vessels!E420), ""))</f>
        <v/>
      </c>
      <c r="F420" s="21" t="str">
        <f>IF($N$1="Piping", IF(ISBLANK(Piping!F420), "", Piping!F420), IF($N$1="Vessels", IF(ISBLANK(Vessels!F420), "", Vessels!F420), ""))</f>
        <v/>
      </c>
      <c r="G420" s="21">
        <f>IF($N$1="Piping", IF(ISBLANK(Piping!G420), "", Piping!G420), IF($N$1="Vessels", IF(ISBLANK(Vessels!G420), "", Vessels!G420), ""))</f>
        <v>0</v>
      </c>
      <c r="H420" s="21" t="str">
        <f>IF($N$1="Piping", IF(ISBLANK(Piping!H420), "", Piping!H420), IF($N$1="Vessels", IF(ISBLANK(Vessels!H420), "", Vessels!H420), ""))</f>
        <v/>
      </c>
      <c r="I420" s="21" t="str">
        <f>IF($N$1="Piping", IF(ISBLANK(Piping!I420), "", Piping!I420), IF($N$1="Vessels", IF(ISBLANK(Vessels!I420), "", Vessels!I420), ""))</f>
        <v/>
      </c>
      <c r="J420" s="21" t="str">
        <f>IF($N$1="Piping", IF(ISBLANK(Piping!J420), "", Piping!J420), IF($N$1="Vessels", IF(ISBLANK(Vessels!J420), "", Vessels!J420), ""))</f>
        <v/>
      </c>
      <c r="K420" s="21" t="str">
        <f>IF($N$1="Piping", IF(ISBLANK(Piping!K420), "", Piping!K420), IF($N$1="Vessels", IF(ISBLANK(Vessels!K420), "", Vessels!K420), ""))</f>
        <v/>
      </c>
      <c r="L420" s="21" t="str">
        <f>IF($N$1="Piping", IF(ISBLANK(Piping!L420), "", Piping!L420), IF($N$1="Vessels", IF(ISBLANK(Vessels!L420), "", Vessels!L420), ""))</f>
        <v/>
      </c>
      <c r="M420" s="21"/>
      <c r="N420" s="21"/>
      <c r="O420" s="21"/>
      <c r="P420" s="21"/>
      <c r="Q420" s="21" t="str">
        <f>IF($N$1="Piping", IF(ISBLANK(Piping!T420), "", Piping!T420), IF($N$1="Vessels", IF(ISBLANK(Vessels!T420), "", Vessels!T420), ""))</f>
        <v/>
      </c>
      <c r="R420" s="51" t="str">
        <f>IF($N$1="Piping", IF(ISBLANK(Piping!U420), "", Piping!U420), IF($N$1="Vessels", IF(ISBLANK(Vessels!U420), "", Vessels!U420), ""))</f>
        <v/>
      </c>
      <c r="S420" s="118" t="str">
        <f>IF(B420&lt;&gt;"",IF($N$1="Piping", IF(ISBLANK(Piping!$J$3), "", Piping!$J$3), IF($N$1="Vessels", IF(ISBLANK(Vessels!$J$3), "", Vessels!$J$3), "")),"")</f>
        <v/>
      </c>
      <c r="T420" s="37"/>
      <c r="U420" s="37"/>
      <c r="V420" s="37"/>
      <c r="W420" s="37"/>
      <c r="X420" s="37"/>
      <c r="Y420" s="37"/>
      <c r="Z420" s="37"/>
    </row>
    <row r="421" spans="1:26" ht="15.75" customHeight="1" x14ac:dyDescent="0.3">
      <c r="A421" s="22">
        <f>IF($N$1="Piping", IF(ISBLANK(Piping!A421), "", Piping!A421), IF($N$1="Vessels", IF(ISBLANK(Vessels!A421), "", Vessels!A421), ""))</f>
        <v>104.4</v>
      </c>
      <c r="B421" s="21" t="str">
        <f>IF($N$1="Piping", IF(ISBLANK(Piping!B421), "", Piping!B421), IF($N$1="Vessels", IF(ISBLANK(Vessels!B421), "", Vessels!B421), ""))</f>
        <v/>
      </c>
      <c r="C421" s="21" t="str">
        <f>IF($N$1="Piping", IF(ISBLANK(Piping!C421), "", Piping!C421), IF($N$1="Vessels", IF(ISBLANK(Vessels!C421), "", Vessels!C421), ""))</f>
        <v>Piping</v>
      </c>
      <c r="D421" s="21" t="str">
        <f>IF($N$1="Piping", IF(ISBLANK(Piping!D421), "", Piping!D421), IF($N$1="Vessels", IF(ISBLANK(Vessels!D421), "", Vessels!D421), ""))</f>
        <v/>
      </c>
      <c r="E421" s="21" t="str">
        <f>IF($N$1="Piping", IF(ISBLANK(Piping!E421), "", Piping!E421), IF($N$1="Vessels", IF(ISBLANK(Vessels!E421), "", Vessels!E421), ""))</f>
        <v/>
      </c>
      <c r="F421" s="21" t="str">
        <f>IF($N$1="Piping", IF(ISBLANK(Piping!F421), "", Piping!F421), IF($N$1="Vessels", IF(ISBLANK(Vessels!F421), "", Vessels!F421), ""))</f>
        <v/>
      </c>
      <c r="G421" s="21">
        <f>IF($N$1="Piping", IF(ISBLANK(Piping!G421), "", Piping!G421), IF($N$1="Vessels", IF(ISBLANK(Vessels!G421), "", Vessels!G421), ""))</f>
        <v>0</v>
      </c>
      <c r="H421" s="21" t="str">
        <f>IF($N$1="Piping", IF(ISBLANK(Piping!H421), "", Piping!H421), IF($N$1="Vessels", IF(ISBLANK(Vessels!H421), "", Vessels!H421), ""))</f>
        <v/>
      </c>
      <c r="I421" s="21" t="str">
        <f>IF($N$1="Piping", IF(ISBLANK(Piping!I421), "", Piping!I421), IF($N$1="Vessels", IF(ISBLANK(Vessels!I421), "", Vessels!I421), ""))</f>
        <v/>
      </c>
      <c r="J421" s="21" t="str">
        <f>IF($N$1="Piping", IF(ISBLANK(Piping!J421), "", Piping!J421), IF($N$1="Vessels", IF(ISBLANK(Vessels!J421), "", Vessels!J421), ""))</f>
        <v/>
      </c>
      <c r="K421" s="21" t="str">
        <f>IF($N$1="Piping", IF(ISBLANK(Piping!K421), "", Piping!K421), IF($N$1="Vessels", IF(ISBLANK(Vessels!K421), "", Vessels!K421), ""))</f>
        <v/>
      </c>
      <c r="L421" s="21" t="str">
        <f>IF($N$1="Piping", IF(ISBLANK(Piping!L421), "", Piping!L421), IF($N$1="Vessels", IF(ISBLANK(Vessels!L421), "", Vessels!L421), ""))</f>
        <v/>
      </c>
      <c r="M421" s="21"/>
      <c r="N421" s="21"/>
      <c r="O421" s="21"/>
      <c r="P421" s="21"/>
      <c r="Q421" s="21" t="str">
        <f>IF($N$1="Piping", IF(ISBLANK(Piping!T421), "", Piping!T421), IF($N$1="Vessels", IF(ISBLANK(Vessels!T421), "", Vessels!T421), ""))</f>
        <v/>
      </c>
      <c r="R421" s="51" t="str">
        <f>IF($N$1="Piping", IF(ISBLANK(Piping!U421), "", Piping!U421), IF($N$1="Vessels", IF(ISBLANK(Vessels!U421), "", Vessels!U421), ""))</f>
        <v/>
      </c>
      <c r="S421" s="118" t="str">
        <f>IF(B421&lt;&gt;"",IF($N$1="Piping", IF(ISBLANK(Piping!$J$3), "", Piping!$J$3), IF($N$1="Vessels", IF(ISBLANK(Vessels!$J$3), "", Vessels!$J$3), "")),"")</f>
        <v/>
      </c>
      <c r="T421" s="37"/>
      <c r="U421" s="37"/>
      <c r="V421" s="37"/>
      <c r="W421" s="37"/>
      <c r="X421" s="37"/>
      <c r="Y421" s="37"/>
      <c r="Z421" s="37"/>
    </row>
    <row r="422" spans="1:26" ht="15.75" customHeight="1" x14ac:dyDescent="0.3">
      <c r="A422" s="22">
        <f>IF($N$1="Piping", IF(ISBLANK(Piping!A422), "", Piping!A422), IF($N$1="Vessels", IF(ISBLANK(Vessels!A422), "", Vessels!A422), ""))</f>
        <v>105.1</v>
      </c>
      <c r="B422" s="21" t="str">
        <f>IF($N$1="Piping", IF(ISBLANK(Piping!B422), "", Piping!B422), IF($N$1="Vessels", IF(ISBLANK(Vessels!B422), "", Vessels!B422), ""))</f>
        <v/>
      </c>
      <c r="C422" s="21" t="str">
        <f>IF($N$1="Piping", IF(ISBLANK(Piping!C422), "", Piping!C422), IF($N$1="Vessels", IF(ISBLANK(Vessels!C422), "", Vessels!C422), ""))</f>
        <v>Piping</v>
      </c>
      <c r="D422" s="21" t="str">
        <f>IF($N$1="Piping", IF(ISBLANK(Piping!D422), "", Piping!D422), IF($N$1="Vessels", IF(ISBLANK(Vessels!D422), "", Vessels!D422), ""))</f>
        <v/>
      </c>
      <c r="E422" s="21" t="str">
        <f>IF($N$1="Piping", IF(ISBLANK(Piping!E422), "", Piping!E422), IF($N$1="Vessels", IF(ISBLANK(Vessels!E422), "", Vessels!E422), ""))</f>
        <v/>
      </c>
      <c r="F422" s="21" t="str">
        <f>IF($N$1="Piping", IF(ISBLANK(Piping!F422), "", Piping!F422), IF($N$1="Vessels", IF(ISBLANK(Vessels!F422), "", Vessels!F422), ""))</f>
        <v/>
      </c>
      <c r="G422" s="21">
        <f>IF($N$1="Piping", IF(ISBLANK(Piping!G422), "", Piping!G422), IF($N$1="Vessels", IF(ISBLANK(Vessels!G422), "", Vessels!G422), ""))</f>
        <v>0</v>
      </c>
      <c r="H422" s="21" t="str">
        <f>IF($N$1="Piping", IF(ISBLANK(Piping!H422), "", Piping!H422), IF($N$1="Vessels", IF(ISBLANK(Vessels!H422), "", Vessels!H422), ""))</f>
        <v/>
      </c>
      <c r="I422" s="21" t="str">
        <f>IF($N$1="Piping", IF(ISBLANK(Piping!I422), "", Piping!I422), IF($N$1="Vessels", IF(ISBLANK(Vessels!I422), "", Vessels!I422), ""))</f>
        <v/>
      </c>
      <c r="J422" s="21" t="str">
        <f>IF($N$1="Piping", IF(ISBLANK(Piping!J422), "", Piping!J422), IF($N$1="Vessels", IF(ISBLANK(Vessels!J422), "", Vessels!J422), ""))</f>
        <v/>
      </c>
      <c r="K422" s="21" t="str">
        <f>IF($N$1="Piping", IF(ISBLANK(Piping!K422), "", Piping!K422), IF($N$1="Vessels", IF(ISBLANK(Vessels!K422), "", Vessels!K422), ""))</f>
        <v/>
      </c>
      <c r="L422" s="21" t="str">
        <f>IF($N$1="Piping", IF(ISBLANK(Piping!L422), "", Piping!L422), IF($N$1="Vessels", IF(ISBLANK(Vessels!L422), "", Vessels!L422), ""))</f>
        <v/>
      </c>
      <c r="M422" s="21"/>
      <c r="N422" s="21"/>
      <c r="O422" s="21"/>
      <c r="P422" s="21"/>
      <c r="Q422" s="21" t="str">
        <f>IF($N$1="Piping", IF(ISBLANK(Piping!T422), "", Piping!T422), IF($N$1="Vessels", IF(ISBLANK(Vessels!T422), "", Vessels!T422), ""))</f>
        <v/>
      </c>
      <c r="R422" s="51" t="str">
        <f>IF($N$1="Piping", IF(ISBLANK(Piping!U422), "", Piping!U422), IF($N$1="Vessels", IF(ISBLANK(Vessels!U422), "", Vessels!U422), ""))</f>
        <v/>
      </c>
      <c r="S422" s="118" t="str">
        <f>IF(B422&lt;&gt;"",IF($N$1="Piping", IF(ISBLANK(Piping!$J$3), "", Piping!$J$3), IF($N$1="Vessels", IF(ISBLANK(Vessels!$J$3), "", Vessels!$J$3), "")),"")</f>
        <v/>
      </c>
      <c r="T422" s="37"/>
      <c r="U422" s="37"/>
      <c r="V422" s="37"/>
      <c r="W422" s="37"/>
      <c r="X422" s="37"/>
      <c r="Y422" s="37"/>
      <c r="Z422" s="37"/>
    </row>
    <row r="423" spans="1:26" ht="15.75" customHeight="1" x14ac:dyDescent="0.3">
      <c r="A423" s="22">
        <f>IF($N$1="Piping", IF(ISBLANK(Piping!A423), "", Piping!A423), IF($N$1="Vessels", IF(ISBLANK(Vessels!A423), "", Vessels!A423), ""))</f>
        <v>105.2</v>
      </c>
      <c r="B423" s="21" t="str">
        <f>IF($N$1="Piping", IF(ISBLANK(Piping!B423), "", Piping!B423), IF($N$1="Vessels", IF(ISBLANK(Vessels!B423), "", Vessels!B423), ""))</f>
        <v/>
      </c>
      <c r="C423" s="21" t="str">
        <f>IF($N$1="Piping", IF(ISBLANK(Piping!C423), "", Piping!C423), IF($N$1="Vessels", IF(ISBLANK(Vessels!C423), "", Vessels!C423), ""))</f>
        <v>Piping</v>
      </c>
      <c r="D423" s="21" t="str">
        <f>IF($N$1="Piping", IF(ISBLANK(Piping!D423), "", Piping!D423), IF($N$1="Vessels", IF(ISBLANK(Vessels!D423), "", Vessels!D423), ""))</f>
        <v/>
      </c>
      <c r="E423" s="21" t="str">
        <f>IF($N$1="Piping", IF(ISBLANK(Piping!E423), "", Piping!E423), IF($N$1="Vessels", IF(ISBLANK(Vessels!E423), "", Vessels!E423), ""))</f>
        <v/>
      </c>
      <c r="F423" s="21" t="str">
        <f>IF($N$1="Piping", IF(ISBLANK(Piping!F423), "", Piping!F423), IF($N$1="Vessels", IF(ISBLANK(Vessels!F423), "", Vessels!F423), ""))</f>
        <v/>
      </c>
      <c r="G423" s="21">
        <f>IF($N$1="Piping", IF(ISBLANK(Piping!G423), "", Piping!G423), IF($N$1="Vessels", IF(ISBLANK(Vessels!G423), "", Vessels!G423), ""))</f>
        <v>0</v>
      </c>
      <c r="H423" s="21" t="str">
        <f>IF($N$1="Piping", IF(ISBLANK(Piping!H423), "", Piping!H423), IF($N$1="Vessels", IF(ISBLANK(Vessels!H423), "", Vessels!H423), ""))</f>
        <v/>
      </c>
      <c r="I423" s="21" t="str">
        <f>IF($N$1="Piping", IF(ISBLANK(Piping!I423), "", Piping!I423), IF($N$1="Vessels", IF(ISBLANK(Vessels!I423), "", Vessels!I423), ""))</f>
        <v/>
      </c>
      <c r="J423" s="21" t="str">
        <f>IF($N$1="Piping", IF(ISBLANK(Piping!J423), "", Piping!J423), IF($N$1="Vessels", IF(ISBLANK(Vessels!J423), "", Vessels!J423), ""))</f>
        <v/>
      </c>
      <c r="K423" s="21" t="str">
        <f>IF($N$1="Piping", IF(ISBLANK(Piping!K423), "", Piping!K423), IF($N$1="Vessels", IF(ISBLANK(Vessels!K423), "", Vessels!K423), ""))</f>
        <v/>
      </c>
      <c r="L423" s="21" t="str">
        <f>IF($N$1="Piping", IF(ISBLANK(Piping!L423), "", Piping!L423), IF($N$1="Vessels", IF(ISBLANK(Vessels!L423), "", Vessels!L423), ""))</f>
        <v/>
      </c>
      <c r="M423" s="21"/>
      <c r="N423" s="21"/>
      <c r="O423" s="21"/>
      <c r="P423" s="21"/>
      <c r="Q423" s="21" t="str">
        <f>IF($N$1="Piping", IF(ISBLANK(Piping!T423), "", Piping!T423), IF($N$1="Vessels", IF(ISBLANK(Vessels!T423), "", Vessels!T423), ""))</f>
        <v/>
      </c>
      <c r="R423" s="51" t="str">
        <f>IF($N$1="Piping", IF(ISBLANK(Piping!U423), "", Piping!U423), IF($N$1="Vessels", IF(ISBLANK(Vessels!U423), "", Vessels!U423), ""))</f>
        <v/>
      </c>
      <c r="S423" s="118" t="str">
        <f>IF(B423&lt;&gt;"",IF($N$1="Piping", IF(ISBLANK(Piping!$J$3), "", Piping!$J$3), IF($N$1="Vessels", IF(ISBLANK(Vessels!$J$3), "", Vessels!$J$3), "")),"")</f>
        <v/>
      </c>
      <c r="T423" s="37"/>
      <c r="U423" s="37"/>
      <c r="V423" s="37"/>
      <c r="W423" s="37"/>
      <c r="X423" s="37"/>
      <c r="Y423" s="37"/>
      <c r="Z423" s="37"/>
    </row>
    <row r="424" spans="1:26" ht="15.75" customHeight="1" x14ac:dyDescent="0.3">
      <c r="A424" s="22">
        <f>IF($N$1="Piping", IF(ISBLANK(Piping!A424), "", Piping!A424), IF($N$1="Vessels", IF(ISBLANK(Vessels!A424), "", Vessels!A424), ""))</f>
        <v>105.3</v>
      </c>
      <c r="B424" s="21" t="str">
        <f>IF($N$1="Piping", IF(ISBLANK(Piping!B424), "", Piping!B424), IF($N$1="Vessels", IF(ISBLANK(Vessels!B424), "", Vessels!B424), ""))</f>
        <v/>
      </c>
      <c r="C424" s="21" t="str">
        <f>IF($N$1="Piping", IF(ISBLANK(Piping!C424), "", Piping!C424), IF($N$1="Vessels", IF(ISBLANK(Vessels!C424), "", Vessels!C424), ""))</f>
        <v>Piping</v>
      </c>
      <c r="D424" s="21" t="str">
        <f>IF($N$1="Piping", IF(ISBLANK(Piping!D424), "", Piping!D424), IF($N$1="Vessels", IF(ISBLANK(Vessels!D424), "", Vessels!D424), ""))</f>
        <v/>
      </c>
      <c r="E424" s="21" t="str">
        <f>IF($N$1="Piping", IF(ISBLANK(Piping!E424), "", Piping!E424), IF($N$1="Vessels", IF(ISBLANK(Vessels!E424), "", Vessels!E424), ""))</f>
        <v/>
      </c>
      <c r="F424" s="21" t="str">
        <f>IF($N$1="Piping", IF(ISBLANK(Piping!F424), "", Piping!F424), IF($N$1="Vessels", IF(ISBLANK(Vessels!F424), "", Vessels!F424), ""))</f>
        <v/>
      </c>
      <c r="G424" s="21">
        <f>IF($N$1="Piping", IF(ISBLANK(Piping!G424), "", Piping!G424), IF($N$1="Vessels", IF(ISBLANK(Vessels!G424), "", Vessels!G424), ""))</f>
        <v>0</v>
      </c>
      <c r="H424" s="21" t="str">
        <f>IF($N$1="Piping", IF(ISBLANK(Piping!H424), "", Piping!H424), IF($N$1="Vessels", IF(ISBLANK(Vessels!H424), "", Vessels!H424), ""))</f>
        <v/>
      </c>
      <c r="I424" s="21" t="str">
        <f>IF($N$1="Piping", IF(ISBLANK(Piping!I424), "", Piping!I424), IF($N$1="Vessels", IF(ISBLANK(Vessels!I424), "", Vessels!I424), ""))</f>
        <v/>
      </c>
      <c r="J424" s="21" t="str">
        <f>IF($N$1="Piping", IF(ISBLANK(Piping!J424), "", Piping!J424), IF($N$1="Vessels", IF(ISBLANK(Vessels!J424), "", Vessels!J424), ""))</f>
        <v/>
      </c>
      <c r="K424" s="21" t="str">
        <f>IF($N$1="Piping", IF(ISBLANK(Piping!K424), "", Piping!K424), IF($N$1="Vessels", IF(ISBLANK(Vessels!K424), "", Vessels!K424), ""))</f>
        <v/>
      </c>
      <c r="L424" s="21" t="str">
        <f>IF($N$1="Piping", IF(ISBLANK(Piping!L424), "", Piping!L424), IF($N$1="Vessels", IF(ISBLANK(Vessels!L424), "", Vessels!L424), ""))</f>
        <v/>
      </c>
      <c r="M424" s="21"/>
      <c r="N424" s="21"/>
      <c r="O424" s="21"/>
      <c r="P424" s="21"/>
      <c r="Q424" s="21" t="str">
        <f>IF($N$1="Piping", IF(ISBLANK(Piping!T424), "", Piping!T424), IF($N$1="Vessels", IF(ISBLANK(Vessels!T424), "", Vessels!T424), ""))</f>
        <v/>
      </c>
      <c r="R424" s="51" t="str">
        <f>IF($N$1="Piping", IF(ISBLANK(Piping!U424), "", Piping!U424), IF($N$1="Vessels", IF(ISBLANK(Vessels!U424), "", Vessels!U424), ""))</f>
        <v/>
      </c>
      <c r="S424" s="118" t="str">
        <f>IF(B424&lt;&gt;"",IF($N$1="Piping", IF(ISBLANK(Piping!$J$3), "", Piping!$J$3), IF($N$1="Vessels", IF(ISBLANK(Vessels!$J$3), "", Vessels!$J$3), "")),"")</f>
        <v/>
      </c>
      <c r="T424" s="37"/>
      <c r="U424" s="37"/>
      <c r="V424" s="37"/>
      <c r="W424" s="37"/>
      <c r="X424" s="37"/>
      <c r="Y424" s="37"/>
      <c r="Z424" s="37"/>
    </row>
    <row r="425" spans="1:26" ht="15.75" customHeight="1" x14ac:dyDescent="0.3">
      <c r="A425" s="22">
        <f>IF($N$1="Piping", IF(ISBLANK(Piping!A425), "", Piping!A425), IF($N$1="Vessels", IF(ISBLANK(Vessels!A425), "", Vessels!A425), ""))</f>
        <v>105.4</v>
      </c>
      <c r="B425" s="21" t="str">
        <f>IF($N$1="Piping", IF(ISBLANK(Piping!B425), "", Piping!B425), IF($N$1="Vessels", IF(ISBLANK(Vessels!B425), "", Vessels!B425), ""))</f>
        <v/>
      </c>
      <c r="C425" s="21" t="str">
        <f>IF($N$1="Piping", IF(ISBLANK(Piping!C425), "", Piping!C425), IF($N$1="Vessels", IF(ISBLANK(Vessels!C425), "", Vessels!C425), ""))</f>
        <v>Piping</v>
      </c>
      <c r="D425" s="21" t="str">
        <f>IF($N$1="Piping", IF(ISBLANK(Piping!D425), "", Piping!D425), IF($N$1="Vessels", IF(ISBLANK(Vessels!D425), "", Vessels!D425), ""))</f>
        <v/>
      </c>
      <c r="E425" s="21" t="str">
        <f>IF($N$1="Piping", IF(ISBLANK(Piping!E425), "", Piping!E425), IF($N$1="Vessels", IF(ISBLANK(Vessels!E425), "", Vessels!E425), ""))</f>
        <v/>
      </c>
      <c r="F425" s="21" t="str">
        <f>IF($N$1="Piping", IF(ISBLANK(Piping!F425), "", Piping!F425), IF($N$1="Vessels", IF(ISBLANK(Vessels!F425), "", Vessels!F425), ""))</f>
        <v/>
      </c>
      <c r="G425" s="21">
        <f>IF($N$1="Piping", IF(ISBLANK(Piping!G425), "", Piping!G425), IF($N$1="Vessels", IF(ISBLANK(Vessels!G425), "", Vessels!G425), ""))</f>
        <v>0</v>
      </c>
      <c r="H425" s="21" t="str">
        <f>IF($N$1="Piping", IF(ISBLANK(Piping!H425), "", Piping!H425), IF($N$1="Vessels", IF(ISBLANK(Vessels!H425), "", Vessels!H425), ""))</f>
        <v/>
      </c>
      <c r="I425" s="21" t="str">
        <f>IF($N$1="Piping", IF(ISBLANK(Piping!I425), "", Piping!I425), IF($N$1="Vessels", IF(ISBLANK(Vessels!I425), "", Vessels!I425), ""))</f>
        <v/>
      </c>
      <c r="J425" s="21" t="str">
        <f>IF($N$1="Piping", IF(ISBLANK(Piping!J425), "", Piping!J425), IF($N$1="Vessels", IF(ISBLANK(Vessels!J425), "", Vessels!J425), ""))</f>
        <v/>
      </c>
      <c r="K425" s="21" t="str">
        <f>IF($N$1="Piping", IF(ISBLANK(Piping!K425), "", Piping!K425), IF($N$1="Vessels", IF(ISBLANK(Vessels!K425), "", Vessels!K425), ""))</f>
        <v/>
      </c>
      <c r="L425" s="21" t="str">
        <f>IF($N$1="Piping", IF(ISBLANK(Piping!L425), "", Piping!L425), IF($N$1="Vessels", IF(ISBLANK(Vessels!L425), "", Vessels!L425), ""))</f>
        <v/>
      </c>
      <c r="M425" s="21"/>
      <c r="N425" s="21"/>
      <c r="O425" s="21"/>
      <c r="P425" s="21"/>
      <c r="Q425" s="21" t="str">
        <f>IF($N$1="Piping", IF(ISBLANK(Piping!T425), "", Piping!T425), IF($N$1="Vessels", IF(ISBLANK(Vessels!T425), "", Vessels!T425), ""))</f>
        <v/>
      </c>
      <c r="R425" s="51" t="str">
        <f>IF($N$1="Piping", IF(ISBLANK(Piping!U425), "", Piping!U425), IF($N$1="Vessels", IF(ISBLANK(Vessels!U425), "", Vessels!U425), ""))</f>
        <v/>
      </c>
      <c r="S425" s="118" t="str">
        <f>IF(B425&lt;&gt;"",IF($N$1="Piping", IF(ISBLANK(Piping!$J$3), "", Piping!$J$3), IF($N$1="Vessels", IF(ISBLANK(Vessels!$J$3), "", Vessels!$J$3), "")),"")</f>
        <v/>
      </c>
      <c r="T425" s="37"/>
      <c r="U425" s="37"/>
      <c r="V425" s="37"/>
      <c r="W425" s="37"/>
      <c r="X425" s="37"/>
      <c r="Y425" s="37"/>
      <c r="Z425" s="37"/>
    </row>
    <row r="426" spans="1:26" ht="15.75" customHeight="1" x14ac:dyDescent="0.3">
      <c r="A426" s="22">
        <f>IF($N$1="Piping", IF(ISBLANK(Piping!A426), "", Piping!A426), IF($N$1="Vessels", IF(ISBLANK(Vessels!A426), "", Vessels!A426), ""))</f>
        <v>106.1</v>
      </c>
      <c r="B426" s="21" t="str">
        <f>IF($N$1="Piping", IF(ISBLANK(Piping!B426), "", Piping!B426), IF($N$1="Vessels", IF(ISBLANK(Vessels!B426), "", Vessels!B426), ""))</f>
        <v/>
      </c>
      <c r="C426" s="21" t="str">
        <f>IF($N$1="Piping", IF(ISBLANK(Piping!C426), "", Piping!C426), IF($N$1="Vessels", IF(ISBLANK(Vessels!C426), "", Vessels!C426), ""))</f>
        <v>Piping</v>
      </c>
      <c r="D426" s="21" t="str">
        <f>IF($N$1="Piping", IF(ISBLANK(Piping!D426), "", Piping!D426), IF($N$1="Vessels", IF(ISBLANK(Vessels!D426), "", Vessels!D426), ""))</f>
        <v/>
      </c>
      <c r="E426" s="21" t="str">
        <f>IF($N$1="Piping", IF(ISBLANK(Piping!E426), "", Piping!E426), IF($N$1="Vessels", IF(ISBLANK(Vessels!E426), "", Vessels!E426), ""))</f>
        <v/>
      </c>
      <c r="F426" s="21" t="str">
        <f>IF($N$1="Piping", IF(ISBLANK(Piping!F426), "", Piping!F426), IF($N$1="Vessels", IF(ISBLANK(Vessels!F426), "", Vessels!F426), ""))</f>
        <v/>
      </c>
      <c r="G426" s="21">
        <f>IF($N$1="Piping", IF(ISBLANK(Piping!G426), "", Piping!G426), IF($N$1="Vessels", IF(ISBLANK(Vessels!G426), "", Vessels!G426), ""))</f>
        <v>0</v>
      </c>
      <c r="H426" s="21" t="str">
        <f>IF($N$1="Piping", IF(ISBLANK(Piping!H426), "", Piping!H426), IF($N$1="Vessels", IF(ISBLANK(Vessels!H426), "", Vessels!H426), ""))</f>
        <v/>
      </c>
      <c r="I426" s="21" t="str">
        <f>IF($N$1="Piping", IF(ISBLANK(Piping!I426), "", Piping!I426), IF($N$1="Vessels", IF(ISBLANK(Vessels!I426), "", Vessels!I426), ""))</f>
        <v/>
      </c>
      <c r="J426" s="21" t="str">
        <f>IF($N$1="Piping", IF(ISBLANK(Piping!J426), "", Piping!J426), IF($N$1="Vessels", IF(ISBLANK(Vessels!J426), "", Vessels!J426), ""))</f>
        <v/>
      </c>
      <c r="K426" s="21" t="str">
        <f>IF($N$1="Piping", IF(ISBLANK(Piping!K426), "", Piping!K426), IF($N$1="Vessels", IF(ISBLANK(Vessels!K426), "", Vessels!K426), ""))</f>
        <v/>
      </c>
      <c r="L426" s="21" t="str">
        <f>IF($N$1="Piping", IF(ISBLANK(Piping!L426), "", Piping!L426), IF($N$1="Vessels", IF(ISBLANK(Vessels!L426), "", Vessels!L426), ""))</f>
        <v/>
      </c>
      <c r="M426" s="21"/>
      <c r="N426" s="21"/>
      <c r="O426" s="21"/>
      <c r="P426" s="21"/>
      <c r="Q426" s="21" t="str">
        <f>IF($N$1="Piping", IF(ISBLANK(Piping!T426), "", Piping!T426), IF($N$1="Vessels", IF(ISBLANK(Vessels!T426), "", Vessels!T426), ""))</f>
        <v/>
      </c>
      <c r="R426" s="51" t="str">
        <f>IF($N$1="Piping", IF(ISBLANK(Piping!U426), "", Piping!U426), IF($N$1="Vessels", IF(ISBLANK(Vessels!U426), "", Vessels!U426), ""))</f>
        <v/>
      </c>
      <c r="S426" s="118" t="str">
        <f>IF(B426&lt;&gt;"",IF($N$1="Piping", IF(ISBLANK(Piping!$J$3), "", Piping!$J$3), IF($N$1="Vessels", IF(ISBLANK(Vessels!$J$3), "", Vessels!$J$3), "")),"")</f>
        <v/>
      </c>
      <c r="T426" s="37"/>
      <c r="U426" s="37"/>
      <c r="V426" s="37"/>
      <c r="W426" s="37"/>
      <c r="X426" s="37"/>
      <c r="Y426" s="37"/>
      <c r="Z426" s="37"/>
    </row>
    <row r="427" spans="1:26" ht="15.75" customHeight="1" x14ac:dyDescent="0.3">
      <c r="A427" s="22">
        <f>IF($N$1="Piping", IF(ISBLANK(Piping!A427), "", Piping!A427), IF($N$1="Vessels", IF(ISBLANK(Vessels!A427), "", Vessels!A427), ""))</f>
        <v>106.2</v>
      </c>
      <c r="B427" s="21" t="str">
        <f>IF($N$1="Piping", IF(ISBLANK(Piping!B427), "", Piping!B427), IF($N$1="Vessels", IF(ISBLANK(Vessels!B427), "", Vessels!B427), ""))</f>
        <v/>
      </c>
      <c r="C427" s="21" t="str">
        <f>IF($N$1="Piping", IF(ISBLANK(Piping!C427), "", Piping!C427), IF($N$1="Vessels", IF(ISBLANK(Vessels!C427), "", Vessels!C427), ""))</f>
        <v>Piping</v>
      </c>
      <c r="D427" s="21" t="str">
        <f>IF($N$1="Piping", IF(ISBLANK(Piping!D427), "", Piping!D427), IF($N$1="Vessels", IF(ISBLANK(Vessels!D427), "", Vessels!D427), ""))</f>
        <v/>
      </c>
      <c r="E427" s="21" t="str">
        <f>IF($N$1="Piping", IF(ISBLANK(Piping!E427), "", Piping!E427), IF($N$1="Vessels", IF(ISBLANK(Vessels!E427), "", Vessels!E427), ""))</f>
        <v/>
      </c>
      <c r="F427" s="21" t="str">
        <f>IF($N$1="Piping", IF(ISBLANK(Piping!F427), "", Piping!F427), IF($N$1="Vessels", IF(ISBLANK(Vessels!F427), "", Vessels!F427), ""))</f>
        <v/>
      </c>
      <c r="G427" s="21">
        <f>IF($N$1="Piping", IF(ISBLANK(Piping!G427), "", Piping!G427), IF($N$1="Vessels", IF(ISBLANK(Vessels!G427), "", Vessels!G427), ""))</f>
        <v>0</v>
      </c>
      <c r="H427" s="21" t="str">
        <f>IF($N$1="Piping", IF(ISBLANK(Piping!H427), "", Piping!H427), IF($N$1="Vessels", IF(ISBLANK(Vessels!H427), "", Vessels!H427), ""))</f>
        <v/>
      </c>
      <c r="I427" s="21" t="str">
        <f>IF($N$1="Piping", IF(ISBLANK(Piping!I427), "", Piping!I427), IF($N$1="Vessels", IF(ISBLANK(Vessels!I427), "", Vessels!I427), ""))</f>
        <v/>
      </c>
      <c r="J427" s="21" t="str">
        <f>IF($N$1="Piping", IF(ISBLANK(Piping!J427), "", Piping!J427), IF($N$1="Vessels", IF(ISBLANK(Vessels!J427), "", Vessels!J427), ""))</f>
        <v/>
      </c>
      <c r="K427" s="21" t="str">
        <f>IF($N$1="Piping", IF(ISBLANK(Piping!K427), "", Piping!K427), IF($N$1="Vessels", IF(ISBLANK(Vessels!K427), "", Vessels!K427), ""))</f>
        <v/>
      </c>
      <c r="L427" s="21" t="str">
        <f>IF($N$1="Piping", IF(ISBLANK(Piping!L427), "", Piping!L427), IF($N$1="Vessels", IF(ISBLANK(Vessels!L427), "", Vessels!L427), ""))</f>
        <v/>
      </c>
      <c r="M427" s="21"/>
      <c r="N427" s="21"/>
      <c r="O427" s="21"/>
      <c r="P427" s="21"/>
      <c r="Q427" s="21" t="str">
        <f>IF($N$1="Piping", IF(ISBLANK(Piping!T427), "", Piping!T427), IF($N$1="Vessels", IF(ISBLANK(Vessels!T427), "", Vessels!T427), ""))</f>
        <v/>
      </c>
      <c r="R427" s="51" t="str">
        <f>IF($N$1="Piping", IF(ISBLANK(Piping!U427), "", Piping!U427), IF($N$1="Vessels", IF(ISBLANK(Vessels!U427), "", Vessels!U427), ""))</f>
        <v/>
      </c>
      <c r="S427" s="118" t="str">
        <f>IF(B427&lt;&gt;"",IF($N$1="Piping", IF(ISBLANK(Piping!$J$3), "", Piping!$J$3), IF($N$1="Vessels", IF(ISBLANK(Vessels!$J$3), "", Vessels!$J$3), "")),"")</f>
        <v/>
      </c>
      <c r="T427" s="37"/>
      <c r="U427" s="37"/>
      <c r="V427" s="37"/>
      <c r="W427" s="37"/>
      <c r="X427" s="37"/>
      <c r="Y427" s="37"/>
      <c r="Z427" s="37"/>
    </row>
    <row r="428" spans="1:26" ht="15.75" customHeight="1" x14ac:dyDescent="0.3">
      <c r="A428" s="22">
        <f>IF($N$1="Piping", IF(ISBLANK(Piping!A428), "", Piping!A428), IF($N$1="Vessels", IF(ISBLANK(Vessels!A428), "", Vessels!A428), ""))</f>
        <v>106.3</v>
      </c>
      <c r="B428" s="21" t="str">
        <f>IF($N$1="Piping", IF(ISBLANK(Piping!B428), "", Piping!B428), IF($N$1="Vessels", IF(ISBLANK(Vessels!B428), "", Vessels!B428), ""))</f>
        <v/>
      </c>
      <c r="C428" s="21" t="str">
        <f>IF($N$1="Piping", IF(ISBLANK(Piping!C428), "", Piping!C428), IF($N$1="Vessels", IF(ISBLANK(Vessels!C428), "", Vessels!C428), ""))</f>
        <v>Piping</v>
      </c>
      <c r="D428" s="21" t="str">
        <f>IF($N$1="Piping", IF(ISBLANK(Piping!D428), "", Piping!D428), IF($N$1="Vessels", IF(ISBLANK(Vessels!D428), "", Vessels!D428), ""))</f>
        <v/>
      </c>
      <c r="E428" s="21" t="str">
        <f>IF($N$1="Piping", IF(ISBLANK(Piping!E428), "", Piping!E428), IF($N$1="Vessels", IF(ISBLANK(Vessels!E428), "", Vessels!E428), ""))</f>
        <v/>
      </c>
      <c r="F428" s="21" t="str">
        <f>IF($N$1="Piping", IF(ISBLANK(Piping!F428), "", Piping!F428), IF($N$1="Vessels", IF(ISBLANK(Vessels!F428), "", Vessels!F428), ""))</f>
        <v/>
      </c>
      <c r="G428" s="21">
        <f>IF($N$1="Piping", IF(ISBLANK(Piping!G428), "", Piping!G428), IF($N$1="Vessels", IF(ISBLANK(Vessels!G428), "", Vessels!G428), ""))</f>
        <v>0</v>
      </c>
      <c r="H428" s="21" t="str">
        <f>IF($N$1="Piping", IF(ISBLANK(Piping!H428), "", Piping!H428), IF($N$1="Vessels", IF(ISBLANK(Vessels!H428), "", Vessels!H428), ""))</f>
        <v/>
      </c>
      <c r="I428" s="21" t="str">
        <f>IF($N$1="Piping", IF(ISBLANK(Piping!I428), "", Piping!I428), IF($N$1="Vessels", IF(ISBLANK(Vessels!I428), "", Vessels!I428), ""))</f>
        <v/>
      </c>
      <c r="J428" s="21" t="str">
        <f>IF($N$1="Piping", IF(ISBLANK(Piping!J428), "", Piping!J428), IF($N$1="Vessels", IF(ISBLANK(Vessels!J428), "", Vessels!J428), ""))</f>
        <v/>
      </c>
      <c r="K428" s="21" t="str">
        <f>IF($N$1="Piping", IF(ISBLANK(Piping!K428), "", Piping!K428), IF($N$1="Vessels", IF(ISBLANK(Vessels!K428), "", Vessels!K428), ""))</f>
        <v/>
      </c>
      <c r="L428" s="21" t="str">
        <f>IF($N$1="Piping", IF(ISBLANK(Piping!L428), "", Piping!L428), IF($N$1="Vessels", IF(ISBLANK(Vessels!L428), "", Vessels!L428), ""))</f>
        <v/>
      </c>
      <c r="M428" s="21"/>
      <c r="N428" s="21"/>
      <c r="O428" s="21"/>
      <c r="P428" s="21"/>
      <c r="Q428" s="21" t="str">
        <f>IF($N$1="Piping", IF(ISBLANK(Piping!T428), "", Piping!T428), IF($N$1="Vessels", IF(ISBLANK(Vessels!T428), "", Vessels!T428), ""))</f>
        <v/>
      </c>
      <c r="R428" s="51" t="str">
        <f>IF($N$1="Piping", IF(ISBLANK(Piping!U428), "", Piping!U428), IF($N$1="Vessels", IF(ISBLANK(Vessels!U428), "", Vessels!U428), ""))</f>
        <v/>
      </c>
      <c r="S428" s="118" t="str">
        <f>IF(B428&lt;&gt;"",IF($N$1="Piping", IF(ISBLANK(Piping!$J$3), "", Piping!$J$3), IF($N$1="Vessels", IF(ISBLANK(Vessels!$J$3), "", Vessels!$J$3), "")),"")</f>
        <v/>
      </c>
      <c r="T428" s="37"/>
      <c r="U428" s="37"/>
      <c r="V428" s="37"/>
      <c r="W428" s="37"/>
      <c r="X428" s="37"/>
      <c r="Y428" s="37"/>
      <c r="Z428" s="37"/>
    </row>
    <row r="429" spans="1:26" ht="15.75" customHeight="1" x14ac:dyDescent="0.3">
      <c r="A429" s="22">
        <f>IF($N$1="Piping", IF(ISBLANK(Piping!A429), "", Piping!A429), IF($N$1="Vessels", IF(ISBLANK(Vessels!A429), "", Vessels!A429), ""))</f>
        <v>106.4</v>
      </c>
      <c r="B429" s="21" t="str">
        <f>IF($N$1="Piping", IF(ISBLANK(Piping!B429), "", Piping!B429), IF($N$1="Vessels", IF(ISBLANK(Vessels!B429), "", Vessels!B429), ""))</f>
        <v/>
      </c>
      <c r="C429" s="21" t="str">
        <f>IF($N$1="Piping", IF(ISBLANK(Piping!C429), "", Piping!C429), IF($N$1="Vessels", IF(ISBLANK(Vessels!C429), "", Vessels!C429), ""))</f>
        <v>Piping</v>
      </c>
      <c r="D429" s="21" t="str">
        <f>IF($N$1="Piping", IF(ISBLANK(Piping!D429), "", Piping!D429), IF($N$1="Vessels", IF(ISBLANK(Vessels!D429), "", Vessels!D429), ""))</f>
        <v/>
      </c>
      <c r="E429" s="21" t="str">
        <f>IF($N$1="Piping", IF(ISBLANK(Piping!E429), "", Piping!E429), IF($N$1="Vessels", IF(ISBLANK(Vessels!E429), "", Vessels!E429), ""))</f>
        <v/>
      </c>
      <c r="F429" s="21" t="str">
        <f>IF($N$1="Piping", IF(ISBLANK(Piping!F429), "", Piping!F429), IF($N$1="Vessels", IF(ISBLANK(Vessels!F429), "", Vessels!F429), ""))</f>
        <v/>
      </c>
      <c r="G429" s="21">
        <f>IF($N$1="Piping", IF(ISBLANK(Piping!G429), "", Piping!G429), IF($N$1="Vessels", IF(ISBLANK(Vessels!G429), "", Vessels!G429), ""))</f>
        <v>0</v>
      </c>
      <c r="H429" s="21" t="str">
        <f>IF($N$1="Piping", IF(ISBLANK(Piping!H429), "", Piping!H429), IF($N$1="Vessels", IF(ISBLANK(Vessels!H429), "", Vessels!H429), ""))</f>
        <v/>
      </c>
      <c r="I429" s="21" t="str">
        <f>IF($N$1="Piping", IF(ISBLANK(Piping!I429), "", Piping!I429), IF($N$1="Vessels", IF(ISBLANK(Vessels!I429), "", Vessels!I429), ""))</f>
        <v/>
      </c>
      <c r="J429" s="21" t="str">
        <f>IF($N$1="Piping", IF(ISBLANK(Piping!J429), "", Piping!J429), IF($N$1="Vessels", IF(ISBLANK(Vessels!J429), "", Vessels!J429), ""))</f>
        <v/>
      </c>
      <c r="K429" s="21" t="str">
        <f>IF($N$1="Piping", IF(ISBLANK(Piping!K429), "", Piping!K429), IF($N$1="Vessels", IF(ISBLANK(Vessels!K429), "", Vessels!K429), ""))</f>
        <v/>
      </c>
      <c r="L429" s="21" t="str">
        <f>IF($N$1="Piping", IF(ISBLANK(Piping!L429), "", Piping!L429), IF($N$1="Vessels", IF(ISBLANK(Vessels!L429), "", Vessels!L429), ""))</f>
        <v/>
      </c>
      <c r="M429" s="21"/>
      <c r="N429" s="21"/>
      <c r="O429" s="21"/>
      <c r="P429" s="21"/>
      <c r="Q429" s="21" t="str">
        <f>IF($N$1="Piping", IF(ISBLANK(Piping!T429), "", Piping!T429), IF($N$1="Vessels", IF(ISBLANK(Vessels!T429), "", Vessels!T429), ""))</f>
        <v/>
      </c>
      <c r="R429" s="51" t="str">
        <f>IF($N$1="Piping", IF(ISBLANK(Piping!U429), "", Piping!U429), IF($N$1="Vessels", IF(ISBLANK(Vessels!U429), "", Vessels!U429), ""))</f>
        <v/>
      </c>
      <c r="S429" s="118" t="str">
        <f>IF(B429&lt;&gt;"",IF($N$1="Piping", IF(ISBLANK(Piping!$J$3), "", Piping!$J$3), IF($N$1="Vessels", IF(ISBLANK(Vessels!$J$3), "", Vessels!$J$3), "")),"")</f>
        <v/>
      </c>
      <c r="T429" s="37"/>
      <c r="U429" s="37"/>
      <c r="V429" s="37"/>
      <c r="W429" s="37"/>
      <c r="X429" s="37"/>
      <c r="Y429" s="37"/>
      <c r="Z429" s="37"/>
    </row>
    <row r="430" spans="1:26" ht="15.75" customHeight="1" x14ac:dyDescent="0.3">
      <c r="A430" s="22">
        <f>IF($N$1="Piping", IF(ISBLANK(Piping!A430), "", Piping!A430), IF($N$1="Vessels", IF(ISBLANK(Vessels!A430), "", Vessels!A430), ""))</f>
        <v>107.1</v>
      </c>
      <c r="B430" s="21" t="str">
        <f>IF($N$1="Piping", IF(ISBLANK(Piping!B430), "", Piping!B430), IF($N$1="Vessels", IF(ISBLANK(Vessels!B430), "", Vessels!B430), ""))</f>
        <v/>
      </c>
      <c r="C430" s="21" t="str">
        <f>IF($N$1="Piping", IF(ISBLANK(Piping!C430), "", Piping!C430), IF($N$1="Vessels", IF(ISBLANK(Vessels!C430), "", Vessels!C430), ""))</f>
        <v>Piping</v>
      </c>
      <c r="D430" s="21" t="str">
        <f>IF($N$1="Piping", IF(ISBLANK(Piping!D430), "", Piping!D430), IF($N$1="Vessels", IF(ISBLANK(Vessels!D430), "", Vessels!D430), ""))</f>
        <v/>
      </c>
      <c r="E430" s="21" t="str">
        <f>IF($N$1="Piping", IF(ISBLANK(Piping!E430), "", Piping!E430), IF($N$1="Vessels", IF(ISBLANK(Vessels!E430), "", Vessels!E430), ""))</f>
        <v/>
      </c>
      <c r="F430" s="21" t="str">
        <f>IF($N$1="Piping", IF(ISBLANK(Piping!F430), "", Piping!F430), IF($N$1="Vessels", IF(ISBLANK(Vessels!F430), "", Vessels!F430), ""))</f>
        <v/>
      </c>
      <c r="G430" s="21">
        <f>IF($N$1="Piping", IF(ISBLANK(Piping!G430), "", Piping!G430), IF($N$1="Vessels", IF(ISBLANK(Vessels!G430), "", Vessels!G430), ""))</f>
        <v>0</v>
      </c>
      <c r="H430" s="21" t="str">
        <f>IF($N$1="Piping", IF(ISBLANK(Piping!H430), "", Piping!H430), IF($N$1="Vessels", IF(ISBLANK(Vessels!H430), "", Vessels!H430), ""))</f>
        <v/>
      </c>
      <c r="I430" s="21" t="str">
        <f>IF($N$1="Piping", IF(ISBLANK(Piping!I430), "", Piping!I430), IF($N$1="Vessels", IF(ISBLANK(Vessels!I430), "", Vessels!I430), ""))</f>
        <v/>
      </c>
      <c r="J430" s="21" t="str">
        <f>IF($N$1="Piping", IF(ISBLANK(Piping!J430), "", Piping!J430), IF($N$1="Vessels", IF(ISBLANK(Vessels!J430), "", Vessels!J430), ""))</f>
        <v/>
      </c>
      <c r="K430" s="21" t="str">
        <f>IF($N$1="Piping", IF(ISBLANK(Piping!K430), "", Piping!K430), IF($N$1="Vessels", IF(ISBLANK(Vessels!K430), "", Vessels!K430), ""))</f>
        <v/>
      </c>
      <c r="L430" s="21" t="str">
        <f>IF($N$1="Piping", IF(ISBLANK(Piping!L430), "", Piping!L430), IF($N$1="Vessels", IF(ISBLANK(Vessels!L430), "", Vessels!L430), ""))</f>
        <v/>
      </c>
      <c r="M430" s="21"/>
      <c r="N430" s="21"/>
      <c r="O430" s="21"/>
      <c r="P430" s="21"/>
      <c r="Q430" s="21" t="str">
        <f>IF($N$1="Piping", IF(ISBLANK(Piping!T430), "", Piping!T430), IF($N$1="Vessels", IF(ISBLANK(Vessels!T430), "", Vessels!T430), ""))</f>
        <v/>
      </c>
      <c r="R430" s="51" t="str">
        <f>IF($N$1="Piping", IF(ISBLANK(Piping!U430), "", Piping!U430), IF($N$1="Vessels", IF(ISBLANK(Vessels!U430), "", Vessels!U430), ""))</f>
        <v/>
      </c>
      <c r="S430" s="118" t="str">
        <f>IF(B430&lt;&gt;"",IF($N$1="Piping", IF(ISBLANK(Piping!$J$3), "", Piping!$J$3), IF($N$1="Vessels", IF(ISBLANK(Vessels!$J$3), "", Vessels!$J$3), "")),"")</f>
        <v/>
      </c>
      <c r="T430" s="37"/>
      <c r="U430" s="37"/>
      <c r="V430" s="37"/>
      <c r="W430" s="37"/>
      <c r="X430" s="37"/>
      <c r="Y430" s="37"/>
      <c r="Z430" s="37"/>
    </row>
    <row r="431" spans="1:26" ht="15.75" customHeight="1" x14ac:dyDescent="0.3">
      <c r="A431" s="22">
        <f>IF($N$1="Piping", IF(ISBLANK(Piping!A431), "", Piping!A431), IF($N$1="Vessels", IF(ISBLANK(Vessels!A431), "", Vessels!A431), ""))</f>
        <v>107.2</v>
      </c>
      <c r="B431" s="21" t="str">
        <f>IF($N$1="Piping", IF(ISBLANK(Piping!B431), "", Piping!B431), IF($N$1="Vessels", IF(ISBLANK(Vessels!B431), "", Vessels!B431), ""))</f>
        <v/>
      </c>
      <c r="C431" s="21" t="str">
        <f>IF($N$1="Piping", IF(ISBLANK(Piping!C431), "", Piping!C431), IF($N$1="Vessels", IF(ISBLANK(Vessels!C431), "", Vessels!C431), ""))</f>
        <v>Piping</v>
      </c>
      <c r="D431" s="21" t="str">
        <f>IF($N$1="Piping", IF(ISBLANK(Piping!D431), "", Piping!D431), IF($N$1="Vessels", IF(ISBLANK(Vessels!D431), "", Vessels!D431), ""))</f>
        <v/>
      </c>
      <c r="E431" s="21" t="str">
        <f>IF($N$1="Piping", IF(ISBLANK(Piping!E431), "", Piping!E431), IF($N$1="Vessels", IF(ISBLANK(Vessels!E431), "", Vessels!E431), ""))</f>
        <v/>
      </c>
      <c r="F431" s="21" t="str">
        <f>IF($N$1="Piping", IF(ISBLANK(Piping!F431), "", Piping!F431), IF($N$1="Vessels", IF(ISBLANK(Vessels!F431), "", Vessels!F431), ""))</f>
        <v/>
      </c>
      <c r="G431" s="21">
        <f>IF($N$1="Piping", IF(ISBLANK(Piping!G431), "", Piping!G431), IF($N$1="Vessels", IF(ISBLANK(Vessels!G431), "", Vessels!G431), ""))</f>
        <v>0</v>
      </c>
      <c r="H431" s="21" t="str">
        <f>IF($N$1="Piping", IF(ISBLANK(Piping!H431), "", Piping!H431), IF($N$1="Vessels", IF(ISBLANK(Vessels!H431), "", Vessels!H431), ""))</f>
        <v/>
      </c>
      <c r="I431" s="21" t="str">
        <f>IF($N$1="Piping", IF(ISBLANK(Piping!I431), "", Piping!I431), IF($N$1="Vessels", IF(ISBLANK(Vessels!I431), "", Vessels!I431), ""))</f>
        <v/>
      </c>
      <c r="J431" s="21" t="str">
        <f>IF($N$1="Piping", IF(ISBLANK(Piping!J431), "", Piping!J431), IF($N$1="Vessels", IF(ISBLANK(Vessels!J431), "", Vessels!J431), ""))</f>
        <v/>
      </c>
      <c r="K431" s="21" t="str">
        <f>IF($N$1="Piping", IF(ISBLANK(Piping!K431), "", Piping!K431), IF($N$1="Vessels", IF(ISBLANK(Vessels!K431), "", Vessels!K431), ""))</f>
        <v/>
      </c>
      <c r="L431" s="21" t="str">
        <f>IF($N$1="Piping", IF(ISBLANK(Piping!L431), "", Piping!L431), IF($N$1="Vessels", IF(ISBLANK(Vessels!L431), "", Vessels!L431), ""))</f>
        <v/>
      </c>
      <c r="M431" s="21"/>
      <c r="N431" s="21"/>
      <c r="O431" s="21"/>
      <c r="P431" s="21"/>
      <c r="Q431" s="21" t="str">
        <f>IF($N$1="Piping", IF(ISBLANK(Piping!T431), "", Piping!T431), IF($N$1="Vessels", IF(ISBLANK(Vessels!T431), "", Vessels!T431), ""))</f>
        <v/>
      </c>
      <c r="R431" s="51" t="str">
        <f>IF($N$1="Piping", IF(ISBLANK(Piping!U431), "", Piping!U431), IF($N$1="Vessels", IF(ISBLANK(Vessels!U431), "", Vessels!U431), ""))</f>
        <v/>
      </c>
      <c r="S431" s="118" t="str">
        <f>IF(B431&lt;&gt;"",IF($N$1="Piping", IF(ISBLANK(Piping!$J$3), "", Piping!$J$3), IF($N$1="Vessels", IF(ISBLANK(Vessels!$J$3), "", Vessels!$J$3), "")),"")</f>
        <v/>
      </c>
      <c r="T431" s="37"/>
      <c r="U431" s="37"/>
      <c r="V431" s="37"/>
      <c r="W431" s="37"/>
      <c r="X431" s="37"/>
      <c r="Y431" s="37"/>
      <c r="Z431" s="37"/>
    </row>
    <row r="432" spans="1:26" ht="15.75" customHeight="1" x14ac:dyDescent="0.3">
      <c r="A432" s="22">
        <f>IF($N$1="Piping", IF(ISBLANK(Piping!A432), "", Piping!A432), IF($N$1="Vessels", IF(ISBLANK(Vessels!A432), "", Vessels!A432), ""))</f>
        <v>107.3</v>
      </c>
      <c r="B432" s="21" t="str">
        <f>IF($N$1="Piping", IF(ISBLANK(Piping!B432), "", Piping!B432), IF($N$1="Vessels", IF(ISBLANK(Vessels!B432), "", Vessels!B432), ""))</f>
        <v/>
      </c>
      <c r="C432" s="21" t="str">
        <f>IF($N$1="Piping", IF(ISBLANK(Piping!C432), "", Piping!C432), IF($N$1="Vessels", IF(ISBLANK(Vessels!C432), "", Vessels!C432), ""))</f>
        <v>Piping</v>
      </c>
      <c r="D432" s="21" t="str">
        <f>IF($N$1="Piping", IF(ISBLANK(Piping!D432), "", Piping!D432), IF($N$1="Vessels", IF(ISBLANK(Vessels!D432), "", Vessels!D432), ""))</f>
        <v/>
      </c>
      <c r="E432" s="21" t="str">
        <f>IF($N$1="Piping", IF(ISBLANK(Piping!E432), "", Piping!E432), IF($N$1="Vessels", IF(ISBLANK(Vessels!E432), "", Vessels!E432), ""))</f>
        <v/>
      </c>
      <c r="F432" s="21" t="str">
        <f>IF($N$1="Piping", IF(ISBLANK(Piping!F432), "", Piping!F432), IF($N$1="Vessels", IF(ISBLANK(Vessels!F432), "", Vessels!F432), ""))</f>
        <v/>
      </c>
      <c r="G432" s="21">
        <f>IF($N$1="Piping", IF(ISBLANK(Piping!G432), "", Piping!G432), IF($N$1="Vessels", IF(ISBLANK(Vessels!G432), "", Vessels!G432), ""))</f>
        <v>0</v>
      </c>
      <c r="H432" s="21" t="str">
        <f>IF($N$1="Piping", IF(ISBLANK(Piping!H432), "", Piping!H432), IF($N$1="Vessels", IF(ISBLANK(Vessels!H432), "", Vessels!H432), ""))</f>
        <v/>
      </c>
      <c r="I432" s="21" t="str">
        <f>IF($N$1="Piping", IF(ISBLANK(Piping!I432), "", Piping!I432), IF($N$1="Vessels", IF(ISBLANK(Vessels!I432), "", Vessels!I432), ""))</f>
        <v/>
      </c>
      <c r="J432" s="21" t="str">
        <f>IF($N$1="Piping", IF(ISBLANK(Piping!J432), "", Piping!J432), IF($N$1="Vessels", IF(ISBLANK(Vessels!J432), "", Vessels!J432), ""))</f>
        <v/>
      </c>
      <c r="K432" s="21" t="str">
        <f>IF($N$1="Piping", IF(ISBLANK(Piping!K432), "", Piping!K432), IF($N$1="Vessels", IF(ISBLANK(Vessels!K432), "", Vessels!K432), ""))</f>
        <v/>
      </c>
      <c r="L432" s="21" t="str">
        <f>IF($N$1="Piping", IF(ISBLANK(Piping!L432), "", Piping!L432), IF($N$1="Vessels", IF(ISBLANK(Vessels!L432), "", Vessels!L432), ""))</f>
        <v/>
      </c>
      <c r="M432" s="21"/>
      <c r="N432" s="21"/>
      <c r="O432" s="21"/>
      <c r="P432" s="21"/>
      <c r="Q432" s="21" t="str">
        <f>IF($N$1="Piping", IF(ISBLANK(Piping!T432), "", Piping!T432), IF($N$1="Vessels", IF(ISBLANK(Vessels!T432), "", Vessels!T432), ""))</f>
        <v/>
      </c>
      <c r="R432" s="51" t="str">
        <f>IF($N$1="Piping", IF(ISBLANK(Piping!U432), "", Piping!U432), IF($N$1="Vessels", IF(ISBLANK(Vessels!U432), "", Vessels!U432), ""))</f>
        <v/>
      </c>
      <c r="S432" s="118" t="str">
        <f>IF(B432&lt;&gt;"",IF($N$1="Piping", IF(ISBLANK(Piping!$J$3), "", Piping!$J$3), IF($N$1="Vessels", IF(ISBLANK(Vessels!$J$3), "", Vessels!$J$3), "")),"")</f>
        <v/>
      </c>
      <c r="T432" s="37"/>
      <c r="U432" s="37"/>
      <c r="V432" s="37"/>
      <c r="W432" s="37"/>
      <c r="X432" s="37"/>
      <c r="Y432" s="37"/>
      <c r="Z432" s="37"/>
    </row>
    <row r="433" spans="1:26" ht="15.75" customHeight="1" x14ac:dyDescent="0.3">
      <c r="A433" s="22">
        <f>IF($N$1="Piping", IF(ISBLANK(Piping!A433), "", Piping!A433), IF($N$1="Vessels", IF(ISBLANK(Vessels!A433), "", Vessels!A433), ""))</f>
        <v>107.4</v>
      </c>
      <c r="B433" s="21" t="str">
        <f>IF($N$1="Piping", IF(ISBLANK(Piping!B433), "", Piping!B433), IF($N$1="Vessels", IF(ISBLANK(Vessels!B433), "", Vessels!B433), ""))</f>
        <v/>
      </c>
      <c r="C433" s="21" t="str">
        <f>IF($N$1="Piping", IF(ISBLANK(Piping!C433), "", Piping!C433), IF($N$1="Vessels", IF(ISBLANK(Vessels!C433), "", Vessels!C433), ""))</f>
        <v>Piping</v>
      </c>
      <c r="D433" s="21" t="str">
        <f>IF($N$1="Piping", IF(ISBLANK(Piping!D433), "", Piping!D433), IF($N$1="Vessels", IF(ISBLANK(Vessels!D433), "", Vessels!D433), ""))</f>
        <v/>
      </c>
      <c r="E433" s="21" t="str">
        <f>IF($N$1="Piping", IF(ISBLANK(Piping!E433), "", Piping!E433), IF($N$1="Vessels", IF(ISBLANK(Vessels!E433), "", Vessels!E433), ""))</f>
        <v/>
      </c>
      <c r="F433" s="21" t="str">
        <f>IF($N$1="Piping", IF(ISBLANK(Piping!F433), "", Piping!F433), IF($N$1="Vessels", IF(ISBLANK(Vessels!F433), "", Vessels!F433), ""))</f>
        <v/>
      </c>
      <c r="G433" s="21">
        <f>IF($N$1="Piping", IF(ISBLANK(Piping!G433), "", Piping!G433), IF($N$1="Vessels", IF(ISBLANK(Vessels!G433), "", Vessels!G433), ""))</f>
        <v>0</v>
      </c>
      <c r="H433" s="21" t="str">
        <f>IF($N$1="Piping", IF(ISBLANK(Piping!H433), "", Piping!H433), IF($N$1="Vessels", IF(ISBLANK(Vessels!H433), "", Vessels!H433), ""))</f>
        <v/>
      </c>
      <c r="I433" s="21" t="str">
        <f>IF($N$1="Piping", IF(ISBLANK(Piping!I433), "", Piping!I433), IF($N$1="Vessels", IF(ISBLANK(Vessels!I433), "", Vessels!I433), ""))</f>
        <v/>
      </c>
      <c r="J433" s="21" t="str">
        <f>IF($N$1="Piping", IF(ISBLANK(Piping!J433), "", Piping!J433), IF($N$1="Vessels", IF(ISBLANK(Vessels!J433), "", Vessels!J433), ""))</f>
        <v/>
      </c>
      <c r="K433" s="21" t="str">
        <f>IF($N$1="Piping", IF(ISBLANK(Piping!K433), "", Piping!K433), IF($N$1="Vessels", IF(ISBLANK(Vessels!K433), "", Vessels!K433), ""))</f>
        <v/>
      </c>
      <c r="L433" s="21" t="str">
        <f>IF($N$1="Piping", IF(ISBLANK(Piping!L433), "", Piping!L433), IF($N$1="Vessels", IF(ISBLANK(Vessels!L433), "", Vessels!L433), ""))</f>
        <v/>
      </c>
      <c r="M433" s="21"/>
      <c r="N433" s="21"/>
      <c r="O433" s="21"/>
      <c r="P433" s="21"/>
      <c r="Q433" s="21" t="str">
        <f>IF($N$1="Piping", IF(ISBLANK(Piping!T433), "", Piping!T433), IF($N$1="Vessels", IF(ISBLANK(Vessels!T433), "", Vessels!T433), ""))</f>
        <v/>
      </c>
      <c r="R433" s="51" t="str">
        <f>IF($N$1="Piping", IF(ISBLANK(Piping!U433), "", Piping!U433), IF($N$1="Vessels", IF(ISBLANK(Vessels!U433), "", Vessels!U433), ""))</f>
        <v/>
      </c>
      <c r="S433" s="118" t="str">
        <f>IF(B433&lt;&gt;"",IF($N$1="Piping", IF(ISBLANK(Piping!$J$3), "", Piping!$J$3), IF($N$1="Vessels", IF(ISBLANK(Vessels!$J$3), "", Vessels!$J$3), "")),"")</f>
        <v/>
      </c>
      <c r="T433" s="37"/>
      <c r="U433" s="37"/>
      <c r="V433" s="37"/>
      <c r="W433" s="37"/>
      <c r="X433" s="37"/>
      <c r="Y433" s="37"/>
      <c r="Z433" s="37"/>
    </row>
    <row r="434" spans="1:26" ht="15.75" customHeight="1" x14ac:dyDescent="0.3">
      <c r="A434" s="22">
        <f>IF($N$1="Piping", IF(ISBLANK(Piping!A434), "", Piping!A434), IF($N$1="Vessels", IF(ISBLANK(Vessels!A434), "", Vessels!A434), ""))</f>
        <v>108.1</v>
      </c>
      <c r="B434" s="21" t="str">
        <f>IF($N$1="Piping", IF(ISBLANK(Piping!B434), "", Piping!B434), IF($N$1="Vessels", IF(ISBLANK(Vessels!B434), "", Vessels!B434), ""))</f>
        <v/>
      </c>
      <c r="C434" s="21" t="str">
        <f>IF($N$1="Piping", IF(ISBLANK(Piping!C434), "", Piping!C434), IF($N$1="Vessels", IF(ISBLANK(Vessels!C434), "", Vessels!C434), ""))</f>
        <v>Piping</v>
      </c>
      <c r="D434" s="21" t="str">
        <f>IF($N$1="Piping", IF(ISBLANK(Piping!D434), "", Piping!D434), IF($N$1="Vessels", IF(ISBLANK(Vessels!D434), "", Vessels!D434), ""))</f>
        <v/>
      </c>
      <c r="E434" s="21" t="str">
        <f>IF($N$1="Piping", IF(ISBLANK(Piping!E434), "", Piping!E434), IF($N$1="Vessels", IF(ISBLANK(Vessels!E434), "", Vessels!E434), ""))</f>
        <v/>
      </c>
      <c r="F434" s="21" t="str">
        <f>IF($N$1="Piping", IF(ISBLANK(Piping!F434), "", Piping!F434), IF($N$1="Vessels", IF(ISBLANK(Vessels!F434), "", Vessels!F434), ""))</f>
        <v/>
      </c>
      <c r="G434" s="21">
        <f>IF($N$1="Piping", IF(ISBLANK(Piping!G434), "", Piping!G434), IF($N$1="Vessels", IF(ISBLANK(Vessels!G434), "", Vessels!G434), ""))</f>
        <v>0</v>
      </c>
      <c r="H434" s="21" t="str">
        <f>IF($N$1="Piping", IF(ISBLANK(Piping!H434), "", Piping!H434), IF($N$1="Vessels", IF(ISBLANK(Vessels!H434), "", Vessels!H434), ""))</f>
        <v/>
      </c>
      <c r="I434" s="21" t="str">
        <f>IF($N$1="Piping", IF(ISBLANK(Piping!I434), "", Piping!I434), IF($N$1="Vessels", IF(ISBLANK(Vessels!I434), "", Vessels!I434), ""))</f>
        <v/>
      </c>
      <c r="J434" s="21" t="str">
        <f>IF($N$1="Piping", IF(ISBLANK(Piping!J434), "", Piping!J434), IF($N$1="Vessels", IF(ISBLANK(Vessels!J434), "", Vessels!J434), ""))</f>
        <v/>
      </c>
      <c r="K434" s="21" t="str">
        <f>IF($N$1="Piping", IF(ISBLANK(Piping!K434), "", Piping!K434), IF($N$1="Vessels", IF(ISBLANK(Vessels!K434), "", Vessels!K434), ""))</f>
        <v/>
      </c>
      <c r="L434" s="21" t="str">
        <f>IF($N$1="Piping", IF(ISBLANK(Piping!L434), "", Piping!L434), IF($N$1="Vessels", IF(ISBLANK(Vessels!L434), "", Vessels!L434), ""))</f>
        <v/>
      </c>
      <c r="M434" s="21"/>
      <c r="N434" s="21"/>
      <c r="O434" s="21"/>
      <c r="P434" s="21"/>
      <c r="Q434" s="21" t="str">
        <f>IF($N$1="Piping", IF(ISBLANK(Piping!T434), "", Piping!T434), IF($N$1="Vessels", IF(ISBLANK(Vessels!T434), "", Vessels!T434), ""))</f>
        <v/>
      </c>
      <c r="R434" s="51" t="str">
        <f>IF($N$1="Piping", IF(ISBLANK(Piping!U434), "", Piping!U434), IF($N$1="Vessels", IF(ISBLANK(Vessels!U434), "", Vessels!U434), ""))</f>
        <v/>
      </c>
      <c r="S434" s="118" t="str">
        <f>IF(B434&lt;&gt;"",IF($N$1="Piping", IF(ISBLANK(Piping!$J$3), "", Piping!$J$3), IF($N$1="Vessels", IF(ISBLANK(Vessels!$J$3), "", Vessels!$J$3), "")),"")</f>
        <v/>
      </c>
      <c r="T434" s="37"/>
      <c r="U434" s="37"/>
      <c r="V434" s="37"/>
      <c r="W434" s="37"/>
      <c r="X434" s="37"/>
      <c r="Y434" s="37"/>
      <c r="Z434" s="37"/>
    </row>
    <row r="435" spans="1:26" ht="15.75" customHeight="1" x14ac:dyDescent="0.3">
      <c r="A435" s="22">
        <f>IF($N$1="Piping", IF(ISBLANK(Piping!A435), "", Piping!A435), IF($N$1="Vessels", IF(ISBLANK(Vessels!A435), "", Vessels!A435), ""))</f>
        <v>108.2</v>
      </c>
      <c r="B435" s="21" t="str">
        <f>IF($N$1="Piping", IF(ISBLANK(Piping!B435), "", Piping!B435), IF($N$1="Vessels", IF(ISBLANK(Vessels!B435), "", Vessels!B435), ""))</f>
        <v/>
      </c>
      <c r="C435" s="21" t="str">
        <f>IF($N$1="Piping", IF(ISBLANK(Piping!C435), "", Piping!C435), IF($N$1="Vessels", IF(ISBLANK(Vessels!C435), "", Vessels!C435), ""))</f>
        <v>Piping</v>
      </c>
      <c r="D435" s="21" t="str">
        <f>IF($N$1="Piping", IF(ISBLANK(Piping!D435), "", Piping!D435), IF($N$1="Vessels", IF(ISBLANK(Vessels!D435), "", Vessels!D435), ""))</f>
        <v/>
      </c>
      <c r="E435" s="21" t="str">
        <f>IF($N$1="Piping", IF(ISBLANK(Piping!E435), "", Piping!E435), IF($N$1="Vessels", IF(ISBLANK(Vessels!E435), "", Vessels!E435), ""))</f>
        <v/>
      </c>
      <c r="F435" s="21" t="str">
        <f>IF($N$1="Piping", IF(ISBLANK(Piping!F435), "", Piping!F435), IF($N$1="Vessels", IF(ISBLANK(Vessels!F435), "", Vessels!F435), ""))</f>
        <v/>
      </c>
      <c r="G435" s="21">
        <f>IF($N$1="Piping", IF(ISBLANK(Piping!G435), "", Piping!G435), IF($N$1="Vessels", IF(ISBLANK(Vessels!G435), "", Vessels!G435), ""))</f>
        <v>0</v>
      </c>
      <c r="H435" s="21" t="str">
        <f>IF($N$1="Piping", IF(ISBLANK(Piping!H435), "", Piping!H435), IF($N$1="Vessels", IF(ISBLANK(Vessels!H435), "", Vessels!H435), ""))</f>
        <v/>
      </c>
      <c r="I435" s="21" t="str">
        <f>IF($N$1="Piping", IF(ISBLANK(Piping!I435), "", Piping!I435), IF($N$1="Vessels", IF(ISBLANK(Vessels!I435), "", Vessels!I435), ""))</f>
        <v/>
      </c>
      <c r="J435" s="21" t="str">
        <f>IF($N$1="Piping", IF(ISBLANK(Piping!J435), "", Piping!J435), IF($N$1="Vessels", IF(ISBLANK(Vessels!J435), "", Vessels!J435), ""))</f>
        <v/>
      </c>
      <c r="K435" s="21" t="str">
        <f>IF($N$1="Piping", IF(ISBLANK(Piping!K435), "", Piping!K435), IF($N$1="Vessels", IF(ISBLANK(Vessels!K435), "", Vessels!K435), ""))</f>
        <v/>
      </c>
      <c r="L435" s="21" t="str">
        <f>IF($N$1="Piping", IF(ISBLANK(Piping!L435), "", Piping!L435), IF($N$1="Vessels", IF(ISBLANK(Vessels!L435), "", Vessels!L435), ""))</f>
        <v/>
      </c>
      <c r="M435" s="21"/>
      <c r="N435" s="21"/>
      <c r="O435" s="21"/>
      <c r="P435" s="21"/>
      <c r="Q435" s="21" t="str">
        <f>IF($N$1="Piping", IF(ISBLANK(Piping!T435), "", Piping!T435), IF($N$1="Vessels", IF(ISBLANK(Vessels!T435), "", Vessels!T435), ""))</f>
        <v/>
      </c>
      <c r="R435" s="51" t="str">
        <f>IF($N$1="Piping", IF(ISBLANK(Piping!U435), "", Piping!U435), IF($N$1="Vessels", IF(ISBLANK(Vessels!U435), "", Vessels!U435), ""))</f>
        <v/>
      </c>
      <c r="S435" s="118" t="str">
        <f>IF(B435&lt;&gt;"",IF($N$1="Piping", IF(ISBLANK(Piping!$J$3), "", Piping!$J$3), IF($N$1="Vessels", IF(ISBLANK(Vessels!$J$3), "", Vessels!$J$3), "")),"")</f>
        <v/>
      </c>
      <c r="T435" s="37"/>
      <c r="U435" s="37"/>
      <c r="V435" s="37"/>
      <c r="W435" s="37"/>
      <c r="X435" s="37"/>
      <c r="Y435" s="37"/>
      <c r="Z435" s="37"/>
    </row>
    <row r="436" spans="1:26" ht="15.75" customHeight="1" x14ac:dyDescent="0.3">
      <c r="A436" s="22">
        <f>IF($N$1="Piping", IF(ISBLANK(Piping!A436), "", Piping!A436), IF($N$1="Vessels", IF(ISBLANK(Vessels!A436), "", Vessels!A436), ""))</f>
        <v>108.3</v>
      </c>
      <c r="B436" s="21" t="str">
        <f>IF($N$1="Piping", IF(ISBLANK(Piping!B436), "", Piping!B436), IF($N$1="Vessels", IF(ISBLANK(Vessels!B436), "", Vessels!B436), ""))</f>
        <v/>
      </c>
      <c r="C436" s="21" t="str">
        <f>IF($N$1="Piping", IF(ISBLANK(Piping!C436), "", Piping!C436), IF($N$1="Vessels", IF(ISBLANK(Vessels!C436), "", Vessels!C436), ""))</f>
        <v>Piping</v>
      </c>
      <c r="D436" s="21" t="str">
        <f>IF($N$1="Piping", IF(ISBLANK(Piping!D436), "", Piping!D436), IF($N$1="Vessels", IF(ISBLANK(Vessels!D436), "", Vessels!D436), ""))</f>
        <v/>
      </c>
      <c r="E436" s="21" t="str">
        <f>IF($N$1="Piping", IF(ISBLANK(Piping!E436), "", Piping!E436), IF($N$1="Vessels", IF(ISBLANK(Vessels!E436), "", Vessels!E436), ""))</f>
        <v/>
      </c>
      <c r="F436" s="21" t="str">
        <f>IF($N$1="Piping", IF(ISBLANK(Piping!F436), "", Piping!F436), IF($N$1="Vessels", IF(ISBLANK(Vessels!F436), "", Vessels!F436), ""))</f>
        <v/>
      </c>
      <c r="G436" s="21">
        <f>IF($N$1="Piping", IF(ISBLANK(Piping!G436), "", Piping!G436), IF($N$1="Vessels", IF(ISBLANK(Vessels!G436), "", Vessels!G436), ""))</f>
        <v>0</v>
      </c>
      <c r="H436" s="21" t="str">
        <f>IF($N$1="Piping", IF(ISBLANK(Piping!H436), "", Piping!H436), IF($N$1="Vessels", IF(ISBLANK(Vessels!H436), "", Vessels!H436), ""))</f>
        <v/>
      </c>
      <c r="I436" s="21" t="str">
        <f>IF($N$1="Piping", IF(ISBLANK(Piping!I436), "", Piping!I436), IF($N$1="Vessels", IF(ISBLANK(Vessels!I436), "", Vessels!I436), ""))</f>
        <v/>
      </c>
      <c r="J436" s="21" t="str">
        <f>IF($N$1="Piping", IF(ISBLANK(Piping!J436), "", Piping!J436), IF($N$1="Vessels", IF(ISBLANK(Vessels!J436), "", Vessels!J436), ""))</f>
        <v/>
      </c>
      <c r="K436" s="21" t="str">
        <f>IF($N$1="Piping", IF(ISBLANK(Piping!K436), "", Piping!K436), IF($N$1="Vessels", IF(ISBLANK(Vessels!K436), "", Vessels!K436), ""))</f>
        <v/>
      </c>
      <c r="L436" s="21" t="str">
        <f>IF($N$1="Piping", IF(ISBLANK(Piping!L436), "", Piping!L436), IF($N$1="Vessels", IF(ISBLANK(Vessels!L436), "", Vessels!L436), ""))</f>
        <v/>
      </c>
      <c r="M436" s="21"/>
      <c r="N436" s="21"/>
      <c r="O436" s="21"/>
      <c r="P436" s="21"/>
      <c r="Q436" s="21" t="str">
        <f>IF($N$1="Piping", IF(ISBLANK(Piping!T436), "", Piping!T436), IF($N$1="Vessels", IF(ISBLANK(Vessels!T436), "", Vessels!T436), ""))</f>
        <v/>
      </c>
      <c r="R436" s="51" t="str">
        <f>IF($N$1="Piping", IF(ISBLANK(Piping!U436), "", Piping!U436), IF($N$1="Vessels", IF(ISBLANK(Vessels!U436), "", Vessels!U436), ""))</f>
        <v/>
      </c>
      <c r="S436" s="118" t="str">
        <f>IF(B436&lt;&gt;"",IF($N$1="Piping", IF(ISBLANK(Piping!$J$3), "", Piping!$J$3), IF($N$1="Vessels", IF(ISBLANK(Vessels!$J$3), "", Vessels!$J$3), "")),"")</f>
        <v/>
      </c>
      <c r="T436" s="37"/>
      <c r="U436" s="37"/>
      <c r="V436" s="37"/>
      <c r="W436" s="37"/>
      <c r="X436" s="37"/>
      <c r="Y436" s="37"/>
      <c r="Z436" s="37"/>
    </row>
    <row r="437" spans="1:26" ht="15.75" customHeight="1" x14ac:dyDescent="0.3">
      <c r="A437" s="22">
        <f>IF($N$1="Piping", IF(ISBLANK(Piping!A437), "", Piping!A437), IF($N$1="Vessels", IF(ISBLANK(Vessels!A437), "", Vessels!A437), ""))</f>
        <v>108.4</v>
      </c>
      <c r="B437" s="21" t="str">
        <f>IF($N$1="Piping", IF(ISBLANK(Piping!B437), "", Piping!B437), IF($N$1="Vessels", IF(ISBLANK(Vessels!B437), "", Vessels!B437), ""))</f>
        <v/>
      </c>
      <c r="C437" s="21" t="str">
        <f>IF($N$1="Piping", IF(ISBLANK(Piping!C437), "", Piping!C437), IF($N$1="Vessels", IF(ISBLANK(Vessels!C437), "", Vessels!C437), ""))</f>
        <v>Piping</v>
      </c>
      <c r="D437" s="21" t="str">
        <f>IF($N$1="Piping", IF(ISBLANK(Piping!D437), "", Piping!D437), IF($N$1="Vessels", IF(ISBLANK(Vessels!D437), "", Vessels!D437), ""))</f>
        <v/>
      </c>
      <c r="E437" s="21" t="str">
        <f>IF($N$1="Piping", IF(ISBLANK(Piping!E437), "", Piping!E437), IF($N$1="Vessels", IF(ISBLANK(Vessels!E437), "", Vessels!E437), ""))</f>
        <v/>
      </c>
      <c r="F437" s="21" t="str">
        <f>IF($N$1="Piping", IF(ISBLANK(Piping!F437), "", Piping!F437), IF($N$1="Vessels", IF(ISBLANK(Vessels!F437), "", Vessels!F437), ""))</f>
        <v/>
      </c>
      <c r="G437" s="21">
        <f>IF($N$1="Piping", IF(ISBLANK(Piping!G437), "", Piping!G437), IF($N$1="Vessels", IF(ISBLANK(Vessels!G437), "", Vessels!G437), ""))</f>
        <v>0</v>
      </c>
      <c r="H437" s="21" t="str">
        <f>IF($N$1="Piping", IF(ISBLANK(Piping!H437), "", Piping!H437), IF($N$1="Vessels", IF(ISBLANK(Vessels!H437), "", Vessels!H437), ""))</f>
        <v/>
      </c>
      <c r="I437" s="21" t="str">
        <f>IF($N$1="Piping", IF(ISBLANK(Piping!I437), "", Piping!I437), IF($N$1="Vessels", IF(ISBLANK(Vessels!I437), "", Vessels!I437), ""))</f>
        <v/>
      </c>
      <c r="J437" s="21" t="str">
        <f>IF($N$1="Piping", IF(ISBLANK(Piping!J437), "", Piping!J437), IF($N$1="Vessels", IF(ISBLANK(Vessels!J437), "", Vessels!J437), ""))</f>
        <v/>
      </c>
      <c r="K437" s="21" t="str">
        <f>IF($N$1="Piping", IF(ISBLANK(Piping!K437), "", Piping!K437), IF($N$1="Vessels", IF(ISBLANK(Vessels!K437), "", Vessels!K437), ""))</f>
        <v/>
      </c>
      <c r="L437" s="21" t="str">
        <f>IF($N$1="Piping", IF(ISBLANK(Piping!L437), "", Piping!L437), IF($N$1="Vessels", IF(ISBLANK(Vessels!L437), "", Vessels!L437), ""))</f>
        <v/>
      </c>
      <c r="M437" s="21"/>
      <c r="N437" s="21"/>
      <c r="O437" s="21"/>
      <c r="P437" s="21"/>
      <c r="Q437" s="21" t="str">
        <f>IF($N$1="Piping", IF(ISBLANK(Piping!T437), "", Piping!T437), IF($N$1="Vessels", IF(ISBLANK(Vessels!T437), "", Vessels!T437), ""))</f>
        <v/>
      </c>
      <c r="R437" s="51" t="str">
        <f>IF($N$1="Piping", IF(ISBLANK(Piping!U437), "", Piping!U437), IF($N$1="Vessels", IF(ISBLANK(Vessels!U437), "", Vessels!U437), ""))</f>
        <v/>
      </c>
      <c r="S437" s="118" t="str">
        <f>IF(B437&lt;&gt;"",IF($N$1="Piping", IF(ISBLANK(Piping!$J$3), "", Piping!$J$3), IF($N$1="Vessels", IF(ISBLANK(Vessels!$J$3), "", Vessels!$J$3), "")),"")</f>
        <v/>
      </c>
      <c r="T437" s="37"/>
      <c r="U437" s="37"/>
      <c r="V437" s="37"/>
      <c r="W437" s="37"/>
      <c r="X437" s="37"/>
      <c r="Y437" s="37"/>
      <c r="Z437" s="37"/>
    </row>
    <row r="438" spans="1:26" ht="15.75" customHeight="1" x14ac:dyDescent="0.3">
      <c r="A438" s="22">
        <f>IF($N$1="Piping", IF(ISBLANK(Piping!A438), "", Piping!A438), IF($N$1="Vessels", IF(ISBLANK(Vessels!A438), "", Vessels!A438), ""))</f>
        <v>109.1</v>
      </c>
      <c r="B438" s="21" t="str">
        <f>IF($N$1="Piping", IF(ISBLANK(Piping!B438), "", Piping!B438), IF($N$1="Vessels", IF(ISBLANK(Vessels!B438), "", Vessels!B438), ""))</f>
        <v/>
      </c>
      <c r="C438" s="21" t="str">
        <f>IF($N$1="Piping", IF(ISBLANK(Piping!C438), "", Piping!C438), IF($N$1="Vessels", IF(ISBLANK(Vessels!C438), "", Vessels!C438), ""))</f>
        <v>Piping</v>
      </c>
      <c r="D438" s="21" t="str">
        <f>IF($N$1="Piping", IF(ISBLANK(Piping!D438), "", Piping!D438), IF($N$1="Vessels", IF(ISBLANK(Vessels!D438), "", Vessels!D438), ""))</f>
        <v/>
      </c>
      <c r="E438" s="21" t="str">
        <f>IF($N$1="Piping", IF(ISBLANK(Piping!E438), "", Piping!E438), IF($N$1="Vessels", IF(ISBLANK(Vessels!E438), "", Vessels!E438), ""))</f>
        <v/>
      </c>
      <c r="F438" s="21" t="str">
        <f>IF($N$1="Piping", IF(ISBLANK(Piping!F438), "", Piping!F438), IF($N$1="Vessels", IF(ISBLANK(Vessels!F438), "", Vessels!F438), ""))</f>
        <v/>
      </c>
      <c r="G438" s="21">
        <f>IF($N$1="Piping", IF(ISBLANK(Piping!G438), "", Piping!G438), IF($N$1="Vessels", IF(ISBLANK(Vessels!G438), "", Vessels!G438), ""))</f>
        <v>0</v>
      </c>
      <c r="H438" s="21" t="str">
        <f>IF($N$1="Piping", IF(ISBLANK(Piping!H438), "", Piping!H438), IF($N$1="Vessels", IF(ISBLANK(Vessels!H438), "", Vessels!H438), ""))</f>
        <v/>
      </c>
      <c r="I438" s="21" t="str">
        <f>IF($N$1="Piping", IF(ISBLANK(Piping!I438), "", Piping!I438), IF($N$1="Vessels", IF(ISBLANK(Vessels!I438), "", Vessels!I438), ""))</f>
        <v/>
      </c>
      <c r="J438" s="21" t="str">
        <f>IF($N$1="Piping", IF(ISBLANK(Piping!J438), "", Piping!J438), IF($N$1="Vessels", IF(ISBLANK(Vessels!J438), "", Vessels!J438), ""))</f>
        <v/>
      </c>
      <c r="K438" s="21" t="str">
        <f>IF($N$1="Piping", IF(ISBLANK(Piping!K438), "", Piping!K438), IF($N$1="Vessels", IF(ISBLANK(Vessels!K438), "", Vessels!K438), ""))</f>
        <v/>
      </c>
      <c r="L438" s="21" t="str">
        <f>IF($N$1="Piping", IF(ISBLANK(Piping!L438), "", Piping!L438), IF($N$1="Vessels", IF(ISBLANK(Vessels!L438), "", Vessels!L438), ""))</f>
        <v/>
      </c>
      <c r="M438" s="21"/>
      <c r="N438" s="21"/>
      <c r="O438" s="21"/>
      <c r="P438" s="21"/>
      <c r="Q438" s="21" t="str">
        <f>IF($N$1="Piping", IF(ISBLANK(Piping!T438), "", Piping!T438), IF($N$1="Vessels", IF(ISBLANK(Vessels!T438), "", Vessels!T438), ""))</f>
        <v/>
      </c>
      <c r="R438" s="51" t="str">
        <f>IF($N$1="Piping", IF(ISBLANK(Piping!U438), "", Piping!U438), IF($N$1="Vessels", IF(ISBLANK(Vessels!U438), "", Vessels!U438), ""))</f>
        <v/>
      </c>
      <c r="S438" s="118" t="str">
        <f>IF(B438&lt;&gt;"",IF($N$1="Piping", IF(ISBLANK(Piping!$J$3), "", Piping!$J$3), IF($N$1="Vessels", IF(ISBLANK(Vessels!$J$3), "", Vessels!$J$3), "")),"")</f>
        <v/>
      </c>
      <c r="T438" s="37"/>
      <c r="U438" s="37"/>
      <c r="V438" s="37"/>
      <c r="W438" s="37"/>
      <c r="X438" s="37"/>
      <c r="Y438" s="37"/>
      <c r="Z438" s="37"/>
    </row>
    <row r="439" spans="1:26" ht="15.75" customHeight="1" x14ac:dyDescent="0.3">
      <c r="A439" s="22">
        <f>IF($N$1="Piping", IF(ISBLANK(Piping!A439), "", Piping!A439), IF($N$1="Vessels", IF(ISBLANK(Vessels!A439), "", Vessels!A439), ""))</f>
        <v>109.2</v>
      </c>
      <c r="B439" s="21" t="str">
        <f>IF($N$1="Piping", IF(ISBLANK(Piping!B439), "", Piping!B439), IF($N$1="Vessels", IF(ISBLANK(Vessels!B439), "", Vessels!B439), ""))</f>
        <v/>
      </c>
      <c r="C439" s="21" t="str">
        <f>IF($N$1="Piping", IF(ISBLANK(Piping!C439), "", Piping!C439), IF($N$1="Vessels", IF(ISBLANK(Vessels!C439), "", Vessels!C439), ""))</f>
        <v>Piping</v>
      </c>
      <c r="D439" s="21" t="str">
        <f>IF($N$1="Piping", IF(ISBLANK(Piping!D439), "", Piping!D439), IF($N$1="Vessels", IF(ISBLANK(Vessels!D439), "", Vessels!D439), ""))</f>
        <v/>
      </c>
      <c r="E439" s="21" t="str">
        <f>IF($N$1="Piping", IF(ISBLANK(Piping!E439), "", Piping!E439), IF($N$1="Vessels", IF(ISBLANK(Vessels!E439), "", Vessels!E439), ""))</f>
        <v/>
      </c>
      <c r="F439" s="21" t="str">
        <f>IF($N$1="Piping", IF(ISBLANK(Piping!F439), "", Piping!F439), IF($N$1="Vessels", IF(ISBLANK(Vessels!F439), "", Vessels!F439), ""))</f>
        <v/>
      </c>
      <c r="G439" s="21">
        <f>IF($N$1="Piping", IF(ISBLANK(Piping!G439), "", Piping!G439), IF($N$1="Vessels", IF(ISBLANK(Vessels!G439), "", Vessels!G439), ""))</f>
        <v>0</v>
      </c>
      <c r="H439" s="21" t="str">
        <f>IF($N$1="Piping", IF(ISBLANK(Piping!H439), "", Piping!H439), IF($N$1="Vessels", IF(ISBLANK(Vessels!H439), "", Vessels!H439), ""))</f>
        <v/>
      </c>
      <c r="I439" s="21" t="str">
        <f>IF($N$1="Piping", IF(ISBLANK(Piping!I439), "", Piping!I439), IF($N$1="Vessels", IF(ISBLANK(Vessels!I439), "", Vessels!I439), ""))</f>
        <v/>
      </c>
      <c r="J439" s="21" t="str">
        <f>IF($N$1="Piping", IF(ISBLANK(Piping!J439), "", Piping!J439), IF($N$1="Vessels", IF(ISBLANK(Vessels!J439), "", Vessels!J439), ""))</f>
        <v/>
      </c>
      <c r="K439" s="21" t="str">
        <f>IF($N$1="Piping", IF(ISBLANK(Piping!K439), "", Piping!K439), IF($N$1="Vessels", IF(ISBLANK(Vessels!K439), "", Vessels!K439), ""))</f>
        <v/>
      </c>
      <c r="L439" s="21" t="str">
        <f>IF($N$1="Piping", IF(ISBLANK(Piping!L439), "", Piping!L439), IF($N$1="Vessels", IF(ISBLANK(Vessels!L439), "", Vessels!L439), ""))</f>
        <v/>
      </c>
      <c r="M439" s="21"/>
      <c r="N439" s="21"/>
      <c r="O439" s="21"/>
      <c r="P439" s="21"/>
      <c r="Q439" s="21" t="str">
        <f>IF($N$1="Piping", IF(ISBLANK(Piping!T439), "", Piping!T439), IF($N$1="Vessels", IF(ISBLANK(Vessels!T439), "", Vessels!T439), ""))</f>
        <v/>
      </c>
      <c r="R439" s="51" t="str">
        <f>IF($N$1="Piping", IF(ISBLANK(Piping!U439), "", Piping!U439), IF($N$1="Vessels", IF(ISBLANK(Vessels!U439), "", Vessels!U439), ""))</f>
        <v/>
      </c>
      <c r="S439" s="118" t="str">
        <f>IF(B439&lt;&gt;"",IF($N$1="Piping", IF(ISBLANK(Piping!$J$3), "", Piping!$J$3), IF($N$1="Vessels", IF(ISBLANK(Vessels!$J$3), "", Vessels!$J$3), "")),"")</f>
        <v/>
      </c>
      <c r="T439" s="37"/>
      <c r="U439" s="37"/>
      <c r="V439" s="37"/>
      <c r="W439" s="37"/>
      <c r="X439" s="37"/>
      <c r="Y439" s="37"/>
      <c r="Z439" s="37"/>
    </row>
    <row r="440" spans="1:26" ht="15.75" customHeight="1" x14ac:dyDescent="0.3">
      <c r="A440" s="22">
        <f>IF($N$1="Piping", IF(ISBLANK(Piping!A440), "", Piping!A440), IF($N$1="Vessels", IF(ISBLANK(Vessels!A440), "", Vessels!A440), ""))</f>
        <v>109.3</v>
      </c>
      <c r="B440" s="21" t="str">
        <f>IF($N$1="Piping", IF(ISBLANK(Piping!B440), "", Piping!B440), IF($N$1="Vessels", IF(ISBLANK(Vessels!B440), "", Vessels!B440), ""))</f>
        <v/>
      </c>
      <c r="C440" s="21" t="str">
        <f>IF($N$1="Piping", IF(ISBLANK(Piping!C440), "", Piping!C440), IF($N$1="Vessels", IF(ISBLANK(Vessels!C440), "", Vessels!C440), ""))</f>
        <v>Piping</v>
      </c>
      <c r="D440" s="21" t="str">
        <f>IF($N$1="Piping", IF(ISBLANK(Piping!D440), "", Piping!D440), IF($N$1="Vessels", IF(ISBLANK(Vessels!D440), "", Vessels!D440), ""))</f>
        <v/>
      </c>
      <c r="E440" s="21" t="str">
        <f>IF($N$1="Piping", IF(ISBLANK(Piping!E440), "", Piping!E440), IF($N$1="Vessels", IF(ISBLANK(Vessels!E440), "", Vessels!E440), ""))</f>
        <v/>
      </c>
      <c r="F440" s="21" t="str">
        <f>IF($N$1="Piping", IF(ISBLANK(Piping!F440), "", Piping!F440), IF($N$1="Vessels", IF(ISBLANK(Vessels!F440), "", Vessels!F440), ""))</f>
        <v/>
      </c>
      <c r="G440" s="21">
        <f>IF($N$1="Piping", IF(ISBLANK(Piping!G440), "", Piping!G440), IF($N$1="Vessels", IF(ISBLANK(Vessels!G440), "", Vessels!G440), ""))</f>
        <v>0</v>
      </c>
      <c r="H440" s="21" t="str">
        <f>IF($N$1="Piping", IF(ISBLANK(Piping!H440), "", Piping!H440), IF($N$1="Vessels", IF(ISBLANK(Vessels!H440), "", Vessels!H440), ""))</f>
        <v/>
      </c>
      <c r="I440" s="21" t="str">
        <f>IF($N$1="Piping", IF(ISBLANK(Piping!I440), "", Piping!I440), IF($N$1="Vessels", IF(ISBLANK(Vessels!I440), "", Vessels!I440), ""))</f>
        <v/>
      </c>
      <c r="J440" s="21" t="str">
        <f>IF($N$1="Piping", IF(ISBLANK(Piping!J440), "", Piping!J440), IF($N$1="Vessels", IF(ISBLANK(Vessels!J440), "", Vessels!J440), ""))</f>
        <v/>
      </c>
      <c r="K440" s="21" t="str">
        <f>IF($N$1="Piping", IF(ISBLANK(Piping!K440), "", Piping!K440), IF($N$1="Vessels", IF(ISBLANK(Vessels!K440), "", Vessels!K440), ""))</f>
        <v/>
      </c>
      <c r="L440" s="21" t="str">
        <f>IF($N$1="Piping", IF(ISBLANK(Piping!L440), "", Piping!L440), IF($N$1="Vessels", IF(ISBLANK(Vessels!L440), "", Vessels!L440), ""))</f>
        <v/>
      </c>
      <c r="M440" s="21"/>
      <c r="N440" s="21"/>
      <c r="O440" s="21"/>
      <c r="P440" s="21"/>
      <c r="Q440" s="21" t="str">
        <f>IF($N$1="Piping", IF(ISBLANK(Piping!T440), "", Piping!T440), IF($N$1="Vessels", IF(ISBLANK(Vessels!T440), "", Vessels!T440), ""))</f>
        <v/>
      </c>
      <c r="R440" s="51" t="str">
        <f>IF($N$1="Piping", IF(ISBLANK(Piping!U440), "", Piping!U440), IF($N$1="Vessels", IF(ISBLANK(Vessels!U440), "", Vessels!U440), ""))</f>
        <v/>
      </c>
      <c r="S440" s="118" t="str">
        <f>IF(B440&lt;&gt;"",IF($N$1="Piping", IF(ISBLANK(Piping!$J$3), "", Piping!$J$3), IF($N$1="Vessels", IF(ISBLANK(Vessels!$J$3), "", Vessels!$J$3), "")),"")</f>
        <v/>
      </c>
      <c r="T440" s="37"/>
      <c r="U440" s="37"/>
      <c r="V440" s="37"/>
      <c r="W440" s="37"/>
      <c r="X440" s="37"/>
      <c r="Y440" s="37"/>
      <c r="Z440" s="37"/>
    </row>
    <row r="441" spans="1:26" ht="15.75" customHeight="1" x14ac:dyDescent="0.3">
      <c r="A441" s="22">
        <f>IF($N$1="Piping", IF(ISBLANK(Piping!A441), "", Piping!A441), IF($N$1="Vessels", IF(ISBLANK(Vessels!A441), "", Vessels!A441), ""))</f>
        <v>109.4</v>
      </c>
      <c r="B441" s="21" t="str">
        <f>IF($N$1="Piping", IF(ISBLANK(Piping!B441), "", Piping!B441), IF($N$1="Vessels", IF(ISBLANK(Vessels!B441), "", Vessels!B441), ""))</f>
        <v/>
      </c>
      <c r="C441" s="21" t="str">
        <f>IF($N$1="Piping", IF(ISBLANK(Piping!C441), "", Piping!C441), IF($N$1="Vessels", IF(ISBLANK(Vessels!C441), "", Vessels!C441), ""))</f>
        <v>Piping</v>
      </c>
      <c r="D441" s="21" t="str">
        <f>IF($N$1="Piping", IF(ISBLANK(Piping!D441), "", Piping!D441), IF($N$1="Vessels", IF(ISBLANK(Vessels!D441), "", Vessels!D441), ""))</f>
        <v/>
      </c>
      <c r="E441" s="21" t="str">
        <f>IF($N$1="Piping", IF(ISBLANK(Piping!E441), "", Piping!E441), IF($N$1="Vessels", IF(ISBLANK(Vessels!E441), "", Vessels!E441), ""))</f>
        <v/>
      </c>
      <c r="F441" s="21" t="str">
        <f>IF($N$1="Piping", IF(ISBLANK(Piping!F441), "", Piping!F441), IF($N$1="Vessels", IF(ISBLANK(Vessels!F441), "", Vessels!F441), ""))</f>
        <v/>
      </c>
      <c r="G441" s="21">
        <f>IF($N$1="Piping", IF(ISBLANK(Piping!G441), "", Piping!G441), IF($N$1="Vessels", IF(ISBLANK(Vessels!G441), "", Vessels!G441), ""))</f>
        <v>0</v>
      </c>
      <c r="H441" s="21" t="str">
        <f>IF($N$1="Piping", IF(ISBLANK(Piping!H441), "", Piping!H441), IF($N$1="Vessels", IF(ISBLANK(Vessels!H441), "", Vessels!H441), ""))</f>
        <v/>
      </c>
      <c r="I441" s="21" t="str">
        <f>IF($N$1="Piping", IF(ISBLANK(Piping!I441), "", Piping!I441), IF($N$1="Vessels", IF(ISBLANK(Vessels!I441), "", Vessels!I441), ""))</f>
        <v/>
      </c>
      <c r="J441" s="21" t="str">
        <f>IF($N$1="Piping", IF(ISBLANK(Piping!J441), "", Piping!J441), IF($N$1="Vessels", IF(ISBLANK(Vessels!J441), "", Vessels!J441), ""))</f>
        <v/>
      </c>
      <c r="K441" s="21" t="str">
        <f>IF($N$1="Piping", IF(ISBLANK(Piping!K441), "", Piping!K441), IF($N$1="Vessels", IF(ISBLANK(Vessels!K441), "", Vessels!K441), ""))</f>
        <v/>
      </c>
      <c r="L441" s="21" t="str">
        <f>IF($N$1="Piping", IF(ISBLANK(Piping!L441), "", Piping!L441), IF($N$1="Vessels", IF(ISBLANK(Vessels!L441), "", Vessels!L441), ""))</f>
        <v/>
      </c>
      <c r="M441" s="21"/>
      <c r="N441" s="21"/>
      <c r="O441" s="21"/>
      <c r="P441" s="21"/>
      <c r="Q441" s="21" t="str">
        <f>IF($N$1="Piping", IF(ISBLANK(Piping!T441), "", Piping!T441), IF($N$1="Vessels", IF(ISBLANK(Vessels!T441), "", Vessels!T441), ""))</f>
        <v/>
      </c>
      <c r="R441" s="51" t="str">
        <f>IF($N$1="Piping", IF(ISBLANK(Piping!U441), "", Piping!U441), IF($N$1="Vessels", IF(ISBLANK(Vessels!U441), "", Vessels!U441), ""))</f>
        <v/>
      </c>
      <c r="S441" s="118" t="str">
        <f>IF(B441&lt;&gt;"",IF($N$1="Piping", IF(ISBLANK(Piping!$J$3), "", Piping!$J$3), IF($N$1="Vessels", IF(ISBLANK(Vessels!$J$3), "", Vessels!$J$3), "")),"")</f>
        <v/>
      </c>
      <c r="T441" s="37"/>
      <c r="U441" s="37"/>
      <c r="V441" s="37"/>
      <c r="W441" s="37"/>
      <c r="X441" s="37"/>
      <c r="Y441" s="37"/>
      <c r="Z441" s="37"/>
    </row>
    <row r="442" spans="1:26" ht="15.75" customHeight="1" x14ac:dyDescent="0.3">
      <c r="A442" s="22">
        <f>IF($N$1="Piping", IF(ISBLANK(Piping!A442), "", Piping!A442), IF($N$1="Vessels", IF(ISBLANK(Vessels!A442), "", Vessels!A442), ""))</f>
        <v>110.1</v>
      </c>
      <c r="B442" s="21" t="str">
        <f>IF($N$1="Piping", IF(ISBLANK(Piping!B442), "", Piping!B442), IF($N$1="Vessels", IF(ISBLANK(Vessels!B442), "", Vessels!B442), ""))</f>
        <v/>
      </c>
      <c r="C442" s="21" t="str">
        <f>IF($N$1="Piping", IF(ISBLANK(Piping!C442), "", Piping!C442), IF($N$1="Vessels", IF(ISBLANK(Vessels!C442), "", Vessels!C442), ""))</f>
        <v>Piping</v>
      </c>
      <c r="D442" s="21" t="str">
        <f>IF($N$1="Piping", IF(ISBLANK(Piping!D442), "", Piping!D442), IF($N$1="Vessels", IF(ISBLANK(Vessels!D442), "", Vessels!D442), ""))</f>
        <v/>
      </c>
      <c r="E442" s="21" t="str">
        <f>IF($N$1="Piping", IF(ISBLANK(Piping!E442), "", Piping!E442), IF($N$1="Vessels", IF(ISBLANK(Vessels!E442), "", Vessels!E442), ""))</f>
        <v/>
      </c>
      <c r="F442" s="21" t="str">
        <f>IF($N$1="Piping", IF(ISBLANK(Piping!F442), "", Piping!F442), IF($N$1="Vessels", IF(ISBLANK(Vessels!F442), "", Vessels!F442), ""))</f>
        <v/>
      </c>
      <c r="G442" s="21">
        <f>IF($N$1="Piping", IF(ISBLANK(Piping!G442), "", Piping!G442), IF($N$1="Vessels", IF(ISBLANK(Vessels!G442), "", Vessels!G442), ""))</f>
        <v>0</v>
      </c>
      <c r="H442" s="21" t="str">
        <f>IF($N$1="Piping", IF(ISBLANK(Piping!H442), "", Piping!H442), IF($N$1="Vessels", IF(ISBLANK(Vessels!H442), "", Vessels!H442), ""))</f>
        <v/>
      </c>
      <c r="I442" s="21" t="str">
        <f>IF($N$1="Piping", IF(ISBLANK(Piping!I442), "", Piping!I442), IF($N$1="Vessels", IF(ISBLANK(Vessels!I442), "", Vessels!I442), ""))</f>
        <v/>
      </c>
      <c r="J442" s="21" t="str">
        <f>IF($N$1="Piping", IF(ISBLANK(Piping!J442), "", Piping!J442), IF($N$1="Vessels", IF(ISBLANK(Vessels!J442), "", Vessels!J442), ""))</f>
        <v/>
      </c>
      <c r="K442" s="21" t="str">
        <f>IF($N$1="Piping", IF(ISBLANK(Piping!K442), "", Piping!K442), IF($N$1="Vessels", IF(ISBLANK(Vessels!K442), "", Vessels!K442), ""))</f>
        <v/>
      </c>
      <c r="L442" s="21" t="str">
        <f>IF($N$1="Piping", IF(ISBLANK(Piping!L442), "", Piping!L442), IF($N$1="Vessels", IF(ISBLANK(Vessels!L442), "", Vessels!L442), ""))</f>
        <v/>
      </c>
      <c r="M442" s="21"/>
      <c r="N442" s="21"/>
      <c r="O442" s="21"/>
      <c r="P442" s="21"/>
      <c r="Q442" s="21" t="str">
        <f>IF($N$1="Piping", IF(ISBLANK(Piping!T442), "", Piping!T442), IF($N$1="Vessels", IF(ISBLANK(Vessels!T442), "", Vessels!T442), ""))</f>
        <v/>
      </c>
      <c r="R442" s="51" t="str">
        <f>IF($N$1="Piping", IF(ISBLANK(Piping!U442), "", Piping!U442), IF($N$1="Vessels", IF(ISBLANK(Vessels!U442), "", Vessels!U442), ""))</f>
        <v/>
      </c>
      <c r="S442" s="118" t="str">
        <f>IF(B442&lt;&gt;"",IF($N$1="Piping", IF(ISBLANK(Piping!$J$3), "", Piping!$J$3), IF($N$1="Vessels", IF(ISBLANK(Vessels!$J$3), "", Vessels!$J$3), "")),"")</f>
        <v/>
      </c>
      <c r="T442" s="37"/>
      <c r="U442" s="37"/>
      <c r="V442" s="37"/>
      <c r="W442" s="37"/>
      <c r="X442" s="37"/>
      <c r="Y442" s="37"/>
      <c r="Z442" s="37"/>
    </row>
    <row r="443" spans="1:26" ht="15.75" customHeight="1" x14ac:dyDescent="0.3">
      <c r="A443" s="22">
        <f>IF($N$1="Piping", IF(ISBLANK(Piping!A443), "", Piping!A443), IF($N$1="Vessels", IF(ISBLANK(Vessels!A443), "", Vessels!A443), ""))</f>
        <v>110.2</v>
      </c>
      <c r="B443" s="21" t="str">
        <f>IF($N$1="Piping", IF(ISBLANK(Piping!B443), "", Piping!B443), IF($N$1="Vessels", IF(ISBLANK(Vessels!B443), "", Vessels!B443), ""))</f>
        <v/>
      </c>
      <c r="C443" s="21" t="str">
        <f>IF($N$1="Piping", IF(ISBLANK(Piping!C443), "", Piping!C443), IF($N$1="Vessels", IF(ISBLANK(Vessels!C443), "", Vessels!C443), ""))</f>
        <v>Piping</v>
      </c>
      <c r="D443" s="21" t="str">
        <f>IF($N$1="Piping", IF(ISBLANK(Piping!D443), "", Piping!D443), IF($N$1="Vessels", IF(ISBLANK(Vessels!D443), "", Vessels!D443), ""))</f>
        <v/>
      </c>
      <c r="E443" s="21" t="str">
        <f>IF($N$1="Piping", IF(ISBLANK(Piping!E443), "", Piping!E443), IF($N$1="Vessels", IF(ISBLANK(Vessels!E443), "", Vessels!E443), ""))</f>
        <v/>
      </c>
      <c r="F443" s="21" t="str">
        <f>IF($N$1="Piping", IF(ISBLANK(Piping!F443), "", Piping!F443), IF($N$1="Vessels", IF(ISBLANK(Vessels!F443), "", Vessels!F443), ""))</f>
        <v/>
      </c>
      <c r="G443" s="21">
        <f>IF($N$1="Piping", IF(ISBLANK(Piping!G443), "", Piping!G443), IF($N$1="Vessels", IF(ISBLANK(Vessels!G443), "", Vessels!G443), ""))</f>
        <v>0</v>
      </c>
      <c r="H443" s="21" t="str">
        <f>IF($N$1="Piping", IF(ISBLANK(Piping!H443), "", Piping!H443), IF($N$1="Vessels", IF(ISBLANK(Vessels!H443), "", Vessels!H443), ""))</f>
        <v/>
      </c>
      <c r="I443" s="21" t="str">
        <f>IF($N$1="Piping", IF(ISBLANK(Piping!I443), "", Piping!I443), IF($N$1="Vessels", IF(ISBLANK(Vessels!I443), "", Vessels!I443), ""))</f>
        <v/>
      </c>
      <c r="J443" s="21" t="str">
        <f>IF($N$1="Piping", IF(ISBLANK(Piping!J443), "", Piping!J443), IF($N$1="Vessels", IF(ISBLANK(Vessels!J443), "", Vessels!J443), ""))</f>
        <v/>
      </c>
      <c r="K443" s="21" t="str">
        <f>IF($N$1="Piping", IF(ISBLANK(Piping!K443), "", Piping!K443), IF($N$1="Vessels", IF(ISBLANK(Vessels!K443), "", Vessels!K443), ""))</f>
        <v/>
      </c>
      <c r="L443" s="21" t="str">
        <f>IF($N$1="Piping", IF(ISBLANK(Piping!L443), "", Piping!L443), IF($N$1="Vessels", IF(ISBLANK(Vessels!L443), "", Vessels!L443), ""))</f>
        <v/>
      </c>
      <c r="M443" s="21"/>
      <c r="N443" s="21"/>
      <c r="O443" s="21"/>
      <c r="P443" s="21"/>
      <c r="Q443" s="21" t="str">
        <f>IF($N$1="Piping", IF(ISBLANK(Piping!T443), "", Piping!T443), IF($N$1="Vessels", IF(ISBLANK(Vessels!T443), "", Vessels!T443), ""))</f>
        <v/>
      </c>
      <c r="R443" s="51" t="str">
        <f>IF($N$1="Piping", IF(ISBLANK(Piping!U443), "", Piping!U443), IF($N$1="Vessels", IF(ISBLANK(Vessels!U443), "", Vessels!U443), ""))</f>
        <v/>
      </c>
      <c r="S443" s="118" t="str">
        <f>IF(B443&lt;&gt;"",IF($N$1="Piping", IF(ISBLANK(Piping!$J$3), "", Piping!$J$3), IF($N$1="Vessels", IF(ISBLANK(Vessels!$J$3), "", Vessels!$J$3), "")),"")</f>
        <v/>
      </c>
      <c r="T443" s="37"/>
      <c r="U443" s="37"/>
      <c r="V443" s="37"/>
      <c r="W443" s="37"/>
      <c r="X443" s="37"/>
      <c r="Y443" s="37"/>
      <c r="Z443" s="37"/>
    </row>
    <row r="444" spans="1:26" ht="15.75" customHeight="1" x14ac:dyDescent="0.3">
      <c r="A444" s="22">
        <f>IF($N$1="Piping", IF(ISBLANK(Piping!A444), "", Piping!A444), IF($N$1="Vessels", IF(ISBLANK(Vessels!A444), "", Vessels!A444), ""))</f>
        <v>110.3</v>
      </c>
      <c r="B444" s="21" t="str">
        <f>IF($N$1="Piping", IF(ISBLANK(Piping!B444), "", Piping!B444), IF($N$1="Vessels", IF(ISBLANK(Vessels!B444), "", Vessels!B444), ""))</f>
        <v/>
      </c>
      <c r="C444" s="21" t="str">
        <f>IF($N$1="Piping", IF(ISBLANK(Piping!C444), "", Piping!C444), IF($N$1="Vessels", IF(ISBLANK(Vessels!C444), "", Vessels!C444), ""))</f>
        <v>Piping</v>
      </c>
      <c r="D444" s="21" t="str">
        <f>IF($N$1="Piping", IF(ISBLANK(Piping!D444), "", Piping!D444), IF($N$1="Vessels", IF(ISBLANK(Vessels!D444), "", Vessels!D444), ""))</f>
        <v/>
      </c>
      <c r="E444" s="21" t="str">
        <f>IF($N$1="Piping", IF(ISBLANK(Piping!E444), "", Piping!E444), IF($N$1="Vessels", IF(ISBLANK(Vessels!E444), "", Vessels!E444), ""))</f>
        <v/>
      </c>
      <c r="F444" s="21" t="str">
        <f>IF($N$1="Piping", IF(ISBLANK(Piping!F444), "", Piping!F444), IF($N$1="Vessels", IF(ISBLANK(Vessels!F444), "", Vessels!F444), ""))</f>
        <v/>
      </c>
      <c r="G444" s="21">
        <f>IF($N$1="Piping", IF(ISBLANK(Piping!G444), "", Piping!G444), IF($N$1="Vessels", IF(ISBLANK(Vessels!G444), "", Vessels!G444), ""))</f>
        <v>0</v>
      </c>
      <c r="H444" s="21" t="str">
        <f>IF($N$1="Piping", IF(ISBLANK(Piping!H444), "", Piping!H444), IF($N$1="Vessels", IF(ISBLANK(Vessels!H444), "", Vessels!H444), ""))</f>
        <v/>
      </c>
      <c r="I444" s="21" t="str">
        <f>IF($N$1="Piping", IF(ISBLANK(Piping!I444), "", Piping!I444), IF($N$1="Vessels", IF(ISBLANK(Vessels!I444), "", Vessels!I444), ""))</f>
        <v/>
      </c>
      <c r="J444" s="21" t="str">
        <f>IF($N$1="Piping", IF(ISBLANK(Piping!J444), "", Piping!J444), IF($N$1="Vessels", IF(ISBLANK(Vessels!J444), "", Vessels!J444), ""))</f>
        <v/>
      </c>
      <c r="K444" s="21" t="str">
        <f>IF($N$1="Piping", IF(ISBLANK(Piping!K444), "", Piping!K444), IF($N$1="Vessels", IF(ISBLANK(Vessels!K444), "", Vessels!K444), ""))</f>
        <v/>
      </c>
      <c r="L444" s="21" t="str">
        <f>IF($N$1="Piping", IF(ISBLANK(Piping!L444), "", Piping!L444), IF($N$1="Vessels", IF(ISBLANK(Vessels!L444), "", Vessels!L444), ""))</f>
        <v/>
      </c>
      <c r="M444" s="21"/>
      <c r="N444" s="21"/>
      <c r="O444" s="21"/>
      <c r="P444" s="21"/>
      <c r="Q444" s="21" t="str">
        <f>IF($N$1="Piping", IF(ISBLANK(Piping!T444), "", Piping!T444), IF($N$1="Vessels", IF(ISBLANK(Vessels!T444), "", Vessels!T444), ""))</f>
        <v/>
      </c>
      <c r="R444" s="51" t="str">
        <f>IF($N$1="Piping", IF(ISBLANK(Piping!U444), "", Piping!U444), IF($N$1="Vessels", IF(ISBLANK(Vessels!U444), "", Vessels!U444), ""))</f>
        <v/>
      </c>
      <c r="S444" s="118" t="str">
        <f>IF(B444&lt;&gt;"",IF($N$1="Piping", IF(ISBLANK(Piping!$J$3), "", Piping!$J$3), IF($N$1="Vessels", IF(ISBLANK(Vessels!$J$3), "", Vessels!$J$3), "")),"")</f>
        <v/>
      </c>
      <c r="T444" s="37"/>
      <c r="U444" s="37"/>
      <c r="V444" s="37"/>
      <c r="W444" s="37"/>
      <c r="X444" s="37"/>
      <c r="Y444" s="37"/>
      <c r="Z444" s="37"/>
    </row>
    <row r="445" spans="1:26" ht="15.75" customHeight="1" x14ac:dyDescent="0.3">
      <c r="A445" s="22">
        <f>IF($N$1="Piping", IF(ISBLANK(Piping!A445), "", Piping!A445), IF($N$1="Vessels", IF(ISBLANK(Vessels!A445), "", Vessels!A445), ""))</f>
        <v>110.4</v>
      </c>
      <c r="B445" s="21" t="str">
        <f>IF($N$1="Piping", IF(ISBLANK(Piping!B445), "", Piping!B445), IF($N$1="Vessels", IF(ISBLANK(Vessels!B445), "", Vessels!B445), ""))</f>
        <v/>
      </c>
      <c r="C445" s="21" t="str">
        <f>IF($N$1="Piping", IF(ISBLANK(Piping!C445), "", Piping!C445), IF($N$1="Vessels", IF(ISBLANK(Vessels!C445), "", Vessels!C445), ""))</f>
        <v>Piping</v>
      </c>
      <c r="D445" s="21" t="str">
        <f>IF($N$1="Piping", IF(ISBLANK(Piping!D445), "", Piping!D445), IF($N$1="Vessels", IF(ISBLANK(Vessels!D445), "", Vessels!D445), ""))</f>
        <v/>
      </c>
      <c r="E445" s="21" t="str">
        <f>IF($N$1="Piping", IF(ISBLANK(Piping!E445), "", Piping!E445), IF($N$1="Vessels", IF(ISBLANK(Vessels!E445), "", Vessels!E445), ""))</f>
        <v/>
      </c>
      <c r="F445" s="21" t="str">
        <f>IF($N$1="Piping", IF(ISBLANK(Piping!F445), "", Piping!F445), IF($N$1="Vessels", IF(ISBLANK(Vessels!F445), "", Vessels!F445), ""))</f>
        <v/>
      </c>
      <c r="G445" s="21">
        <f>IF($N$1="Piping", IF(ISBLANK(Piping!G445), "", Piping!G445), IF($N$1="Vessels", IF(ISBLANK(Vessels!G445), "", Vessels!G445), ""))</f>
        <v>0</v>
      </c>
      <c r="H445" s="21" t="str">
        <f>IF($N$1="Piping", IF(ISBLANK(Piping!H445), "", Piping!H445), IF($N$1="Vessels", IF(ISBLANK(Vessels!H445), "", Vessels!H445), ""))</f>
        <v/>
      </c>
      <c r="I445" s="21" t="str">
        <f>IF($N$1="Piping", IF(ISBLANK(Piping!I445), "", Piping!I445), IF($N$1="Vessels", IF(ISBLANK(Vessels!I445), "", Vessels!I445), ""))</f>
        <v/>
      </c>
      <c r="J445" s="21" t="str">
        <f>IF($N$1="Piping", IF(ISBLANK(Piping!J445), "", Piping!J445), IF($N$1="Vessels", IF(ISBLANK(Vessels!J445), "", Vessels!J445), ""))</f>
        <v/>
      </c>
      <c r="K445" s="21" t="str">
        <f>IF($N$1="Piping", IF(ISBLANK(Piping!K445), "", Piping!K445), IF($N$1="Vessels", IF(ISBLANK(Vessels!K445), "", Vessels!K445), ""))</f>
        <v/>
      </c>
      <c r="L445" s="21" t="str">
        <f>IF($N$1="Piping", IF(ISBLANK(Piping!L445), "", Piping!L445), IF($N$1="Vessels", IF(ISBLANK(Vessels!L445), "", Vessels!L445), ""))</f>
        <v/>
      </c>
      <c r="M445" s="21"/>
      <c r="N445" s="21"/>
      <c r="O445" s="21"/>
      <c r="P445" s="21"/>
      <c r="Q445" s="21" t="str">
        <f>IF($N$1="Piping", IF(ISBLANK(Piping!T445), "", Piping!T445), IF($N$1="Vessels", IF(ISBLANK(Vessels!T445), "", Vessels!T445), ""))</f>
        <v/>
      </c>
      <c r="R445" s="51" t="str">
        <f>IF($N$1="Piping", IF(ISBLANK(Piping!U445), "", Piping!U445), IF($N$1="Vessels", IF(ISBLANK(Vessels!U445), "", Vessels!U445), ""))</f>
        <v/>
      </c>
      <c r="S445" s="118" t="str">
        <f>IF(B445&lt;&gt;"",IF($N$1="Piping", IF(ISBLANK(Piping!$J$3), "", Piping!$J$3), IF($N$1="Vessels", IF(ISBLANK(Vessels!$J$3), "", Vessels!$J$3), "")),"")</f>
        <v/>
      </c>
      <c r="T445" s="37"/>
      <c r="U445" s="37"/>
      <c r="V445" s="37"/>
      <c r="W445" s="37"/>
      <c r="X445" s="37"/>
      <c r="Y445" s="37"/>
      <c r="Z445" s="37"/>
    </row>
    <row r="446" spans="1:26" ht="15.75" customHeight="1" x14ac:dyDescent="0.3">
      <c r="A446" s="22">
        <f>IF($N$1="Piping", IF(ISBLANK(Piping!A446), "", Piping!A446), IF($N$1="Vessels", IF(ISBLANK(Vessels!A446), "", Vessels!A446), ""))</f>
        <v>111.1</v>
      </c>
      <c r="B446" s="21" t="str">
        <f>IF($N$1="Piping", IF(ISBLANK(Piping!B446), "", Piping!B446), IF($N$1="Vessels", IF(ISBLANK(Vessels!B446), "", Vessels!B446), ""))</f>
        <v/>
      </c>
      <c r="C446" s="21" t="str">
        <f>IF($N$1="Piping", IF(ISBLANK(Piping!C446), "", Piping!C446), IF($N$1="Vessels", IF(ISBLANK(Vessels!C446), "", Vessels!C446), ""))</f>
        <v>Piping</v>
      </c>
      <c r="D446" s="21" t="str">
        <f>IF($N$1="Piping", IF(ISBLANK(Piping!D446), "", Piping!D446), IF($N$1="Vessels", IF(ISBLANK(Vessels!D446), "", Vessels!D446), ""))</f>
        <v/>
      </c>
      <c r="E446" s="21" t="str">
        <f>IF($N$1="Piping", IF(ISBLANK(Piping!E446), "", Piping!E446), IF($N$1="Vessels", IF(ISBLANK(Vessels!E446), "", Vessels!E446), ""))</f>
        <v/>
      </c>
      <c r="F446" s="21" t="str">
        <f>IF($N$1="Piping", IF(ISBLANK(Piping!F446), "", Piping!F446), IF($N$1="Vessels", IF(ISBLANK(Vessels!F446), "", Vessels!F446), ""))</f>
        <v/>
      </c>
      <c r="G446" s="21">
        <f>IF($N$1="Piping", IF(ISBLANK(Piping!G446), "", Piping!G446), IF($N$1="Vessels", IF(ISBLANK(Vessels!G446), "", Vessels!G446), ""))</f>
        <v>0</v>
      </c>
      <c r="H446" s="21" t="str">
        <f>IF($N$1="Piping", IF(ISBLANK(Piping!H446), "", Piping!H446), IF($N$1="Vessels", IF(ISBLANK(Vessels!H446), "", Vessels!H446), ""))</f>
        <v/>
      </c>
      <c r="I446" s="21" t="str">
        <f>IF($N$1="Piping", IF(ISBLANK(Piping!I446), "", Piping!I446), IF($N$1="Vessels", IF(ISBLANK(Vessels!I446), "", Vessels!I446), ""))</f>
        <v/>
      </c>
      <c r="J446" s="21" t="str">
        <f>IF($N$1="Piping", IF(ISBLANK(Piping!J446), "", Piping!J446), IF($N$1="Vessels", IF(ISBLANK(Vessels!J446), "", Vessels!J446), ""))</f>
        <v/>
      </c>
      <c r="K446" s="21" t="str">
        <f>IF($N$1="Piping", IF(ISBLANK(Piping!K446), "", Piping!K446), IF($N$1="Vessels", IF(ISBLANK(Vessels!K446), "", Vessels!K446), ""))</f>
        <v/>
      </c>
      <c r="L446" s="21" t="str">
        <f>IF($N$1="Piping", IF(ISBLANK(Piping!L446), "", Piping!L446), IF($N$1="Vessels", IF(ISBLANK(Vessels!L446), "", Vessels!L446), ""))</f>
        <v/>
      </c>
      <c r="M446" s="21"/>
      <c r="N446" s="21"/>
      <c r="O446" s="21"/>
      <c r="P446" s="21"/>
      <c r="Q446" s="21" t="str">
        <f>IF($N$1="Piping", IF(ISBLANK(Piping!T446), "", Piping!T446), IF($N$1="Vessels", IF(ISBLANK(Vessels!T446), "", Vessels!T446), ""))</f>
        <v/>
      </c>
      <c r="R446" s="51" t="str">
        <f>IF($N$1="Piping", IF(ISBLANK(Piping!U446), "", Piping!U446), IF($N$1="Vessels", IF(ISBLANK(Vessels!U446), "", Vessels!U446), ""))</f>
        <v/>
      </c>
      <c r="S446" s="118" t="str">
        <f>IF(B446&lt;&gt;"",IF($N$1="Piping", IF(ISBLANK(Piping!$J$3), "", Piping!$J$3), IF($N$1="Vessels", IF(ISBLANK(Vessels!$J$3), "", Vessels!$J$3), "")),"")</f>
        <v/>
      </c>
      <c r="T446" s="37"/>
      <c r="U446" s="37"/>
      <c r="V446" s="37"/>
      <c r="W446" s="37"/>
      <c r="X446" s="37"/>
      <c r="Y446" s="37"/>
      <c r="Z446" s="37"/>
    </row>
    <row r="447" spans="1:26" ht="15.75" customHeight="1" x14ac:dyDescent="0.3">
      <c r="A447" s="22">
        <f>IF($N$1="Piping", IF(ISBLANK(Piping!A447), "", Piping!A447), IF($N$1="Vessels", IF(ISBLANK(Vessels!A447), "", Vessels!A447), ""))</f>
        <v>111.2</v>
      </c>
      <c r="B447" s="21" t="str">
        <f>IF($N$1="Piping", IF(ISBLANK(Piping!B447), "", Piping!B447), IF($N$1="Vessels", IF(ISBLANK(Vessels!B447), "", Vessels!B447), ""))</f>
        <v/>
      </c>
      <c r="C447" s="21" t="str">
        <f>IF($N$1="Piping", IF(ISBLANK(Piping!C447), "", Piping!C447), IF($N$1="Vessels", IF(ISBLANK(Vessels!C447), "", Vessels!C447), ""))</f>
        <v>Piping</v>
      </c>
      <c r="D447" s="21" t="str">
        <f>IF($N$1="Piping", IF(ISBLANK(Piping!D447), "", Piping!D447), IF($N$1="Vessels", IF(ISBLANK(Vessels!D447), "", Vessels!D447), ""))</f>
        <v/>
      </c>
      <c r="E447" s="21" t="str">
        <f>IF($N$1="Piping", IF(ISBLANK(Piping!E447), "", Piping!E447), IF($N$1="Vessels", IF(ISBLANK(Vessels!E447), "", Vessels!E447), ""))</f>
        <v/>
      </c>
      <c r="F447" s="21" t="str">
        <f>IF($N$1="Piping", IF(ISBLANK(Piping!F447), "", Piping!F447), IF($N$1="Vessels", IF(ISBLANK(Vessels!F447), "", Vessels!F447), ""))</f>
        <v/>
      </c>
      <c r="G447" s="21">
        <f>IF($N$1="Piping", IF(ISBLANK(Piping!G447), "", Piping!G447), IF($N$1="Vessels", IF(ISBLANK(Vessels!G447), "", Vessels!G447), ""))</f>
        <v>0</v>
      </c>
      <c r="H447" s="21" t="str">
        <f>IF($N$1="Piping", IF(ISBLANK(Piping!H447), "", Piping!H447), IF($N$1="Vessels", IF(ISBLANK(Vessels!H447), "", Vessels!H447), ""))</f>
        <v/>
      </c>
      <c r="I447" s="21" t="str">
        <f>IF($N$1="Piping", IF(ISBLANK(Piping!I447), "", Piping!I447), IF($N$1="Vessels", IF(ISBLANK(Vessels!I447), "", Vessels!I447), ""))</f>
        <v/>
      </c>
      <c r="J447" s="21" t="str">
        <f>IF($N$1="Piping", IF(ISBLANK(Piping!J447), "", Piping!J447), IF($N$1="Vessels", IF(ISBLANK(Vessels!J447), "", Vessels!J447), ""))</f>
        <v/>
      </c>
      <c r="K447" s="21" t="str">
        <f>IF($N$1="Piping", IF(ISBLANK(Piping!K447), "", Piping!K447), IF($N$1="Vessels", IF(ISBLANK(Vessels!K447), "", Vessels!K447), ""))</f>
        <v/>
      </c>
      <c r="L447" s="21" t="str">
        <f>IF($N$1="Piping", IF(ISBLANK(Piping!L447), "", Piping!L447), IF($N$1="Vessels", IF(ISBLANK(Vessels!L447), "", Vessels!L447), ""))</f>
        <v/>
      </c>
      <c r="M447" s="21"/>
      <c r="N447" s="21"/>
      <c r="O447" s="21"/>
      <c r="P447" s="21"/>
      <c r="Q447" s="21" t="str">
        <f>IF($N$1="Piping", IF(ISBLANK(Piping!T447), "", Piping!T447), IF($N$1="Vessels", IF(ISBLANK(Vessels!T447), "", Vessels!T447), ""))</f>
        <v/>
      </c>
      <c r="R447" s="51" t="str">
        <f>IF($N$1="Piping", IF(ISBLANK(Piping!U447), "", Piping!U447), IF($N$1="Vessels", IF(ISBLANK(Vessels!U447), "", Vessels!U447), ""))</f>
        <v/>
      </c>
      <c r="S447" s="118" t="str">
        <f>IF(B447&lt;&gt;"",IF($N$1="Piping", IF(ISBLANK(Piping!$J$3), "", Piping!$J$3), IF($N$1="Vessels", IF(ISBLANK(Vessels!$J$3), "", Vessels!$J$3), "")),"")</f>
        <v/>
      </c>
      <c r="T447" s="37"/>
      <c r="U447" s="37"/>
      <c r="V447" s="37"/>
      <c r="W447" s="37"/>
      <c r="X447" s="37"/>
      <c r="Y447" s="37"/>
      <c r="Z447" s="37"/>
    </row>
    <row r="448" spans="1:26" ht="15.75" customHeight="1" x14ac:dyDescent="0.3">
      <c r="A448" s="22">
        <f>IF($N$1="Piping", IF(ISBLANK(Piping!A448), "", Piping!A448), IF($N$1="Vessels", IF(ISBLANK(Vessels!A448), "", Vessels!A448), ""))</f>
        <v>111.3</v>
      </c>
      <c r="B448" s="21" t="str">
        <f>IF($N$1="Piping", IF(ISBLANK(Piping!B448), "", Piping!B448), IF($N$1="Vessels", IF(ISBLANK(Vessels!B448), "", Vessels!B448), ""))</f>
        <v/>
      </c>
      <c r="C448" s="21" t="str">
        <f>IF($N$1="Piping", IF(ISBLANK(Piping!C448), "", Piping!C448), IF($N$1="Vessels", IF(ISBLANK(Vessels!C448), "", Vessels!C448), ""))</f>
        <v>Piping</v>
      </c>
      <c r="D448" s="21" t="str">
        <f>IF($N$1="Piping", IF(ISBLANK(Piping!D448), "", Piping!D448), IF($N$1="Vessels", IF(ISBLANK(Vessels!D448), "", Vessels!D448), ""))</f>
        <v/>
      </c>
      <c r="E448" s="21" t="str">
        <f>IF($N$1="Piping", IF(ISBLANK(Piping!E448), "", Piping!E448), IF($N$1="Vessels", IF(ISBLANK(Vessels!E448), "", Vessels!E448), ""))</f>
        <v/>
      </c>
      <c r="F448" s="21" t="str">
        <f>IF($N$1="Piping", IF(ISBLANK(Piping!F448), "", Piping!F448), IF($N$1="Vessels", IF(ISBLANK(Vessels!F448), "", Vessels!F448), ""))</f>
        <v/>
      </c>
      <c r="G448" s="21">
        <f>IF($N$1="Piping", IF(ISBLANK(Piping!G448), "", Piping!G448), IF($N$1="Vessels", IF(ISBLANK(Vessels!G448), "", Vessels!G448), ""))</f>
        <v>0</v>
      </c>
      <c r="H448" s="21" t="str">
        <f>IF($N$1="Piping", IF(ISBLANK(Piping!H448), "", Piping!H448), IF($N$1="Vessels", IF(ISBLANK(Vessels!H448), "", Vessels!H448), ""))</f>
        <v/>
      </c>
      <c r="I448" s="21" t="str">
        <f>IF($N$1="Piping", IF(ISBLANK(Piping!I448), "", Piping!I448), IF($N$1="Vessels", IF(ISBLANK(Vessels!I448), "", Vessels!I448), ""))</f>
        <v/>
      </c>
      <c r="J448" s="21" t="str">
        <f>IF($N$1="Piping", IF(ISBLANK(Piping!J448), "", Piping!J448), IF($N$1="Vessels", IF(ISBLANK(Vessels!J448), "", Vessels!J448), ""))</f>
        <v/>
      </c>
      <c r="K448" s="21" t="str">
        <f>IF($N$1="Piping", IF(ISBLANK(Piping!K448), "", Piping!K448), IF($N$1="Vessels", IF(ISBLANK(Vessels!K448), "", Vessels!K448), ""))</f>
        <v/>
      </c>
      <c r="L448" s="21" t="str">
        <f>IF($N$1="Piping", IF(ISBLANK(Piping!L448), "", Piping!L448), IF($N$1="Vessels", IF(ISBLANK(Vessels!L448), "", Vessels!L448), ""))</f>
        <v/>
      </c>
      <c r="M448" s="21"/>
      <c r="N448" s="21"/>
      <c r="O448" s="21"/>
      <c r="P448" s="21"/>
      <c r="Q448" s="21" t="str">
        <f>IF($N$1="Piping", IF(ISBLANK(Piping!T448), "", Piping!T448), IF($N$1="Vessels", IF(ISBLANK(Vessels!T448), "", Vessels!T448), ""))</f>
        <v/>
      </c>
      <c r="R448" s="51" t="str">
        <f>IF($N$1="Piping", IF(ISBLANK(Piping!U448), "", Piping!U448), IF($N$1="Vessels", IF(ISBLANK(Vessels!U448), "", Vessels!U448), ""))</f>
        <v/>
      </c>
      <c r="S448" s="118" t="str">
        <f>IF(B448&lt;&gt;"",IF($N$1="Piping", IF(ISBLANK(Piping!$J$3), "", Piping!$J$3), IF($N$1="Vessels", IF(ISBLANK(Vessels!$J$3), "", Vessels!$J$3), "")),"")</f>
        <v/>
      </c>
      <c r="T448" s="37"/>
      <c r="U448" s="37"/>
      <c r="V448" s="37"/>
      <c r="W448" s="37"/>
      <c r="X448" s="37"/>
      <c r="Y448" s="37"/>
      <c r="Z448" s="37"/>
    </row>
    <row r="449" spans="1:26" ht="15.75" customHeight="1" x14ac:dyDescent="0.3">
      <c r="A449" s="22">
        <f>IF($N$1="Piping", IF(ISBLANK(Piping!A449), "", Piping!A449), IF($N$1="Vessels", IF(ISBLANK(Vessels!A449), "", Vessels!A449), ""))</f>
        <v>111.4</v>
      </c>
      <c r="B449" s="21" t="str">
        <f>IF($N$1="Piping", IF(ISBLANK(Piping!B449), "", Piping!B449), IF($N$1="Vessels", IF(ISBLANK(Vessels!B449), "", Vessels!B449), ""))</f>
        <v/>
      </c>
      <c r="C449" s="21" t="str">
        <f>IF($N$1="Piping", IF(ISBLANK(Piping!C449), "", Piping!C449), IF($N$1="Vessels", IF(ISBLANK(Vessels!C449), "", Vessels!C449), ""))</f>
        <v>Piping</v>
      </c>
      <c r="D449" s="21" t="str">
        <f>IF($N$1="Piping", IF(ISBLANK(Piping!D449), "", Piping!D449), IF($N$1="Vessels", IF(ISBLANK(Vessels!D449), "", Vessels!D449), ""))</f>
        <v/>
      </c>
      <c r="E449" s="21" t="str">
        <f>IF($N$1="Piping", IF(ISBLANK(Piping!E449), "", Piping!E449), IF($N$1="Vessels", IF(ISBLANK(Vessels!E449), "", Vessels!E449), ""))</f>
        <v/>
      </c>
      <c r="F449" s="21" t="str">
        <f>IF($N$1="Piping", IF(ISBLANK(Piping!F449), "", Piping!F449), IF($N$1="Vessels", IF(ISBLANK(Vessels!F449), "", Vessels!F449), ""))</f>
        <v/>
      </c>
      <c r="G449" s="21">
        <f>IF($N$1="Piping", IF(ISBLANK(Piping!G449), "", Piping!G449), IF($N$1="Vessels", IF(ISBLANK(Vessels!G449), "", Vessels!G449), ""))</f>
        <v>0</v>
      </c>
      <c r="H449" s="21" t="str">
        <f>IF($N$1="Piping", IF(ISBLANK(Piping!H449), "", Piping!H449), IF($N$1="Vessels", IF(ISBLANK(Vessels!H449), "", Vessels!H449), ""))</f>
        <v/>
      </c>
      <c r="I449" s="21" t="str">
        <f>IF($N$1="Piping", IF(ISBLANK(Piping!I449), "", Piping!I449), IF($N$1="Vessels", IF(ISBLANK(Vessels!I449), "", Vessels!I449), ""))</f>
        <v/>
      </c>
      <c r="J449" s="21" t="str">
        <f>IF($N$1="Piping", IF(ISBLANK(Piping!J449), "", Piping!J449), IF($N$1="Vessels", IF(ISBLANK(Vessels!J449), "", Vessels!J449), ""))</f>
        <v/>
      </c>
      <c r="K449" s="21" t="str">
        <f>IF($N$1="Piping", IF(ISBLANK(Piping!K449), "", Piping!K449), IF($N$1="Vessels", IF(ISBLANK(Vessels!K449), "", Vessels!K449), ""))</f>
        <v/>
      </c>
      <c r="L449" s="21" t="str">
        <f>IF($N$1="Piping", IF(ISBLANK(Piping!L449), "", Piping!L449), IF($N$1="Vessels", IF(ISBLANK(Vessels!L449), "", Vessels!L449), ""))</f>
        <v/>
      </c>
      <c r="M449" s="21"/>
      <c r="N449" s="21"/>
      <c r="O449" s="21"/>
      <c r="P449" s="21"/>
      <c r="Q449" s="21" t="str">
        <f>IF($N$1="Piping", IF(ISBLANK(Piping!T449), "", Piping!T449), IF($N$1="Vessels", IF(ISBLANK(Vessels!T449), "", Vessels!T449), ""))</f>
        <v/>
      </c>
      <c r="R449" s="51" t="str">
        <f>IF($N$1="Piping", IF(ISBLANK(Piping!U449), "", Piping!U449), IF($N$1="Vessels", IF(ISBLANK(Vessels!U449), "", Vessels!U449), ""))</f>
        <v/>
      </c>
      <c r="S449" s="118" t="str">
        <f>IF(B449&lt;&gt;"",IF($N$1="Piping", IF(ISBLANK(Piping!$J$3), "", Piping!$J$3), IF($N$1="Vessels", IF(ISBLANK(Vessels!$J$3), "", Vessels!$J$3), "")),"")</f>
        <v/>
      </c>
      <c r="T449" s="37"/>
      <c r="U449" s="37"/>
      <c r="V449" s="37"/>
      <c r="W449" s="37"/>
      <c r="X449" s="37"/>
      <c r="Y449" s="37"/>
      <c r="Z449" s="37"/>
    </row>
    <row r="450" spans="1:26" ht="15.75" customHeight="1" x14ac:dyDescent="0.3">
      <c r="A450" s="22">
        <f>IF($N$1="Piping", IF(ISBLANK(Piping!A450), "", Piping!A450), IF($N$1="Vessels", IF(ISBLANK(Vessels!A450), "", Vessels!A450), ""))</f>
        <v>112.1</v>
      </c>
      <c r="B450" s="21" t="str">
        <f>IF($N$1="Piping", IF(ISBLANK(Piping!B450), "", Piping!B450), IF($N$1="Vessels", IF(ISBLANK(Vessels!B450), "", Vessels!B450), ""))</f>
        <v/>
      </c>
      <c r="C450" s="21" t="str">
        <f>IF($N$1="Piping", IF(ISBLANK(Piping!C450), "", Piping!C450), IF($N$1="Vessels", IF(ISBLANK(Vessels!C450), "", Vessels!C450), ""))</f>
        <v>Piping</v>
      </c>
      <c r="D450" s="21" t="str">
        <f>IF($N$1="Piping", IF(ISBLANK(Piping!D450), "", Piping!D450), IF($N$1="Vessels", IF(ISBLANK(Vessels!D450), "", Vessels!D450), ""))</f>
        <v/>
      </c>
      <c r="E450" s="21" t="str">
        <f>IF($N$1="Piping", IF(ISBLANK(Piping!E450), "", Piping!E450), IF($N$1="Vessels", IF(ISBLANK(Vessels!E450), "", Vessels!E450), ""))</f>
        <v/>
      </c>
      <c r="F450" s="21" t="str">
        <f>IF($N$1="Piping", IF(ISBLANK(Piping!F450), "", Piping!F450), IF($N$1="Vessels", IF(ISBLANK(Vessels!F450), "", Vessels!F450), ""))</f>
        <v/>
      </c>
      <c r="G450" s="21">
        <f>IF($N$1="Piping", IF(ISBLANK(Piping!G450), "", Piping!G450), IF($N$1="Vessels", IF(ISBLANK(Vessels!G450), "", Vessels!G450), ""))</f>
        <v>0</v>
      </c>
      <c r="H450" s="21" t="str">
        <f>IF($N$1="Piping", IF(ISBLANK(Piping!H450), "", Piping!H450), IF($N$1="Vessels", IF(ISBLANK(Vessels!H450), "", Vessels!H450), ""))</f>
        <v/>
      </c>
      <c r="I450" s="21" t="str">
        <f>IF($N$1="Piping", IF(ISBLANK(Piping!I450), "", Piping!I450), IF($N$1="Vessels", IF(ISBLANK(Vessels!I450), "", Vessels!I450), ""))</f>
        <v/>
      </c>
      <c r="J450" s="21" t="str">
        <f>IF($N$1="Piping", IF(ISBLANK(Piping!J450), "", Piping!J450), IF($N$1="Vessels", IF(ISBLANK(Vessels!J450), "", Vessels!J450), ""))</f>
        <v/>
      </c>
      <c r="K450" s="21" t="str">
        <f>IF($N$1="Piping", IF(ISBLANK(Piping!K450), "", Piping!K450), IF($N$1="Vessels", IF(ISBLANK(Vessels!K450), "", Vessels!K450), ""))</f>
        <v/>
      </c>
      <c r="L450" s="21" t="str">
        <f>IF($N$1="Piping", IF(ISBLANK(Piping!L450), "", Piping!L450), IF($N$1="Vessels", IF(ISBLANK(Vessels!L450), "", Vessels!L450), ""))</f>
        <v/>
      </c>
      <c r="M450" s="21"/>
      <c r="N450" s="21"/>
      <c r="O450" s="21"/>
      <c r="P450" s="21"/>
      <c r="Q450" s="21" t="str">
        <f>IF($N$1="Piping", IF(ISBLANK(Piping!T450), "", Piping!T450), IF($N$1="Vessels", IF(ISBLANK(Vessels!T450), "", Vessels!T450), ""))</f>
        <v/>
      </c>
      <c r="R450" s="51" t="str">
        <f>IF($N$1="Piping", IF(ISBLANK(Piping!U450), "", Piping!U450), IF($N$1="Vessels", IF(ISBLANK(Vessels!U450), "", Vessels!U450), ""))</f>
        <v/>
      </c>
      <c r="S450" s="118" t="str">
        <f>IF(B450&lt;&gt;"",IF($N$1="Piping", IF(ISBLANK(Piping!$J$3), "", Piping!$J$3), IF($N$1="Vessels", IF(ISBLANK(Vessels!$J$3), "", Vessels!$J$3), "")),"")</f>
        <v/>
      </c>
      <c r="T450" s="37"/>
      <c r="U450" s="37"/>
      <c r="V450" s="37"/>
      <c r="W450" s="37"/>
      <c r="X450" s="37"/>
      <c r="Y450" s="37"/>
      <c r="Z450" s="37"/>
    </row>
    <row r="451" spans="1:26" ht="15.75" customHeight="1" x14ac:dyDescent="0.3">
      <c r="A451" s="22">
        <f>IF($N$1="Piping", IF(ISBLANK(Piping!A451), "", Piping!A451), IF($N$1="Vessels", IF(ISBLANK(Vessels!A451), "", Vessels!A451), ""))</f>
        <v>112.2</v>
      </c>
      <c r="B451" s="21" t="str">
        <f>IF($N$1="Piping", IF(ISBLANK(Piping!B451), "", Piping!B451), IF($N$1="Vessels", IF(ISBLANK(Vessels!B451), "", Vessels!B451), ""))</f>
        <v/>
      </c>
      <c r="C451" s="21" t="str">
        <f>IF($N$1="Piping", IF(ISBLANK(Piping!C451), "", Piping!C451), IF($N$1="Vessels", IF(ISBLANK(Vessels!C451), "", Vessels!C451), ""))</f>
        <v>Piping</v>
      </c>
      <c r="D451" s="21" t="str">
        <f>IF($N$1="Piping", IF(ISBLANK(Piping!D451), "", Piping!D451), IF($N$1="Vessels", IF(ISBLANK(Vessels!D451), "", Vessels!D451), ""))</f>
        <v/>
      </c>
      <c r="E451" s="21" t="str">
        <f>IF($N$1="Piping", IF(ISBLANK(Piping!E451), "", Piping!E451), IF($N$1="Vessels", IF(ISBLANK(Vessels!E451), "", Vessels!E451), ""))</f>
        <v/>
      </c>
      <c r="F451" s="21" t="str">
        <f>IF($N$1="Piping", IF(ISBLANK(Piping!F451), "", Piping!F451), IF($N$1="Vessels", IF(ISBLANK(Vessels!F451), "", Vessels!F451), ""))</f>
        <v/>
      </c>
      <c r="G451" s="21">
        <f>IF($N$1="Piping", IF(ISBLANK(Piping!G451), "", Piping!G451), IF($N$1="Vessels", IF(ISBLANK(Vessels!G451), "", Vessels!G451), ""))</f>
        <v>0</v>
      </c>
      <c r="H451" s="21" t="str">
        <f>IF($N$1="Piping", IF(ISBLANK(Piping!H451), "", Piping!H451), IF($N$1="Vessels", IF(ISBLANK(Vessels!H451), "", Vessels!H451), ""))</f>
        <v/>
      </c>
      <c r="I451" s="21" t="str">
        <f>IF($N$1="Piping", IF(ISBLANK(Piping!I451), "", Piping!I451), IF($N$1="Vessels", IF(ISBLANK(Vessels!I451), "", Vessels!I451), ""))</f>
        <v/>
      </c>
      <c r="J451" s="21" t="str">
        <f>IF($N$1="Piping", IF(ISBLANK(Piping!J451), "", Piping!J451), IF($N$1="Vessels", IF(ISBLANK(Vessels!J451), "", Vessels!J451), ""))</f>
        <v/>
      </c>
      <c r="K451" s="21" t="str">
        <f>IF($N$1="Piping", IF(ISBLANK(Piping!K451), "", Piping!K451), IF($N$1="Vessels", IF(ISBLANK(Vessels!K451), "", Vessels!K451), ""))</f>
        <v/>
      </c>
      <c r="L451" s="21" t="str">
        <f>IF($N$1="Piping", IF(ISBLANK(Piping!L451), "", Piping!L451), IF($N$1="Vessels", IF(ISBLANK(Vessels!L451), "", Vessels!L451), ""))</f>
        <v/>
      </c>
      <c r="M451" s="21"/>
      <c r="N451" s="21"/>
      <c r="O451" s="21"/>
      <c r="P451" s="21"/>
      <c r="Q451" s="21" t="str">
        <f>IF($N$1="Piping", IF(ISBLANK(Piping!T451), "", Piping!T451), IF($N$1="Vessels", IF(ISBLANK(Vessels!T451), "", Vessels!T451), ""))</f>
        <v/>
      </c>
      <c r="R451" s="51" t="str">
        <f>IF($N$1="Piping", IF(ISBLANK(Piping!U451), "", Piping!U451), IF($N$1="Vessels", IF(ISBLANK(Vessels!U451), "", Vessels!U451), ""))</f>
        <v/>
      </c>
      <c r="S451" s="118" t="str">
        <f>IF(B451&lt;&gt;"",IF($N$1="Piping", IF(ISBLANK(Piping!$J$3), "", Piping!$J$3), IF($N$1="Vessels", IF(ISBLANK(Vessels!$J$3), "", Vessels!$J$3), "")),"")</f>
        <v/>
      </c>
      <c r="T451" s="37"/>
      <c r="U451" s="37"/>
      <c r="V451" s="37"/>
      <c r="W451" s="37"/>
      <c r="X451" s="37"/>
      <c r="Y451" s="37"/>
      <c r="Z451" s="37"/>
    </row>
    <row r="452" spans="1:26" ht="15.75" customHeight="1" x14ac:dyDescent="0.3">
      <c r="A452" s="22">
        <f>IF($N$1="Piping", IF(ISBLANK(Piping!A452), "", Piping!A452), IF($N$1="Vessels", IF(ISBLANK(Vessels!A452), "", Vessels!A452), ""))</f>
        <v>112.3</v>
      </c>
      <c r="B452" s="21" t="str">
        <f>IF($N$1="Piping", IF(ISBLANK(Piping!B452), "", Piping!B452), IF($N$1="Vessels", IF(ISBLANK(Vessels!B452), "", Vessels!B452), ""))</f>
        <v/>
      </c>
      <c r="C452" s="21" t="str">
        <f>IF($N$1="Piping", IF(ISBLANK(Piping!C452), "", Piping!C452), IF($N$1="Vessels", IF(ISBLANK(Vessels!C452), "", Vessels!C452), ""))</f>
        <v>Piping</v>
      </c>
      <c r="D452" s="21" t="str">
        <f>IF($N$1="Piping", IF(ISBLANK(Piping!D452), "", Piping!D452), IF($N$1="Vessels", IF(ISBLANK(Vessels!D452), "", Vessels!D452), ""))</f>
        <v/>
      </c>
      <c r="E452" s="21" t="str">
        <f>IF($N$1="Piping", IF(ISBLANK(Piping!E452), "", Piping!E452), IF($N$1="Vessels", IF(ISBLANK(Vessels!E452), "", Vessels!E452), ""))</f>
        <v/>
      </c>
      <c r="F452" s="21" t="str">
        <f>IF($N$1="Piping", IF(ISBLANK(Piping!F452), "", Piping!F452), IF($N$1="Vessels", IF(ISBLANK(Vessels!F452), "", Vessels!F452), ""))</f>
        <v/>
      </c>
      <c r="G452" s="21">
        <f>IF($N$1="Piping", IF(ISBLANK(Piping!G452), "", Piping!G452), IF($N$1="Vessels", IF(ISBLANK(Vessels!G452), "", Vessels!G452), ""))</f>
        <v>0</v>
      </c>
      <c r="H452" s="21" t="str">
        <f>IF($N$1="Piping", IF(ISBLANK(Piping!H452), "", Piping!H452), IF($N$1="Vessels", IF(ISBLANK(Vessels!H452), "", Vessels!H452), ""))</f>
        <v/>
      </c>
      <c r="I452" s="21" t="str">
        <f>IF($N$1="Piping", IF(ISBLANK(Piping!I452), "", Piping!I452), IF($N$1="Vessels", IF(ISBLANK(Vessels!I452), "", Vessels!I452), ""))</f>
        <v/>
      </c>
      <c r="J452" s="21" t="str">
        <f>IF($N$1="Piping", IF(ISBLANK(Piping!J452), "", Piping!J452), IF($N$1="Vessels", IF(ISBLANK(Vessels!J452), "", Vessels!J452), ""))</f>
        <v/>
      </c>
      <c r="K452" s="21" t="str">
        <f>IF($N$1="Piping", IF(ISBLANK(Piping!K452), "", Piping!K452), IF($N$1="Vessels", IF(ISBLANK(Vessels!K452), "", Vessels!K452), ""))</f>
        <v/>
      </c>
      <c r="L452" s="21" t="str">
        <f>IF($N$1="Piping", IF(ISBLANK(Piping!L452), "", Piping!L452), IF($N$1="Vessels", IF(ISBLANK(Vessels!L452), "", Vessels!L452), ""))</f>
        <v/>
      </c>
      <c r="M452" s="21"/>
      <c r="N452" s="21"/>
      <c r="O452" s="21"/>
      <c r="P452" s="21"/>
      <c r="Q452" s="21" t="str">
        <f>IF($N$1="Piping", IF(ISBLANK(Piping!T452), "", Piping!T452), IF($N$1="Vessels", IF(ISBLANK(Vessels!T452), "", Vessels!T452), ""))</f>
        <v/>
      </c>
      <c r="R452" s="51" t="str">
        <f>IF($N$1="Piping", IF(ISBLANK(Piping!U452), "", Piping!U452), IF($N$1="Vessels", IF(ISBLANK(Vessels!U452), "", Vessels!U452), ""))</f>
        <v/>
      </c>
      <c r="S452" s="118" t="str">
        <f>IF(B452&lt;&gt;"",IF($N$1="Piping", IF(ISBLANK(Piping!$J$3), "", Piping!$J$3), IF($N$1="Vessels", IF(ISBLANK(Vessels!$J$3), "", Vessels!$J$3), "")),"")</f>
        <v/>
      </c>
      <c r="T452" s="37"/>
      <c r="U452" s="37"/>
      <c r="V452" s="37"/>
      <c r="W452" s="37"/>
      <c r="X452" s="37"/>
      <c r="Y452" s="37"/>
      <c r="Z452" s="37"/>
    </row>
    <row r="453" spans="1:26" ht="15.75" customHeight="1" x14ac:dyDescent="0.3">
      <c r="A453" s="22">
        <f>IF($N$1="Piping", IF(ISBLANK(Piping!A453), "", Piping!A453), IF($N$1="Vessels", IF(ISBLANK(Vessels!A453), "", Vessels!A453), ""))</f>
        <v>112.4</v>
      </c>
      <c r="B453" s="21" t="str">
        <f>IF($N$1="Piping", IF(ISBLANK(Piping!B453), "", Piping!B453), IF($N$1="Vessels", IF(ISBLANK(Vessels!B453), "", Vessels!B453), ""))</f>
        <v/>
      </c>
      <c r="C453" s="21" t="str">
        <f>IF($N$1="Piping", IF(ISBLANK(Piping!C453), "", Piping!C453), IF($N$1="Vessels", IF(ISBLANK(Vessels!C453), "", Vessels!C453), ""))</f>
        <v>Piping</v>
      </c>
      <c r="D453" s="21" t="str">
        <f>IF($N$1="Piping", IF(ISBLANK(Piping!D453), "", Piping!D453), IF($N$1="Vessels", IF(ISBLANK(Vessels!D453), "", Vessels!D453), ""))</f>
        <v/>
      </c>
      <c r="E453" s="21" t="str">
        <f>IF($N$1="Piping", IF(ISBLANK(Piping!E453), "", Piping!E453), IF($N$1="Vessels", IF(ISBLANK(Vessels!E453), "", Vessels!E453), ""))</f>
        <v/>
      </c>
      <c r="F453" s="21" t="str">
        <f>IF($N$1="Piping", IF(ISBLANK(Piping!F453), "", Piping!F453), IF($N$1="Vessels", IF(ISBLANK(Vessels!F453), "", Vessels!F453), ""))</f>
        <v/>
      </c>
      <c r="G453" s="21">
        <f>IF($N$1="Piping", IF(ISBLANK(Piping!G453), "", Piping!G453), IF($N$1="Vessels", IF(ISBLANK(Vessels!G453), "", Vessels!G453), ""))</f>
        <v>0</v>
      </c>
      <c r="H453" s="21" t="str">
        <f>IF($N$1="Piping", IF(ISBLANK(Piping!H453), "", Piping!H453), IF($N$1="Vessels", IF(ISBLANK(Vessels!H453), "", Vessels!H453), ""))</f>
        <v/>
      </c>
      <c r="I453" s="21" t="str">
        <f>IF($N$1="Piping", IF(ISBLANK(Piping!I453), "", Piping!I453), IF($N$1="Vessels", IF(ISBLANK(Vessels!I453), "", Vessels!I453), ""))</f>
        <v/>
      </c>
      <c r="J453" s="21" t="str">
        <f>IF($N$1="Piping", IF(ISBLANK(Piping!J453), "", Piping!J453), IF($N$1="Vessels", IF(ISBLANK(Vessels!J453), "", Vessels!J453), ""))</f>
        <v/>
      </c>
      <c r="K453" s="21" t="str">
        <f>IF($N$1="Piping", IF(ISBLANK(Piping!K453), "", Piping!K453), IF($N$1="Vessels", IF(ISBLANK(Vessels!K453), "", Vessels!K453), ""))</f>
        <v/>
      </c>
      <c r="L453" s="21" t="str">
        <f>IF($N$1="Piping", IF(ISBLANK(Piping!L453), "", Piping!L453), IF($N$1="Vessels", IF(ISBLANK(Vessels!L453), "", Vessels!L453), ""))</f>
        <v/>
      </c>
      <c r="M453" s="21"/>
      <c r="N453" s="21"/>
      <c r="O453" s="21"/>
      <c r="P453" s="21"/>
      <c r="Q453" s="21" t="str">
        <f>IF($N$1="Piping", IF(ISBLANK(Piping!T453), "", Piping!T453), IF($N$1="Vessels", IF(ISBLANK(Vessels!T453), "", Vessels!T453), ""))</f>
        <v/>
      </c>
      <c r="R453" s="51" t="str">
        <f>IF($N$1="Piping", IF(ISBLANK(Piping!U453), "", Piping!U453), IF($N$1="Vessels", IF(ISBLANK(Vessels!U453), "", Vessels!U453), ""))</f>
        <v/>
      </c>
      <c r="S453" s="118" t="str">
        <f>IF(B453&lt;&gt;"",IF($N$1="Piping", IF(ISBLANK(Piping!$J$3), "", Piping!$J$3), IF($N$1="Vessels", IF(ISBLANK(Vessels!$J$3), "", Vessels!$J$3), "")),"")</f>
        <v/>
      </c>
      <c r="T453" s="37"/>
      <c r="U453" s="37"/>
      <c r="V453" s="37"/>
      <c r="W453" s="37"/>
      <c r="X453" s="37"/>
      <c r="Y453" s="37"/>
      <c r="Z453" s="37"/>
    </row>
    <row r="454" spans="1:26" ht="15.75" customHeight="1" x14ac:dyDescent="0.3">
      <c r="A454" s="22">
        <f>IF($N$1="Piping", IF(ISBLANK(Piping!A454), "", Piping!A454), IF($N$1="Vessels", IF(ISBLANK(Vessels!A454), "", Vessels!A454), ""))</f>
        <v>113.1</v>
      </c>
      <c r="B454" s="21" t="str">
        <f>IF($N$1="Piping", IF(ISBLANK(Piping!B454), "", Piping!B454), IF($N$1="Vessels", IF(ISBLANK(Vessels!B454), "", Vessels!B454), ""))</f>
        <v/>
      </c>
      <c r="C454" s="21" t="str">
        <f>IF($N$1="Piping", IF(ISBLANK(Piping!C454), "", Piping!C454), IF($N$1="Vessels", IF(ISBLANK(Vessels!C454), "", Vessels!C454), ""))</f>
        <v>Piping</v>
      </c>
      <c r="D454" s="21" t="str">
        <f>IF($N$1="Piping", IF(ISBLANK(Piping!D454), "", Piping!D454), IF($N$1="Vessels", IF(ISBLANK(Vessels!D454), "", Vessels!D454), ""))</f>
        <v/>
      </c>
      <c r="E454" s="21" t="str">
        <f>IF($N$1="Piping", IF(ISBLANK(Piping!E454), "", Piping!E454), IF($N$1="Vessels", IF(ISBLANK(Vessels!E454), "", Vessels!E454), ""))</f>
        <v/>
      </c>
      <c r="F454" s="21" t="str">
        <f>IF($N$1="Piping", IF(ISBLANK(Piping!F454), "", Piping!F454), IF($N$1="Vessels", IF(ISBLANK(Vessels!F454), "", Vessels!F454), ""))</f>
        <v/>
      </c>
      <c r="G454" s="21">
        <f>IF($N$1="Piping", IF(ISBLANK(Piping!G454), "", Piping!G454), IF($N$1="Vessels", IF(ISBLANK(Vessels!G454), "", Vessels!G454), ""))</f>
        <v>0</v>
      </c>
      <c r="H454" s="21" t="str">
        <f>IF($N$1="Piping", IF(ISBLANK(Piping!H454), "", Piping!H454), IF($N$1="Vessels", IF(ISBLANK(Vessels!H454), "", Vessels!H454), ""))</f>
        <v/>
      </c>
      <c r="I454" s="21" t="str">
        <f>IF($N$1="Piping", IF(ISBLANK(Piping!I454), "", Piping!I454), IF($N$1="Vessels", IF(ISBLANK(Vessels!I454), "", Vessels!I454), ""))</f>
        <v/>
      </c>
      <c r="J454" s="21" t="str">
        <f>IF($N$1="Piping", IF(ISBLANK(Piping!J454), "", Piping!J454), IF($N$1="Vessels", IF(ISBLANK(Vessels!J454), "", Vessels!J454), ""))</f>
        <v/>
      </c>
      <c r="K454" s="21" t="str">
        <f>IF($N$1="Piping", IF(ISBLANK(Piping!K454), "", Piping!K454), IF($N$1="Vessels", IF(ISBLANK(Vessels!K454), "", Vessels!K454), ""))</f>
        <v/>
      </c>
      <c r="L454" s="21" t="str">
        <f>IF($N$1="Piping", IF(ISBLANK(Piping!L454), "", Piping!L454), IF($N$1="Vessels", IF(ISBLANK(Vessels!L454), "", Vessels!L454), ""))</f>
        <v/>
      </c>
      <c r="M454" s="21"/>
      <c r="N454" s="21"/>
      <c r="O454" s="21"/>
      <c r="P454" s="21"/>
      <c r="Q454" s="21" t="str">
        <f>IF($N$1="Piping", IF(ISBLANK(Piping!T454), "", Piping!T454), IF($N$1="Vessels", IF(ISBLANK(Vessels!T454), "", Vessels!T454), ""))</f>
        <v/>
      </c>
      <c r="R454" s="51" t="str">
        <f>IF($N$1="Piping", IF(ISBLANK(Piping!U454), "", Piping!U454), IF($N$1="Vessels", IF(ISBLANK(Vessels!U454), "", Vessels!U454), ""))</f>
        <v/>
      </c>
      <c r="S454" s="118" t="str">
        <f>IF(B454&lt;&gt;"",IF($N$1="Piping", IF(ISBLANK(Piping!$J$3), "", Piping!$J$3), IF($N$1="Vessels", IF(ISBLANK(Vessels!$J$3), "", Vessels!$J$3), "")),"")</f>
        <v/>
      </c>
      <c r="T454" s="37"/>
      <c r="U454" s="37"/>
      <c r="V454" s="37"/>
      <c r="W454" s="37"/>
      <c r="X454" s="37"/>
      <c r="Y454" s="37"/>
      <c r="Z454" s="37"/>
    </row>
    <row r="455" spans="1:26" ht="15.75" customHeight="1" x14ac:dyDescent="0.3">
      <c r="A455" s="22">
        <f>IF($N$1="Piping", IF(ISBLANK(Piping!A455), "", Piping!A455), IF($N$1="Vessels", IF(ISBLANK(Vessels!A455), "", Vessels!A455), ""))</f>
        <v>113.2</v>
      </c>
      <c r="B455" s="21" t="str">
        <f>IF($N$1="Piping", IF(ISBLANK(Piping!B455), "", Piping!B455), IF($N$1="Vessels", IF(ISBLANK(Vessels!B455), "", Vessels!B455), ""))</f>
        <v/>
      </c>
      <c r="C455" s="21" t="str">
        <f>IF($N$1="Piping", IF(ISBLANK(Piping!C455), "", Piping!C455), IF($N$1="Vessels", IF(ISBLANK(Vessels!C455), "", Vessels!C455), ""))</f>
        <v>Piping</v>
      </c>
      <c r="D455" s="21" t="str">
        <f>IF($N$1="Piping", IF(ISBLANK(Piping!D455), "", Piping!D455), IF($N$1="Vessels", IF(ISBLANK(Vessels!D455), "", Vessels!D455), ""))</f>
        <v/>
      </c>
      <c r="E455" s="21" t="str">
        <f>IF($N$1="Piping", IF(ISBLANK(Piping!E455), "", Piping!E455), IF($N$1="Vessels", IF(ISBLANK(Vessels!E455), "", Vessels!E455), ""))</f>
        <v/>
      </c>
      <c r="F455" s="21" t="str">
        <f>IF($N$1="Piping", IF(ISBLANK(Piping!F455), "", Piping!F455), IF($N$1="Vessels", IF(ISBLANK(Vessels!F455), "", Vessels!F455), ""))</f>
        <v/>
      </c>
      <c r="G455" s="21">
        <f>IF($N$1="Piping", IF(ISBLANK(Piping!G455), "", Piping!G455), IF($N$1="Vessels", IF(ISBLANK(Vessels!G455), "", Vessels!G455), ""))</f>
        <v>0</v>
      </c>
      <c r="H455" s="21" t="str">
        <f>IF($N$1="Piping", IF(ISBLANK(Piping!H455), "", Piping!H455), IF($N$1="Vessels", IF(ISBLANK(Vessels!H455), "", Vessels!H455), ""))</f>
        <v/>
      </c>
      <c r="I455" s="21" t="str">
        <f>IF($N$1="Piping", IF(ISBLANK(Piping!I455), "", Piping!I455), IF($N$1="Vessels", IF(ISBLANK(Vessels!I455), "", Vessels!I455), ""))</f>
        <v/>
      </c>
      <c r="J455" s="21" t="str">
        <f>IF($N$1="Piping", IF(ISBLANK(Piping!J455), "", Piping!J455), IF($N$1="Vessels", IF(ISBLANK(Vessels!J455), "", Vessels!J455), ""))</f>
        <v/>
      </c>
      <c r="K455" s="21" t="str">
        <f>IF($N$1="Piping", IF(ISBLANK(Piping!K455), "", Piping!K455), IF($N$1="Vessels", IF(ISBLANK(Vessels!K455), "", Vessels!K455), ""))</f>
        <v/>
      </c>
      <c r="L455" s="21" t="str">
        <f>IF($N$1="Piping", IF(ISBLANK(Piping!L455), "", Piping!L455), IF($N$1="Vessels", IF(ISBLANK(Vessels!L455), "", Vessels!L455), ""))</f>
        <v/>
      </c>
      <c r="M455" s="21"/>
      <c r="N455" s="21"/>
      <c r="O455" s="21"/>
      <c r="P455" s="21"/>
      <c r="Q455" s="21" t="str">
        <f>IF($N$1="Piping", IF(ISBLANK(Piping!T455), "", Piping!T455), IF($N$1="Vessels", IF(ISBLANK(Vessels!T455), "", Vessels!T455), ""))</f>
        <v/>
      </c>
      <c r="R455" s="51" t="str">
        <f>IF($N$1="Piping", IF(ISBLANK(Piping!U455), "", Piping!U455), IF($N$1="Vessels", IF(ISBLANK(Vessels!U455), "", Vessels!U455), ""))</f>
        <v/>
      </c>
      <c r="S455" s="118" t="str">
        <f>IF(B455&lt;&gt;"",IF($N$1="Piping", IF(ISBLANK(Piping!$J$3), "", Piping!$J$3), IF($N$1="Vessels", IF(ISBLANK(Vessels!$J$3), "", Vessels!$J$3), "")),"")</f>
        <v/>
      </c>
      <c r="T455" s="37"/>
      <c r="U455" s="37"/>
      <c r="V455" s="37"/>
      <c r="W455" s="37"/>
      <c r="X455" s="37"/>
      <c r="Y455" s="37"/>
      <c r="Z455" s="37"/>
    </row>
    <row r="456" spans="1:26" ht="15.75" customHeight="1" x14ac:dyDescent="0.3">
      <c r="A456" s="22">
        <f>IF($N$1="Piping", IF(ISBLANK(Piping!A456), "", Piping!A456), IF($N$1="Vessels", IF(ISBLANK(Vessels!A456), "", Vessels!A456), ""))</f>
        <v>113.3</v>
      </c>
      <c r="B456" s="21" t="str">
        <f>IF($N$1="Piping", IF(ISBLANK(Piping!B456), "", Piping!B456), IF($N$1="Vessels", IF(ISBLANK(Vessels!B456), "", Vessels!B456), ""))</f>
        <v/>
      </c>
      <c r="C456" s="21" t="str">
        <f>IF($N$1="Piping", IF(ISBLANK(Piping!C456), "", Piping!C456), IF($N$1="Vessels", IF(ISBLANK(Vessels!C456), "", Vessels!C456), ""))</f>
        <v>Piping</v>
      </c>
      <c r="D456" s="21" t="str">
        <f>IF($N$1="Piping", IF(ISBLANK(Piping!D456), "", Piping!D456), IF($N$1="Vessels", IF(ISBLANK(Vessels!D456), "", Vessels!D456), ""))</f>
        <v/>
      </c>
      <c r="E456" s="21" t="str">
        <f>IF($N$1="Piping", IF(ISBLANK(Piping!E456), "", Piping!E456), IF($N$1="Vessels", IF(ISBLANK(Vessels!E456), "", Vessels!E456), ""))</f>
        <v/>
      </c>
      <c r="F456" s="21" t="str">
        <f>IF($N$1="Piping", IF(ISBLANK(Piping!F456), "", Piping!F456), IF($N$1="Vessels", IF(ISBLANK(Vessels!F456), "", Vessels!F456), ""))</f>
        <v/>
      </c>
      <c r="G456" s="21">
        <f>IF($N$1="Piping", IF(ISBLANK(Piping!G456), "", Piping!G456), IF($N$1="Vessels", IF(ISBLANK(Vessels!G456), "", Vessels!G456), ""))</f>
        <v>0</v>
      </c>
      <c r="H456" s="21" t="str">
        <f>IF($N$1="Piping", IF(ISBLANK(Piping!H456), "", Piping!H456), IF($N$1="Vessels", IF(ISBLANK(Vessels!H456), "", Vessels!H456), ""))</f>
        <v/>
      </c>
      <c r="I456" s="21" t="str">
        <f>IF($N$1="Piping", IF(ISBLANK(Piping!I456), "", Piping!I456), IF($N$1="Vessels", IF(ISBLANK(Vessels!I456), "", Vessels!I456), ""))</f>
        <v/>
      </c>
      <c r="J456" s="21" t="str">
        <f>IF($N$1="Piping", IF(ISBLANK(Piping!J456), "", Piping!J456), IF($N$1="Vessels", IF(ISBLANK(Vessels!J456), "", Vessels!J456), ""))</f>
        <v/>
      </c>
      <c r="K456" s="21" t="str">
        <f>IF($N$1="Piping", IF(ISBLANK(Piping!K456), "", Piping!K456), IF($N$1="Vessels", IF(ISBLANK(Vessels!K456), "", Vessels!K456), ""))</f>
        <v/>
      </c>
      <c r="L456" s="21" t="str">
        <f>IF($N$1="Piping", IF(ISBLANK(Piping!L456), "", Piping!L456), IF($N$1="Vessels", IF(ISBLANK(Vessels!L456), "", Vessels!L456), ""))</f>
        <v/>
      </c>
      <c r="M456" s="21"/>
      <c r="N456" s="21"/>
      <c r="O456" s="21"/>
      <c r="P456" s="21"/>
      <c r="Q456" s="21" t="str">
        <f>IF($N$1="Piping", IF(ISBLANK(Piping!T456), "", Piping!T456), IF($N$1="Vessels", IF(ISBLANK(Vessels!T456), "", Vessels!T456), ""))</f>
        <v/>
      </c>
      <c r="R456" s="51" t="str">
        <f>IF($N$1="Piping", IF(ISBLANK(Piping!U456), "", Piping!U456), IF($N$1="Vessels", IF(ISBLANK(Vessels!U456), "", Vessels!U456), ""))</f>
        <v/>
      </c>
      <c r="S456" s="118" t="str">
        <f>IF(B456&lt;&gt;"",IF($N$1="Piping", IF(ISBLANK(Piping!$J$3), "", Piping!$J$3), IF($N$1="Vessels", IF(ISBLANK(Vessels!$J$3), "", Vessels!$J$3), "")),"")</f>
        <v/>
      </c>
      <c r="T456" s="37"/>
      <c r="U456" s="37"/>
      <c r="V456" s="37"/>
      <c r="W456" s="37"/>
      <c r="X456" s="37"/>
      <c r="Y456" s="37"/>
      <c r="Z456" s="37"/>
    </row>
    <row r="457" spans="1:26" ht="15.75" customHeight="1" x14ac:dyDescent="0.3">
      <c r="A457" s="22">
        <f>IF($N$1="Piping", IF(ISBLANK(Piping!A457), "", Piping!A457), IF($N$1="Vessels", IF(ISBLANK(Vessels!A457), "", Vessels!A457), ""))</f>
        <v>113.4</v>
      </c>
      <c r="B457" s="21" t="str">
        <f>IF($N$1="Piping", IF(ISBLANK(Piping!B457), "", Piping!B457), IF($N$1="Vessels", IF(ISBLANK(Vessels!B457), "", Vessels!B457), ""))</f>
        <v/>
      </c>
      <c r="C457" s="21" t="str">
        <f>IF($N$1="Piping", IF(ISBLANK(Piping!C457), "", Piping!C457), IF($N$1="Vessels", IF(ISBLANK(Vessels!C457), "", Vessels!C457), ""))</f>
        <v>Piping</v>
      </c>
      <c r="D457" s="21" t="str">
        <f>IF($N$1="Piping", IF(ISBLANK(Piping!D457), "", Piping!D457), IF($N$1="Vessels", IF(ISBLANK(Vessels!D457), "", Vessels!D457), ""))</f>
        <v/>
      </c>
      <c r="E457" s="21" t="str">
        <f>IF($N$1="Piping", IF(ISBLANK(Piping!E457), "", Piping!E457), IF($N$1="Vessels", IF(ISBLANK(Vessels!E457), "", Vessels!E457), ""))</f>
        <v/>
      </c>
      <c r="F457" s="21" t="str">
        <f>IF($N$1="Piping", IF(ISBLANK(Piping!F457), "", Piping!F457), IF($N$1="Vessels", IF(ISBLANK(Vessels!F457), "", Vessels!F457), ""))</f>
        <v/>
      </c>
      <c r="G457" s="21">
        <f>IF($N$1="Piping", IF(ISBLANK(Piping!G457), "", Piping!G457), IF($N$1="Vessels", IF(ISBLANK(Vessels!G457), "", Vessels!G457), ""))</f>
        <v>0</v>
      </c>
      <c r="H457" s="21" t="str">
        <f>IF($N$1="Piping", IF(ISBLANK(Piping!H457), "", Piping!H457), IF($N$1="Vessels", IF(ISBLANK(Vessels!H457), "", Vessels!H457), ""))</f>
        <v/>
      </c>
      <c r="I457" s="21" t="str">
        <f>IF($N$1="Piping", IF(ISBLANK(Piping!I457), "", Piping!I457), IF($N$1="Vessels", IF(ISBLANK(Vessels!I457), "", Vessels!I457), ""))</f>
        <v/>
      </c>
      <c r="J457" s="21" t="str">
        <f>IF($N$1="Piping", IF(ISBLANK(Piping!J457), "", Piping!J457), IF($N$1="Vessels", IF(ISBLANK(Vessels!J457), "", Vessels!J457), ""))</f>
        <v/>
      </c>
      <c r="K457" s="21" t="str">
        <f>IF($N$1="Piping", IF(ISBLANK(Piping!K457), "", Piping!K457), IF($N$1="Vessels", IF(ISBLANK(Vessels!K457), "", Vessels!K457), ""))</f>
        <v/>
      </c>
      <c r="L457" s="21" t="str">
        <f>IF($N$1="Piping", IF(ISBLANK(Piping!L457), "", Piping!L457), IF($N$1="Vessels", IF(ISBLANK(Vessels!L457), "", Vessels!L457), ""))</f>
        <v/>
      </c>
      <c r="M457" s="21"/>
      <c r="N457" s="21"/>
      <c r="O457" s="21"/>
      <c r="P457" s="21"/>
      <c r="Q457" s="21" t="str">
        <f>IF($N$1="Piping", IF(ISBLANK(Piping!T457), "", Piping!T457), IF($N$1="Vessels", IF(ISBLANK(Vessels!T457), "", Vessels!T457), ""))</f>
        <v/>
      </c>
      <c r="R457" s="51" t="str">
        <f>IF($N$1="Piping", IF(ISBLANK(Piping!U457), "", Piping!U457), IF($N$1="Vessels", IF(ISBLANK(Vessels!U457), "", Vessels!U457), ""))</f>
        <v/>
      </c>
      <c r="S457" s="118" t="str">
        <f>IF(B457&lt;&gt;"",IF($N$1="Piping", IF(ISBLANK(Piping!$J$3), "", Piping!$J$3), IF($N$1="Vessels", IF(ISBLANK(Vessels!$J$3), "", Vessels!$J$3), "")),"")</f>
        <v/>
      </c>
      <c r="T457" s="37"/>
      <c r="U457" s="37"/>
      <c r="V457" s="37"/>
      <c r="W457" s="37"/>
      <c r="X457" s="37"/>
      <c r="Y457" s="37"/>
      <c r="Z457" s="37"/>
    </row>
    <row r="458" spans="1:26" ht="15.75" customHeight="1" x14ac:dyDescent="0.3">
      <c r="A458" s="22">
        <f>IF($N$1="Piping", IF(ISBLANK(Piping!A458), "", Piping!A458), IF($N$1="Vessels", IF(ISBLANK(Vessels!A458), "", Vessels!A458), ""))</f>
        <v>114.1</v>
      </c>
      <c r="B458" s="21" t="str">
        <f>IF($N$1="Piping", IF(ISBLANK(Piping!B458), "", Piping!B458), IF($N$1="Vessels", IF(ISBLANK(Vessels!B458), "", Vessels!B458), ""))</f>
        <v/>
      </c>
      <c r="C458" s="21" t="str">
        <f>IF($N$1="Piping", IF(ISBLANK(Piping!C458), "", Piping!C458), IF($N$1="Vessels", IF(ISBLANK(Vessels!C458), "", Vessels!C458), ""))</f>
        <v>Piping</v>
      </c>
      <c r="D458" s="21" t="str">
        <f>IF($N$1="Piping", IF(ISBLANK(Piping!D458), "", Piping!D458), IF($N$1="Vessels", IF(ISBLANK(Vessels!D458), "", Vessels!D458), ""))</f>
        <v/>
      </c>
      <c r="E458" s="21" t="str">
        <f>IF($N$1="Piping", IF(ISBLANK(Piping!E458), "", Piping!E458), IF($N$1="Vessels", IF(ISBLANK(Vessels!E458), "", Vessels!E458), ""))</f>
        <v/>
      </c>
      <c r="F458" s="21" t="str">
        <f>IF($N$1="Piping", IF(ISBLANK(Piping!F458), "", Piping!F458), IF($N$1="Vessels", IF(ISBLANK(Vessels!F458), "", Vessels!F458), ""))</f>
        <v/>
      </c>
      <c r="G458" s="21">
        <f>IF($N$1="Piping", IF(ISBLANK(Piping!G458), "", Piping!G458), IF($N$1="Vessels", IF(ISBLANK(Vessels!G458), "", Vessels!G458), ""))</f>
        <v>0</v>
      </c>
      <c r="H458" s="21" t="str">
        <f>IF($N$1="Piping", IF(ISBLANK(Piping!H458), "", Piping!H458), IF($N$1="Vessels", IF(ISBLANK(Vessels!H458), "", Vessels!H458), ""))</f>
        <v/>
      </c>
      <c r="I458" s="21" t="str">
        <f>IF($N$1="Piping", IF(ISBLANK(Piping!I458), "", Piping!I458), IF($N$1="Vessels", IF(ISBLANK(Vessels!I458), "", Vessels!I458), ""))</f>
        <v/>
      </c>
      <c r="J458" s="21" t="str">
        <f>IF($N$1="Piping", IF(ISBLANK(Piping!J458), "", Piping!J458), IF($N$1="Vessels", IF(ISBLANK(Vessels!J458), "", Vessels!J458), ""))</f>
        <v/>
      </c>
      <c r="K458" s="21" t="str">
        <f>IF($N$1="Piping", IF(ISBLANK(Piping!K458), "", Piping!K458), IF($N$1="Vessels", IF(ISBLANK(Vessels!K458), "", Vessels!K458), ""))</f>
        <v/>
      </c>
      <c r="L458" s="21" t="str">
        <f>IF($N$1="Piping", IF(ISBLANK(Piping!L458), "", Piping!L458), IF($N$1="Vessels", IF(ISBLANK(Vessels!L458), "", Vessels!L458), ""))</f>
        <v/>
      </c>
      <c r="M458" s="21"/>
      <c r="N458" s="21"/>
      <c r="O458" s="21"/>
      <c r="P458" s="21"/>
      <c r="Q458" s="21" t="str">
        <f>IF($N$1="Piping", IF(ISBLANK(Piping!T458), "", Piping!T458), IF($N$1="Vessels", IF(ISBLANK(Vessels!T458), "", Vessels!T458), ""))</f>
        <v/>
      </c>
      <c r="R458" s="51" t="str">
        <f>IF($N$1="Piping", IF(ISBLANK(Piping!U458), "", Piping!U458), IF($N$1="Vessels", IF(ISBLANK(Vessels!U458), "", Vessels!U458), ""))</f>
        <v/>
      </c>
      <c r="S458" s="118" t="str">
        <f>IF(B458&lt;&gt;"",IF($N$1="Piping", IF(ISBLANK(Piping!$J$3), "", Piping!$J$3), IF($N$1="Vessels", IF(ISBLANK(Vessels!$J$3), "", Vessels!$J$3), "")),"")</f>
        <v/>
      </c>
      <c r="T458" s="37"/>
      <c r="U458" s="37"/>
      <c r="V458" s="37"/>
      <c r="W458" s="37"/>
      <c r="X458" s="37"/>
      <c r="Y458" s="37"/>
      <c r="Z458" s="37"/>
    </row>
    <row r="459" spans="1:26" ht="15.75" customHeight="1" x14ac:dyDescent="0.3">
      <c r="A459" s="22">
        <f>IF($N$1="Piping", IF(ISBLANK(Piping!A459), "", Piping!A459), IF($N$1="Vessels", IF(ISBLANK(Vessels!A459), "", Vessels!A459), ""))</f>
        <v>114.2</v>
      </c>
      <c r="B459" s="21" t="str">
        <f>IF($N$1="Piping", IF(ISBLANK(Piping!B459), "", Piping!B459), IF($N$1="Vessels", IF(ISBLANK(Vessels!B459), "", Vessels!B459), ""))</f>
        <v/>
      </c>
      <c r="C459" s="21" t="str">
        <f>IF($N$1="Piping", IF(ISBLANK(Piping!C459), "", Piping!C459), IF($N$1="Vessels", IF(ISBLANK(Vessels!C459), "", Vessels!C459), ""))</f>
        <v>Piping</v>
      </c>
      <c r="D459" s="21" t="str">
        <f>IF($N$1="Piping", IF(ISBLANK(Piping!D459), "", Piping!D459), IF($N$1="Vessels", IF(ISBLANK(Vessels!D459), "", Vessels!D459), ""))</f>
        <v/>
      </c>
      <c r="E459" s="21" t="str">
        <f>IF($N$1="Piping", IF(ISBLANK(Piping!E459), "", Piping!E459), IF($N$1="Vessels", IF(ISBLANK(Vessels!E459), "", Vessels!E459), ""))</f>
        <v/>
      </c>
      <c r="F459" s="21" t="str">
        <f>IF($N$1="Piping", IF(ISBLANK(Piping!F459), "", Piping!F459), IF($N$1="Vessels", IF(ISBLANK(Vessels!F459), "", Vessels!F459), ""))</f>
        <v/>
      </c>
      <c r="G459" s="21">
        <f>IF($N$1="Piping", IF(ISBLANK(Piping!G459), "", Piping!G459), IF($N$1="Vessels", IF(ISBLANK(Vessels!G459), "", Vessels!G459), ""))</f>
        <v>0</v>
      </c>
      <c r="H459" s="21" t="str">
        <f>IF($N$1="Piping", IF(ISBLANK(Piping!H459), "", Piping!H459), IF($N$1="Vessels", IF(ISBLANK(Vessels!H459), "", Vessels!H459), ""))</f>
        <v/>
      </c>
      <c r="I459" s="21" t="str">
        <f>IF($N$1="Piping", IF(ISBLANK(Piping!I459), "", Piping!I459), IF($N$1="Vessels", IF(ISBLANK(Vessels!I459), "", Vessels!I459), ""))</f>
        <v/>
      </c>
      <c r="J459" s="21" t="str">
        <f>IF($N$1="Piping", IF(ISBLANK(Piping!J459), "", Piping!J459), IF($N$1="Vessels", IF(ISBLANK(Vessels!J459), "", Vessels!J459), ""))</f>
        <v/>
      </c>
      <c r="K459" s="21" t="str">
        <f>IF($N$1="Piping", IF(ISBLANK(Piping!K459), "", Piping!K459), IF($N$1="Vessels", IF(ISBLANK(Vessels!K459), "", Vessels!K459), ""))</f>
        <v/>
      </c>
      <c r="L459" s="21" t="str">
        <f>IF($N$1="Piping", IF(ISBLANK(Piping!L459), "", Piping!L459), IF($N$1="Vessels", IF(ISBLANK(Vessels!L459), "", Vessels!L459), ""))</f>
        <v/>
      </c>
      <c r="M459" s="21"/>
      <c r="N459" s="21"/>
      <c r="O459" s="21"/>
      <c r="P459" s="21"/>
      <c r="Q459" s="21" t="str">
        <f>IF($N$1="Piping", IF(ISBLANK(Piping!T459), "", Piping!T459), IF($N$1="Vessels", IF(ISBLANK(Vessels!T459), "", Vessels!T459), ""))</f>
        <v/>
      </c>
      <c r="R459" s="51" t="str">
        <f>IF($N$1="Piping", IF(ISBLANK(Piping!U459), "", Piping!U459), IF($N$1="Vessels", IF(ISBLANK(Vessels!U459), "", Vessels!U459), ""))</f>
        <v/>
      </c>
      <c r="S459" s="118" t="str">
        <f>IF(B459&lt;&gt;"",IF($N$1="Piping", IF(ISBLANK(Piping!$J$3), "", Piping!$J$3), IF($N$1="Vessels", IF(ISBLANK(Vessels!$J$3), "", Vessels!$J$3), "")),"")</f>
        <v/>
      </c>
      <c r="T459" s="37"/>
      <c r="U459" s="37"/>
      <c r="V459" s="37"/>
      <c r="W459" s="37"/>
      <c r="X459" s="37"/>
      <c r="Y459" s="37"/>
      <c r="Z459" s="37"/>
    </row>
    <row r="460" spans="1:26" ht="15.75" customHeight="1" x14ac:dyDescent="0.3">
      <c r="A460" s="22">
        <f>IF($N$1="Piping", IF(ISBLANK(Piping!A460), "", Piping!A460), IF($N$1="Vessels", IF(ISBLANK(Vessels!A460), "", Vessels!A460), ""))</f>
        <v>114.3</v>
      </c>
      <c r="B460" s="21" t="str">
        <f>IF($N$1="Piping", IF(ISBLANK(Piping!B460), "", Piping!B460), IF($N$1="Vessels", IF(ISBLANK(Vessels!B460), "", Vessels!B460), ""))</f>
        <v/>
      </c>
      <c r="C460" s="21" t="str">
        <f>IF($N$1="Piping", IF(ISBLANK(Piping!C460), "", Piping!C460), IF($N$1="Vessels", IF(ISBLANK(Vessels!C460), "", Vessels!C460), ""))</f>
        <v>Piping</v>
      </c>
      <c r="D460" s="21" t="str">
        <f>IF($N$1="Piping", IF(ISBLANK(Piping!D460), "", Piping!D460), IF($N$1="Vessels", IF(ISBLANK(Vessels!D460), "", Vessels!D460), ""))</f>
        <v/>
      </c>
      <c r="E460" s="21" t="str">
        <f>IF($N$1="Piping", IF(ISBLANK(Piping!E460), "", Piping!E460), IF($N$1="Vessels", IF(ISBLANK(Vessels!E460), "", Vessels!E460), ""))</f>
        <v/>
      </c>
      <c r="F460" s="21" t="str">
        <f>IF($N$1="Piping", IF(ISBLANK(Piping!F460), "", Piping!F460), IF($N$1="Vessels", IF(ISBLANK(Vessels!F460), "", Vessels!F460), ""))</f>
        <v/>
      </c>
      <c r="G460" s="21">
        <f>IF($N$1="Piping", IF(ISBLANK(Piping!G460), "", Piping!G460), IF($N$1="Vessels", IF(ISBLANK(Vessels!G460), "", Vessels!G460), ""))</f>
        <v>0</v>
      </c>
      <c r="H460" s="21" t="str">
        <f>IF($N$1="Piping", IF(ISBLANK(Piping!H460), "", Piping!H460), IF($N$1="Vessels", IF(ISBLANK(Vessels!H460), "", Vessels!H460), ""))</f>
        <v/>
      </c>
      <c r="I460" s="21" t="str">
        <f>IF($N$1="Piping", IF(ISBLANK(Piping!I460), "", Piping!I460), IF($N$1="Vessels", IF(ISBLANK(Vessels!I460), "", Vessels!I460), ""))</f>
        <v/>
      </c>
      <c r="J460" s="21" t="str">
        <f>IF($N$1="Piping", IF(ISBLANK(Piping!J460), "", Piping!J460), IF($N$1="Vessels", IF(ISBLANK(Vessels!J460), "", Vessels!J460), ""))</f>
        <v/>
      </c>
      <c r="K460" s="21" t="str">
        <f>IF($N$1="Piping", IF(ISBLANK(Piping!K460), "", Piping!K460), IF($N$1="Vessels", IF(ISBLANK(Vessels!K460), "", Vessels!K460), ""))</f>
        <v/>
      </c>
      <c r="L460" s="21" t="str">
        <f>IF($N$1="Piping", IF(ISBLANK(Piping!L460), "", Piping!L460), IF($N$1="Vessels", IF(ISBLANK(Vessels!L460), "", Vessels!L460), ""))</f>
        <v/>
      </c>
      <c r="M460" s="21"/>
      <c r="N460" s="21"/>
      <c r="O460" s="21"/>
      <c r="P460" s="21"/>
      <c r="Q460" s="21" t="str">
        <f>IF($N$1="Piping", IF(ISBLANK(Piping!T460), "", Piping!T460), IF($N$1="Vessels", IF(ISBLANK(Vessels!T460), "", Vessels!T460), ""))</f>
        <v/>
      </c>
      <c r="R460" s="51" t="str">
        <f>IF($N$1="Piping", IF(ISBLANK(Piping!U460), "", Piping!U460), IF($N$1="Vessels", IF(ISBLANK(Vessels!U460), "", Vessels!U460), ""))</f>
        <v/>
      </c>
      <c r="S460" s="118" t="str">
        <f>IF(B460&lt;&gt;"",IF($N$1="Piping", IF(ISBLANK(Piping!$J$3), "", Piping!$J$3), IF($N$1="Vessels", IF(ISBLANK(Vessels!$J$3), "", Vessels!$J$3), "")),"")</f>
        <v/>
      </c>
      <c r="T460" s="37"/>
      <c r="U460" s="37"/>
      <c r="V460" s="37"/>
      <c r="W460" s="37"/>
      <c r="X460" s="37"/>
      <c r="Y460" s="37"/>
      <c r="Z460" s="37"/>
    </row>
    <row r="461" spans="1:26" ht="15.75" customHeight="1" x14ac:dyDescent="0.3">
      <c r="A461" s="22">
        <f>IF($N$1="Piping", IF(ISBLANK(Piping!A461), "", Piping!A461), IF($N$1="Vessels", IF(ISBLANK(Vessels!A461), "", Vessels!A461), ""))</f>
        <v>114.4</v>
      </c>
      <c r="B461" s="21" t="str">
        <f>IF($N$1="Piping", IF(ISBLANK(Piping!B461), "", Piping!B461), IF($N$1="Vessels", IF(ISBLANK(Vessels!B461), "", Vessels!B461), ""))</f>
        <v/>
      </c>
      <c r="C461" s="21" t="str">
        <f>IF($N$1="Piping", IF(ISBLANK(Piping!C461), "", Piping!C461), IF($N$1="Vessels", IF(ISBLANK(Vessels!C461), "", Vessels!C461), ""))</f>
        <v>Piping</v>
      </c>
      <c r="D461" s="21" t="str">
        <f>IF($N$1="Piping", IF(ISBLANK(Piping!D461), "", Piping!D461), IF($N$1="Vessels", IF(ISBLANK(Vessels!D461), "", Vessels!D461), ""))</f>
        <v/>
      </c>
      <c r="E461" s="21" t="str">
        <f>IF($N$1="Piping", IF(ISBLANK(Piping!E461), "", Piping!E461), IF($N$1="Vessels", IF(ISBLANK(Vessels!E461), "", Vessels!E461), ""))</f>
        <v/>
      </c>
      <c r="F461" s="21" t="str">
        <f>IF($N$1="Piping", IF(ISBLANK(Piping!F461), "", Piping!F461), IF($N$1="Vessels", IF(ISBLANK(Vessels!F461), "", Vessels!F461), ""))</f>
        <v/>
      </c>
      <c r="G461" s="21">
        <f>IF($N$1="Piping", IF(ISBLANK(Piping!G461), "", Piping!G461), IF($N$1="Vessels", IF(ISBLANK(Vessels!G461), "", Vessels!G461), ""))</f>
        <v>0</v>
      </c>
      <c r="H461" s="21" t="str">
        <f>IF($N$1="Piping", IF(ISBLANK(Piping!H461), "", Piping!H461), IF($N$1="Vessels", IF(ISBLANK(Vessels!H461), "", Vessels!H461), ""))</f>
        <v/>
      </c>
      <c r="I461" s="21" t="str">
        <f>IF($N$1="Piping", IF(ISBLANK(Piping!I461), "", Piping!I461), IF($N$1="Vessels", IF(ISBLANK(Vessels!I461), "", Vessels!I461), ""))</f>
        <v/>
      </c>
      <c r="J461" s="21" t="str">
        <f>IF($N$1="Piping", IF(ISBLANK(Piping!J461), "", Piping!J461), IF($N$1="Vessels", IF(ISBLANK(Vessels!J461), "", Vessels!J461), ""))</f>
        <v/>
      </c>
      <c r="K461" s="21" t="str">
        <f>IF($N$1="Piping", IF(ISBLANK(Piping!K461), "", Piping!K461), IF($N$1="Vessels", IF(ISBLANK(Vessels!K461), "", Vessels!K461), ""))</f>
        <v/>
      </c>
      <c r="L461" s="21" t="str">
        <f>IF($N$1="Piping", IF(ISBLANK(Piping!L461), "", Piping!L461), IF($N$1="Vessels", IF(ISBLANK(Vessels!L461), "", Vessels!L461), ""))</f>
        <v/>
      </c>
      <c r="M461" s="21"/>
      <c r="N461" s="21"/>
      <c r="O461" s="21"/>
      <c r="P461" s="21"/>
      <c r="Q461" s="21" t="str">
        <f>IF($N$1="Piping", IF(ISBLANK(Piping!T461), "", Piping!T461), IF($N$1="Vessels", IF(ISBLANK(Vessels!T461), "", Vessels!T461), ""))</f>
        <v/>
      </c>
      <c r="R461" s="51" t="str">
        <f>IF($N$1="Piping", IF(ISBLANK(Piping!U461), "", Piping!U461), IF($N$1="Vessels", IF(ISBLANK(Vessels!U461), "", Vessels!U461), ""))</f>
        <v/>
      </c>
      <c r="S461" s="118" t="str">
        <f>IF(B461&lt;&gt;"",IF($N$1="Piping", IF(ISBLANK(Piping!$J$3), "", Piping!$J$3), IF($N$1="Vessels", IF(ISBLANK(Vessels!$J$3), "", Vessels!$J$3), "")),"")</f>
        <v/>
      </c>
      <c r="T461" s="37"/>
      <c r="U461" s="37"/>
      <c r="V461" s="37"/>
      <c r="W461" s="37"/>
      <c r="X461" s="37"/>
      <c r="Y461" s="37"/>
      <c r="Z461" s="37"/>
    </row>
    <row r="462" spans="1:26" ht="15.75" customHeight="1" x14ac:dyDescent="0.3">
      <c r="A462" s="22">
        <f>IF($N$1="Piping", IF(ISBLANK(Piping!A462), "", Piping!A462), IF($N$1="Vessels", IF(ISBLANK(Vessels!A462), "", Vessels!A462), ""))</f>
        <v>115.1</v>
      </c>
      <c r="B462" s="21" t="str">
        <f>IF($N$1="Piping", IF(ISBLANK(Piping!B462), "", Piping!B462), IF($N$1="Vessels", IF(ISBLANK(Vessels!B462), "", Vessels!B462), ""))</f>
        <v/>
      </c>
      <c r="C462" s="21" t="str">
        <f>IF($N$1="Piping", IF(ISBLANK(Piping!C462), "", Piping!C462), IF($N$1="Vessels", IF(ISBLANK(Vessels!C462), "", Vessels!C462), ""))</f>
        <v>Piping</v>
      </c>
      <c r="D462" s="21" t="str">
        <f>IF($N$1="Piping", IF(ISBLANK(Piping!D462), "", Piping!D462), IF($N$1="Vessels", IF(ISBLANK(Vessels!D462), "", Vessels!D462), ""))</f>
        <v/>
      </c>
      <c r="E462" s="21" t="str">
        <f>IF($N$1="Piping", IF(ISBLANK(Piping!E462), "", Piping!E462), IF($N$1="Vessels", IF(ISBLANK(Vessels!E462), "", Vessels!E462), ""))</f>
        <v/>
      </c>
      <c r="F462" s="21" t="str">
        <f>IF($N$1="Piping", IF(ISBLANK(Piping!F462), "", Piping!F462), IF($N$1="Vessels", IF(ISBLANK(Vessels!F462), "", Vessels!F462), ""))</f>
        <v/>
      </c>
      <c r="G462" s="21">
        <f>IF($N$1="Piping", IF(ISBLANK(Piping!G462), "", Piping!G462), IF($N$1="Vessels", IF(ISBLANK(Vessels!G462), "", Vessels!G462), ""))</f>
        <v>0</v>
      </c>
      <c r="H462" s="21" t="str">
        <f>IF($N$1="Piping", IF(ISBLANK(Piping!H462), "", Piping!H462), IF($N$1="Vessels", IF(ISBLANK(Vessels!H462), "", Vessels!H462), ""))</f>
        <v/>
      </c>
      <c r="I462" s="21" t="str">
        <f>IF($N$1="Piping", IF(ISBLANK(Piping!I462), "", Piping!I462), IF($N$1="Vessels", IF(ISBLANK(Vessels!I462), "", Vessels!I462), ""))</f>
        <v/>
      </c>
      <c r="J462" s="21" t="str">
        <f>IF($N$1="Piping", IF(ISBLANK(Piping!J462), "", Piping!J462), IF($N$1="Vessels", IF(ISBLANK(Vessels!J462), "", Vessels!J462), ""))</f>
        <v/>
      </c>
      <c r="K462" s="21" t="str">
        <f>IF($N$1="Piping", IF(ISBLANK(Piping!K462), "", Piping!K462), IF($N$1="Vessels", IF(ISBLANK(Vessels!K462), "", Vessels!K462), ""))</f>
        <v/>
      </c>
      <c r="L462" s="21" t="str">
        <f>IF($N$1="Piping", IF(ISBLANK(Piping!L462), "", Piping!L462), IF($N$1="Vessels", IF(ISBLANK(Vessels!L462), "", Vessels!L462), ""))</f>
        <v/>
      </c>
      <c r="M462" s="21"/>
      <c r="N462" s="21"/>
      <c r="O462" s="21"/>
      <c r="P462" s="21"/>
      <c r="Q462" s="21" t="str">
        <f>IF($N$1="Piping", IF(ISBLANK(Piping!T462), "", Piping!T462), IF($N$1="Vessels", IF(ISBLANK(Vessels!T462), "", Vessels!T462), ""))</f>
        <v/>
      </c>
      <c r="R462" s="51" t="str">
        <f>IF($N$1="Piping", IF(ISBLANK(Piping!U462), "", Piping!U462), IF($N$1="Vessels", IF(ISBLANK(Vessels!U462), "", Vessels!U462), ""))</f>
        <v/>
      </c>
      <c r="S462" s="118" t="str">
        <f>IF(B462&lt;&gt;"",IF($N$1="Piping", IF(ISBLANK(Piping!$J$3), "", Piping!$J$3), IF($N$1="Vessels", IF(ISBLANK(Vessels!$J$3), "", Vessels!$J$3), "")),"")</f>
        <v/>
      </c>
      <c r="T462" s="37"/>
      <c r="U462" s="37"/>
      <c r="V462" s="37"/>
      <c r="W462" s="37"/>
      <c r="X462" s="37"/>
      <c r="Y462" s="37"/>
      <c r="Z462" s="37"/>
    </row>
    <row r="463" spans="1:26" ht="15.75" customHeight="1" x14ac:dyDescent="0.3">
      <c r="A463" s="22">
        <f>IF($N$1="Piping", IF(ISBLANK(Piping!A463), "", Piping!A463), IF($N$1="Vessels", IF(ISBLANK(Vessels!A463), "", Vessels!A463), ""))</f>
        <v>115.2</v>
      </c>
      <c r="B463" s="21" t="str">
        <f>IF($N$1="Piping", IF(ISBLANK(Piping!B463), "", Piping!B463), IF($N$1="Vessels", IF(ISBLANK(Vessels!B463), "", Vessels!B463), ""))</f>
        <v/>
      </c>
      <c r="C463" s="21" t="str">
        <f>IF($N$1="Piping", IF(ISBLANK(Piping!C463), "", Piping!C463), IF($N$1="Vessels", IF(ISBLANK(Vessels!C463), "", Vessels!C463), ""))</f>
        <v>Piping</v>
      </c>
      <c r="D463" s="21" t="str">
        <f>IF($N$1="Piping", IF(ISBLANK(Piping!D463), "", Piping!D463), IF($N$1="Vessels", IF(ISBLANK(Vessels!D463), "", Vessels!D463), ""))</f>
        <v/>
      </c>
      <c r="E463" s="21" t="str">
        <f>IF($N$1="Piping", IF(ISBLANK(Piping!E463), "", Piping!E463), IF($N$1="Vessels", IF(ISBLANK(Vessels!E463), "", Vessels!E463), ""))</f>
        <v/>
      </c>
      <c r="F463" s="21" t="str">
        <f>IF($N$1="Piping", IF(ISBLANK(Piping!F463), "", Piping!F463), IF($N$1="Vessels", IF(ISBLANK(Vessels!F463), "", Vessels!F463), ""))</f>
        <v/>
      </c>
      <c r="G463" s="21">
        <f>IF($N$1="Piping", IF(ISBLANK(Piping!G463), "", Piping!G463), IF($N$1="Vessels", IF(ISBLANK(Vessels!G463), "", Vessels!G463), ""))</f>
        <v>0</v>
      </c>
      <c r="H463" s="21" t="str">
        <f>IF($N$1="Piping", IF(ISBLANK(Piping!H463), "", Piping!H463), IF($N$1="Vessels", IF(ISBLANK(Vessels!H463), "", Vessels!H463), ""))</f>
        <v/>
      </c>
      <c r="I463" s="21" t="str">
        <f>IF($N$1="Piping", IF(ISBLANK(Piping!I463), "", Piping!I463), IF($N$1="Vessels", IF(ISBLANK(Vessels!I463), "", Vessels!I463), ""))</f>
        <v/>
      </c>
      <c r="J463" s="21" t="str">
        <f>IF($N$1="Piping", IF(ISBLANK(Piping!J463), "", Piping!J463), IF($N$1="Vessels", IF(ISBLANK(Vessels!J463), "", Vessels!J463), ""))</f>
        <v/>
      </c>
      <c r="K463" s="21" t="str">
        <f>IF($N$1="Piping", IF(ISBLANK(Piping!K463), "", Piping!K463), IF($N$1="Vessels", IF(ISBLANK(Vessels!K463), "", Vessels!K463), ""))</f>
        <v/>
      </c>
      <c r="L463" s="21" t="str">
        <f>IF($N$1="Piping", IF(ISBLANK(Piping!L463), "", Piping!L463), IF($N$1="Vessels", IF(ISBLANK(Vessels!L463), "", Vessels!L463), ""))</f>
        <v/>
      </c>
      <c r="M463" s="21"/>
      <c r="N463" s="21"/>
      <c r="O463" s="21"/>
      <c r="P463" s="21"/>
      <c r="Q463" s="21" t="str">
        <f>IF($N$1="Piping", IF(ISBLANK(Piping!T463), "", Piping!T463), IF($N$1="Vessels", IF(ISBLANK(Vessels!T463), "", Vessels!T463), ""))</f>
        <v/>
      </c>
      <c r="R463" s="51" t="str">
        <f>IF($N$1="Piping", IF(ISBLANK(Piping!U463), "", Piping!U463), IF($N$1="Vessels", IF(ISBLANK(Vessels!U463), "", Vessels!U463), ""))</f>
        <v/>
      </c>
      <c r="S463" s="118" t="str">
        <f>IF(B463&lt;&gt;"",IF($N$1="Piping", IF(ISBLANK(Piping!$J$3), "", Piping!$J$3), IF($N$1="Vessels", IF(ISBLANK(Vessels!$J$3), "", Vessels!$J$3), "")),"")</f>
        <v/>
      </c>
      <c r="T463" s="37"/>
      <c r="U463" s="37"/>
      <c r="V463" s="37"/>
      <c r="W463" s="37"/>
      <c r="X463" s="37"/>
      <c r="Y463" s="37"/>
      <c r="Z463" s="37"/>
    </row>
    <row r="464" spans="1:26" ht="15.75" customHeight="1" x14ac:dyDescent="0.3">
      <c r="A464" s="22">
        <f>IF($N$1="Piping", IF(ISBLANK(Piping!A464), "", Piping!A464), IF($N$1="Vessels", IF(ISBLANK(Vessels!A464), "", Vessels!A464), ""))</f>
        <v>115.3</v>
      </c>
      <c r="B464" s="21" t="str">
        <f>IF($N$1="Piping", IF(ISBLANK(Piping!B464), "", Piping!B464), IF($N$1="Vessels", IF(ISBLANK(Vessels!B464), "", Vessels!B464), ""))</f>
        <v/>
      </c>
      <c r="C464" s="21" t="str">
        <f>IF($N$1="Piping", IF(ISBLANK(Piping!C464), "", Piping!C464), IF($N$1="Vessels", IF(ISBLANK(Vessels!C464), "", Vessels!C464), ""))</f>
        <v>Piping</v>
      </c>
      <c r="D464" s="21" t="str">
        <f>IF($N$1="Piping", IF(ISBLANK(Piping!D464), "", Piping!D464), IF($N$1="Vessels", IF(ISBLANK(Vessels!D464), "", Vessels!D464), ""))</f>
        <v/>
      </c>
      <c r="E464" s="21" t="str">
        <f>IF($N$1="Piping", IF(ISBLANK(Piping!E464), "", Piping!E464), IF($N$1="Vessels", IF(ISBLANK(Vessels!E464), "", Vessels!E464), ""))</f>
        <v/>
      </c>
      <c r="F464" s="21" t="str">
        <f>IF($N$1="Piping", IF(ISBLANK(Piping!F464), "", Piping!F464), IF($N$1="Vessels", IF(ISBLANK(Vessels!F464), "", Vessels!F464), ""))</f>
        <v/>
      </c>
      <c r="G464" s="21">
        <f>IF($N$1="Piping", IF(ISBLANK(Piping!G464), "", Piping!G464), IF($N$1="Vessels", IF(ISBLANK(Vessels!G464), "", Vessels!G464), ""))</f>
        <v>0</v>
      </c>
      <c r="H464" s="21" t="str">
        <f>IF($N$1="Piping", IF(ISBLANK(Piping!H464), "", Piping!H464), IF($N$1="Vessels", IF(ISBLANK(Vessels!H464), "", Vessels!H464), ""))</f>
        <v/>
      </c>
      <c r="I464" s="21" t="str">
        <f>IF($N$1="Piping", IF(ISBLANK(Piping!I464), "", Piping!I464), IF($N$1="Vessels", IF(ISBLANK(Vessels!I464), "", Vessels!I464), ""))</f>
        <v/>
      </c>
      <c r="J464" s="21" t="str">
        <f>IF($N$1="Piping", IF(ISBLANK(Piping!J464), "", Piping!J464), IF($N$1="Vessels", IF(ISBLANK(Vessels!J464), "", Vessels!J464), ""))</f>
        <v/>
      </c>
      <c r="K464" s="21" t="str">
        <f>IF($N$1="Piping", IF(ISBLANK(Piping!K464), "", Piping!K464), IF($N$1="Vessels", IF(ISBLANK(Vessels!K464), "", Vessels!K464), ""))</f>
        <v/>
      </c>
      <c r="L464" s="21" t="str">
        <f>IF($N$1="Piping", IF(ISBLANK(Piping!L464), "", Piping!L464), IF($N$1="Vessels", IF(ISBLANK(Vessels!L464), "", Vessels!L464), ""))</f>
        <v/>
      </c>
      <c r="M464" s="21"/>
      <c r="N464" s="21"/>
      <c r="O464" s="21"/>
      <c r="P464" s="21"/>
      <c r="Q464" s="21" t="str">
        <f>IF($N$1="Piping", IF(ISBLANK(Piping!T464), "", Piping!T464), IF($N$1="Vessels", IF(ISBLANK(Vessels!T464), "", Vessels!T464), ""))</f>
        <v/>
      </c>
      <c r="R464" s="51" t="str">
        <f>IF($N$1="Piping", IF(ISBLANK(Piping!U464), "", Piping!U464), IF($N$1="Vessels", IF(ISBLANK(Vessels!U464), "", Vessels!U464), ""))</f>
        <v/>
      </c>
      <c r="S464" s="118" t="str">
        <f>IF(B464&lt;&gt;"",IF($N$1="Piping", IF(ISBLANK(Piping!$J$3), "", Piping!$J$3), IF($N$1="Vessels", IF(ISBLANK(Vessels!$J$3), "", Vessels!$J$3), "")),"")</f>
        <v/>
      </c>
      <c r="T464" s="37"/>
      <c r="U464" s="37"/>
      <c r="V464" s="37"/>
      <c r="W464" s="37"/>
      <c r="X464" s="37"/>
      <c r="Y464" s="37"/>
      <c r="Z464" s="37"/>
    </row>
    <row r="465" spans="1:26" ht="15.75" customHeight="1" x14ac:dyDescent="0.3">
      <c r="A465" s="22">
        <f>IF($N$1="Piping", IF(ISBLANK(Piping!A465), "", Piping!A465), IF($N$1="Vessels", IF(ISBLANK(Vessels!A465), "", Vessels!A465), ""))</f>
        <v>115.4</v>
      </c>
      <c r="B465" s="21" t="str">
        <f>IF($N$1="Piping", IF(ISBLANK(Piping!B465), "", Piping!B465), IF($N$1="Vessels", IF(ISBLANK(Vessels!B465), "", Vessels!B465), ""))</f>
        <v/>
      </c>
      <c r="C465" s="21" t="str">
        <f>IF($N$1="Piping", IF(ISBLANK(Piping!C465), "", Piping!C465), IF($N$1="Vessels", IF(ISBLANK(Vessels!C465), "", Vessels!C465), ""))</f>
        <v>Piping</v>
      </c>
      <c r="D465" s="21" t="str">
        <f>IF($N$1="Piping", IF(ISBLANK(Piping!D465), "", Piping!D465), IF($N$1="Vessels", IF(ISBLANK(Vessels!D465), "", Vessels!D465), ""))</f>
        <v/>
      </c>
      <c r="E465" s="21" t="str">
        <f>IF($N$1="Piping", IF(ISBLANK(Piping!E465), "", Piping!E465), IF($N$1="Vessels", IF(ISBLANK(Vessels!E465), "", Vessels!E465), ""))</f>
        <v/>
      </c>
      <c r="F465" s="21" t="str">
        <f>IF($N$1="Piping", IF(ISBLANK(Piping!F465), "", Piping!F465), IF($N$1="Vessels", IF(ISBLANK(Vessels!F465), "", Vessels!F465), ""))</f>
        <v/>
      </c>
      <c r="G465" s="21">
        <f>IF($N$1="Piping", IF(ISBLANK(Piping!G465), "", Piping!G465), IF($N$1="Vessels", IF(ISBLANK(Vessels!G465), "", Vessels!G465), ""))</f>
        <v>0</v>
      </c>
      <c r="H465" s="21" t="str">
        <f>IF($N$1="Piping", IF(ISBLANK(Piping!H465), "", Piping!H465), IF($N$1="Vessels", IF(ISBLANK(Vessels!H465), "", Vessels!H465), ""))</f>
        <v/>
      </c>
      <c r="I465" s="21" t="str">
        <f>IF($N$1="Piping", IF(ISBLANK(Piping!I465), "", Piping!I465), IF($N$1="Vessels", IF(ISBLANK(Vessels!I465), "", Vessels!I465), ""))</f>
        <v/>
      </c>
      <c r="J465" s="21" t="str">
        <f>IF($N$1="Piping", IF(ISBLANK(Piping!J465), "", Piping!J465), IF($N$1="Vessels", IF(ISBLANK(Vessels!J465), "", Vessels!J465), ""))</f>
        <v/>
      </c>
      <c r="K465" s="21" t="str">
        <f>IF($N$1="Piping", IF(ISBLANK(Piping!K465), "", Piping!K465), IF($N$1="Vessels", IF(ISBLANK(Vessels!K465), "", Vessels!K465), ""))</f>
        <v/>
      </c>
      <c r="L465" s="21" t="str">
        <f>IF($N$1="Piping", IF(ISBLANK(Piping!L465), "", Piping!L465), IF($N$1="Vessels", IF(ISBLANK(Vessels!L465), "", Vessels!L465), ""))</f>
        <v/>
      </c>
      <c r="M465" s="21"/>
      <c r="N465" s="21"/>
      <c r="O465" s="21"/>
      <c r="P465" s="21"/>
      <c r="Q465" s="21" t="str">
        <f>IF($N$1="Piping", IF(ISBLANK(Piping!T465), "", Piping!T465), IF($N$1="Vessels", IF(ISBLANK(Vessels!T465), "", Vessels!T465), ""))</f>
        <v/>
      </c>
      <c r="R465" s="51" t="str">
        <f>IF($N$1="Piping", IF(ISBLANK(Piping!U465), "", Piping!U465), IF($N$1="Vessels", IF(ISBLANK(Vessels!U465), "", Vessels!U465), ""))</f>
        <v/>
      </c>
      <c r="S465" s="118" t="str">
        <f>IF(B465&lt;&gt;"",IF($N$1="Piping", IF(ISBLANK(Piping!$J$3), "", Piping!$J$3), IF($N$1="Vessels", IF(ISBLANK(Vessels!$J$3), "", Vessels!$J$3), "")),"")</f>
        <v/>
      </c>
      <c r="T465" s="37"/>
      <c r="U465" s="37"/>
      <c r="V465" s="37"/>
      <c r="W465" s="37"/>
      <c r="X465" s="37"/>
      <c r="Y465" s="37"/>
      <c r="Z465" s="37"/>
    </row>
    <row r="466" spans="1:26" ht="15.75" customHeight="1" x14ac:dyDescent="0.3">
      <c r="A466" s="22">
        <f>IF($N$1="Piping", IF(ISBLANK(Piping!A466), "", Piping!A466), IF($N$1="Vessels", IF(ISBLANK(Vessels!A466), "", Vessels!A466), ""))</f>
        <v>116.1</v>
      </c>
      <c r="B466" s="21" t="str">
        <f>IF($N$1="Piping", IF(ISBLANK(Piping!B466), "", Piping!B466), IF($N$1="Vessels", IF(ISBLANK(Vessels!B466), "", Vessels!B466), ""))</f>
        <v/>
      </c>
      <c r="C466" s="21" t="str">
        <f>IF($N$1="Piping", IF(ISBLANK(Piping!C466), "", Piping!C466), IF($N$1="Vessels", IF(ISBLANK(Vessels!C466), "", Vessels!C466), ""))</f>
        <v>Piping</v>
      </c>
      <c r="D466" s="21" t="str">
        <f>IF($N$1="Piping", IF(ISBLANK(Piping!D466), "", Piping!D466), IF($N$1="Vessels", IF(ISBLANK(Vessels!D466), "", Vessels!D466), ""))</f>
        <v/>
      </c>
      <c r="E466" s="21" t="str">
        <f>IF($N$1="Piping", IF(ISBLANK(Piping!E466), "", Piping!E466), IF($N$1="Vessels", IF(ISBLANK(Vessels!E466), "", Vessels!E466), ""))</f>
        <v/>
      </c>
      <c r="F466" s="21" t="str">
        <f>IF($N$1="Piping", IF(ISBLANK(Piping!F466), "", Piping!F466), IF($N$1="Vessels", IF(ISBLANK(Vessels!F466), "", Vessels!F466), ""))</f>
        <v/>
      </c>
      <c r="G466" s="21">
        <f>IF($N$1="Piping", IF(ISBLANK(Piping!G466), "", Piping!G466), IF($N$1="Vessels", IF(ISBLANK(Vessels!G466), "", Vessels!G466), ""))</f>
        <v>0</v>
      </c>
      <c r="H466" s="21" t="str">
        <f>IF($N$1="Piping", IF(ISBLANK(Piping!H466), "", Piping!H466), IF($N$1="Vessels", IF(ISBLANK(Vessels!H466), "", Vessels!H466), ""))</f>
        <v/>
      </c>
      <c r="I466" s="21" t="str">
        <f>IF($N$1="Piping", IF(ISBLANK(Piping!I466), "", Piping!I466), IF($N$1="Vessels", IF(ISBLANK(Vessels!I466), "", Vessels!I466), ""))</f>
        <v/>
      </c>
      <c r="J466" s="21" t="str">
        <f>IF($N$1="Piping", IF(ISBLANK(Piping!J466), "", Piping!J466), IF($N$1="Vessels", IF(ISBLANK(Vessels!J466), "", Vessels!J466), ""))</f>
        <v/>
      </c>
      <c r="K466" s="21" t="str">
        <f>IF($N$1="Piping", IF(ISBLANK(Piping!K466), "", Piping!K466), IF($N$1="Vessels", IF(ISBLANK(Vessels!K466), "", Vessels!K466), ""))</f>
        <v/>
      </c>
      <c r="L466" s="21" t="str">
        <f>IF($N$1="Piping", IF(ISBLANK(Piping!L466), "", Piping!L466), IF($N$1="Vessels", IF(ISBLANK(Vessels!L466), "", Vessels!L466), ""))</f>
        <v/>
      </c>
      <c r="M466" s="21"/>
      <c r="N466" s="21"/>
      <c r="O466" s="21"/>
      <c r="P466" s="21"/>
      <c r="Q466" s="21" t="str">
        <f>IF($N$1="Piping", IF(ISBLANK(Piping!T466), "", Piping!T466), IF($N$1="Vessels", IF(ISBLANK(Vessels!T466), "", Vessels!T466), ""))</f>
        <v/>
      </c>
      <c r="R466" s="51" t="str">
        <f>IF($N$1="Piping", IF(ISBLANK(Piping!U466), "", Piping!U466), IF($N$1="Vessels", IF(ISBLANK(Vessels!U466), "", Vessels!U466), ""))</f>
        <v/>
      </c>
      <c r="S466" s="118" t="str">
        <f>IF(B466&lt;&gt;"",IF($N$1="Piping", IF(ISBLANK(Piping!$J$3), "", Piping!$J$3), IF($N$1="Vessels", IF(ISBLANK(Vessels!$J$3), "", Vessels!$J$3), "")),"")</f>
        <v/>
      </c>
      <c r="T466" s="37"/>
      <c r="U466" s="37"/>
      <c r="V466" s="37"/>
      <c r="W466" s="37"/>
      <c r="X466" s="37"/>
      <c r="Y466" s="37"/>
      <c r="Z466" s="37"/>
    </row>
    <row r="467" spans="1:26" ht="15.75" customHeight="1" x14ac:dyDescent="0.3">
      <c r="A467" s="22">
        <f>IF($N$1="Piping", IF(ISBLANK(Piping!A467), "", Piping!A467), IF($N$1="Vessels", IF(ISBLANK(Vessels!A467), "", Vessels!A467), ""))</f>
        <v>116.2</v>
      </c>
      <c r="B467" s="21" t="str">
        <f>IF($N$1="Piping", IF(ISBLANK(Piping!B467), "", Piping!B467), IF($N$1="Vessels", IF(ISBLANK(Vessels!B467), "", Vessels!B467), ""))</f>
        <v/>
      </c>
      <c r="C467" s="21" t="str">
        <f>IF($N$1="Piping", IF(ISBLANK(Piping!C467), "", Piping!C467), IF($N$1="Vessels", IF(ISBLANK(Vessels!C467), "", Vessels!C467), ""))</f>
        <v>Piping</v>
      </c>
      <c r="D467" s="21" t="str">
        <f>IF($N$1="Piping", IF(ISBLANK(Piping!D467), "", Piping!D467), IF($N$1="Vessels", IF(ISBLANK(Vessels!D467), "", Vessels!D467), ""))</f>
        <v/>
      </c>
      <c r="E467" s="21" t="str">
        <f>IF($N$1="Piping", IF(ISBLANK(Piping!E467), "", Piping!E467), IF($N$1="Vessels", IF(ISBLANK(Vessels!E467), "", Vessels!E467), ""))</f>
        <v/>
      </c>
      <c r="F467" s="21" t="str">
        <f>IF($N$1="Piping", IF(ISBLANK(Piping!F467), "", Piping!F467), IF($N$1="Vessels", IF(ISBLANK(Vessels!F467), "", Vessels!F467), ""))</f>
        <v/>
      </c>
      <c r="G467" s="21">
        <f>IF($N$1="Piping", IF(ISBLANK(Piping!G467), "", Piping!G467), IF($N$1="Vessels", IF(ISBLANK(Vessels!G467), "", Vessels!G467), ""))</f>
        <v>0</v>
      </c>
      <c r="H467" s="21" t="str">
        <f>IF($N$1="Piping", IF(ISBLANK(Piping!H467), "", Piping!H467), IF($N$1="Vessels", IF(ISBLANK(Vessels!H467), "", Vessels!H467), ""))</f>
        <v/>
      </c>
      <c r="I467" s="21" t="str">
        <f>IF($N$1="Piping", IF(ISBLANK(Piping!I467), "", Piping!I467), IF($N$1="Vessels", IF(ISBLANK(Vessels!I467), "", Vessels!I467), ""))</f>
        <v/>
      </c>
      <c r="J467" s="21" t="str">
        <f>IF($N$1="Piping", IF(ISBLANK(Piping!J467), "", Piping!J467), IF($N$1="Vessels", IF(ISBLANK(Vessels!J467), "", Vessels!J467), ""))</f>
        <v/>
      </c>
      <c r="K467" s="21" t="str">
        <f>IF($N$1="Piping", IF(ISBLANK(Piping!K467), "", Piping!K467), IF($N$1="Vessels", IF(ISBLANK(Vessels!K467), "", Vessels!K467), ""))</f>
        <v/>
      </c>
      <c r="L467" s="21" t="str">
        <f>IF($N$1="Piping", IF(ISBLANK(Piping!L467), "", Piping!L467), IF($N$1="Vessels", IF(ISBLANK(Vessels!L467), "", Vessels!L467), ""))</f>
        <v/>
      </c>
      <c r="M467" s="21"/>
      <c r="N467" s="21"/>
      <c r="O467" s="21"/>
      <c r="P467" s="21"/>
      <c r="Q467" s="21" t="str">
        <f>IF($N$1="Piping", IF(ISBLANK(Piping!T467), "", Piping!T467), IF($N$1="Vessels", IF(ISBLANK(Vessels!T467), "", Vessels!T467), ""))</f>
        <v/>
      </c>
      <c r="R467" s="51" t="str">
        <f>IF($N$1="Piping", IF(ISBLANK(Piping!U467), "", Piping!U467), IF($N$1="Vessels", IF(ISBLANK(Vessels!U467), "", Vessels!U467), ""))</f>
        <v/>
      </c>
      <c r="S467" s="118" t="str">
        <f>IF(B467&lt;&gt;"",IF($N$1="Piping", IF(ISBLANK(Piping!$J$3), "", Piping!$J$3), IF($N$1="Vessels", IF(ISBLANK(Vessels!$J$3), "", Vessels!$J$3), "")),"")</f>
        <v/>
      </c>
      <c r="T467" s="37"/>
      <c r="U467" s="37"/>
      <c r="V467" s="37"/>
      <c r="W467" s="37"/>
      <c r="X467" s="37"/>
      <c r="Y467" s="37"/>
      <c r="Z467" s="37"/>
    </row>
    <row r="468" spans="1:26" ht="15.75" customHeight="1" x14ac:dyDescent="0.3">
      <c r="A468" s="22">
        <f>IF($N$1="Piping", IF(ISBLANK(Piping!A468), "", Piping!A468), IF($N$1="Vessels", IF(ISBLANK(Vessels!A468), "", Vessels!A468), ""))</f>
        <v>116.3</v>
      </c>
      <c r="B468" s="21" t="str">
        <f>IF($N$1="Piping", IF(ISBLANK(Piping!B468), "", Piping!B468), IF($N$1="Vessels", IF(ISBLANK(Vessels!B468), "", Vessels!B468), ""))</f>
        <v/>
      </c>
      <c r="C468" s="21" t="str">
        <f>IF($N$1="Piping", IF(ISBLANK(Piping!C468), "", Piping!C468), IF($N$1="Vessels", IF(ISBLANK(Vessels!C468), "", Vessels!C468), ""))</f>
        <v>Piping</v>
      </c>
      <c r="D468" s="21" t="str">
        <f>IF($N$1="Piping", IF(ISBLANK(Piping!D468), "", Piping!D468), IF($N$1="Vessels", IF(ISBLANK(Vessels!D468), "", Vessels!D468), ""))</f>
        <v/>
      </c>
      <c r="E468" s="21" t="str">
        <f>IF($N$1="Piping", IF(ISBLANK(Piping!E468), "", Piping!E468), IF($N$1="Vessels", IF(ISBLANK(Vessels!E468), "", Vessels!E468), ""))</f>
        <v/>
      </c>
      <c r="F468" s="21" t="str">
        <f>IF($N$1="Piping", IF(ISBLANK(Piping!F468), "", Piping!F468), IF($N$1="Vessels", IF(ISBLANK(Vessels!F468), "", Vessels!F468), ""))</f>
        <v/>
      </c>
      <c r="G468" s="21">
        <f>IF($N$1="Piping", IF(ISBLANK(Piping!G468), "", Piping!G468), IF($N$1="Vessels", IF(ISBLANK(Vessels!G468), "", Vessels!G468), ""))</f>
        <v>0</v>
      </c>
      <c r="H468" s="21" t="str">
        <f>IF($N$1="Piping", IF(ISBLANK(Piping!H468), "", Piping!H468), IF($N$1="Vessels", IF(ISBLANK(Vessels!H468), "", Vessels!H468), ""))</f>
        <v/>
      </c>
      <c r="I468" s="21" t="str">
        <f>IF($N$1="Piping", IF(ISBLANK(Piping!I468), "", Piping!I468), IF($N$1="Vessels", IF(ISBLANK(Vessels!I468), "", Vessels!I468), ""))</f>
        <v/>
      </c>
      <c r="J468" s="21" t="str">
        <f>IF($N$1="Piping", IF(ISBLANK(Piping!J468), "", Piping!J468), IF($N$1="Vessels", IF(ISBLANK(Vessels!J468), "", Vessels!J468), ""))</f>
        <v/>
      </c>
      <c r="K468" s="21" t="str">
        <f>IF($N$1="Piping", IF(ISBLANK(Piping!K468), "", Piping!K468), IF($N$1="Vessels", IF(ISBLANK(Vessels!K468), "", Vessels!K468), ""))</f>
        <v/>
      </c>
      <c r="L468" s="21" t="str">
        <f>IF($N$1="Piping", IF(ISBLANK(Piping!L468), "", Piping!L468), IF($N$1="Vessels", IF(ISBLANK(Vessels!L468), "", Vessels!L468), ""))</f>
        <v/>
      </c>
      <c r="M468" s="21"/>
      <c r="N468" s="21"/>
      <c r="O468" s="21"/>
      <c r="P468" s="21"/>
      <c r="Q468" s="21" t="str">
        <f>IF($N$1="Piping", IF(ISBLANK(Piping!T468), "", Piping!T468), IF($N$1="Vessels", IF(ISBLANK(Vessels!T468), "", Vessels!T468), ""))</f>
        <v/>
      </c>
      <c r="R468" s="51" t="str">
        <f>IF($N$1="Piping", IF(ISBLANK(Piping!U468), "", Piping!U468), IF($N$1="Vessels", IF(ISBLANK(Vessels!U468), "", Vessels!U468), ""))</f>
        <v/>
      </c>
      <c r="S468" s="118" t="str">
        <f>IF(B468&lt;&gt;"",IF($N$1="Piping", IF(ISBLANK(Piping!$J$3), "", Piping!$J$3), IF($N$1="Vessels", IF(ISBLANK(Vessels!$J$3), "", Vessels!$J$3), "")),"")</f>
        <v/>
      </c>
      <c r="T468" s="37"/>
      <c r="U468" s="37"/>
      <c r="V468" s="37"/>
      <c r="W468" s="37"/>
      <c r="X468" s="37"/>
      <c r="Y468" s="37"/>
      <c r="Z468" s="37"/>
    </row>
    <row r="469" spans="1:26" ht="15.75" customHeight="1" x14ac:dyDescent="0.3">
      <c r="A469" s="22">
        <f>IF($N$1="Piping", IF(ISBLANK(Piping!A469), "", Piping!A469), IF($N$1="Vessels", IF(ISBLANK(Vessels!A469), "", Vessels!A469), ""))</f>
        <v>116.4</v>
      </c>
      <c r="B469" s="21" t="str">
        <f>IF($N$1="Piping", IF(ISBLANK(Piping!B469), "", Piping!B469), IF($N$1="Vessels", IF(ISBLANK(Vessels!B469), "", Vessels!B469), ""))</f>
        <v/>
      </c>
      <c r="C469" s="21" t="str">
        <f>IF($N$1="Piping", IF(ISBLANK(Piping!C469), "", Piping!C469), IF($N$1="Vessels", IF(ISBLANK(Vessels!C469), "", Vessels!C469), ""))</f>
        <v>Piping</v>
      </c>
      <c r="D469" s="21" t="str">
        <f>IF($N$1="Piping", IF(ISBLANK(Piping!D469), "", Piping!D469), IF($N$1="Vessels", IF(ISBLANK(Vessels!D469), "", Vessels!D469), ""))</f>
        <v/>
      </c>
      <c r="E469" s="21" t="str">
        <f>IF($N$1="Piping", IF(ISBLANK(Piping!E469), "", Piping!E469), IF($N$1="Vessels", IF(ISBLANK(Vessels!E469), "", Vessels!E469), ""))</f>
        <v/>
      </c>
      <c r="F469" s="21" t="str">
        <f>IF($N$1="Piping", IF(ISBLANK(Piping!F469), "", Piping!F469), IF($N$1="Vessels", IF(ISBLANK(Vessels!F469), "", Vessels!F469), ""))</f>
        <v/>
      </c>
      <c r="G469" s="21">
        <f>IF($N$1="Piping", IF(ISBLANK(Piping!G469), "", Piping!G469), IF($N$1="Vessels", IF(ISBLANK(Vessels!G469), "", Vessels!G469), ""))</f>
        <v>0</v>
      </c>
      <c r="H469" s="21" t="str">
        <f>IF($N$1="Piping", IF(ISBLANK(Piping!H469), "", Piping!H469), IF($N$1="Vessels", IF(ISBLANK(Vessels!H469), "", Vessels!H469), ""))</f>
        <v/>
      </c>
      <c r="I469" s="21" t="str">
        <f>IF($N$1="Piping", IF(ISBLANK(Piping!I469), "", Piping!I469), IF($N$1="Vessels", IF(ISBLANK(Vessels!I469), "", Vessels!I469), ""))</f>
        <v/>
      </c>
      <c r="J469" s="21" t="str">
        <f>IF($N$1="Piping", IF(ISBLANK(Piping!J469), "", Piping!J469), IF($N$1="Vessels", IF(ISBLANK(Vessels!J469), "", Vessels!J469), ""))</f>
        <v/>
      </c>
      <c r="K469" s="21" t="str">
        <f>IF($N$1="Piping", IF(ISBLANK(Piping!K469), "", Piping!K469), IF($N$1="Vessels", IF(ISBLANK(Vessels!K469), "", Vessels!K469), ""))</f>
        <v/>
      </c>
      <c r="L469" s="21" t="str">
        <f>IF($N$1="Piping", IF(ISBLANK(Piping!L469), "", Piping!L469), IF($N$1="Vessels", IF(ISBLANK(Vessels!L469), "", Vessels!L469), ""))</f>
        <v/>
      </c>
      <c r="M469" s="21"/>
      <c r="N469" s="21"/>
      <c r="O469" s="21"/>
      <c r="P469" s="21"/>
      <c r="Q469" s="21" t="str">
        <f>IF($N$1="Piping", IF(ISBLANK(Piping!T469), "", Piping!T469), IF($N$1="Vessels", IF(ISBLANK(Vessels!T469), "", Vessels!T469), ""))</f>
        <v/>
      </c>
      <c r="R469" s="51" t="str">
        <f>IF($N$1="Piping", IF(ISBLANK(Piping!U469), "", Piping!U469), IF($N$1="Vessels", IF(ISBLANK(Vessels!U469), "", Vessels!U469), ""))</f>
        <v/>
      </c>
      <c r="S469" s="118" t="str">
        <f>IF(B469&lt;&gt;"",IF($N$1="Piping", IF(ISBLANK(Piping!$J$3), "", Piping!$J$3), IF($N$1="Vessels", IF(ISBLANK(Vessels!$J$3), "", Vessels!$J$3), "")),"")</f>
        <v/>
      </c>
      <c r="T469" s="37"/>
      <c r="U469" s="37"/>
      <c r="V469" s="37"/>
      <c r="W469" s="37"/>
      <c r="X469" s="37"/>
      <c r="Y469" s="37"/>
      <c r="Z469" s="37"/>
    </row>
    <row r="470" spans="1:26" ht="15.75" customHeight="1" x14ac:dyDescent="0.3">
      <c r="A470" s="22">
        <f>IF($N$1="Piping", IF(ISBLANK(Piping!A470), "", Piping!A470), IF($N$1="Vessels", IF(ISBLANK(Vessels!A470), "", Vessels!A470), ""))</f>
        <v>117.1</v>
      </c>
      <c r="B470" s="21" t="str">
        <f>IF($N$1="Piping", IF(ISBLANK(Piping!B470), "", Piping!B470), IF($N$1="Vessels", IF(ISBLANK(Vessels!B470), "", Vessels!B470), ""))</f>
        <v/>
      </c>
      <c r="C470" s="21" t="str">
        <f>IF($N$1="Piping", IF(ISBLANK(Piping!C470), "", Piping!C470), IF($N$1="Vessels", IF(ISBLANK(Vessels!C470), "", Vessels!C470), ""))</f>
        <v>Piping</v>
      </c>
      <c r="D470" s="21" t="str">
        <f>IF($N$1="Piping", IF(ISBLANK(Piping!D470), "", Piping!D470), IF($N$1="Vessels", IF(ISBLANK(Vessels!D470), "", Vessels!D470), ""))</f>
        <v/>
      </c>
      <c r="E470" s="21" t="str">
        <f>IF($N$1="Piping", IF(ISBLANK(Piping!E470), "", Piping!E470), IF($N$1="Vessels", IF(ISBLANK(Vessels!E470), "", Vessels!E470), ""))</f>
        <v/>
      </c>
      <c r="F470" s="21" t="str">
        <f>IF($N$1="Piping", IF(ISBLANK(Piping!F470), "", Piping!F470), IF($N$1="Vessels", IF(ISBLANK(Vessels!F470), "", Vessels!F470), ""))</f>
        <v/>
      </c>
      <c r="G470" s="21">
        <f>IF($N$1="Piping", IF(ISBLANK(Piping!G470), "", Piping!G470), IF($N$1="Vessels", IF(ISBLANK(Vessels!G470), "", Vessels!G470), ""))</f>
        <v>0</v>
      </c>
      <c r="H470" s="21" t="str">
        <f>IF($N$1="Piping", IF(ISBLANK(Piping!H470), "", Piping!H470), IF($N$1="Vessels", IF(ISBLANK(Vessels!H470), "", Vessels!H470), ""))</f>
        <v/>
      </c>
      <c r="I470" s="21" t="str">
        <f>IF($N$1="Piping", IF(ISBLANK(Piping!I470), "", Piping!I470), IF($N$1="Vessels", IF(ISBLANK(Vessels!I470), "", Vessels!I470), ""))</f>
        <v/>
      </c>
      <c r="J470" s="21" t="str">
        <f>IF($N$1="Piping", IF(ISBLANK(Piping!J470), "", Piping!J470), IF($N$1="Vessels", IF(ISBLANK(Vessels!J470), "", Vessels!J470), ""))</f>
        <v/>
      </c>
      <c r="K470" s="21" t="str">
        <f>IF($N$1="Piping", IF(ISBLANK(Piping!K470), "", Piping!K470), IF($N$1="Vessels", IF(ISBLANK(Vessels!K470), "", Vessels!K470), ""))</f>
        <v/>
      </c>
      <c r="L470" s="21" t="str">
        <f>IF($N$1="Piping", IF(ISBLANK(Piping!L470), "", Piping!L470), IF($N$1="Vessels", IF(ISBLANK(Vessels!L470), "", Vessels!L470), ""))</f>
        <v/>
      </c>
      <c r="M470" s="21"/>
      <c r="N470" s="21"/>
      <c r="O470" s="21"/>
      <c r="P470" s="21"/>
      <c r="Q470" s="21" t="str">
        <f>IF($N$1="Piping", IF(ISBLANK(Piping!T470), "", Piping!T470), IF($N$1="Vessels", IF(ISBLANK(Vessels!T470), "", Vessels!T470), ""))</f>
        <v/>
      </c>
      <c r="R470" s="51" t="str">
        <f>IF($N$1="Piping", IF(ISBLANK(Piping!U470), "", Piping!U470), IF($N$1="Vessels", IF(ISBLANK(Vessels!U470), "", Vessels!U470), ""))</f>
        <v/>
      </c>
      <c r="S470" s="118" t="str">
        <f>IF(B470&lt;&gt;"",IF($N$1="Piping", IF(ISBLANK(Piping!$J$3), "", Piping!$J$3), IF($N$1="Vessels", IF(ISBLANK(Vessels!$J$3), "", Vessels!$J$3), "")),"")</f>
        <v/>
      </c>
      <c r="T470" s="37"/>
      <c r="U470" s="37"/>
      <c r="V470" s="37"/>
      <c r="W470" s="37"/>
      <c r="X470" s="37"/>
      <c r="Y470" s="37"/>
      <c r="Z470" s="37"/>
    </row>
    <row r="471" spans="1:26" ht="15.75" customHeight="1" x14ac:dyDescent="0.3">
      <c r="A471" s="22">
        <f>IF($N$1="Piping", IF(ISBLANK(Piping!A471), "", Piping!A471), IF($N$1="Vessels", IF(ISBLANK(Vessels!A471), "", Vessels!A471), ""))</f>
        <v>117.2</v>
      </c>
      <c r="B471" s="21" t="str">
        <f>IF($N$1="Piping", IF(ISBLANK(Piping!B471), "", Piping!B471), IF($N$1="Vessels", IF(ISBLANK(Vessels!B471), "", Vessels!B471), ""))</f>
        <v/>
      </c>
      <c r="C471" s="21" t="str">
        <f>IF($N$1="Piping", IF(ISBLANK(Piping!C471), "", Piping!C471), IF($N$1="Vessels", IF(ISBLANK(Vessels!C471), "", Vessels!C471), ""))</f>
        <v>Piping</v>
      </c>
      <c r="D471" s="21" t="str">
        <f>IF($N$1="Piping", IF(ISBLANK(Piping!D471), "", Piping!D471), IF($N$1="Vessels", IF(ISBLANK(Vessels!D471), "", Vessels!D471), ""))</f>
        <v/>
      </c>
      <c r="E471" s="21" t="str">
        <f>IF($N$1="Piping", IF(ISBLANK(Piping!E471), "", Piping!E471), IF($N$1="Vessels", IF(ISBLANK(Vessels!E471), "", Vessels!E471), ""))</f>
        <v/>
      </c>
      <c r="F471" s="21" t="str">
        <f>IF($N$1="Piping", IF(ISBLANK(Piping!F471), "", Piping!F471), IF($N$1="Vessels", IF(ISBLANK(Vessels!F471), "", Vessels!F471), ""))</f>
        <v/>
      </c>
      <c r="G471" s="21">
        <f>IF($N$1="Piping", IF(ISBLANK(Piping!G471), "", Piping!G471), IF($N$1="Vessels", IF(ISBLANK(Vessels!G471), "", Vessels!G471), ""))</f>
        <v>0</v>
      </c>
      <c r="H471" s="21" t="str">
        <f>IF($N$1="Piping", IF(ISBLANK(Piping!H471), "", Piping!H471), IF($N$1="Vessels", IF(ISBLANK(Vessels!H471), "", Vessels!H471), ""))</f>
        <v/>
      </c>
      <c r="I471" s="21" t="str">
        <f>IF($N$1="Piping", IF(ISBLANK(Piping!I471), "", Piping!I471), IF($N$1="Vessels", IF(ISBLANK(Vessels!I471), "", Vessels!I471), ""))</f>
        <v/>
      </c>
      <c r="J471" s="21" t="str">
        <f>IF($N$1="Piping", IF(ISBLANK(Piping!J471), "", Piping!J471), IF($N$1="Vessels", IF(ISBLANK(Vessels!J471), "", Vessels!J471), ""))</f>
        <v/>
      </c>
      <c r="K471" s="21" t="str">
        <f>IF($N$1="Piping", IF(ISBLANK(Piping!K471), "", Piping!K471), IF($N$1="Vessels", IF(ISBLANK(Vessels!K471), "", Vessels!K471), ""))</f>
        <v/>
      </c>
      <c r="L471" s="21" t="str">
        <f>IF($N$1="Piping", IF(ISBLANK(Piping!L471), "", Piping!L471), IF($N$1="Vessels", IF(ISBLANK(Vessels!L471), "", Vessels!L471), ""))</f>
        <v/>
      </c>
      <c r="M471" s="21"/>
      <c r="N471" s="21"/>
      <c r="O471" s="21"/>
      <c r="P471" s="21"/>
      <c r="Q471" s="21" t="str">
        <f>IF($N$1="Piping", IF(ISBLANK(Piping!T471), "", Piping!T471), IF($N$1="Vessels", IF(ISBLANK(Vessels!T471), "", Vessels!T471), ""))</f>
        <v/>
      </c>
      <c r="R471" s="51" t="str">
        <f>IF($N$1="Piping", IF(ISBLANK(Piping!U471), "", Piping!U471), IF($N$1="Vessels", IF(ISBLANK(Vessels!U471), "", Vessels!U471), ""))</f>
        <v/>
      </c>
      <c r="S471" s="118" t="str">
        <f>IF(B471&lt;&gt;"",IF($N$1="Piping", IF(ISBLANK(Piping!$J$3), "", Piping!$J$3), IF($N$1="Vessels", IF(ISBLANK(Vessels!$J$3), "", Vessels!$J$3), "")),"")</f>
        <v/>
      </c>
      <c r="T471" s="37"/>
      <c r="U471" s="37"/>
      <c r="V471" s="37"/>
      <c r="W471" s="37"/>
      <c r="X471" s="37"/>
      <c r="Y471" s="37"/>
      <c r="Z471" s="37"/>
    </row>
    <row r="472" spans="1:26" ht="15.75" customHeight="1" x14ac:dyDescent="0.3">
      <c r="A472" s="22">
        <f>IF($N$1="Piping", IF(ISBLANK(Piping!A472), "", Piping!A472), IF($N$1="Vessels", IF(ISBLANK(Vessels!A472), "", Vessels!A472), ""))</f>
        <v>117.3</v>
      </c>
      <c r="B472" s="21" t="str">
        <f>IF($N$1="Piping", IF(ISBLANK(Piping!B472), "", Piping!B472), IF($N$1="Vessels", IF(ISBLANK(Vessels!B472), "", Vessels!B472), ""))</f>
        <v/>
      </c>
      <c r="C472" s="21" t="str">
        <f>IF($N$1="Piping", IF(ISBLANK(Piping!C472), "", Piping!C472), IF($N$1="Vessels", IF(ISBLANK(Vessels!C472), "", Vessels!C472), ""))</f>
        <v>Piping</v>
      </c>
      <c r="D472" s="21" t="str">
        <f>IF($N$1="Piping", IF(ISBLANK(Piping!D472), "", Piping!D472), IF($N$1="Vessels", IF(ISBLANK(Vessels!D472), "", Vessels!D472), ""))</f>
        <v/>
      </c>
      <c r="E472" s="21" t="str">
        <f>IF($N$1="Piping", IF(ISBLANK(Piping!E472), "", Piping!E472), IF($N$1="Vessels", IF(ISBLANK(Vessels!E472), "", Vessels!E472), ""))</f>
        <v/>
      </c>
      <c r="F472" s="21" t="str">
        <f>IF($N$1="Piping", IF(ISBLANK(Piping!F472), "", Piping!F472), IF($N$1="Vessels", IF(ISBLANK(Vessels!F472), "", Vessels!F472), ""))</f>
        <v/>
      </c>
      <c r="G472" s="21">
        <f>IF($N$1="Piping", IF(ISBLANK(Piping!G472), "", Piping!G472), IF($N$1="Vessels", IF(ISBLANK(Vessels!G472), "", Vessels!G472), ""))</f>
        <v>0</v>
      </c>
      <c r="H472" s="21" t="str">
        <f>IF($N$1="Piping", IF(ISBLANK(Piping!H472), "", Piping!H472), IF($N$1="Vessels", IF(ISBLANK(Vessels!H472), "", Vessels!H472), ""))</f>
        <v/>
      </c>
      <c r="I472" s="21" t="str">
        <f>IF($N$1="Piping", IF(ISBLANK(Piping!I472), "", Piping!I472), IF($N$1="Vessels", IF(ISBLANK(Vessels!I472), "", Vessels!I472), ""))</f>
        <v/>
      </c>
      <c r="J472" s="21" t="str">
        <f>IF($N$1="Piping", IF(ISBLANK(Piping!J472), "", Piping!J472), IF($N$1="Vessels", IF(ISBLANK(Vessels!J472), "", Vessels!J472), ""))</f>
        <v/>
      </c>
      <c r="K472" s="21" t="str">
        <f>IF($N$1="Piping", IF(ISBLANK(Piping!K472), "", Piping!K472), IF($N$1="Vessels", IF(ISBLANK(Vessels!K472), "", Vessels!K472), ""))</f>
        <v/>
      </c>
      <c r="L472" s="21" t="str">
        <f>IF($N$1="Piping", IF(ISBLANK(Piping!L472), "", Piping!L472), IF($N$1="Vessels", IF(ISBLANK(Vessels!L472), "", Vessels!L472), ""))</f>
        <v/>
      </c>
      <c r="M472" s="21"/>
      <c r="N472" s="21"/>
      <c r="O472" s="21"/>
      <c r="P472" s="21"/>
      <c r="Q472" s="21" t="str">
        <f>IF($N$1="Piping", IF(ISBLANK(Piping!T472), "", Piping!T472), IF($N$1="Vessels", IF(ISBLANK(Vessels!T472), "", Vessels!T472), ""))</f>
        <v/>
      </c>
      <c r="R472" s="51" t="str">
        <f>IF($N$1="Piping", IF(ISBLANK(Piping!U472), "", Piping!U472), IF($N$1="Vessels", IF(ISBLANK(Vessels!U472), "", Vessels!U472), ""))</f>
        <v/>
      </c>
      <c r="S472" s="118" t="str">
        <f>IF(B472&lt;&gt;"",IF($N$1="Piping", IF(ISBLANK(Piping!$J$3), "", Piping!$J$3), IF($N$1="Vessels", IF(ISBLANK(Vessels!$J$3), "", Vessels!$J$3), "")),"")</f>
        <v/>
      </c>
      <c r="T472" s="37"/>
      <c r="U472" s="37"/>
      <c r="V472" s="37"/>
      <c r="W472" s="37"/>
      <c r="X472" s="37"/>
      <c r="Y472" s="37"/>
      <c r="Z472" s="37"/>
    </row>
    <row r="473" spans="1:26" ht="15.75" customHeight="1" x14ac:dyDescent="0.3">
      <c r="A473" s="22">
        <f>IF($N$1="Piping", IF(ISBLANK(Piping!A473), "", Piping!A473), IF($N$1="Vessels", IF(ISBLANK(Vessels!A473), "", Vessels!A473), ""))</f>
        <v>117.4</v>
      </c>
      <c r="B473" s="21" t="str">
        <f>IF($N$1="Piping", IF(ISBLANK(Piping!B473), "", Piping!B473), IF($N$1="Vessels", IF(ISBLANK(Vessels!B473), "", Vessels!B473), ""))</f>
        <v/>
      </c>
      <c r="C473" s="21" t="str">
        <f>IF($N$1="Piping", IF(ISBLANK(Piping!C473), "", Piping!C473), IF($N$1="Vessels", IF(ISBLANK(Vessels!C473), "", Vessels!C473), ""))</f>
        <v>Piping</v>
      </c>
      <c r="D473" s="21" t="str">
        <f>IF($N$1="Piping", IF(ISBLANK(Piping!D473), "", Piping!D473), IF($N$1="Vessels", IF(ISBLANK(Vessels!D473), "", Vessels!D473), ""))</f>
        <v/>
      </c>
      <c r="E473" s="21" t="str">
        <f>IF($N$1="Piping", IF(ISBLANK(Piping!E473), "", Piping!E473), IF($N$1="Vessels", IF(ISBLANK(Vessels!E473), "", Vessels!E473), ""))</f>
        <v/>
      </c>
      <c r="F473" s="21" t="str">
        <f>IF($N$1="Piping", IF(ISBLANK(Piping!F473), "", Piping!F473), IF($N$1="Vessels", IF(ISBLANK(Vessels!F473), "", Vessels!F473), ""))</f>
        <v/>
      </c>
      <c r="G473" s="21">
        <f>IF($N$1="Piping", IF(ISBLANK(Piping!G473), "", Piping!G473), IF($N$1="Vessels", IF(ISBLANK(Vessels!G473), "", Vessels!G473), ""))</f>
        <v>0</v>
      </c>
      <c r="H473" s="21" t="str">
        <f>IF($N$1="Piping", IF(ISBLANK(Piping!H473), "", Piping!H473), IF($N$1="Vessels", IF(ISBLANK(Vessels!H473), "", Vessels!H473), ""))</f>
        <v/>
      </c>
      <c r="I473" s="21" t="str">
        <f>IF($N$1="Piping", IF(ISBLANK(Piping!I473), "", Piping!I473), IF($N$1="Vessels", IF(ISBLANK(Vessels!I473), "", Vessels!I473), ""))</f>
        <v/>
      </c>
      <c r="J473" s="21" t="str">
        <f>IF($N$1="Piping", IF(ISBLANK(Piping!J473), "", Piping!J473), IF($N$1="Vessels", IF(ISBLANK(Vessels!J473), "", Vessels!J473), ""))</f>
        <v/>
      </c>
      <c r="K473" s="21" t="str">
        <f>IF($N$1="Piping", IF(ISBLANK(Piping!K473), "", Piping!K473), IF($N$1="Vessels", IF(ISBLANK(Vessels!K473), "", Vessels!K473), ""))</f>
        <v/>
      </c>
      <c r="L473" s="21" t="str">
        <f>IF($N$1="Piping", IF(ISBLANK(Piping!L473), "", Piping!L473), IF($N$1="Vessels", IF(ISBLANK(Vessels!L473), "", Vessels!L473), ""))</f>
        <v/>
      </c>
      <c r="M473" s="21"/>
      <c r="N473" s="21"/>
      <c r="O473" s="21"/>
      <c r="P473" s="21"/>
      <c r="Q473" s="21" t="str">
        <f>IF($N$1="Piping", IF(ISBLANK(Piping!T473), "", Piping!T473), IF($N$1="Vessels", IF(ISBLANK(Vessels!T473), "", Vessels!T473), ""))</f>
        <v/>
      </c>
      <c r="R473" s="51" t="str">
        <f>IF($N$1="Piping", IF(ISBLANK(Piping!U473), "", Piping!U473), IF($N$1="Vessels", IF(ISBLANK(Vessels!U473), "", Vessels!U473), ""))</f>
        <v/>
      </c>
      <c r="S473" s="118" t="str">
        <f>IF(B473&lt;&gt;"",IF($N$1="Piping", IF(ISBLANK(Piping!$J$3), "", Piping!$J$3), IF($N$1="Vessels", IF(ISBLANK(Vessels!$J$3), "", Vessels!$J$3), "")),"")</f>
        <v/>
      </c>
      <c r="T473" s="37"/>
      <c r="U473" s="37"/>
      <c r="V473" s="37"/>
      <c r="W473" s="37"/>
      <c r="X473" s="37"/>
      <c r="Y473" s="37"/>
      <c r="Z473" s="37"/>
    </row>
    <row r="474" spans="1:26" ht="15.75" customHeight="1" x14ac:dyDescent="0.3">
      <c r="A474" s="22">
        <f>IF($N$1="Piping", IF(ISBLANK(Piping!A474), "", Piping!A474), IF($N$1="Vessels", IF(ISBLANK(Vessels!A474), "", Vessels!A474), ""))</f>
        <v>118.1</v>
      </c>
      <c r="B474" s="21" t="str">
        <f>IF($N$1="Piping", IF(ISBLANK(Piping!B474), "", Piping!B474), IF($N$1="Vessels", IF(ISBLANK(Vessels!B474), "", Vessels!B474), ""))</f>
        <v/>
      </c>
      <c r="C474" s="21" t="str">
        <f>IF($N$1="Piping", IF(ISBLANK(Piping!C474), "", Piping!C474), IF($N$1="Vessels", IF(ISBLANK(Vessels!C474), "", Vessels!C474), ""))</f>
        <v>Piping</v>
      </c>
      <c r="D474" s="21" t="str">
        <f>IF($N$1="Piping", IF(ISBLANK(Piping!D474), "", Piping!D474), IF($N$1="Vessels", IF(ISBLANK(Vessels!D474), "", Vessels!D474), ""))</f>
        <v/>
      </c>
      <c r="E474" s="21" t="str">
        <f>IF($N$1="Piping", IF(ISBLANK(Piping!E474), "", Piping!E474), IF($N$1="Vessels", IF(ISBLANK(Vessels!E474), "", Vessels!E474), ""))</f>
        <v/>
      </c>
      <c r="F474" s="21" t="str">
        <f>IF($N$1="Piping", IF(ISBLANK(Piping!F474), "", Piping!F474), IF($N$1="Vessels", IF(ISBLANK(Vessels!F474), "", Vessels!F474), ""))</f>
        <v/>
      </c>
      <c r="G474" s="21">
        <f>IF($N$1="Piping", IF(ISBLANK(Piping!G474), "", Piping!G474), IF($N$1="Vessels", IF(ISBLANK(Vessels!G474), "", Vessels!G474), ""))</f>
        <v>0</v>
      </c>
      <c r="H474" s="21" t="str">
        <f>IF($N$1="Piping", IF(ISBLANK(Piping!H474), "", Piping!H474), IF($N$1="Vessels", IF(ISBLANK(Vessels!H474), "", Vessels!H474), ""))</f>
        <v/>
      </c>
      <c r="I474" s="21" t="str">
        <f>IF($N$1="Piping", IF(ISBLANK(Piping!I474), "", Piping!I474), IF($N$1="Vessels", IF(ISBLANK(Vessels!I474), "", Vessels!I474), ""))</f>
        <v/>
      </c>
      <c r="J474" s="21" t="str">
        <f>IF($N$1="Piping", IF(ISBLANK(Piping!J474), "", Piping!J474), IF($N$1="Vessels", IF(ISBLANK(Vessels!J474), "", Vessels!J474), ""))</f>
        <v/>
      </c>
      <c r="K474" s="21" t="str">
        <f>IF($N$1="Piping", IF(ISBLANK(Piping!K474), "", Piping!K474), IF($N$1="Vessels", IF(ISBLANK(Vessels!K474), "", Vessels!K474), ""))</f>
        <v/>
      </c>
      <c r="L474" s="21" t="str">
        <f>IF($N$1="Piping", IF(ISBLANK(Piping!L474), "", Piping!L474), IF($N$1="Vessels", IF(ISBLANK(Vessels!L474), "", Vessels!L474), ""))</f>
        <v/>
      </c>
      <c r="M474" s="21"/>
      <c r="N474" s="21"/>
      <c r="O474" s="21"/>
      <c r="P474" s="21"/>
      <c r="Q474" s="21" t="str">
        <f>IF($N$1="Piping", IF(ISBLANK(Piping!T474), "", Piping!T474), IF($N$1="Vessels", IF(ISBLANK(Vessels!T474), "", Vessels!T474), ""))</f>
        <v/>
      </c>
      <c r="R474" s="51" t="str">
        <f>IF($N$1="Piping", IF(ISBLANK(Piping!U474), "", Piping!U474), IF($N$1="Vessels", IF(ISBLANK(Vessels!U474), "", Vessels!U474), ""))</f>
        <v/>
      </c>
      <c r="S474" s="118" t="str">
        <f>IF(B474&lt;&gt;"",IF($N$1="Piping", IF(ISBLANK(Piping!$J$3), "", Piping!$J$3), IF($N$1="Vessels", IF(ISBLANK(Vessels!$J$3), "", Vessels!$J$3), "")),"")</f>
        <v/>
      </c>
      <c r="T474" s="37"/>
      <c r="U474" s="37"/>
      <c r="V474" s="37"/>
      <c r="W474" s="37"/>
      <c r="X474" s="37"/>
      <c r="Y474" s="37"/>
      <c r="Z474" s="37"/>
    </row>
    <row r="475" spans="1:26" ht="15.75" customHeight="1" x14ac:dyDescent="0.3">
      <c r="A475" s="22">
        <f>IF($N$1="Piping", IF(ISBLANK(Piping!A475), "", Piping!A475), IF($N$1="Vessels", IF(ISBLANK(Vessels!A475), "", Vessels!A475), ""))</f>
        <v>118.2</v>
      </c>
      <c r="B475" s="21" t="str">
        <f>IF($N$1="Piping", IF(ISBLANK(Piping!B475), "", Piping!B475), IF($N$1="Vessels", IF(ISBLANK(Vessels!B475), "", Vessels!B475), ""))</f>
        <v/>
      </c>
      <c r="C475" s="21" t="str">
        <f>IF($N$1="Piping", IF(ISBLANK(Piping!C475), "", Piping!C475), IF($N$1="Vessels", IF(ISBLANK(Vessels!C475), "", Vessels!C475), ""))</f>
        <v>Piping</v>
      </c>
      <c r="D475" s="21" t="str">
        <f>IF($N$1="Piping", IF(ISBLANK(Piping!D475), "", Piping!D475), IF($N$1="Vessels", IF(ISBLANK(Vessels!D475), "", Vessels!D475), ""))</f>
        <v/>
      </c>
      <c r="E475" s="21" t="str">
        <f>IF($N$1="Piping", IF(ISBLANK(Piping!E475), "", Piping!E475), IF($N$1="Vessels", IF(ISBLANK(Vessels!E475), "", Vessels!E475), ""))</f>
        <v/>
      </c>
      <c r="F475" s="21" t="str">
        <f>IF($N$1="Piping", IF(ISBLANK(Piping!F475), "", Piping!F475), IF($N$1="Vessels", IF(ISBLANK(Vessels!F475), "", Vessels!F475), ""))</f>
        <v/>
      </c>
      <c r="G475" s="21">
        <f>IF($N$1="Piping", IF(ISBLANK(Piping!G475), "", Piping!G475), IF($N$1="Vessels", IF(ISBLANK(Vessels!G475), "", Vessels!G475), ""))</f>
        <v>0</v>
      </c>
      <c r="H475" s="21" t="str">
        <f>IF($N$1="Piping", IF(ISBLANK(Piping!H475), "", Piping!H475), IF($N$1="Vessels", IF(ISBLANK(Vessels!H475), "", Vessels!H475), ""))</f>
        <v/>
      </c>
      <c r="I475" s="21" t="str">
        <f>IF($N$1="Piping", IF(ISBLANK(Piping!I475), "", Piping!I475), IF($N$1="Vessels", IF(ISBLANK(Vessels!I475), "", Vessels!I475), ""))</f>
        <v/>
      </c>
      <c r="J475" s="21" t="str">
        <f>IF($N$1="Piping", IF(ISBLANK(Piping!J475), "", Piping!J475), IF($N$1="Vessels", IF(ISBLANK(Vessels!J475), "", Vessels!J475), ""))</f>
        <v/>
      </c>
      <c r="K475" s="21" t="str">
        <f>IF($N$1="Piping", IF(ISBLANK(Piping!K475), "", Piping!K475), IF($N$1="Vessels", IF(ISBLANK(Vessels!K475), "", Vessels!K475), ""))</f>
        <v/>
      </c>
      <c r="L475" s="21" t="str">
        <f>IF($N$1="Piping", IF(ISBLANK(Piping!L475), "", Piping!L475), IF($N$1="Vessels", IF(ISBLANK(Vessels!L475), "", Vessels!L475), ""))</f>
        <v/>
      </c>
      <c r="M475" s="21"/>
      <c r="N475" s="21"/>
      <c r="O475" s="21"/>
      <c r="P475" s="21"/>
      <c r="Q475" s="21" t="str">
        <f>IF($N$1="Piping", IF(ISBLANK(Piping!T475), "", Piping!T475), IF($N$1="Vessels", IF(ISBLANK(Vessels!T475), "", Vessels!T475), ""))</f>
        <v/>
      </c>
      <c r="R475" s="51" t="str">
        <f>IF($N$1="Piping", IF(ISBLANK(Piping!U475), "", Piping!U475), IF($N$1="Vessels", IF(ISBLANK(Vessels!U475), "", Vessels!U475), ""))</f>
        <v/>
      </c>
      <c r="S475" s="118" t="str">
        <f>IF(B475&lt;&gt;"",IF($N$1="Piping", IF(ISBLANK(Piping!$J$3), "", Piping!$J$3), IF($N$1="Vessels", IF(ISBLANK(Vessels!$J$3), "", Vessels!$J$3), "")),"")</f>
        <v/>
      </c>
      <c r="T475" s="37"/>
      <c r="U475" s="37"/>
      <c r="V475" s="37"/>
      <c r="W475" s="37"/>
      <c r="X475" s="37"/>
      <c r="Y475" s="37"/>
      <c r="Z475" s="37"/>
    </row>
    <row r="476" spans="1:26" ht="15.75" customHeight="1" x14ac:dyDescent="0.3">
      <c r="A476" s="22">
        <f>IF($N$1="Piping", IF(ISBLANK(Piping!A476), "", Piping!A476), IF($N$1="Vessels", IF(ISBLANK(Vessels!A476), "", Vessels!A476), ""))</f>
        <v>118.3</v>
      </c>
      <c r="B476" s="21" t="str">
        <f>IF($N$1="Piping", IF(ISBLANK(Piping!B476), "", Piping!B476), IF($N$1="Vessels", IF(ISBLANK(Vessels!B476), "", Vessels!B476), ""))</f>
        <v/>
      </c>
      <c r="C476" s="21" t="str">
        <f>IF($N$1="Piping", IF(ISBLANK(Piping!C476), "", Piping!C476), IF($N$1="Vessels", IF(ISBLANK(Vessels!C476), "", Vessels!C476), ""))</f>
        <v>Piping</v>
      </c>
      <c r="D476" s="21" t="str">
        <f>IF($N$1="Piping", IF(ISBLANK(Piping!D476), "", Piping!D476), IF($N$1="Vessels", IF(ISBLANK(Vessels!D476), "", Vessels!D476), ""))</f>
        <v/>
      </c>
      <c r="E476" s="21" t="str">
        <f>IF($N$1="Piping", IF(ISBLANK(Piping!E476), "", Piping!E476), IF($N$1="Vessels", IF(ISBLANK(Vessels!E476), "", Vessels!E476), ""))</f>
        <v/>
      </c>
      <c r="F476" s="21" t="str">
        <f>IF($N$1="Piping", IF(ISBLANK(Piping!F476), "", Piping!F476), IF($N$1="Vessels", IF(ISBLANK(Vessels!F476), "", Vessels!F476), ""))</f>
        <v/>
      </c>
      <c r="G476" s="21">
        <f>IF($N$1="Piping", IF(ISBLANK(Piping!G476), "", Piping!G476), IF($N$1="Vessels", IF(ISBLANK(Vessels!G476), "", Vessels!G476), ""))</f>
        <v>0</v>
      </c>
      <c r="H476" s="21" t="str">
        <f>IF($N$1="Piping", IF(ISBLANK(Piping!H476), "", Piping!H476), IF($N$1="Vessels", IF(ISBLANK(Vessels!H476), "", Vessels!H476), ""))</f>
        <v/>
      </c>
      <c r="I476" s="21" t="str">
        <f>IF($N$1="Piping", IF(ISBLANK(Piping!I476), "", Piping!I476), IF($N$1="Vessels", IF(ISBLANK(Vessels!I476), "", Vessels!I476), ""))</f>
        <v/>
      </c>
      <c r="J476" s="21" t="str">
        <f>IF($N$1="Piping", IF(ISBLANK(Piping!J476), "", Piping!J476), IF($N$1="Vessels", IF(ISBLANK(Vessels!J476), "", Vessels!J476), ""))</f>
        <v/>
      </c>
      <c r="K476" s="21" t="str">
        <f>IF($N$1="Piping", IF(ISBLANK(Piping!K476), "", Piping!K476), IF($N$1="Vessels", IF(ISBLANK(Vessels!K476), "", Vessels!K476), ""))</f>
        <v/>
      </c>
      <c r="L476" s="21" t="str">
        <f>IF($N$1="Piping", IF(ISBLANK(Piping!L476), "", Piping!L476), IF($N$1="Vessels", IF(ISBLANK(Vessels!L476), "", Vessels!L476), ""))</f>
        <v/>
      </c>
      <c r="M476" s="21"/>
      <c r="N476" s="21"/>
      <c r="O476" s="21"/>
      <c r="P476" s="21"/>
      <c r="Q476" s="21" t="str">
        <f>IF($N$1="Piping", IF(ISBLANK(Piping!T476), "", Piping!T476), IF($N$1="Vessels", IF(ISBLANK(Vessels!T476), "", Vessels!T476), ""))</f>
        <v/>
      </c>
      <c r="R476" s="51" t="str">
        <f>IF($N$1="Piping", IF(ISBLANK(Piping!U476), "", Piping!U476), IF($N$1="Vessels", IF(ISBLANK(Vessels!U476), "", Vessels!U476), ""))</f>
        <v/>
      </c>
      <c r="S476" s="118" t="str">
        <f>IF(B476&lt;&gt;"",IF($N$1="Piping", IF(ISBLANK(Piping!$J$3), "", Piping!$J$3), IF($N$1="Vessels", IF(ISBLANK(Vessels!$J$3), "", Vessels!$J$3), "")),"")</f>
        <v/>
      </c>
      <c r="T476" s="37"/>
      <c r="U476" s="37"/>
      <c r="V476" s="37"/>
      <c r="W476" s="37"/>
      <c r="X476" s="37"/>
      <c r="Y476" s="37"/>
      <c r="Z476" s="37"/>
    </row>
    <row r="477" spans="1:26" ht="15.75" customHeight="1" x14ac:dyDescent="0.3">
      <c r="A477" s="22">
        <f>IF($N$1="Piping", IF(ISBLANK(Piping!A477), "", Piping!A477), IF($N$1="Vessels", IF(ISBLANK(Vessels!A477), "", Vessels!A477), ""))</f>
        <v>118.4</v>
      </c>
      <c r="B477" s="21" t="str">
        <f>IF($N$1="Piping", IF(ISBLANK(Piping!B477), "", Piping!B477), IF($N$1="Vessels", IF(ISBLANK(Vessels!B477), "", Vessels!B477), ""))</f>
        <v/>
      </c>
      <c r="C477" s="21" t="str">
        <f>IF($N$1="Piping", IF(ISBLANK(Piping!C477), "", Piping!C477), IF($N$1="Vessels", IF(ISBLANK(Vessels!C477), "", Vessels!C477), ""))</f>
        <v>Piping</v>
      </c>
      <c r="D477" s="21" t="str">
        <f>IF($N$1="Piping", IF(ISBLANK(Piping!D477), "", Piping!D477), IF($N$1="Vessels", IF(ISBLANK(Vessels!D477), "", Vessels!D477), ""))</f>
        <v/>
      </c>
      <c r="E477" s="21" t="str">
        <f>IF($N$1="Piping", IF(ISBLANK(Piping!E477), "", Piping!E477), IF($N$1="Vessels", IF(ISBLANK(Vessels!E477), "", Vessels!E477), ""))</f>
        <v/>
      </c>
      <c r="F477" s="21" t="str">
        <f>IF($N$1="Piping", IF(ISBLANK(Piping!F477), "", Piping!F477), IF($N$1="Vessels", IF(ISBLANK(Vessels!F477), "", Vessels!F477), ""))</f>
        <v/>
      </c>
      <c r="G477" s="21">
        <f>IF($N$1="Piping", IF(ISBLANK(Piping!G477), "", Piping!G477), IF($N$1="Vessels", IF(ISBLANK(Vessels!G477), "", Vessels!G477), ""))</f>
        <v>0</v>
      </c>
      <c r="H477" s="21" t="str">
        <f>IF($N$1="Piping", IF(ISBLANK(Piping!H477), "", Piping!H477), IF($N$1="Vessels", IF(ISBLANK(Vessels!H477), "", Vessels!H477), ""))</f>
        <v/>
      </c>
      <c r="I477" s="21" t="str">
        <f>IF($N$1="Piping", IF(ISBLANK(Piping!I477), "", Piping!I477), IF($N$1="Vessels", IF(ISBLANK(Vessels!I477), "", Vessels!I477), ""))</f>
        <v/>
      </c>
      <c r="J477" s="21" t="str">
        <f>IF($N$1="Piping", IF(ISBLANK(Piping!J477), "", Piping!J477), IF($N$1="Vessels", IF(ISBLANK(Vessels!J477), "", Vessels!J477), ""))</f>
        <v/>
      </c>
      <c r="K477" s="21" t="str">
        <f>IF($N$1="Piping", IF(ISBLANK(Piping!K477), "", Piping!K477), IF($N$1="Vessels", IF(ISBLANK(Vessels!K477), "", Vessels!K477), ""))</f>
        <v/>
      </c>
      <c r="L477" s="21" t="str">
        <f>IF($N$1="Piping", IF(ISBLANK(Piping!L477), "", Piping!L477), IF($N$1="Vessels", IF(ISBLANK(Vessels!L477), "", Vessels!L477), ""))</f>
        <v/>
      </c>
      <c r="M477" s="21"/>
      <c r="N477" s="21"/>
      <c r="O477" s="21"/>
      <c r="P477" s="21"/>
      <c r="Q477" s="21" t="str">
        <f>IF($N$1="Piping", IF(ISBLANK(Piping!T477), "", Piping!T477), IF($N$1="Vessels", IF(ISBLANK(Vessels!T477), "", Vessels!T477), ""))</f>
        <v/>
      </c>
      <c r="R477" s="51" t="str">
        <f>IF($N$1="Piping", IF(ISBLANK(Piping!U477), "", Piping!U477), IF($N$1="Vessels", IF(ISBLANK(Vessels!U477), "", Vessels!U477), ""))</f>
        <v/>
      </c>
      <c r="S477" s="118" t="str">
        <f>IF(B477&lt;&gt;"",IF($N$1="Piping", IF(ISBLANK(Piping!$J$3), "", Piping!$J$3), IF($N$1="Vessels", IF(ISBLANK(Vessels!$J$3), "", Vessels!$J$3), "")),"")</f>
        <v/>
      </c>
      <c r="T477" s="37"/>
      <c r="U477" s="37"/>
      <c r="V477" s="37"/>
      <c r="W477" s="37"/>
      <c r="X477" s="37"/>
      <c r="Y477" s="37"/>
      <c r="Z477" s="37"/>
    </row>
    <row r="478" spans="1:26" ht="15.75" customHeight="1" x14ac:dyDescent="0.3">
      <c r="A478" s="22">
        <f>IF($N$1="Piping", IF(ISBLANK(Piping!A478), "", Piping!A478), IF($N$1="Vessels", IF(ISBLANK(Vessels!A478), "", Vessels!A478), ""))</f>
        <v>119.1</v>
      </c>
      <c r="B478" s="21" t="str">
        <f>IF($N$1="Piping", IF(ISBLANK(Piping!B478), "", Piping!B478), IF($N$1="Vessels", IF(ISBLANK(Vessels!B478), "", Vessels!B478), ""))</f>
        <v/>
      </c>
      <c r="C478" s="21" t="str">
        <f>IF($N$1="Piping", IF(ISBLANK(Piping!C478), "", Piping!C478), IF($N$1="Vessels", IF(ISBLANK(Vessels!C478), "", Vessels!C478), ""))</f>
        <v>Piping</v>
      </c>
      <c r="D478" s="21" t="str">
        <f>IF($N$1="Piping", IF(ISBLANK(Piping!D478), "", Piping!D478), IF($N$1="Vessels", IF(ISBLANK(Vessels!D478), "", Vessels!D478), ""))</f>
        <v/>
      </c>
      <c r="E478" s="21" t="str">
        <f>IF($N$1="Piping", IF(ISBLANK(Piping!E478), "", Piping!E478), IF($N$1="Vessels", IF(ISBLANK(Vessels!E478), "", Vessels!E478), ""))</f>
        <v/>
      </c>
      <c r="F478" s="21" t="str">
        <f>IF($N$1="Piping", IF(ISBLANK(Piping!F478), "", Piping!F478), IF($N$1="Vessels", IF(ISBLANK(Vessels!F478), "", Vessels!F478), ""))</f>
        <v/>
      </c>
      <c r="G478" s="21">
        <f>IF($N$1="Piping", IF(ISBLANK(Piping!G478), "", Piping!G478), IF($N$1="Vessels", IF(ISBLANK(Vessels!G478), "", Vessels!G478), ""))</f>
        <v>0</v>
      </c>
      <c r="H478" s="21" t="str">
        <f>IF($N$1="Piping", IF(ISBLANK(Piping!H478), "", Piping!H478), IF($N$1="Vessels", IF(ISBLANK(Vessels!H478), "", Vessels!H478), ""))</f>
        <v/>
      </c>
      <c r="I478" s="21" t="str">
        <f>IF($N$1="Piping", IF(ISBLANK(Piping!I478), "", Piping!I478), IF($N$1="Vessels", IF(ISBLANK(Vessels!I478), "", Vessels!I478), ""))</f>
        <v/>
      </c>
      <c r="J478" s="21" t="str">
        <f>IF($N$1="Piping", IF(ISBLANK(Piping!J478), "", Piping!J478), IF($N$1="Vessels", IF(ISBLANK(Vessels!J478), "", Vessels!J478), ""))</f>
        <v/>
      </c>
      <c r="K478" s="21" t="str">
        <f>IF($N$1="Piping", IF(ISBLANK(Piping!K478), "", Piping!K478), IF($N$1="Vessels", IF(ISBLANK(Vessels!K478), "", Vessels!K478), ""))</f>
        <v/>
      </c>
      <c r="L478" s="21" t="str">
        <f>IF($N$1="Piping", IF(ISBLANK(Piping!L478), "", Piping!L478), IF($N$1="Vessels", IF(ISBLANK(Vessels!L478), "", Vessels!L478), ""))</f>
        <v/>
      </c>
      <c r="M478" s="21"/>
      <c r="N478" s="21"/>
      <c r="O478" s="21"/>
      <c r="P478" s="21"/>
      <c r="Q478" s="21" t="str">
        <f>IF($N$1="Piping", IF(ISBLANK(Piping!T478), "", Piping!T478), IF($N$1="Vessels", IF(ISBLANK(Vessels!T478), "", Vessels!T478), ""))</f>
        <v/>
      </c>
      <c r="R478" s="51" t="str">
        <f>IF($N$1="Piping", IF(ISBLANK(Piping!U478), "", Piping!U478), IF($N$1="Vessels", IF(ISBLANK(Vessels!U478), "", Vessels!U478), ""))</f>
        <v/>
      </c>
      <c r="S478" s="118" t="str">
        <f>IF(B478&lt;&gt;"",IF($N$1="Piping", IF(ISBLANK(Piping!$J$3), "", Piping!$J$3), IF($N$1="Vessels", IF(ISBLANK(Vessels!$J$3), "", Vessels!$J$3), "")),"")</f>
        <v/>
      </c>
      <c r="T478" s="37"/>
      <c r="U478" s="37"/>
      <c r="V478" s="37"/>
      <c r="W478" s="37"/>
      <c r="X478" s="37"/>
      <c r="Y478" s="37"/>
      <c r="Z478" s="37"/>
    </row>
    <row r="479" spans="1:26" ht="15.75" customHeight="1" x14ac:dyDescent="0.3">
      <c r="A479" s="22">
        <f>IF($N$1="Piping", IF(ISBLANK(Piping!A479), "", Piping!A479), IF($N$1="Vessels", IF(ISBLANK(Vessels!A479), "", Vessels!A479), ""))</f>
        <v>119.2</v>
      </c>
      <c r="B479" s="21" t="str">
        <f>IF($N$1="Piping", IF(ISBLANK(Piping!B479), "", Piping!B479), IF($N$1="Vessels", IF(ISBLANK(Vessels!B479), "", Vessels!B479), ""))</f>
        <v/>
      </c>
      <c r="C479" s="21" t="str">
        <f>IF($N$1="Piping", IF(ISBLANK(Piping!C479), "", Piping!C479), IF($N$1="Vessels", IF(ISBLANK(Vessels!C479), "", Vessels!C479), ""))</f>
        <v>Piping</v>
      </c>
      <c r="D479" s="21" t="str">
        <f>IF($N$1="Piping", IF(ISBLANK(Piping!D479), "", Piping!D479), IF($N$1="Vessels", IF(ISBLANK(Vessels!D479), "", Vessels!D479), ""))</f>
        <v/>
      </c>
      <c r="E479" s="21" t="str">
        <f>IF($N$1="Piping", IF(ISBLANK(Piping!E479), "", Piping!E479), IF($N$1="Vessels", IF(ISBLANK(Vessels!E479), "", Vessels!E479), ""))</f>
        <v/>
      </c>
      <c r="F479" s="21" t="str">
        <f>IF($N$1="Piping", IF(ISBLANK(Piping!F479), "", Piping!F479), IF($N$1="Vessels", IF(ISBLANK(Vessels!F479), "", Vessels!F479), ""))</f>
        <v/>
      </c>
      <c r="G479" s="21">
        <f>IF($N$1="Piping", IF(ISBLANK(Piping!G479), "", Piping!G479), IF($N$1="Vessels", IF(ISBLANK(Vessels!G479), "", Vessels!G479), ""))</f>
        <v>0</v>
      </c>
      <c r="H479" s="21" t="str">
        <f>IF($N$1="Piping", IF(ISBLANK(Piping!H479), "", Piping!H479), IF($N$1="Vessels", IF(ISBLANK(Vessels!H479), "", Vessels!H479), ""))</f>
        <v/>
      </c>
      <c r="I479" s="21" t="str">
        <f>IF($N$1="Piping", IF(ISBLANK(Piping!I479), "", Piping!I479), IF($N$1="Vessels", IF(ISBLANK(Vessels!I479), "", Vessels!I479), ""))</f>
        <v/>
      </c>
      <c r="J479" s="21" t="str">
        <f>IF($N$1="Piping", IF(ISBLANK(Piping!J479), "", Piping!J479), IF($N$1="Vessels", IF(ISBLANK(Vessels!J479), "", Vessels!J479), ""))</f>
        <v/>
      </c>
      <c r="K479" s="21" t="str">
        <f>IF($N$1="Piping", IF(ISBLANK(Piping!K479), "", Piping!K479), IF($N$1="Vessels", IF(ISBLANK(Vessels!K479), "", Vessels!K479), ""))</f>
        <v/>
      </c>
      <c r="L479" s="21" t="str">
        <f>IF($N$1="Piping", IF(ISBLANK(Piping!L479), "", Piping!L479), IF($N$1="Vessels", IF(ISBLANK(Vessels!L479), "", Vessels!L479), ""))</f>
        <v/>
      </c>
      <c r="M479" s="21"/>
      <c r="N479" s="21"/>
      <c r="O479" s="21"/>
      <c r="P479" s="21"/>
      <c r="Q479" s="21" t="str">
        <f>IF($N$1="Piping", IF(ISBLANK(Piping!T479), "", Piping!T479), IF($N$1="Vessels", IF(ISBLANK(Vessels!T479), "", Vessels!T479), ""))</f>
        <v/>
      </c>
      <c r="R479" s="51" t="str">
        <f>IF($N$1="Piping", IF(ISBLANK(Piping!U479), "", Piping!U479), IF($N$1="Vessels", IF(ISBLANK(Vessels!U479), "", Vessels!U479), ""))</f>
        <v/>
      </c>
      <c r="S479" s="118" t="str">
        <f>IF(B479&lt;&gt;"",IF($N$1="Piping", IF(ISBLANK(Piping!$J$3), "", Piping!$J$3), IF($N$1="Vessels", IF(ISBLANK(Vessels!$J$3), "", Vessels!$J$3), "")),"")</f>
        <v/>
      </c>
      <c r="T479" s="37"/>
      <c r="U479" s="37"/>
      <c r="V479" s="37"/>
      <c r="W479" s="37"/>
      <c r="X479" s="37"/>
      <c r="Y479" s="37"/>
      <c r="Z479" s="37"/>
    </row>
    <row r="480" spans="1:26" ht="15.75" customHeight="1" x14ac:dyDescent="0.3">
      <c r="A480" s="22">
        <f>IF($N$1="Piping", IF(ISBLANK(Piping!A480), "", Piping!A480), IF($N$1="Vessels", IF(ISBLANK(Vessels!A480), "", Vessels!A480), ""))</f>
        <v>119.3</v>
      </c>
      <c r="B480" s="21" t="str">
        <f>IF($N$1="Piping", IF(ISBLANK(Piping!B480), "", Piping!B480), IF($N$1="Vessels", IF(ISBLANK(Vessels!B480), "", Vessels!B480), ""))</f>
        <v/>
      </c>
      <c r="C480" s="21" t="str">
        <f>IF($N$1="Piping", IF(ISBLANK(Piping!C480), "", Piping!C480), IF($N$1="Vessels", IF(ISBLANK(Vessels!C480), "", Vessels!C480), ""))</f>
        <v>Piping</v>
      </c>
      <c r="D480" s="21" t="str">
        <f>IF($N$1="Piping", IF(ISBLANK(Piping!D480), "", Piping!D480), IF($N$1="Vessels", IF(ISBLANK(Vessels!D480), "", Vessels!D480), ""))</f>
        <v/>
      </c>
      <c r="E480" s="21" t="str">
        <f>IF($N$1="Piping", IF(ISBLANK(Piping!E480), "", Piping!E480), IF($N$1="Vessels", IF(ISBLANK(Vessels!E480), "", Vessels!E480), ""))</f>
        <v/>
      </c>
      <c r="F480" s="21" t="str">
        <f>IF($N$1="Piping", IF(ISBLANK(Piping!F480), "", Piping!F480), IF($N$1="Vessels", IF(ISBLANK(Vessels!F480), "", Vessels!F480), ""))</f>
        <v/>
      </c>
      <c r="G480" s="21">
        <f>IF($N$1="Piping", IF(ISBLANK(Piping!G480), "", Piping!G480), IF($N$1="Vessels", IF(ISBLANK(Vessels!G480), "", Vessels!G480), ""))</f>
        <v>0</v>
      </c>
      <c r="H480" s="21" t="str">
        <f>IF($N$1="Piping", IF(ISBLANK(Piping!H480), "", Piping!H480), IF($N$1="Vessels", IF(ISBLANK(Vessels!H480), "", Vessels!H480), ""))</f>
        <v/>
      </c>
      <c r="I480" s="21" t="str">
        <f>IF($N$1="Piping", IF(ISBLANK(Piping!I480), "", Piping!I480), IF($N$1="Vessels", IF(ISBLANK(Vessels!I480), "", Vessels!I480), ""))</f>
        <v/>
      </c>
      <c r="J480" s="21" t="str">
        <f>IF($N$1="Piping", IF(ISBLANK(Piping!J480), "", Piping!J480), IF($N$1="Vessels", IF(ISBLANK(Vessels!J480), "", Vessels!J480), ""))</f>
        <v/>
      </c>
      <c r="K480" s="21" t="str">
        <f>IF($N$1="Piping", IF(ISBLANK(Piping!K480), "", Piping!K480), IF($N$1="Vessels", IF(ISBLANK(Vessels!K480), "", Vessels!K480), ""))</f>
        <v/>
      </c>
      <c r="L480" s="21" t="str">
        <f>IF($N$1="Piping", IF(ISBLANK(Piping!L480), "", Piping!L480), IF($N$1="Vessels", IF(ISBLANK(Vessels!L480), "", Vessels!L480), ""))</f>
        <v/>
      </c>
      <c r="M480" s="21"/>
      <c r="N480" s="21"/>
      <c r="O480" s="21"/>
      <c r="P480" s="21"/>
      <c r="Q480" s="21" t="str">
        <f>IF($N$1="Piping", IF(ISBLANK(Piping!T480), "", Piping!T480), IF($N$1="Vessels", IF(ISBLANK(Vessels!T480), "", Vessels!T480), ""))</f>
        <v/>
      </c>
      <c r="R480" s="51" t="str">
        <f>IF($N$1="Piping", IF(ISBLANK(Piping!U480), "", Piping!U480), IF($N$1="Vessels", IF(ISBLANK(Vessels!U480), "", Vessels!U480), ""))</f>
        <v/>
      </c>
      <c r="S480" s="118" t="str">
        <f>IF(B480&lt;&gt;"",IF($N$1="Piping", IF(ISBLANK(Piping!$J$3), "", Piping!$J$3), IF($N$1="Vessels", IF(ISBLANK(Vessels!$J$3), "", Vessels!$J$3), "")),"")</f>
        <v/>
      </c>
      <c r="T480" s="37"/>
      <c r="U480" s="37"/>
      <c r="V480" s="37"/>
      <c r="W480" s="37"/>
      <c r="X480" s="37"/>
      <c r="Y480" s="37"/>
      <c r="Z480" s="37"/>
    </row>
    <row r="481" spans="1:26" ht="15.75" customHeight="1" x14ac:dyDescent="0.3">
      <c r="A481" s="22">
        <f>IF($N$1="Piping", IF(ISBLANK(Piping!A481), "", Piping!A481), IF($N$1="Vessels", IF(ISBLANK(Vessels!A481), "", Vessels!A481), ""))</f>
        <v>119.4</v>
      </c>
      <c r="B481" s="21" t="str">
        <f>IF($N$1="Piping", IF(ISBLANK(Piping!B481), "", Piping!B481), IF($N$1="Vessels", IF(ISBLANK(Vessels!B481), "", Vessels!B481), ""))</f>
        <v/>
      </c>
      <c r="C481" s="21" t="str">
        <f>IF($N$1="Piping", IF(ISBLANK(Piping!C481), "", Piping!C481), IF($N$1="Vessels", IF(ISBLANK(Vessels!C481), "", Vessels!C481), ""))</f>
        <v>Piping</v>
      </c>
      <c r="D481" s="21" t="str">
        <f>IF($N$1="Piping", IF(ISBLANK(Piping!D481), "", Piping!D481), IF($N$1="Vessels", IF(ISBLANK(Vessels!D481), "", Vessels!D481), ""))</f>
        <v/>
      </c>
      <c r="E481" s="21" t="str">
        <f>IF($N$1="Piping", IF(ISBLANK(Piping!E481), "", Piping!E481), IF($N$1="Vessels", IF(ISBLANK(Vessels!E481), "", Vessels!E481), ""))</f>
        <v/>
      </c>
      <c r="F481" s="21" t="str">
        <f>IF($N$1="Piping", IF(ISBLANK(Piping!F481), "", Piping!F481), IF($N$1="Vessels", IF(ISBLANK(Vessels!F481), "", Vessels!F481), ""))</f>
        <v/>
      </c>
      <c r="G481" s="21">
        <f>IF($N$1="Piping", IF(ISBLANK(Piping!G481), "", Piping!G481), IF($N$1="Vessels", IF(ISBLANK(Vessels!G481), "", Vessels!G481), ""))</f>
        <v>0</v>
      </c>
      <c r="H481" s="21" t="str">
        <f>IF($N$1="Piping", IF(ISBLANK(Piping!H481), "", Piping!H481), IF($N$1="Vessels", IF(ISBLANK(Vessels!H481), "", Vessels!H481), ""))</f>
        <v/>
      </c>
      <c r="I481" s="21" t="str">
        <f>IF($N$1="Piping", IF(ISBLANK(Piping!I481), "", Piping!I481), IF($N$1="Vessels", IF(ISBLANK(Vessels!I481), "", Vessels!I481), ""))</f>
        <v/>
      </c>
      <c r="J481" s="21" t="str">
        <f>IF($N$1="Piping", IF(ISBLANK(Piping!J481), "", Piping!J481), IF($N$1="Vessels", IF(ISBLANK(Vessels!J481), "", Vessels!J481), ""))</f>
        <v/>
      </c>
      <c r="K481" s="21" t="str">
        <f>IF($N$1="Piping", IF(ISBLANK(Piping!K481), "", Piping!K481), IF($N$1="Vessels", IF(ISBLANK(Vessels!K481), "", Vessels!K481), ""))</f>
        <v/>
      </c>
      <c r="L481" s="21" t="str">
        <f>IF($N$1="Piping", IF(ISBLANK(Piping!L481), "", Piping!L481), IF($N$1="Vessels", IF(ISBLANK(Vessels!L481), "", Vessels!L481), ""))</f>
        <v/>
      </c>
      <c r="M481" s="21"/>
      <c r="N481" s="21"/>
      <c r="O481" s="21"/>
      <c r="P481" s="21"/>
      <c r="Q481" s="21" t="str">
        <f>IF($N$1="Piping", IF(ISBLANK(Piping!T481), "", Piping!T481), IF($N$1="Vessels", IF(ISBLANK(Vessels!T481), "", Vessels!T481), ""))</f>
        <v/>
      </c>
      <c r="R481" s="51" t="str">
        <f>IF($N$1="Piping", IF(ISBLANK(Piping!U481), "", Piping!U481), IF($N$1="Vessels", IF(ISBLANK(Vessels!U481), "", Vessels!U481), ""))</f>
        <v/>
      </c>
      <c r="S481" s="118" t="str">
        <f>IF(B481&lt;&gt;"",IF($N$1="Piping", IF(ISBLANK(Piping!$J$3), "", Piping!$J$3), IF($N$1="Vessels", IF(ISBLANK(Vessels!$J$3), "", Vessels!$J$3), "")),"")</f>
        <v/>
      </c>
      <c r="T481" s="37"/>
      <c r="U481" s="37"/>
      <c r="V481" s="37"/>
      <c r="W481" s="37"/>
      <c r="X481" s="37"/>
      <c r="Y481" s="37"/>
      <c r="Z481" s="37"/>
    </row>
    <row r="482" spans="1:26" ht="15.75" customHeight="1" x14ac:dyDescent="0.3">
      <c r="A482" s="22">
        <f>IF($N$1="Piping", IF(ISBLANK(Piping!A482), "", Piping!A482), IF($N$1="Vessels", IF(ISBLANK(Vessels!A482), "", Vessels!A482), ""))</f>
        <v>120.1</v>
      </c>
      <c r="B482" s="21" t="str">
        <f>IF($N$1="Piping", IF(ISBLANK(Piping!B482), "", Piping!B482), IF($N$1="Vessels", IF(ISBLANK(Vessels!B482), "", Vessels!B482), ""))</f>
        <v/>
      </c>
      <c r="C482" s="21" t="str">
        <f>IF($N$1="Piping", IF(ISBLANK(Piping!C482), "", Piping!C482), IF($N$1="Vessels", IF(ISBLANK(Vessels!C482), "", Vessels!C482), ""))</f>
        <v>Piping</v>
      </c>
      <c r="D482" s="21" t="str">
        <f>IF($N$1="Piping", IF(ISBLANK(Piping!D482), "", Piping!D482), IF($N$1="Vessels", IF(ISBLANK(Vessels!D482), "", Vessels!D482), ""))</f>
        <v/>
      </c>
      <c r="E482" s="21" t="str">
        <f>IF($N$1="Piping", IF(ISBLANK(Piping!E482), "", Piping!E482), IF($N$1="Vessels", IF(ISBLANK(Vessels!E482), "", Vessels!E482), ""))</f>
        <v/>
      </c>
      <c r="F482" s="21" t="str">
        <f>IF($N$1="Piping", IF(ISBLANK(Piping!F482), "", Piping!F482), IF($N$1="Vessels", IF(ISBLANK(Vessels!F482), "", Vessels!F482), ""))</f>
        <v/>
      </c>
      <c r="G482" s="21">
        <f>IF($N$1="Piping", IF(ISBLANK(Piping!G482), "", Piping!G482), IF($N$1="Vessels", IF(ISBLANK(Vessels!G482), "", Vessels!G482), ""))</f>
        <v>0</v>
      </c>
      <c r="H482" s="21" t="str">
        <f>IF($N$1="Piping", IF(ISBLANK(Piping!H482), "", Piping!H482), IF($N$1="Vessels", IF(ISBLANK(Vessels!H482), "", Vessels!H482), ""))</f>
        <v/>
      </c>
      <c r="I482" s="21" t="str">
        <f>IF($N$1="Piping", IF(ISBLANK(Piping!I482), "", Piping!I482), IF($N$1="Vessels", IF(ISBLANK(Vessels!I482), "", Vessels!I482), ""))</f>
        <v/>
      </c>
      <c r="J482" s="21" t="str">
        <f>IF($N$1="Piping", IF(ISBLANK(Piping!J482), "", Piping!J482), IF($N$1="Vessels", IF(ISBLANK(Vessels!J482), "", Vessels!J482), ""))</f>
        <v/>
      </c>
      <c r="K482" s="21" t="str">
        <f>IF($N$1="Piping", IF(ISBLANK(Piping!K482), "", Piping!K482), IF($N$1="Vessels", IF(ISBLANK(Vessels!K482), "", Vessels!K482), ""))</f>
        <v/>
      </c>
      <c r="L482" s="21" t="str">
        <f>IF($N$1="Piping", IF(ISBLANK(Piping!L482), "", Piping!L482), IF($N$1="Vessels", IF(ISBLANK(Vessels!L482), "", Vessels!L482), ""))</f>
        <v/>
      </c>
      <c r="M482" s="21"/>
      <c r="N482" s="21"/>
      <c r="O482" s="21"/>
      <c r="P482" s="21"/>
      <c r="Q482" s="21" t="str">
        <f>IF($N$1="Piping", IF(ISBLANK(Piping!T482), "", Piping!T482), IF($N$1="Vessels", IF(ISBLANK(Vessels!T482), "", Vessels!T482), ""))</f>
        <v/>
      </c>
      <c r="R482" s="51" t="str">
        <f>IF($N$1="Piping", IF(ISBLANK(Piping!U482), "", Piping!U482), IF($N$1="Vessels", IF(ISBLANK(Vessels!U482), "", Vessels!U482), ""))</f>
        <v/>
      </c>
      <c r="S482" s="118" t="str">
        <f>IF(B482&lt;&gt;"",IF($N$1="Piping", IF(ISBLANK(Piping!$J$3), "", Piping!$J$3), IF($N$1="Vessels", IF(ISBLANK(Vessels!$J$3), "", Vessels!$J$3), "")),"")</f>
        <v/>
      </c>
      <c r="T482" s="37"/>
      <c r="U482" s="37"/>
      <c r="V482" s="37"/>
      <c r="W482" s="37"/>
      <c r="X482" s="37"/>
      <c r="Y482" s="37"/>
      <c r="Z482" s="37"/>
    </row>
    <row r="483" spans="1:26" ht="15.75" customHeight="1" x14ac:dyDescent="0.3">
      <c r="A483" s="22">
        <f>IF($N$1="Piping", IF(ISBLANK(Piping!A483), "", Piping!A483), IF($N$1="Vessels", IF(ISBLANK(Vessels!A483), "", Vessels!A483), ""))</f>
        <v>120.2</v>
      </c>
      <c r="B483" s="21" t="str">
        <f>IF($N$1="Piping", IF(ISBLANK(Piping!B483), "", Piping!B483), IF($N$1="Vessels", IF(ISBLANK(Vessels!B483), "", Vessels!B483), ""))</f>
        <v/>
      </c>
      <c r="C483" s="21" t="str">
        <f>IF($N$1="Piping", IF(ISBLANK(Piping!C483), "", Piping!C483), IF($N$1="Vessels", IF(ISBLANK(Vessels!C483), "", Vessels!C483), ""))</f>
        <v>Piping</v>
      </c>
      <c r="D483" s="21" t="str">
        <f>IF($N$1="Piping", IF(ISBLANK(Piping!D483), "", Piping!D483), IF($N$1="Vessels", IF(ISBLANK(Vessels!D483), "", Vessels!D483), ""))</f>
        <v/>
      </c>
      <c r="E483" s="21" t="str">
        <f>IF($N$1="Piping", IF(ISBLANK(Piping!E483), "", Piping!E483), IF($N$1="Vessels", IF(ISBLANK(Vessels!E483), "", Vessels!E483), ""))</f>
        <v/>
      </c>
      <c r="F483" s="21" t="str">
        <f>IF($N$1="Piping", IF(ISBLANK(Piping!F483), "", Piping!F483), IF($N$1="Vessels", IF(ISBLANK(Vessels!F483), "", Vessels!F483), ""))</f>
        <v/>
      </c>
      <c r="G483" s="21">
        <f>IF($N$1="Piping", IF(ISBLANK(Piping!G483), "", Piping!G483), IF($N$1="Vessels", IF(ISBLANK(Vessels!G483), "", Vessels!G483), ""))</f>
        <v>0</v>
      </c>
      <c r="H483" s="21" t="str">
        <f>IF($N$1="Piping", IF(ISBLANK(Piping!H483), "", Piping!H483), IF($N$1="Vessels", IF(ISBLANK(Vessels!H483), "", Vessels!H483), ""))</f>
        <v/>
      </c>
      <c r="I483" s="21" t="str">
        <f>IF($N$1="Piping", IF(ISBLANK(Piping!I483), "", Piping!I483), IF($N$1="Vessels", IF(ISBLANK(Vessels!I483), "", Vessels!I483), ""))</f>
        <v/>
      </c>
      <c r="J483" s="21" t="str">
        <f>IF($N$1="Piping", IF(ISBLANK(Piping!J483), "", Piping!J483), IF($N$1="Vessels", IF(ISBLANK(Vessels!J483), "", Vessels!J483), ""))</f>
        <v/>
      </c>
      <c r="K483" s="21" t="str">
        <f>IF($N$1="Piping", IF(ISBLANK(Piping!K483), "", Piping!K483), IF($N$1="Vessels", IF(ISBLANK(Vessels!K483), "", Vessels!K483), ""))</f>
        <v/>
      </c>
      <c r="L483" s="21" t="str">
        <f>IF($N$1="Piping", IF(ISBLANK(Piping!L483), "", Piping!L483), IF($N$1="Vessels", IF(ISBLANK(Vessels!L483), "", Vessels!L483), ""))</f>
        <v/>
      </c>
      <c r="M483" s="21"/>
      <c r="N483" s="21"/>
      <c r="O483" s="21"/>
      <c r="P483" s="21"/>
      <c r="Q483" s="21" t="str">
        <f>IF($N$1="Piping", IF(ISBLANK(Piping!T483), "", Piping!T483), IF($N$1="Vessels", IF(ISBLANK(Vessels!T483), "", Vessels!T483), ""))</f>
        <v/>
      </c>
      <c r="R483" s="51" t="str">
        <f>IF($N$1="Piping", IF(ISBLANK(Piping!U483), "", Piping!U483), IF($N$1="Vessels", IF(ISBLANK(Vessels!U483), "", Vessels!U483), ""))</f>
        <v/>
      </c>
      <c r="S483" s="118" t="str">
        <f>IF(B483&lt;&gt;"",IF($N$1="Piping", IF(ISBLANK(Piping!$J$3), "", Piping!$J$3), IF($N$1="Vessels", IF(ISBLANK(Vessels!$J$3), "", Vessels!$J$3), "")),"")</f>
        <v/>
      </c>
      <c r="T483" s="37"/>
      <c r="U483" s="37"/>
      <c r="V483" s="37"/>
      <c r="W483" s="37"/>
      <c r="X483" s="37"/>
      <c r="Y483" s="37"/>
      <c r="Z483" s="37"/>
    </row>
    <row r="484" spans="1:26" ht="15.75" customHeight="1" x14ac:dyDescent="0.3">
      <c r="A484" s="22">
        <f>IF($N$1="Piping", IF(ISBLANK(Piping!A484), "", Piping!A484), IF($N$1="Vessels", IF(ISBLANK(Vessels!A484), "", Vessels!A484), ""))</f>
        <v>120.3</v>
      </c>
      <c r="B484" s="21" t="str">
        <f>IF($N$1="Piping", IF(ISBLANK(Piping!B484), "", Piping!B484), IF($N$1="Vessels", IF(ISBLANK(Vessels!B484), "", Vessels!B484), ""))</f>
        <v/>
      </c>
      <c r="C484" s="21" t="str">
        <f>IF($N$1="Piping", IF(ISBLANK(Piping!C484), "", Piping!C484), IF($N$1="Vessels", IF(ISBLANK(Vessels!C484), "", Vessels!C484), ""))</f>
        <v>Piping</v>
      </c>
      <c r="D484" s="21" t="str">
        <f>IF($N$1="Piping", IF(ISBLANK(Piping!D484), "", Piping!D484), IF($N$1="Vessels", IF(ISBLANK(Vessels!D484), "", Vessels!D484), ""))</f>
        <v/>
      </c>
      <c r="E484" s="21" t="str">
        <f>IF($N$1="Piping", IF(ISBLANK(Piping!E484), "", Piping!E484), IF($N$1="Vessels", IF(ISBLANK(Vessels!E484), "", Vessels!E484), ""))</f>
        <v/>
      </c>
      <c r="F484" s="21" t="str">
        <f>IF($N$1="Piping", IF(ISBLANK(Piping!F484), "", Piping!F484), IF($N$1="Vessels", IF(ISBLANK(Vessels!F484), "", Vessels!F484), ""))</f>
        <v/>
      </c>
      <c r="G484" s="21">
        <f>IF($N$1="Piping", IF(ISBLANK(Piping!G484), "", Piping!G484), IF($N$1="Vessels", IF(ISBLANK(Vessels!G484), "", Vessels!G484), ""))</f>
        <v>0</v>
      </c>
      <c r="H484" s="21" t="str">
        <f>IF($N$1="Piping", IF(ISBLANK(Piping!H484), "", Piping!H484), IF($N$1="Vessels", IF(ISBLANK(Vessels!H484), "", Vessels!H484), ""))</f>
        <v/>
      </c>
      <c r="I484" s="21" t="str">
        <f>IF($N$1="Piping", IF(ISBLANK(Piping!I484), "", Piping!I484), IF($N$1="Vessels", IF(ISBLANK(Vessels!I484), "", Vessels!I484), ""))</f>
        <v/>
      </c>
      <c r="J484" s="21" t="str">
        <f>IF($N$1="Piping", IF(ISBLANK(Piping!J484), "", Piping!J484), IF($N$1="Vessels", IF(ISBLANK(Vessels!J484), "", Vessels!J484), ""))</f>
        <v/>
      </c>
      <c r="K484" s="21" t="str">
        <f>IF($N$1="Piping", IF(ISBLANK(Piping!K484), "", Piping!K484), IF($N$1="Vessels", IF(ISBLANK(Vessels!K484), "", Vessels!K484), ""))</f>
        <v/>
      </c>
      <c r="L484" s="21" t="str">
        <f>IF($N$1="Piping", IF(ISBLANK(Piping!L484), "", Piping!L484), IF($N$1="Vessels", IF(ISBLANK(Vessels!L484), "", Vessels!L484), ""))</f>
        <v/>
      </c>
      <c r="M484" s="21"/>
      <c r="N484" s="21"/>
      <c r="O484" s="21"/>
      <c r="P484" s="21"/>
      <c r="Q484" s="21" t="str">
        <f>IF($N$1="Piping", IF(ISBLANK(Piping!T484), "", Piping!T484), IF($N$1="Vessels", IF(ISBLANK(Vessels!T484), "", Vessels!T484), ""))</f>
        <v/>
      </c>
      <c r="R484" s="51" t="str">
        <f>IF($N$1="Piping", IF(ISBLANK(Piping!U484), "", Piping!U484), IF($N$1="Vessels", IF(ISBLANK(Vessels!U484), "", Vessels!U484), ""))</f>
        <v/>
      </c>
      <c r="S484" s="118" t="str">
        <f>IF(B484&lt;&gt;"",IF($N$1="Piping", IF(ISBLANK(Piping!$J$3), "", Piping!$J$3), IF($N$1="Vessels", IF(ISBLANK(Vessels!$J$3), "", Vessels!$J$3), "")),"")</f>
        <v/>
      </c>
      <c r="T484" s="37"/>
      <c r="U484" s="37"/>
      <c r="V484" s="37"/>
      <c r="W484" s="37"/>
      <c r="X484" s="37"/>
      <c r="Y484" s="37"/>
      <c r="Z484" s="37"/>
    </row>
    <row r="485" spans="1:26" ht="15.75" customHeight="1" x14ac:dyDescent="0.3">
      <c r="A485" s="22">
        <f>IF($N$1="Piping", IF(ISBLANK(Piping!A485), "", Piping!A485), IF($N$1="Vessels", IF(ISBLANK(Vessels!A485), "", Vessels!A485), ""))</f>
        <v>120.4</v>
      </c>
      <c r="B485" s="21" t="str">
        <f>IF($N$1="Piping", IF(ISBLANK(Piping!B485), "", Piping!B485), IF($N$1="Vessels", IF(ISBLANK(Vessels!B485), "", Vessels!B485), ""))</f>
        <v/>
      </c>
      <c r="C485" s="21" t="str">
        <f>IF($N$1="Piping", IF(ISBLANK(Piping!C485), "", Piping!C485), IF($N$1="Vessels", IF(ISBLANK(Vessels!C485), "", Vessels!C485), ""))</f>
        <v>Piping</v>
      </c>
      <c r="D485" s="21" t="str">
        <f>IF($N$1="Piping", IF(ISBLANK(Piping!D485), "", Piping!D485), IF($N$1="Vessels", IF(ISBLANK(Vessels!D485), "", Vessels!D485), ""))</f>
        <v/>
      </c>
      <c r="E485" s="21" t="str">
        <f>IF($N$1="Piping", IF(ISBLANK(Piping!E485), "", Piping!E485), IF($N$1="Vessels", IF(ISBLANK(Vessels!E485), "", Vessels!E485), ""))</f>
        <v/>
      </c>
      <c r="F485" s="21" t="str">
        <f>IF($N$1="Piping", IF(ISBLANK(Piping!F485), "", Piping!F485), IF($N$1="Vessels", IF(ISBLANK(Vessels!F485), "", Vessels!F485), ""))</f>
        <v/>
      </c>
      <c r="G485" s="21">
        <f>IF($N$1="Piping", IF(ISBLANK(Piping!G485), "", Piping!G485), IF($N$1="Vessels", IF(ISBLANK(Vessels!G485), "", Vessels!G485), ""))</f>
        <v>0</v>
      </c>
      <c r="H485" s="21" t="str">
        <f>IF($N$1="Piping", IF(ISBLANK(Piping!H485), "", Piping!H485), IF($N$1="Vessels", IF(ISBLANK(Vessels!H485), "", Vessels!H485), ""))</f>
        <v/>
      </c>
      <c r="I485" s="21" t="str">
        <f>IF($N$1="Piping", IF(ISBLANK(Piping!I485), "", Piping!I485), IF($N$1="Vessels", IF(ISBLANK(Vessels!I485), "", Vessels!I485), ""))</f>
        <v/>
      </c>
      <c r="J485" s="21" t="str">
        <f>IF($N$1="Piping", IF(ISBLANK(Piping!J485), "", Piping!J485), IF($N$1="Vessels", IF(ISBLANK(Vessels!J485), "", Vessels!J485), ""))</f>
        <v/>
      </c>
      <c r="K485" s="21" t="str">
        <f>IF($N$1="Piping", IF(ISBLANK(Piping!K485), "", Piping!K485), IF($N$1="Vessels", IF(ISBLANK(Vessels!K485), "", Vessels!K485), ""))</f>
        <v/>
      </c>
      <c r="L485" s="21" t="str">
        <f>IF($N$1="Piping", IF(ISBLANK(Piping!L485), "", Piping!L485), IF($N$1="Vessels", IF(ISBLANK(Vessels!L485), "", Vessels!L485), ""))</f>
        <v/>
      </c>
      <c r="M485" s="21"/>
      <c r="N485" s="21"/>
      <c r="O485" s="21"/>
      <c r="P485" s="21"/>
      <c r="Q485" s="21" t="str">
        <f>IF($N$1="Piping", IF(ISBLANK(Piping!T485), "", Piping!T485), IF($N$1="Vessels", IF(ISBLANK(Vessels!T485), "", Vessels!T485), ""))</f>
        <v/>
      </c>
      <c r="R485" s="51" t="str">
        <f>IF($N$1="Piping", IF(ISBLANK(Piping!U485), "", Piping!U485), IF($N$1="Vessels", IF(ISBLANK(Vessels!U485), "", Vessels!U485), ""))</f>
        <v/>
      </c>
      <c r="S485" s="118" t="str">
        <f>IF(B485&lt;&gt;"",IF($N$1="Piping", IF(ISBLANK(Piping!$J$3), "", Piping!$J$3), IF($N$1="Vessels", IF(ISBLANK(Vessels!$J$3), "", Vessels!$J$3), "")),"")</f>
        <v/>
      </c>
      <c r="T485" s="37"/>
      <c r="U485" s="37"/>
      <c r="V485" s="37"/>
      <c r="W485" s="37"/>
      <c r="X485" s="37"/>
      <c r="Y485" s="37"/>
      <c r="Z485" s="37"/>
    </row>
    <row r="486" spans="1:26" ht="15.75" customHeight="1" x14ac:dyDescent="0.3">
      <c r="A486" s="22">
        <f>IF($N$1="Piping", IF(ISBLANK(Piping!A486), "", Piping!A486), IF($N$1="Vessels", IF(ISBLANK(Vessels!A486), "", Vessels!A486), ""))</f>
        <v>121.1</v>
      </c>
      <c r="B486" s="21" t="str">
        <f>IF($N$1="Piping", IF(ISBLANK(Piping!B486), "", Piping!B486), IF($N$1="Vessels", IF(ISBLANK(Vessels!B486), "", Vessels!B486), ""))</f>
        <v/>
      </c>
      <c r="C486" s="21" t="str">
        <f>IF($N$1="Piping", IF(ISBLANK(Piping!C486), "", Piping!C486), IF($N$1="Vessels", IF(ISBLANK(Vessels!C486), "", Vessels!C486), ""))</f>
        <v>Piping</v>
      </c>
      <c r="D486" s="21" t="str">
        <f>IF($N$1="Piping", IF(ISBLANK(Piping!D486), "", Piping!D486), IF($N$1="Vessels", IF(ISBLANK(Vessels!D486), "", Vessels!D486), ""))</f>
        <v/>
      </c>
      <c r="E486" s="21" t="str">
        <f>IF($N$1="Piping", IF(ISBLANK(Piping!E486), "", Piping!E486), IF($N$1="Vessels", IF(ISBLANK(Vessels!E486), "", Vessels!E486), ""))</f>
        <v/>
      </c>
      <c r="F486" s="21" t="str">
        <f>IF($N$1="Piping", IF(ISBLANK(Piping!F486), "", Piping!F486), IF($N$1="Vessels", IF(ISBLANK(Vessels!F486), "", Vessels!F486), ""))</f>
        <v/>
      </c>
      <c r="G486" s="21">
        <f>IF($N$1="Piping", IF(ISBLANK(Piping!G486), "", Piping!G486), IF($N$1="Vessels", IF(ISBLANK(Vessels!G486), "", Vessels!G486), ""))</f>
        <v>0</v>
      </c>
      <c r="H486" s="21" t="str">
        <f>IF($N$1="Piping", IF(ISBLANK(Piping!H486), "", Piping!H486), IF($N$1="Vessels", IF(ISBLANK(Vessels!H486), "", Vessels!H486), ""))</f>
        <v/>
      </c>
      <c r="I486" s="21" t="str">
        <f>IF($N$1="Piping", IF(ISBLANK(Piping!I486), "", Piping!I486), IF($N$1="Vessels", IF(ISBLANK(Vessels!I486), "", Vessels!I486), ""))</f>
        <v/>
      </c>
      <c r="J486" s="21" t="str">
        <f>IF($N$1="Piping", IF(ISBLANK(Piping!J486), "", Piping!J486), IF($N$1="Vessels", IF(ISBLANK(Vessels!J486), "", Vessels!J486), ""))</f>
        <v/>
      </c>
      <c r="K486" s="21" t="str">
        <f>IF($N$1="Piping", IF(ISBLANK(Piping!K486), "", Piping!K486), IF($N$1="Vessels", IF(ISBLANK(Vessels!K486), "", Vessels!K486), ""))</f>
        <v/>
      </c>
      <c r="L486" s="21" t="str">
        <f>IF($N$1="Piping", IF(ISBLANK(Piping!L486), "", Piping!L486), IF($N$1="Vessels", IF(ISBLANK(Vessels!L486), "", Vessels!L486), ""))</f>
        <v/>
      </c>
      <c r="M486" s="21"/>
      <c r="N486" s="21"/>
      <c r="O486" s="21"/>
      <c r="P486" s="21"/>
      <c r="Q486" s="21" t="str">
        <f>IF($N$1="Piping", IF(ISBLANK(Piping!T486), "", Piping!T486), IF($N$1="Vessels", IF(ISBLANK(Vessels!T486), "", Vessels!T486), ""))</f>
        <v/>
      </c>
      <c r="R486" s="51" t="str">
        <f>IF($N$1="Piping", IF(ISBLANK(Piping!U486), "", Piping!U486), IF($N$1="Vessels", IF(ISBLANK(Vessels!U486), "", Vessels!U486), ""))</f>
        <v/>
      </c>
      <c r="S486" s="118" t="str">
        <f>IF(B486&lt;&gt;"",IF($N$1="Piping", IF(ISBLANK(Piping!$J$3), "", Piping!$J$3), IF($N$1="Vessels", IF(ISBLANK(Vessels!$J$3), "", Vessels!$J$3), "")),"")</f>
        <v/>
      </c>
      <c r="T486" s="37"/>
      <c r="U486" s="37"/>
      <c r="V486" s="37"/>
      <c r="W486" s="37"/>
      <c r="X486" s="37"/>
      <c r="Y486" s="37"/>
      <c r="Z486" s="37"/>
    </row>
    <row r="487" spans="1:26" ht="15.75" customHeight="1" x14ac:dyDescent="0.3">
      <c r="A487" s="22">
        <f>IF($N$1="Piping", IF(ISBLANK(Piping!A487), "", Piping!A487), IF($N$1="Vessels", IF(ISBLANK(Vessels!A487), "", Vessels!A487), ""))</f>
        <v>121.2</v>
      </c>
      <c r="B487" s="21" t="str">
        <f>IF($N$1="Piping", IF(ISBLANK(Piping!B487), "", Piping!B487), IF($N$1="Vessels", IF(ISBLANK(Vessels!B487), "", Vessels!B487), ""))</f>
        <v/>
      </c>
      <c r="C487" s="21" t="str">
        <f>IF($N$1="Piping", IF(ISBLANK(Piping!C487), "", Piping!C487), IF($N$1="Vessels", IF(ISBLANK(Vessels!C487), "", Vessels!C487), ""))</f>
        <v>Piping</v>
      </c>
      <c r="D487" s="21" t="str">
        <f>IF($N$1="Piping", IF(ISBLANK(Piping!D487), "", Piping!D487), IF($N$1="Vessels", IF(ISBLANK(Vessels!D487), "", Vessels!D487), ""))</f>
        <v/>
      </c>
      <c r="E487" s="21" t="str">
        <f>IF($N$1="Piping", IF(ISBLANK(Piping!E487), "", Piping!E487), IF($N$1="Vessels", IF(ISBLANK(Vessels!E487), "", Vessels!E487), ""))</f>
        <v/>
      </c>
      <c r="F487" s="21" t="str">
        <f>IF($N$1="Piping", IF(ISBLANK(Piping!F487), "", Piping!F487), IF($N$1="Vessels", IF(ISBLANK(Vessels!F487), "", Vessels!F487), ""))</f>
        <v/>
      </c>
      <c r="G487" s="21">
        <f>IF($N$1="Piping", IF(ISBLANK(Piping!G487), "", Piping!G487), IF($N$1="Vessels", IF(ISBLANK(Vessels!G487), "", Vessels!G487), ""))</f>
        <v>0</v>
      </c>
      <c r="H487" s="21" t="str">
        <f>IF($N$1="Piping", IF(ISBLANK(Piping!H487), "", Piping!H487), IF($N$1="Vessels", IF(ISBLANK(Vessels!H487), "", Vessels!H487), ""))</f>
        <v/>
      </c>
      <c r="I487" s="21" t="str">
        <f>IF($N$1="Piping", IF(ISBLANK(Piping!I487), "", Piping!I487), IF($N$1="Vessels", IF(ISBLANK(Vessels!I487), "", Vessels!I487), ""))</f>
        <v/>
      </c>
      <c r="J487" s="21" t="str">
        <f>IF($N$1="Piping", IF(ISBLANK(Piping!J487), "", Piping!J487), IF($N$1="Vessels", IF(ISBLANK(Vessels!J487), "", Vessels!J487), ""))</f>
        <v/>
      </c>
      <c r="K487" s="21" t="str">
        <f>IF($N$1="Piping", IF(ISBLANK(Piping!K487), "", Piping!K487), IF($N$1="Vessels", IF(ISBLANK(Vessels!K487), "", Vessels!K487), ""))</f>
        <v/>
      </c>
      <c r="L487" s="21" t="str">
        <f>IF($N$1="Piping", IF(ISBLANK(Piping!L487), "", Piping!L487), IF($N$1="Vessels", IF(ISBLANK(Vessels!L487), "", Vessels!L487), ""))</f>
        <v/>
      </c>
      <c r="M487" s="21"/>
      <c r="N487" s="21"/>
      <c r="O487" s="21"/>
      <c r="P487" s="21"/>
      <c r="Q487" s="21" t="str">
        <f>IF($N$1="Piping", IF(ISBLANK(Piping!T487), "", Piping!T487), IF($N$1="Vessels", IF(ISBLANK(Vessels!T487), "", Vessels!T487), ""))</f>
        <v/>
      </c>
      <c r="R487" s="51" t="str">
        <f>IF($N$1="Piping", IF(ISBLANK(Piping!U487), "", Piping!U487), IF($N$1="Vessels", IF(ISBLANK(Vessels!U487), "", Vessels!U487), ""))</f>
        <v/>
      </c>
      <c r="S487" s="118" t="str">
        <f>IF(B487&lt;&gt;"",IF($N$1="Piping", IF(ISBLANK(Piping!$J$3), "", Piping!$J$3), IF($N$1="Vessels", IF(ISBLANK(Vessels!$J$3), "", Vessels!$J$3), "")),"")</f>
        <v/>
      </c>
      <c r="T487" s="37"/>
      <c r="U487" s="37"/>
      <c r="V487" s="37"/>
      <c r="W487" s="37"/>
      <c r="X487" s="37"/>
      <c r="Y487" s="37"/>
      <c r="Z487" s="37"/>
    </row>
    <row r="488" spans="1:26" ht="15.75" customHeight="1" x14ac:dyDescent="0.3">
      <c r="A488" s="22">
        <f>IF($N$1="Piping", IF(ISBLANK(Piping!A488), "", Piping!A488), IF($N$1="Vessels", IF(ISBLANK(Vessels!A488), "", Vessels!A488), ""))</f>
        <v>121.3</v>
      </c>
      <c r="B488" s="21" t="str">
        <f>IF($N$1="Piping", IF(ISBLANK(Piping!B488), "", Piping!B488), IF($N$1="Vessels", IF(ISBLANK(Vessels!B488), "", Vessels!B488), ""))</f>
        <v/>
      </c>
      <c r="C488" s="21" t="str">
        <f>IF($N$1="Piping", IF(ISBLANK(Piping!C488), "", Piping!C488), IF($N$1="Vessels", IF(ISBLANK(Vessels!C488), "", Vessels!C488), ""))</f>
        <v>Piping</v>
      </c>
      <c r="D488" s="21" t="str">
        <f>IF($N$1="Piping", IF(ISBLANK(Piping!D488), "", Piping!D488), IF($N$1="Vessels", IF(ISBLANK(Vessels!D488), "", Vessels!D488), ""))</f>
        <v/>
      </c>
      <c r="E488" s="21" t="str">
        <f>IF($N$1="Piping", IF(ISBLANK(Piping!E488), "", Piping!E488), IF($N$1="Vessels", IF(ISBLANK(Vessels!E488), "", Vessels!E488), ""))</f>
        <v/>
      </c>
      <c r="F488" s="21" t="str">
        <f>IF($N$1="Piping", IF(ISBLANK(Piping!F488), "", Piping!F488), IF($N$1="Vessels", IF(ISBLANK(Vessels!F488), "", Vessels!F488), ""))</f>
        <v/>
      </c>
      <c r="G488" s="21">
        <f>IF($N$1="Piping", IF(ISBLANK(Piping!G488), "", Piping!G488), IF($N$1="Vessels", IF(ISBLANK(Vessels!G488), "", Vessels!G488), ""))</f>
        <v>0</v>
      </c>
      <c r="H488" s="21" t="str">
        <f>IF($N$1="Piping", IF(ISBLANK(Piping!H488), "", Piping!H488), IF($N$1="Vessels", IF(ISBLANK(Vessels!H488), "", Vessels!H488), ""))</f>
        <v/>
      </c>
      <c r="I488" s="21" t="str">
        <f>IF($N$1="Piping", IF(ISBLANK(Piping!I488), "", Piping!I488), IF($N$1="Vessels", IF(ISBLANK(Vessels!I488), "", Vessels!I488), ""))</f>
        <v/>
      </c>
      <c r="J488" s="21" t="str">
        <f>IF($N$1="Piping", IF(ISBLANK(Piping!J488), "", Piping!J488), IF($N$1="Vessels", IF(ISBLANK(Vessels!J488), "", Vessels!J488), ""))</f>
        <v/>
      </c>
      <c r="K488" s="21" t="str">
        <f>IF($N$1="Piping", IF(ISBLANK(Piping!K488), "", Piping!K488), IF($N$1="Vessels", IF(ISBLANK(Vessels!K488), "", Vessels!K488), ""))</f>
        <v/>
      </c>
      <c r="L488" s="21" t="str">
        <f>IF($N$1="Piping", IF(ISBLANK(Piping!L488), "", Piping!L488), IF($N$1="Vessels", IF(ISBLANK(Vessels!L488), "", Vessels!L488), ""))</f>
        <v/>
      </c>
      <c r="M488" s="21"/>
      <c r="N488" s="21"/>
      <c r="O488" s="21"/>
      <c r="P488" s="21"/>
      <c r="Q488" s="21" t="str">
        <f>IF($N$1="Piping", IF(ISBLANK(Piping!T488), "", Piping!T488), IF($N$1="Vessels", IF(ISBLANK(Vessels!T488), "", Vessels!T488), ""))</f>
        <v/>
      </c>
      <c r="R488" s="51" t="str">
        <f>IF($N$1="Piping", IF(ISBLANK(Piping!U488), "", Piping!U488), IF($N$1="Vessels", IF(ISBLANK(Vessels!U488), "", Vessels!U488), ""))</f>
        <v/>
      </c>
      <c r="S488" s="118" t="str">
        <f>IF(B488&lt;&gt;"",IF($N$1="Piping", IF(ISBLANK(Piping!$J$3), "", Piping!$J$3), IF($N$1="Vessels", IF(ISBLANK(Vessels!$J$3), "", Vessels!$J$3), "")),"")</f>
        <v/>
      </c>
      <c r="T488" s="37"/>
      <c r="U488" s="37"/>
      <c r="V488" s="37"/>
      <c r="W488" s="37"/>
      <c r="X488" s="37"/>
      <c r="Y488" s="37"/>
      <c r="Z488" s="37"/>
    </row>
    <row r="489" spans="1:26" ht="15.75" customHeight="1" x14ac:dyDescent="0.3">
      <c r="A489" s="22">
        <f>IF($N$1="Piping", IF(ISBLANK(Piping!A489), "", Piping!A489), IF($N$1="Vessels", IF(ISBLANK(Vessels!A489), "", Vessels!A489), ""))</f>
        <v>121.4</v>
      </c>
      <c r="B489" s="21" t="str">
        <f>IF($N$1="Piping", IF(ISBLANK(Piping!B489), "", Piping!B489), IF($N$1="Vessels", IF(ISBLANK(Vessels!B489), "", Vessels!B489), ""))</f>
        <v/>
      </c>
      <c r="C489" s="21" t="str">
        <f>IF($N$1="Piping", IF(ISBLANK(Piping!C489), "", Piping!C489), IF($N$1="Vessels", IF(ISBLANK(Vessels!C489), "", Vessels!C489), ""))</f>
        <v>Piping</v>
      </c>
      <c r="D489" s="21" t="str">
        <f>IF($N$1="Piping", IF(ISBLANK(Piping!D489), "", Piping!D489), IF($N$1="Vessels", IF(ISBLANK(Vessels!D489), "", Vessels!D489), ""))</f>
        <v/>
      </c>
      <c r="E489" s="21" t="str">
        <f>IF($N$1="Piping", IF(ISBLANK(Piping!E489), "", Piping!E489), IF($N$1="Vessels", IF(ISBLANK(Vessels!E489), "", Vessels!E489), ""))</f>
        <v/>
      </c>
      <c r="F489" s="21" t="str">
        <f>IF($N$1="Piping", IF(ISBLANK(Piping!F489), "", Piping!F489), IF($N$1="Vessels", IF(ISBLANK(Vessels!F489), "", Vessels!F489), ""))</f>
        <v/>
      </c>
      <c r="G489" s="21">
        <f>IF($N$1="Piping", IF(ISBLANK(Piping!G489), "", Piping!G489), IF($N$1="Vessels", IF(ISBLANK(Vessels!G489), "", Vessels!G489), ""))</f>
        <v>0</v>
      </c>
      <c r="H489" s="21" t="str">
        <f>IF($N$1="Piping", IF(ISBLANK(Piping!H489), "", Piping!H489), IF($N$1="Vessels", IF(ISBLANK(Vessels!H489), "", Vessels!H489), ""))</f>
        <v/>
      </c>
      <c r="I489" s="21" t="str">
        <f>IF($N$1="Piping", IF(ISBLANK(Piping!I489), "", Piping!I489), IF($N$1="Vessels", IF(ISBLANK(Vessels!I489), "", Vessels!I489), ""))</f>
        <v/>
      </c>
      <c r="J489" s="21" t="str">
        <f>IF($N$1="Piping", IF(ISBLANK(Piping!J489), "", Piping!J489), IF($N$1="Vessels", IF(ISBLANK(Vessels!J489), "", Vessels!J489), ""))</f>
        <v/>
      </c>
      <c r="K489" s="21" t="str">
        <f>IF($N$1="Piping", IF(ISBLANK(Piping!K489), "", Piping!K489), IF($N$1="Vessels", IF(ISBLANK(Vessels!K489), "", Vessels!K489), ""))</f>
        <v/>
      </c>
      <c r="L489" s="21" t="str">
        <f>IF($N$1="Piping", IF(ISBLANK(Piping!L489), "", Piping!L489), IF($N$1="Vessels", IF(ISBLANK(Vessels!L489), "", Vessels!L489), ""))</f>
        <v/>
      </c>
      <c r="M489" s="21"/>
      <c r="N489" s="21"/>
      <c r="O489" s="21"/>
      <c r="P489" s="21"/>
      <c r="Q489" s="21" t="str">
        <f>IF($N$1="Piping", IF(ISBLANK(Piping!T489), "", Piping!T489), IF($N$1="Vessels", IF(ISBLANK(Vessels!T489), "", Vessels!T489), ""))</f>
        <v/>
      </c>
      <c r="R489" s="51" t="str">
        <f>IF($N$1="Piping", IF(ISBLANK(Piping!U489), "", Piping!U489), IF($N$1="Vessels", IF(ISBLANK(Vessels!U489), "", Vessels!U489), ""))</f>
        <v/>
      </c>
      <c r="S489" s="118" t="str">
        <f>IF(B489&lt;&gt;"",IF($N$1="Piping", IF(ISBLANK(Piping!$J$3), "", Piping!$J$3), IF($N$1="Vessels", IF(ISBLANK(Vessels!$J$3), "", Vessels!$J$3), "")),"")</f>
        <v/>
      </c>
      <c r="T489" s="37"/>
      <c r="U489" s="37"/>
      <c r="V489" s="37"/>
      <c r="W489" s="37"/>
      <c r="X489" s="37"/>
      <c r="Y489" s="37"/>
      <c r="Z489" s="37"/>
    </row>
    <row r="490" spans="1:26" ht="15.75" customHeight="1" x14ac:dyDescent="0.3">
      <c r="A490" s="22">
        <f>IF($N$1="Piping", IF(ISBLANK(Piping!A490), "", Piping!A490), IF($N$1="Vessels", IF(ISBLANK(Vessels!A490), "", Vessels!A490), ""))</f>
        <v>122.1</v>
      </c>
      <c r="B490" s="21" t="str">
        <f>IF($N$1="Piping", IF(ISBLANK(Piping!B490), "", Piping!B490), IF($N$1="Vessels", IF(ISBLANK(Vessels!B490), "", Vessels!B490), ""))</f>
        <v/>
      </c>
      <c r="C490" s="21" t="str">
        <f>IF($N$1="Piping", IF(ISBLANK(Piping!C490), "", Piping!C490), IF($N$1="Vessels", IF(ISBLANK(Vessels!C490), "", Vessels!C490), ""))</f>
        <v>Piping</v>
      </c>
      <c r="D490" s="21" t="str">
        <f>IF($N$1="Piping", IF(ISBLANK(Piping!D490), "", Piping!D490), IF($N$1="Vessels", IF(ISBLANK(Vessels!D490), "", Vessels!D490), ""))</f>
        <v/>
      </c>
      <c r="E490" s="21" t="str">
        <f>IF($N$1="Piping", IF(ISBLANK(Piping!E490), "", Piping!E490), IF($N$1="Vessels", IF(ISBLANK(Vessels!E490), "", Vessels!E490), ""))</f>
        <v/>
      </c>
      <c r="F490" s="21" t="str">
        <f>IF($N$1="Piping", IF(ISBLANK(Piping!F490), "", Piping!F490), IF($N$1="Vessels", IF(ISBLANK(Vessels!F490), "", Vessels!F490), ""))</f>
        <v/>
      </c>
      <c r="G490" s="21">
        <f>IF($N$1="Piping", IF(ISBLANK(Piping!G490), "", Piping!G490), IF($N$1="Vessels", IF(ISBLANK(Vessels!G490), "", Vessels!G490), ""))</f>
        <v>0</v>
      </c>
      <c r="H490" s="21" t="str">
        <f>IF($N$1="Piping", IF(ISBLANK(Piping!H490), "", Piping!H490), IF($N$1="Vessels", IF(ISBLANK(Vessels!H490), "", Vessels!H490), ""))</f>
        <v/>
      </c>
      <c r="I490" s="21" t="str">
        <f>IF($N$1="Piping", IF(ISBLANK(Piping!I490), "", Piping!I490), IF($N$1="Vessels", IF(ISBLANK(Vessels!I490), "", Vessels!I490), ""))</f>
        <v/>
      </c>
      <c r="J490" s="21" t="str">
        <f>IF($N$1="Piping", IF(ISBLANK(Piping!J490), "", Piping!J490), IF($N$1="Vessels", IF(ISBLANK(Vessels!J490), "", Vessels!J490), ""))</f>
        <v/>
      </c>
      <c r="K490" s="21" t="str">
        <f>IF($N$1="Piping", IF(ISBLANK(Piping!K490), "", Piping!K490), IF($N$1="Vessels", IF(ISBLANK(Vessels!K490), "", Vessels!K490), ""))</f>
        <v/>
      </c>
      <c r="L490" s="21" t="str">
        <f>IF($N$1="Piping", IF(ISBLANK(Piping!L490), "", Piping!L490), IF($N$1="Vessels", IF(ISBLANK(Vessels!L490), "", Vessels!L490), ""))</f>
        <v/>
      </c>
      <c r="M490" s="21"/>
      <c r="N490" s="21"/>
      <c r="O490" s="21"/>
      <c r="P490" s="21"/>
      <c r="Q490" s="21" t="str">
        <f>IF($N$1="Piping", IF(ISBLANK(Piping!T490), "", Piping!T490), IF($N$1="Vessels", IF(ISBLANK(Vessels!T490), "", Vessels!T490), ""))</f>
        <v/>
      </c>
      <c r="R490" s="51" t="str">
        <f>IF($N$1="Piping", IF(ISBLANK(Piping!U490), "", Piping!U490), IF($N$1="Vessels", IF(ISBLANK(Vessels!U490), "", Vessels!U490), ""))</f>
        <v/>
      </c>
      <c r="S490" s="118" t="str">
        <f>IF(B490&lt;&gt;"",IF($N$1="Piping", IF(ISBLANK(Piping!$J$3), "", Piping!$J$3), IF($N$1="Vessels", IF(ISBLANK(Vessels!$J$3), "", Vessels!$J$3), "")),"")</f>
        <v/>
      </c>
      <c r="T490" s="37"/>
      <c r="U490" s="37"/>
      <c r="V490" s="37"/>
      <c r="W490" s="37"/>
      <c r="X490" s="37"/>
      <c r="Y490" s="37"/>
      <c r="Z490" s="37"/>
    </row>
    <row r="491" spans="1:26" ht="15.75" customHeight="1" x14ac:dyDescent="0.3">
      <c r="A491" s="22">
        <f>IF($N$1="Piping", IF(ISBLANK(Piping!A491), "", Piping!A491), IF($N$1="Vessels", IF(ISBLANK(Vessels!A491), "", Vessels!A491), ""))</f>
        <v>122.2</v>
      </c>
      <c r="B491" s="21" t="str">
        <f>IF($N$1="Piping", IF(ISBLANK(Piping!B491), "", Piping!B491), IF($N$1="Vessels", IF(ISBLANK(Vessels!B491), "", Vessels!B491), ""))</f>
        <v/>
      </c>
      <c r="C491" s="21" t="str">
        <f>IF($N$1="Piping", IF(ISBLANK(Piping!C491), "", Piping!C491), IF($N$1="Vessels", IF(ISBLANK(Vessels!C491), "", Vessels!C491), ""))</f>
        <v>Piping</v>
      </c>
      <c r="D491" s="21" t="str">
        <f>IF($N$1="Piping", IF(ISBLANK(Piping!D491), "", Piping!D491), IF($N$1="Vessels", IF(ISBLANK(Vessels!D491), "", Vessels!D491), ""))</f>
        <v/>
      </c>
      <c r="E491" s="21" t="str">
        <f>IF($N$1="Piping", IF(ISBLANK(Piping!E491), "", Piping!E491), IF($N$1="Vessels", IF(ISBLANK(Vessels!E491), "", Vessels!E491), ""))</f>
        <v/>
      </c>
      <c r="F491" s="21" t="str">
        <f>IF($N$1="Piping", IF(ISBLANK(Piping!F491), "", Piping!F491), IF($N$1="Vessels", IF(ISBLANK(Vessels!F491), "", Vessels!F491), ""))</f>
        <v/>
      </c>
      <c r="G491" s="21">
        <f>IF($N$1="Piping", IF(ISBLANK(Piping!G491), "", Piping!G491), IF($N$1="Vessels", IF(ISBLANK(Vessels!G491), "", Vessels!G491), ""))</f>
        <v>0</v>
      </c>
      <c r="H491" s="21" t="str">
        <f>IF($N$1="Piping", IF(ISBLANK(Piping!H491), "", Piping!H491), IF($N$1="Vessels", IF(ISBLANK(Vessels!H491), "", Vessels!H491), ""))</f>
        <v/>
      </c>
      <c r="I491" s="21" t="str">
        <f>IF($N$1="Piping", IF(ISBLANK(Piping!I491), "", Piping!I491), IF($N$1="Vessels", IF(ISBLANK(Vessels!I491), "", Vessels!I491), ""))</f>
        <v/>
      </c>
      <c r="J491" s="21" t="str">
        <f>IF($N$1="Piping", IF(ISBLANK(Piping!J491), "", Piping!J491), IF($N$1="Vessels", IF(ISBLANK(Vessels!J491), "", Vessels!J491), ""))</f>
        <v/>
      </c>
      <c r="K491" s="21" t="str">
        <f>IF($N$1="Piping", IF(ISBLANK(Piping!K491), "", Piping!K491), IF($N$1="Vessels", IF(ISBLANK(Vessels!K491), "", Vessels!K491), ""))</f>
        <v/>
      </c>
      <c r="L491" s="21" t="str">
        <f>IF($N$1="Piping", IF(ISBLANK(Piping!L491), "", Piping!L491), IF($N$1="Vessels", IF(ISBLANK(Vessels!L491), "", Vessels!L491), ""))</f>
        <v/>
      </c>
      <c r="M491" s="21"/>
      <c r="N491" s="21"/>
      <c r="O491" s="21"/>
      <c r="P491" s="21"/>
      <c r="Q491" s="21" t="str">
        <f>IF($N$1="Piping", IF(ISBLANK(Piping!T491), "", Piping!T491), IF($N$1="Vessels", IF(ISBLANK(Vessels!T491), "", Vessels!T491), ""))</f>
        <v/>
      </c>
      <c r="R491" s="51" t="str">
        <f>IF($N$1="Piping", IF(ISBLANK(Piping!U491), "", Piping!U491), IF($N$1="Vessels", IF(ISBLANK(Vessels!U491), "", Vessels!U491), ""))</f>
        <v/>
      </c>
      <c r="S491" s="118" t="str">
        <f>IF(B491&lt;&gt;"",IF($N$1="Piping", IF(ISBLANK(Piping!$J$3), "", Piping!$J$3), IF($N$1="Vessels", IF(ISBLANK(Vessels!$J$3), "", Vessels!$J$3), "")),"")</f>
        <v/>
      </c>
      <c r="T491" s="37"/>
      <c r="U491" s="37"/>
      <c r="V491" s="37"/>
      <c r="W491" s="37"/>
      <c r="X491" s="37"/>
      <c r="Y491" s="37"/>
      <c r="Z491" s="37"/>
    </row>
    <row r="492" spans="1:26" ht="15.75" customHeight="1" x14ac:dyDescent="0.3">
      <c r="A492" s="22">
        <f>IF($N$1="Piping", IF(ISBLANK(Piping!A492), "", Piping!A492), IF($N$1="Vessels", IF(ISBLANK(Vessels!A492), "", Vessels!A492), ""))</f>
        <v>122.3</v>
      </c>
      <c r="B492" s="21" t="str">
        <f>IF($N$1="Piping", IF(ISBLANK(Piping!B492), "", Piping!B492), IF($N$1="Vessels", IF(ISBLANK(Vessels!B492), "", Vessels!B492), ""))</f>
        <v/>
      </c>
      <c r="C492" s="21" t="str">
        <f>IF($N$1="Piping", IF(ISBLANK(Piping!C492), "", Piping!C492), IF($N$1="Vessels", IF(ISBLANK(Vessels!C492), "", Vessels!C492), ""))</f>
        <v>Piping</v>
      </c>
      <c r="D492" s="21" t="str">
        <f>IF($N$1="Piping", IF(ISBLANK(Piping!D492), "", Piping!D492), IF($N$1="Vessels", IF(ISBLANK(Vessels!D492), "", Vessels!D492), ""))</f>
        <v/>
      </c>
      <c r="E492" s="21" t="str">
        <f>IF($N$1="Piping", IF(ISBLANK(Piping!E492), "", Piping!E492), IF($N$1="Vessels", IF(ISBLANK(Vessels!E492), "", Vessels!E492), ""))</f>
        <v/>
      </c>
      <c r="F492" s="21" t="str">
        <f>IF($N$1="Piping", IF(ISBLANK(Piping!F492), "", Piping!F492), IF($N$1="Vessels", IF(ISBLANK(Vessels!F492), "", Vessels!F492), ""))</f>
        <v/>
      </c>
      <c r="G492" s="21">
        <f>IF($N$1="Piping", IF(ISBLANK(Piping!G492), "", Piping!G492), IF($N$1="Vessels", IF(ISBLANK(Vessels!G492), "", Vessels!G492), ""))</f>
        <v>0</v>
      </c>
      <c r="H492" s="21" t="str">
        <f>IF($N$1="Piping", IF(ISBLANK(Piping!H492), "", Piping!H492), IF($N$1="Vessels", IF(ISBLANK(Vessels!H492), "", Vessels!H492), ""))</f>
        <v/>
      </c>
      <c r="I492" s="21" t="str">
        <f>IF($N$1="Piping", IF(ISBLANK(Piping!I492), "", Piping!I492), IF($N$1="Vessels", IF(ISBLANK(Vessels!I492), "", Vessels!I492), ""))</f>
        <v/>
      </c>
      <c r="J492" s="21" t="str">
        <f>IF($N$1="Piping", IF(ISBLANK(Piping!J492), "", Piping!J492), IF($N$1="Vessels", IF(ISBLANK(Vessels!J492), "", Vessels!J492), ""))</f>
        <v/>
      </c>
      <c r="K492" s="21" t="str">
        <f>IF($N$1="Piping", IF(ISBLANK(Piping!K492), "", Piping!K492), IF($N$1="Vessels", IF(ISBLANK(Vessels!K492), "", Vessels!K492), ""))</f>
        <v/>
      </c>
      <c r="L492" s="21" t="str">
        <f>IF($N$1="Piping", IF(ISBLANK(Piping!L492), "", Piping!L492), IF($N$1="Vessels", IF(ISBLANK(Vessels!L492), "", Vessels!L492), ""))</f>
        <v/>
      </c>
      <c r="M492" s="21"/>
      <c r="N492" s="21"/>
      <c r="O492" s="21"/>
      <c r="P492" s="21"/>
      <c r="Q492" s="21" t="str">
        <f>IF($N$1="Piping", IF(ISBLANK(Piping!T492), "", Piping!T492), IF($N$1="Vessels", IF(ISBLANK(Vessels!T492), "", Vessels!T492), ""))</f>
        <v/>
      </c>
      <c r="R492" s="51" t="str">
        <f>IF($N$1="Piping", IF(ISBLANK(Piping!U492), "", Piping!U492), IF($N$1="Vessels", IF(ISBLANK(Vessels!U492), "", Vessels!U492), ""))</f>
        <v/>
      </c>
      <c r="S492" s="118" t="str">
        <f>IF(B492&lt;&gt;"",IF($N$1="Piping", IF(ISBLANK(Piping!$J$3), "", Piping!$J$3), IF($N$1="Vessels", IF(ISBLANK(Vessels!$J$3), "", Vessels!$J$3), "")),"")</f>
        <v/>
      </c>
      <c r="T492" s="37"/>
      <c r="U492" s="37"/>
      <c r="V492" s="37"/>
      <c r="W492" s="37"/>
      <c r="X492" s="37"/>
      <c r="Y492" s="37"/>
      <c r="Z492" s="37"/>
    </row>
    <row r="493" spans="1:26" ht="15.75" customHeight="1" x14ac:dyDescent="0.3">
      <c r="A493" s="22">
        <f>IF($N$1="Piping", IF(ISBLANK(Piping!A493), "", Piping!A493), IF($N$1="Vessels", IF(ISBLANK(Vessels!A493), "", Vessels!A493), ""))</f>
        <v>122.4</v>
      </c>
      <c r="B493" s="21" t="str">
        <f>IF($N$1="Piping", IF(ISBLANK(Piping!B493), "", Piping!B493), IF($N$1="Vessels", IF(ISBLANK(Vessels!B493), "", Vessels!B493), ""))</f>
        <v/>
      </c>
      <c r="C493" s="21" t="str">
        <f>IF($N$1="Piping", IF(ISBLANK(Piping!C493), "", Piping!C493), IF($N$1="Vessels", IF(ISBLANK(Vessels!C493), "", Vessels!C493), ""))</f>
        <v>Piping</v>
      </c>
      <c r="D493" s="21" t="str">
        <f>IF($N$1="Piping", IF(ISBLANK(Piping!D493), "", Piping!D493), IF($N$1="Vessels", IF(ISBLANK(Vessels!D493), "", Vessels!D493), ""))</f>
        <v/>
      </c>
      <c r="E493" s="21" t="str">
        <f>IF($N$1="Piping", IF(ISBLANK(Piping!E493), "", Piping!E493), IF($N$1="Vessels", IF(ISBLANK(Vessels!E493), "", Vessels!E493), ""))</f>
        <v/>
      </c>
      <c r="F493" s="21" t="str">
        <f>IF($N$1="Piping", IF(ISBLANK(Piping!F493), "", Piping!F493), IF($N$1="Vessels", IF(ISBLANK(Vessels!F493), "", Vessels!F493), ""))</f>
        <v/>
      </c>
      <c r="G493" s="21">
        <f>IF($N$1="Piping", IF(ISBLANK(Piping!G493), "", Piping!G493), IF($N$1="Vessels", IF(ISBLANK(Vessels!G493), "", Vessels!G493), ""))</f>
        <v>0</v>
      </c>
      <c r="H493" s="21" t="str">
        <f>IF($N$1="Piping", IF(ISBLANK(Piping!H493), "", Piping!H493), IF($N$1="Vessels", IF(ISBLANK(Vessels!H493), "", Vessels!H493), ""))</f>
        <v/>
      </c>
      <c r="I493" s="21" t="str">
        <f>IF($N$1="Piping", IF(ISBLANK(Piping!I493), "", Piping!I493), IF($N$1="Vessels", IF(ISBLANK(Vessels!I493), "", Vessels!I493), ""))</f>
        <v/>
      </c>
      <c r="J493" s="21" t="str">
        <f>IF($N$1="Piping", IF(ISBLANK(Piping!J493), "", Piping!J493), IF($N$1="Vessels", IF(ISBLANK(Vessels!J493), "", Vessels!J493), ""))</f>
        <v/>
      </c>
      <c r="K493" s="21" t="str">
        <f>IF($N$1="Piping", IF(ISBLANK(Piping!K493), "", Piping!K493), IF($N$1="Vessels", IF(ISBLANK(Vessels!K493), "", Vessels!K493), ""))</f>
        <v/>
      </c>
      <c r="L493" s="21" t="str">
        <f>IF($N$1="Piping", IF(ISBLANK(Piping!L493), "", Piping!L493), IF($N$1="Vessels", IF(ISBLANK(Vessels!L493), "", Vessels!L493), ""))</f>
        <v/>
      </c>
      <c r="M493" s="21"/>
      <c r="N493" s="21"/>
      <c r="O493" s="21"/>
      <c r="P493" s="21"/>
      <c r="Q493" s="21" t="str">
        <f>IF($N$1="Piping", IF(ISBLANK(Piping!T493), "", Piping!T493), IF($N$1="Vessels", IF(ISBLANK(Vessels!T493), "", Vessels!T493), ""))</f>
        <v/>
      </c>
      <c r="R493" s="51" t="str">
        <f>IF($N$1="Piping", IF(ISBLANK(Piping!U493), "", Piping!U493), IF($N$1="Vessels", IF(ISBLANK(Vessels!U493), "", Vessels!U493), ""))</f>
        <v/>
      </c>
      <c r="S493" s="118" t="str">
        <f>IF(B493&lt;&gt;"",IF($N$1="Piping", IF(ISBLANK(Piping!$J$3), "", Piping!$J$3), IF($N$1="Vessels", IF(ISBLANK(Vessels!$J$3), "", Vessels!$J$3), "")),"")</f>
        <v/>
      </c>
      <c r="T493" s="37"/>
      <c r="U493" s="37"/>
      <c r="V493" s="37"/>
      <c r="W493" s="37"/>
      <c r="X493" s="37"/>
      <c r="Y493" s="37"/>
      <c r="Z493" s="37"/>
    </row>
    <row r="494" spans="1:26" ht="15.75" customHeight="1" x14ac:dyDescent="0.3">
      <c r="A494" s="22">
        <f>IF($N$1="Piping", IF(ISBLANK(Piping!A494), "", Piping!A494), IF($N$1="Vessels", IF(ISBLANK(Vessels!A494), "", Vessels!A494), ""))</f>
        <v>123.1</v>
      </c>
      <c r="B494" s="21" t="str">
        <f>IF($N$1="Piping", IF(ISBLANK(Piping!B494), "", Piping!B494), IF($N$1="Vessels", IF(ISBLANK(Vessels!B494), "", Vessels!B494), ""))</f>
        <v/>
      </c>
      <c r="C494" s="21" t="str">
        <f>IF($N$1="Piping", IF(ISBLANK(Piping!C494), "", Piping!C494), IF($N$1="Vessels", IF(ISBLANK(Vessels!C494), "", Vessels!C494), ""))</f>
        <v>Piping</v>
      </c>
      <c r="D494" s="21" t="str">
        <f>IF($N$1="Piping", IF(ISBLANK(Piping!D494), "", Piping!D494), IF($N$1="Vessels", IF(ISBLANK(Vessels!D494), "", Vessels!D494), ""))</f>
        <v/>
      </c>
      <c r="E494" s="21" t="str">
        <f>IF($N$1="Piping", IF(ISBLANK(Piping!E494), "", Piping!E494), IF($N$1="Vessels", IF(ISBLANK(Vessels!E494), "", Vessels!E494), ""))</f>
        <v/>
      </c>
      <c r="F494" s="21" t="str">
        <f>IF($N$1="Piping", IF(ISBLANK(Piping!F494), "", Piping!F494), IF($N$1="Vessels", IF(ISBLANK(Vessels!F494), "", Vessels!F494), ""))</f>
        <v/>
      </c>
      <c r="G494" s="21">
        <f>IF($N$1="Piping", IF(ISBLANK(Piping!G494), "", Piping!G494), IF($N$1="Vessels", IF(ISBLANK(Vessels!G494), "", Vessels!G494), ""))</f>
        <v>0</v>
      </c>
      <c r="H494" s="21" t="str">
        <f>IF($N$1="Piping", IF(ISBLANK(Piping!H494), "", Piping!H494), IF($N$1="Vessels", IF(ISBLANK(Vessels!H494), "", Vessels!H494), ""))</f>
        <v/>
      </c>
      <c r="I494" s="21" t="str">
        <f>IF($N$1="Piping", IF(ISBLANK(Piping!I494), "", Piping!I494), IF($N$1="Vessels", IF(ISBLANK(Vessels!I494), "", Vessels!I494), ""))</f>
        <v/>
      </c>
      <c r="J494" s="21" t="str">
        <f>IF($N$1="Piping", IF(ISBLANK(Piping!J494), "", Piping!J494), IF($N$1="Vessels", IF(ISBLANK(Vessels!J494), "", Vessels!J494), ""))</f>
        <v/>
      </c>
      <c r="K494" s="21" t="str">
        <f>IF($N$1="Piping", IF(ISBLANK(Piping!K494), "", Piping!K494), IF($N$1="Vessels", IF(ISBLANK(Vessels!K494), "", Vessels!K494), ""))</f>
        <v/>
      </c>
      <c r="L494" s="21" t="str">
        <f>IF($N$1="Piping", IF(ISBLANK(Piping!L494), "", Piping!L494), IF($N$1="Vessels", IF(ISBLANK(Vessels!L494), "", Vessels!L494), ""))</f>
        <v/>
      </c>
      <c r="M494" s="21"/>
      <c r="N494" s="21"/>
      <c r="O494" s="21"/>
      <c r="P494" s="21"/>
      <c r="Q494" s="21" t="str">
        <f>IF($N$1="Piping", IF(ISBLANK(Piping!T494), "", Piping!T494), IF($N$1="Vessels", IF(ISBLANK(Vessels!T494), "", Vessels!T494), ""))</f>
        <v/>
      </c>
      <c r="R494" s="51" t="str">
        <f>IF($N$1="Piping", IF(ISBLANK(Piping!U494), "", Piping!U494), IF($N$1="Vessels", IF(ISBLANK(Vessels!U494), "", Vessels!U494), ""))</f>
        <v/>
      </c>
      <c r="S494" s="118" t="str">
        <f>IF(B494&lt;&gt;"",IF($N$1="Piping", IF(ISBLANK(Piping!$J$3), "", Piping!$J$3), IF($N$1="Vessels", IF(ISBLANK(Vessels!$J$3), "", Vessels!$J$3), "")),"")</f>
        <v/>
      </c>
      <c r="T494" s="37"/>
      <c r="U494" s="37"/>
      <c r="V494" s="37"/>
      <c r="W494" s="37"/>
      <c r="X494" s="37"/>
      <c r="Y494" s="37"/>
      <c r="Z494" s="37"/>
    </row>
    <row r="495" spans="1:26" ht="15.75" customHeight="1" x14ac:dyDescent="0.3">
      <c r="A495" s="22">
        <f>IF($N$1="Piping", IF(ISBLANK(Piping!A495), "", Piping!A495), IF($N$1="Vessels", IF(ISBLANK(Vessels!A495), "", Vessels!A495), ""))</f>
        <v>123.2</v>
      </c>
      <c r="B495" s="21" t="str">
        <f>IF($N$1="Piping", IF(ISBLANK(Piping!B495), "", Piping!B495), IF($N$1="Vessels", IF(ISBLANK(Vessels!B495), "", Vessels!B495), ""))</f>
        <v/>
      </c>
      <c r="C495" s="21" t="str">
        <f>IF($N$1="Piping", IF(ISBLANK(Piping!C495), "", Piping!C495), IF($N$1="Vessels", IF(ISBLANK(Vessels!C495), "", Vessels!C495), ""))</f>
        <v>Piping</v>
      </c>
      <c r="D495" s="21" t="str">
        <f>IF($N$1="Piping", IF(ISBLANK(Piping!D495), "", Piping!D495), IF($N$1="Vessels", IF(ISBLANK(Vessels!D495), "", Vessels!D495), ""))</f>
        <v/>
      </c>
      <c r="E495" s="21" t="str">
        <f>IF($N$1="Piping", IF(ISBLANK(Piping!E495), "", Piping!E495), IF($N$1="Vessels", IF(ISBLANK(Vessels!E495), "", Vessels!E495), ""))</f>
        <v/>
      </c>
      <c r="F495" s="21" t="str">
        <f>IF($N$1="Piping", IF(ISBLANK(Piping!F495), "", Piping!F495), IF($N$1="Vessels", IF(ISBLANK(Vessels!F495), "", Vessels!F495), ""))</f>
        <v/>
      </c>
      <c r="G495" s="21">
        <f>IF($N$1="Piping", IF(ISBLANK(Piping!G495), "", Piping!G495), IF($N$1="Vessels", IF(ISBLANK(Vessels!G495), "", Vessels!G495), ""))</f>
        <v>0</v>
      </c>
      <c r="H495" s="21" t="str">
        <f>IF($N$1="Piping", IF(ISBLANK(Piping!H495), "", Piping!H495), IF($N$1="Vessels", IF(ISBLANK(Vessels!H495), "", Vessels!H495), ""))</f>
        <v/>
      </c>
      <c r="I495" s="21" t="str">
        <f>IF($N$1="Piping", IF(ISBLANK(Piping!I495), "", Piping!I495), IF($N$1="Vessels", IF(ISBLANK(Vessels!I495), "", Vessels!I495), ""))</f>
        <v/>
      </c>
      <c r="J495" s="21" t="str">
        <f>IF($N$1="Piping", IF(ISBLANK(Piping!J495), "", Piping!J495), IF($N$1="Vessels", IF(ISBLANK(Vessels!J495), "", Vessels!J495), ""))</f>
        <v/>
      </c>
      <c r="K495" s="21" t="str">
        <f>IF($N$1="Piping", IF(ISBLANK(Piping!K495), "", Piping!K495), IF($N$1="Vessels", IF(ISBLANK(Vessels!K495), "", Vessels!K495), ""))</f>
        <v/>
      </c>
      <c r="L495" s="21" t="str">
        <f>IF($N$1="Piping", IF(ISBLANK(Piping!L495), "", Piping!L495), IF($N$1="Vessels", IF(ISBLANK(Vessels!L495), "", Vessels!L495), ""))</f>
        <v/>
      </c>
      <c r="M495" s="21"/>
      <c r="N495" s="21"/>
      <c r="O495" s="21"/>
      <c r="P495" s="21"/>
      <c r="Q495" s="21" t="str">
        <f>IF($N$1="Piping", IF(ISBLANK(Piping!T495), "", Piping!T495), IF($N$1="Vessels", IF(ISBLANK(Vessels!T495), "", Vessels!T495), ""))</f>
        <v/>
      </c>
      <c r="R495" s="51" t="str">
        <f>IF($N$1="Piping", IF(ISBLANK(Piping!U495), "", Piping!U495), IF($N$1="Vessels", IF(ISBLANK(Vessels!U495), "", Vessels!U495), ""))</f>
        <v/>
      </c>
      <c r="S495" s="118" t="str">
        <f>IF(B495&lt;&gt;"",IF($N$1="Piping", IF(ISBLANK(Piping!$J$3), "", Piping!$J$3), IF($N$1="Vessels", IF(ISBLANK(Vessels!$J$3), "", Vessels!$J$3), "")),"")</f>
        <v/>
      </c>
      <c r="T495" s="37"/>
      <c r="U495" s="37"/>
      <c r="V495" s="37"/>
      <c r="W495" s="37"/>
      <c r="X495" s="37"/>
      <c r="Y495" s="37"/>
      <c r="Z495" s="37"/>
    </row>
    <row r="496" spans="1:26" ht="15.75" customHeight="1" x14ac:dyDescent="0.3">
      <c r="A496" s="22">
        <f>IF($N$1="Piping", IF(ISBLANK(Piping!A496), "", Piping!A496), IF($N$1="Vessels", IF(ISBLANK(Vessels!A496), "", Vessels!A496), ""))</f>
        <v>123.3</v>
      </c>
      <c r="B496" s="21" t="str">
        <f>IF($N$1="Piping", IF(ISBLANK(Piping!B496), "", Piping!B496), IF($N$1="Vessels", IF(ISBLANK(Vessels!B496), "", Vessels!B496), ""))</f>
        <v/>
      </c>
      <c r="C496" s="21" t="str">
        <f>IF($N$1="Piping", IF(ISBLANK(Piping!C496), "", Piping!C496), IF($N$1="Vessels", IF(ISBLANK(Vessels!C496), "", Vessels!C496), ""))</f>
        <v>Piping</v>
      </c>
      <c r="D496" s="21" t="str">
        <f>IF($N$1="Piping", IF(ISBLANK(Piping!D496), "", Piping!D496), IF($N$1="Vessels", IF(ISBLANK(Vessels!D496), "", Vessels!D496), ""))</f>
        <v/>
      </c>
      <c r="E496" s="21" t="str">
        <f>IF($N$1="Piping", IF(ISBLANK(Piping!E496), "", Piping!E496), IF($N$1="Vessels", IF(ISBLANK(Vessels!E496), "", Vessels!E496), ""))</f>
        <v/>
      </c>
      <c r="F496" s="21" t="str">
        <f>IF($N$1="Piping", IF(ISBLANK(Piping!F496), "", Piping!F496), IF($N$1="Vessels", IF(ISBLANK(Vessels!F496), "", Vessels!F496), ""))</f>
        <v/>
      </c>
      <c r="G496" s="21">
        <f>IF($N$1="Piping", IF(ISBLANK(Piping!G496), "", Piping!G496), IF($N$1="Vessels", IF(ISBLANK(Vessels!G496), "", Vessels!G496), ""))</f>
        <v>0</v>
      </c>
      <c r="H496" s="21" t="str">
        <f>IF($N$1="Piping", IF(ISBLANK(Piping!H496), "", Piping!H496), IF($N$1="Vessels", IF(ISBLANK(Vessels!H496), "", Vessels!H496), ""))</f>
        <v/>
      </c>
      <c r="I496" s="21" t="str">
        <f>IF($N$1="Piping", IF(ISBLANK(Piping!I496), "", Piping!I496), IF($N$1="Vessels", IF(ISBLANK(Vessels!I496), "", Vessels!I496), ""))</f>
        <v/>
      </c>
      <c r="J496" s="21" t="str">
        <f>IF($N$1="Piping", IF(ISBLANK(Piping!J496), "", Piping!J496), IF($N$1="Vessels", IF(ISBLANK(Vessels!J496), "", Vessels!J496), ""))</f>
        <v/>
      </c>
      <c r="K496" s="21" t="str">
        <f>IF($N$1="Piping", IF(ISBLANK(Piping!K496), "", Piping!K496), IF($N$1="Vessels", IF(ISBLANK(Vessels!K496), "", Vessels!K496), ""))</f>
        <v/>
      </c>
      <c r="L496" s="21" t="str">
        <f>IF($N$1="Piping", IF(ISBLANK(Piping!L496), "", Piping!L496), IF($N$1="Vessels", IF(ISBLANK(Vessels!L496), "", Vessels!L496), ""))</f>
        <v/>
      </c>
      <c r="M496" s="21"/>
      <c r="N496" s="21"/>
      <c r="O496" s="21"/>
      <c r="P496" s="21"/>
      <c r="Q496" s="21" t="str">
        <f>IF($N$1="Piping", IF(ISBLANK(Piping!T496), "", Piping!T496), IF($N$1="Vessels", IF(ISBLANK(Vessels!T496), "", Vessels!T496), ""))</f>
        <v/>
      </c>
      <c r="R496" s="51" t="str">
        <f>IF($N$1="Piping", IF(ISBLANK(Piping!U496), "", Piping!U496), IF($N$1="Vessels", IF(ISBLANK(Vessels!U496), "", Vessels!U496), ""))</f>
        <v/>
      </c>
      <c r="S496" s="118" t="str">
        <f>IF(B496&lt;&gt;"",IF($N$1="Piping", IF(ISBLANK(Piping!$J$3), "", Piping!$J$3), IF($N$1="Vessels", IF(ISBLANK(Vessels!$J$3), "", Vessels!$J$3), "")),"")</f>
        <v/>
      </c>
      <c r="T496" s="37"/>
      <c r="U496" s="37"/>
      <c r="V496" s="37"/>
      <c r="W496" s="37"/>
      <c r="X496" s="37"/>
      <c r="Y496" s="37"/>
      <c r="Z496" s="37"/>
    </row>
    <row r="497" spans="1:26" ht="15.75" customHeight="1" x14ac:dyDescent="0.3">
      <c r="A497" s="22">
        <f>IF($N$1="Piping", IF(ISBLANK(Piping!A497), "", Piping!A497), IF($N$1="Vessels", IF(ISBLANK(Vessels!A497), "", Vessels!A497), ""))</f>
        <v>123.4</v>
      </c>
      <c r="B497" s="21" t="str">
        <f>IF($N$1="Piping", IF(ISBLANK(Piping!B497), "", Piping!B497), IF($N$1="Vessels", IF(ISBLANK(Vessels!B497), "", Vessels!B497), ""))</f>
        <v/>
      </c>
      <c r="C497" s="21" t="str">
        <f>IF($N$1="Piping", IF(ISBLANK(Piping!C497), "", Piping!C497), IF($N$1="Vessels", IF(ISBLANK(Vessels!C497), "", Vessels!C497), ""))</f>
        <v>Piping</v>
      </c>
      <c r="D497" s="21" t="str">
        <f>IF($N$1="Piping", IF(ISBLANK(Piping!D497), "", Piping!D497), IF($N$1="Vessels", IF(ISBLANK(Vessels!D497), "", Vessels!D497), ""))</f>
        <v/>
      </c>
      <c r="E497" s="21" t="str">
        <f>IF($N$1="Piping", IF(ISBLANK(Piping!E497), "", Piping!E497), IF($N$1="Vessels", IF(ISBLANK(Vessels!E497), "", Vessels!E497), ""))</f>
        <v/>
      </c>
      <c r="F497" s="21" t="str">
        <f>IF($N$1="Piping", IF(ISBLANK(Piping!F497), "", Piping!F497), IF($N$1="Vessels", IF(ISBLANK(Vessels!F497), "", Vessels!F497), ""))</f>
        <v/>
      </c>
      <c r="G497" s="21">
        <f>IF($N$1="Piping", IF(ISBLANK(Piping!G497), "", Piping!G497), IF($N$1="Vessels", IF(ISBLANK(Vessels!G497), "", Vessels!G497), ""))</f>
        <v>0</v>
      </c>
      <c r="H497" s="21" t="str">
        <f>IF($N$1="Piping", IF(ISBLANK(Piping!H497), "", Piping!H497), IF($N$1="Vessels", IF(ISBLANK(Vessels!H497), "", Vessels!H497), ""))</f>
        <v/>
      </c>
      <c r="I497" s="21" t="str">
        <f>IF($N$1="Piping", IF(ISBLANK(Piping!I497), "", Piping!I497), IF($N$1="Vessels", IF(ISBLANK(Vessels!I497), "", Vessels!I497), ""))</f>
        <v/>
      </c>
      <c r="J497" s="21" t="str">
        <f>IF($N$1="Piping", IF(ISBLANK(Piping!J497), "", Piping!J497), IF($N$1="Vessels", IF(ISBLANK(Vessels!J497), "", Vessels!J497), ""))</f>
        <v/>
      </c>
      <c r="K497" s="21" t="str">
        <f>IF($N$1="Piping", IF(ISBLANK(Piping!K497), "", Piping!K497), IF($N$1="Vessels", IF(ISBLANK(Vessels!K497), "", Vessels!K497), ""))</f>
        <v/>
      </c>
      <c r="L497" s="21" t="str">
        <f>IF($N$1="Piping", IF(ISBLANK(Piping!L497), "", Piping!L497), IF($N$1="Vessels", IF(ISBLANK(Vessels!L497), "", Vessels!L497), ""))</f>
        <v/>
      </c>
      <c r="M497" s="21"/>
      <c r="N497" s="21"/>
      <c r="O497" s="21"/>
      <c r="P497" s="21"/>
      <c r="Q497" s="21" t="str">
        <f>IF($N$1="Piping", IF(ISBLANK(Piping!T497), "", Piping!T497), IF($N$1="Vessels", IF(ISBLANK(Vessels!T497), "", Vessels!T497), ""))</f>
        <v/>
      </c>
      <c r="R497" s="51" t="str">
        <f>IF($N$1="Piping", IF(ISBLANK(Piping!U497), "", Piping!U497), IF($N$1="Vessels", IF(ISBLANK(Vessels!U497), "", Vessels!U497), ""))</f>
        <v/>
      </c>
      <c r="S497" s="118" t="str">
        <f>IF(B497&lt;&gt;"",IF($N$1="Piping", IF(ISBLANK(Piping!$J$3), "", Piping!$J$3), IF($N$1="Vessels", IF(ISBLANK(Vessels!$J$3), "", Vessels!$J$3), "")),"")</f>
        <v/>
      </c>
      <c r="T497" s="37"/>
      <c r="U497" s="37"/>
      <c r="V497" s="37"/>
      <c r="W497" s="37"/>
      <c r="X497" s="37"/>
      <c r="Y497" s="37"/>
      <c r="Z497" s="37"/>
    </row>
    <row r="498" spans="1:26" ht="15.75" customHeight="1" x14ac:dyDescent="0.3">
      <c r="A498" s="22">
        <f>IF($N$1="Piping", IF(ISBLANK(Piping!A498), "", Piping!A498), IF($N$1="Vessels", IF(ISBLANK(Vessels!A498), "", Vessels!A498), ""))</f>
        <v>124.1</v>
      </c>
      <c r="B498" s="21" t="str">
        <f>IF($N$1="Piping", IF(ISBLANK(Piping!B498), "", Piping!B498), IF($N$1="Vessels", IF(ISBLANK(Vessels!B498), "", Vessels!B498), ""))</f>
        <v/>
      </c>
      <c r="C498" s="21" t="str">
        <f>IF($N$1="Piping", IF(ISBLANK(Piping!C498), "", Piping!C498), IF($N$1="Vessels", IF(ISBLANK(Vessels!C498), "", Vessels!C498), ""))</f>
        <v>Piping</v>
      </c>
      <c r="D498" s="21" t="str">
        <f>IF($N$1="Piping", IF(ISBLANK(Piping!D498), "", Piping!D498), IF($N$1="Vessels", IF(ISBLANK(Vessels!D498), "", Vessels!D498), ""))</f>
        <v/>
      </c>
      <c r="E498" s="21" t="str">
        <f>IF($N$1="Piping", IF(ISBLANK(Piping!E498), "", Piping!E498), IF($N$1="Vessels", IF(ISBLANK(Vessels!E498), "", Vessels!E498), ""))</f>
        <v/>
      </c>
      <c r="F498" s="21" t="str">
        <f>IF($N$1="Piping", IF(ISBLANK(Piping!F498), "", Piping!F498), IF($N$1="Vessels", IF(ISBLANK(Vessels!F498), "", Vessels!F498), ""))</f>
        <v/>
      </c>
      <c r="G498" s="21">
        <f>IF($N$1="Piping", IF(ISBLANK(Piping!G498), "", Piping!G498), IF($N$1="Vessels", IF(ISBLANK(Vessels!G498), "", Vessels!G498), ""))</f>
        <v>0</v>
      </c>
      <c r="H498" s="21" t="str">
        <f>IF($N$1="Piping", IF(ISBLANK(Piping!H498), "", Piping!H498), IF($N$1="Vessels", IF(ISBLANK(Vessels!H498), "", Vessels!H498), ""))</f>
        <v/>
      </c>
      <c r="I498" s="21" t="str">
        <f>IF($N$1="Piping", IF(ISBLANK(Piping!I498), "", Piping!I498), IF($N$1="Vessels", IF(ISBLANK(Vessels!I498), "", Vessels!I498), ""))</f>
        <v/>
      </c>
      <c r="J498" s="21" t="str">
        <f>IF($N$1="Piping", IF(ISBLANK(Piping!J498), "", Piping!J498), IF($N$1="Vessels", IF(ISBLANK(Vessels!J498), "", Vessels!J498), ""))</f>
        <v/>
      </c>
      <c r="K498" s="21" t="str">
        <f>IF($N$1="Piping", IF(ISBLANK(Piping!K498), "", Piping!K498), IF($N$1="Vessels", IF(ISBLANK(Vessels!K498), "", Vessels!K498), ""))</f>
        <v/>
      </c>
      <c r="L498" s="21" t="str">
        <f>IF($N$1="Piping", IF(ISBLANK(Piping!L498), "", Piping!L498), IF($N$1="Vessels", IF(ISBLANK(Vessels!L498), "", Vessels!L498), ""))</f>
        <v/>
      </c>
      <c r="M498" s="21"/>
      <c r="N498" s="21"/>
      <c r="O498" s="21"/>
      <c r="P498" s="21"/>
      <c r="Q498" s="21" t="str">
        <f>IF($N$1="Piping", IF(ISBLANK(Piping!T498), "", Piping!T498), IF($N$1="Vessels", IF(ISBLANK(Vessels!T498), "", Vessels!T498), ""))</f>
        <v/>
      </c>
      <c r="R498" s="51" t="str">
        <f>IF($N$1="Piping", IF(ISBLANK(Piping!U498), "", Piping!U498), IF($N$1="Vessels", IF(ISBLANK(Vessels!U498), "", Vessels!U498), ""))</f>
        <v/>
      </c>
      <c r="S498" s="118" t="str">
        <f>IF(B498&lt;&gt;"",IF($N$1="Piping", IF(ISBLANK(Piping!$J$3), "", Piping!$J$3), IF($N$1="Vessels", IF(ISBLANK(Vessels!$J$3), "", Vessels!$J$3), "")),"")</f>
        <v/>
      </c>
      <c r="T498" s="37"/>
      <c r="U498" s="37"/>
      <c r="V498" s="37"/>
      <c r="W498" s="37"/>
      <c r="X498" s="37"/>
      <c r="Y498" s="37"/>
      <c r="Z498" s="37"/>
    </row>
    <row r="499" spans="1:26" ht="15.75" customHeight="1" x14ac:dyDescent="0.3">
      <c r="A499" s="22">
        <f>IF($N$1="Piping", IF(ISBLANK(Piping!A499), "", Piping!A499), IF($N$1="Vessels", IF(ISBLANK(Vessels!A499), "", Vessels!A499), ""))</f>
        <v>124.2</v>
      </c>
      <c r="B499" s="21" t="str">
        <f>IF($N$1="Piping", IF(ISBLANK(Piping!B499), "", Piping!B499), IF($N$1="Vessels", IF(ISBLANK(Vessels!B499), "", Vessels!B499), ""))</f>
        <v/>
      </c>
      <c r="C499" s="21" t="str">
        <f>IF($N$1="Piping", IF(ISBLANK(Piping!C499), "", Piping!C499), IF($N$1="Vessels", IF(ISBLANK(Vessels!C499), "", Vessels!C499), ""))</f>
        <v>Piping</v>
      </c>
      <c r="D499" s="21" t="str">
        <f>IF($N$1="Piping", IF(ISBLANK(Piping!D499), "", Piping!D499), IF($N$1="Vessels", IF(ISBLANK(Vessels!D499), "", Vessels!D499), ""))</f>
        <v/>
      </c>
      <c r="E499" s="21" t="str">
        <f>IF($N$1="Piping", IF(ISBLANK(Piping!E499), "", Piping!E499), IF($N$1="Vessels", IF(ISBLANK(Vessels!E499), "", Vessels!E499), ""))</f>
        <v/>
      </c>
      <c r="F499" s="21" t="str">
        <f>IF($N$1="Piping", IF(ISBLANK(Piping!F499), "", Piping!F499), IF($N$1="Vessels", IF(ISBLANK(Vessels!F499), "", Vessels!F499), ""))</f>
        <v/>
      </c>
      <c r="G499" s="21">
        <f>IF($N$1="Piping", IF(ISBLANK(Piping!G499), "", Piping!G499), IF($N$1="Vessels", IF(ISBLANK(Vessels!G499), "", Vessels!G499), ""))</f>
        <v>0</v>
      </c>
      <c r="H499" s="21" t="str">
        <f>IF($N$1="Piping", IF(ISBLANK(Piping!H499), "", Piping!H499), IF($N$1="Vessels", IF(ISBLANK(Vessels!H499), "", Vessels!H499), ""))</f>
        <v/>
      </c>
      <c r="I499" s="21" t="str">
        <f>IF($N$1="Piping", IF(ISBLANK(Piping!I499), "", Piping!I499), IF($N$1="Vessels", IF(ISBLANK(Vessels!I499), "", Vessels!I499), ""))</f>
        <v/>
      </c>
      <c r="J499" s="21" t="str">
        <f>IF($N$1="Piping", IF(ISBLANK(Piping!J499), "", Piping!J499), IF($N$1="Vessels", IF(ISBLANK(Vessels!J499), "", Vessels!J499), ""))</f>
        <v/>
      </c>
      <c r="K499" s="21" t="str">
        <f>IF($N$1="Piping", IF(ISBLANK(Piping!K499), "", Piping!K499), IF($N$1="Vessels", IF(ISBLANK(Vessels!K499), "", Vessels!K499), ""))</f>
        <v/>
      </c>
      <c r="L499" s="21" t="str">
        <f>IF($N$1="Piping", IF(ISBLANK(Piping!L499), "", Piping!L499), IF($N$1="Vessels", IF(ISBLANK(Vessels!L499), "", Vessels!L499), ""))</f>
        <v/>
      </c>
      <c r="M499" s="21"/>
      <c r="N499" s="21"/>
      <c r="O499" s="21"/>
      <c r="P499" s="21"/>
      <c r="Q499" s="21" t="str">
        <f>IF($N$1="Piping", IF(ISBLANK(Piping!T499), "", Piping!T499), IF($N$1="Vessels", IF(ISBLANK(Vessels!T499), "", Vessels!T499), ""))</f>
        <v/>
      </c>
      <c r="R499" s="51" t="str">
        <f>IF($N$1="Piping", IF(ISBLANK(Piping!U499), "", Piping!U499), IF($N$1="Vessels", IF(ISBLANK(Vessels!U499), "", Vessels!U499), ""))</f>
        <v/>
      </c>
      <c r="S499" s="118" t="str">
        <f>IF(B499&lt;&gt;"",IF($N$1="Piping", IF(ISBLANK(Piping!$J$3), "", Piping!$J$3), IF($N$1="Vessels", IF(ISBLANK(Vessels!$J$3), "", Vessels!$J$3), "")),"")</f>
        <v/>
      </c>
      <c r="T499" s="37"/>
      <c r="U499" s="37"/>
      <c r="V499" s="37"/>
      <c r="W499" s="37"/>
      <c r="X499" s="37"/>
      <c r="Y499" s="37"/>
      <c r="Z499" s="37"/>
    </row>
    <row r="500" spans="1:26" ht="15.75" customHeight="1" x14ac:dyDescent="0.3">
      <c r="A500" s="22">
        <f>IF($N$1="Piping", IF(ISBLANK(Piping!A500), "", Piping!A500), IF($N$1="Vessels", IF(ISBLANK(Vessels!A500), "", Vessels!A500), ""))</f>
        <v>124.3</v>
      </c>
      <c r="B500" s="21" t="str">
        <f>IF($N$1="Piping", IF(ISBLANK(Piping!B500), "", Piping!B500), IF($N$1="Vessels", IF(ISBLANK(Vessels!B500), "", Vessels!B500), ""))</f>
        <v/>
      </c>
      <c r="C500" s="21" t="str">
        <f>IF($N$1="Piping", IF(ISBLANK(Piping!C500), "", Piping!C500), IF($N$1="Vessels", IF(ISBLANK(Vessels!C500), "", Vessels!C500), ""))</f>
        <v>Piping</v>
      </c>
      <c r="D500" s="21" t="str">
        <f>IF($N$1="Piping", IF(ISBLANK(Piping!D500), "", Piping!D500), IF($N$1="Vessels", IF(ISBLANK(Vessels!D500), "", Vessels!D500), ""))</f>
        <v/>
      </c>
      <c r="E500" s="21" t="str">
        <f>IF($N$1="Piping", IF(ISBLANK(Piping!E500), "", Piping!E500), IF($N$1="Vessels", IF(ISBLANK(Vessels!E500), "", Vessels!E500), ""))</f>
        <v/>
      </c>
      <c r="F500" s="21" t="str">
        <f>IF($N$1="Piping", IF(ISBLANK(Piping!F500), "", Piping!F500), IF($N$1="Vessels", IF(ISBLANK(Vessels!F500), "", Vessels!F500), ""))</f>
        <v/>
      </c>
      <c r="G500" s="21">
        <f>IF($N$1="Piping", IF(ISBLANK(Piping!G500), "", Piping!G500), IF($N$1="Vessels", IF(ISBLANK(Vessels!G500), "", Vessels!G500), ""))</f>
        <v>0</v>
      </c>
      <c r="H500" s="21" t="str">
        <f>IF($N$1="Piping", IF(ISBLANK(Piping!H500), "", Piping!H500), IF($N$1="Vessels", IF(ISBLANK(Vessels!H500), "", Vessels!H500), ""))</f>
        <v/>
      </c>
      <c r="I500" s="21" t="str">
        <f>IF($N$1="Piping", IF(ISBLANK(Piping!I500), "", Piping!I500), IF($N$1="Vessels", IF(ISBLANK(Vessels!I500), "", Vessels!I500), ""))</f>
        <v/>
      </c>
      <c r="J500" s="21" t="str">
        <f>IF($N$1="Piping", IF(ISBLANK(Piping!J500), "", Piping!J500), IF($N$1="Vessels", IF(ISBLANK(Vessels!J500), "", Vessels!J500), ""))</f>
        <v/>
      </c>
      <c r="K500" s="21" t="str">
        <f>IF($N$1="Piping", IF(ISBLANK(Piping!K500), "", Piping!K500), IF($N$1="Vessels", IF(ISBLANK(Vessels!K500), "", Vessels!K500), ""))</f>
        <v/>
      </c>
      <c r="L500" s="21" t="str">
        <f>IF($N$1="Piping", IF(ISBLANK(Piping!L500), "", Piping!L500), IF($N$1="Vessels", IF(ISBLANK(Vessels!L500), "", Vessels!L500), ""))</f>
        <v/>
      </c>
      <c r="M500" s="21"/>
      <c r="N500" s="21"/>
      <c r="O500" s="21"/>
      <c r="P500" s="21"/>
      <c r="Q500" s="21" t="str">
        <f>IF($N$1="Piping", IF(ISBLANK(Piping!T500), "", Piping!T500), IF($N$1="Vessels", IF(ISBLANK(Vessels!T500), "", Vessels!T500), ""))</f>
        <v/>
      </c>
      <c r="R500" s="51" t="str">
        <f>IF($N$1="Piping", IF(ISBLANK(Piping!U500), "", Piping!U500), IF($N$1="Vessels", IF(ISBLANK(Vessels!U500), "", Vessels!U500), ""))</f>
        <v/>
      </c>
      <c r="S500" s="118" t="str">
        <f>IF(B500&lt;&gt;"",IF($N$1="Piping", IF(ISBLANK(Piping!$J$3), "", Piping!$J$3), IF($N$1="Vessels", IF(ISBLANK(Vessels!$J$3), "", Vessels!$J$3), "")),"")</f>
        <v/>
      </c>
      <c r="T500" s="37"/>
      <c r="U500" s="37"/>
      <c r="V500" s="37"/>
      <c r="W500" s="37"/>
      <c r="X500" s="37"/>
      <c r="Y500" s="37"/>
      <c r="Z500" s="37"/>
    </row>
    <row r="501" spans="1:26" ht="15.75" customHeight="1" x14ac:dyDescent="0.3">
      <c r="A501" s="22">
        <f>IF($N$1="Piping", IF(ISBLANK(Piping!A501), "", Piping!A501), IF($N$1="Vessels", IF(ISBLANK(Vessels!A501), "", Vessels!A501), ""))</f>
        <v>124.4</v>
      </c>
      <c r="B501" s="21" t="str">
        <f>IF($N$1="Piping", IF(ISBLANK(Piping!B501), "", Piping!B501), IF($N$1="Vessels", IF(ISBLANK(Vessels!B501), "", Vessels!B501), ""))</f>
        <v/>
      </c>
      <c r="C501" s="21" t="str">
        <f>IF($N$1="Piping", IF(ISBLANK(Piping!C501), "", Piping!C501), IF($N$1="Vessels", IF(ISBLANK(Vessels!C501), "", Vessels!C501), ""))</f>
        <v>Piping</v>
      </c>
      <c r="D501" s="21" t="str">
        <f>IF($N$1="Piping", IF(ISBLANK(Piping!D501), "", Piping!D501), IF($N$1="Vessels", IF(ISBLANK(Vessels!D501), "", Vessels!D501), ""))</f>
        <v/>
      </c>
      <c r="E501" s="21" t="str">
        <f>IF($N$1="Piping", IF(ISBLANK(Piping!E501), "", Piping!E501), IF($N$1="Vessels", IF(ISBLANK(Vessels!E501), "", Vessels!E501), ""))</f>
        <v/>
      </c>
      <c r="F501" s="21" t="str">
        <f>IF($N$1="Piping", IF(ISBLANK(Piping!F501), "", Piping!F501), IF($N$1="Vessels", IF(ISBLANK(Vessels!F501), "", Vessels!F501), ""))</f>
        <v/>
      </c>
      <c r="G501" s="21">
        <f>IF($N$1="Piping", IF(ISBLANK(Piping!G501), "", Piping!G501), IF($N$1="Vessels", IF(ISBLANK(Vessels!G501), "", Vessels!G501), ""))</f>
        <v>0</v>
      </c>
      <c r="H501" s="21" t="str">
        <f>IF($N$1="Piping", IF(ISBLANK(Piping!H501), "", Piping!H501), IF($N$1="Vessels", IF(ISBLANK(Vessels!H501), "", Vessels!H501), ""))</f>
        <v/>
      </c>
      <c r="I501" s="21" t="str">
        <f>IF($N$1="Piping", IF(ISBLANK(Piping!I501), "", Piping!I501), IF($N$1="Vessels", IF(ISBLANK(Vessels!I501), "", Vessels!I501), ""))</f>
        <v/>
      </c>
      <c r="J501" s="21" t="str">
        <f>IF($N$1="Piping", IF(ISBLANK(Piping!J501), "", Piping!J501), IF($N$1="Vessels", IF(ISBLANK(Vessels!J501), "", Vessels!J501), ""))</f>
        <v/>
      </c>
      <c r="K501" s="21" t="str">
        <f>IF($N$1="Piping", IF(ISBLANK(Piping!K501), "", Piping!K501), IF($N$1="Vessels", IF(ISBLANK(Vessels!K501), "", Vessels!K501), ""))</f>
        <v/>
      </c>
      <c r="L501" s="21" t="str">
        <f>IF($N$1="Piping", IF(ISBLANK(Piping!L501), "", Piping!L501), IF($N$1="Vessels", IF(ISBLANK(Vessels!L501), "", Vessels!L501), ""))</f>
        <v/>
      </c>
      <c r="M501" s="21"/>
      <c r="N501" s="21"/>
      <c r="O501" s="21"/>
      <c r="P501" s="21"/>
      <c r="Q501" s="21" t="str">
        <f>IF($N$1="Piping", IF(ISBLANK(Piping!T501), "", Piping!T501), IF($N$1="Vessels", IF(ISBLANK(Vessels!T501), "", Vessels!T501), ""))</f>
        <v/>
      </c>
      <c r="R501" s="51" t="str">
        <f>IF($N$1="Piping", IF(ISBLANK(Piping!U501), "", Piping!U501), IF($N$1="Vessels", IF(ISBLANK(Vessels!U501), "", Vessels!U501), ""))</f>
        <v/>
      </c>
      <c r="S501" s="118" t="str">
        <f>IF(B501&lt;&gt;"",IF($N$1="Piping", IF(ISBLANK(Piping!$J$3), "", Piping!$J$3), IF($N$1="Vessels", IF(ISBLANK(Vessels!$J$3), "", Vessels!$J$3), "")),"")</f>
        <v/>
      </c>
      <c r="T501" s="37"/>
      <c r="U501" s="37"/>
      <c r="V501" s="37"/>
      <c r="W501" s="37"/>
      <c r="X501" s="37"/>
      <c r="Y501" s="37"/>
      <c r="Z501" s="37"/>
    </row>
    <row r="502" spans="1:26" ht="15.75" customHeight="1" x14ac:dyDescent="0.3">
      <c r="A502" s="22">
        <f>IF($N$1="Piping", IF(ISBLANK(Piping!A502), "", Piping!A502), IF($N$1="Vessels", IF(ISBLANK(Vessels!A502), "", Vessels!A502), ""))</f>
        <v>125.1</v>
      </c>
      <c r="B502" s="21" t="str">
        <f>IF($N$1="Piping", IF(ISBLANK(Piping!B502), "", Piping!B502), IF($N$1="Vessels", IF(ISBLANK(Vessels!B502), "", Vessels!B502), ""))</f>
        <v/>
      </c>
      <c r="C502" s="21" t="str">
        <f>IF($N$1="Piping", IF(ISBLANK(Piping!C502), "", Piping!C502), IF($N$1="Vessels", IF(ISBLANK(Vessels!C502), "", Vessels!C502), ""))</f>
        <v>Piping</v>
      </c>
      <c r="D502" s="21" t="str">
        <f>IF($N$1="Piping", IF(ISBLANK(Piping!D502), "", Piping!D502), IF($N$1="Vessels", IF(ISBLANK(Vessels!D502), "", Vessels!D502), ""))</f>
        <v/>
      </c>
      <c r="E502" s="21" t="str">
        <f>IF($N$1="Piping", IF(ISBLANK(Piping!E502), "", Piping!E502), IF($N$1="Vessels", IF(ISBLANK(Vessels!E502), "", Vessels!E502), ""))</f>
        <v/>
      </c>
      <c r="F502" s="21" t="str">
        <f>IF($N$1="Piping", IF(ISBLANK(Piping!F502), "", Piping!F502), IF($N$1="Vessels", IF(ISBLANK(Vessels!F502), "", Vessels!F502), ""))</f>
        <v/>
      </c>
      <c r="G502" s="21">
        <f>IF($N$1="Piping", IF(ISBLANK(Piping!G502), "", Piping!G502), IF($N$1="Vessels", IF(ISBLANK(Vessels!G502), "", Vessels!G502), ""))</f>
        <v>0</v>
      </c>
      <c r="H502" s="21" t="str">
        <f>IF($N$1="Piping", IF(ISBLANK(Piping!H502), "", Piping!H502), IF($N$1="Vessels", IF(ISBLANK(Vessels!H502), "", Vessels!H502), ""))</f>
        <v/>
      </c>
      <c r="I502" s="21" t="str">
        <f>IF($N$1="Piping", IF(ISBLANK(Piping!I502), "", Piping!I502), IF($N$1="Vessels", IF(ISBLANK(Vessels!I502), "", Vessels!I502), ""))</f>
        <v/>
      </c>
      <c r="J502" s="21" t="str">
        <f>IF($N$1="Piping", IF(ISBLANK(Piping!J502), "", Piping!J502), IF($N$1="Vessels", IF(ISBLANK(Vessels!J502), "", Vessels!J502), ""))</f>
        <v/>
      </c>
      <c r="K502" s="21" t="str">
        <f>IF($N$1="Piping", IF(ISBLANK(Piping!K502), "", Piping!K502), IF($N$1="Vessels", IF(ISBLANK(Vessels!K502), "", Vessels!K502), ""))</f>
        <v/>
      </c>
      <c r="L502" s="21" t="str">
        <f>IF($N$1="Piping", IF(ISBLANK(Piping!L502), "", Piping!L502), IF($N$1="Vessels", IF(ISBLANK(Vessels!L502), "", Vessels!L502), ""))</f>
        <v/>
      </c>
      <c r="M502" s="21"/>
      <c r="N502" s="21"/>
      <c r="O502" s="21"/>
      <c r="P502" s="21"/>
      <c r="Q502" s="21" t="str">
        <f>IF($N$1="Piping", IF(ISBLANK(Piping!T502), "", Piping!T502), IF($N$1="Vessels", IF(ISBLANK(Vessels!T502), "", Vessels!T502), ""))</f>
        <v/>
      </c>
      <c r="R502" s="51" t="str">
        <f>IF($N$1="Piping", IF(ISBLANK(Piping!U502), "", Piping!U502), IF($N$1="Vessels", IF(ISBLANK(Vessels!U502), "", Vessels!U502), ""))</f>
        <v/>
      </c>
      <c r="S502" s="118" t="str">
        <f>IF(B502&lt;&gt;"",IF($N$1="Piping", IF(ISBLANK(Piping!$J$3), "", Piping!$J$3), IF($N$1="Vessels", IF(ISBLANK(Vessels!$J$3), "", Vessels!$J$3), "")),"")</f>
        <v/>
      </c>
      <c r="T502" s="37"/>
      <c r="U502" s="37"/>
      <c r="V502" s="37"/>
      <c r="W502" s="37"/>
      <c r="X502" s="37"/>
      <c r="Y502" s="37"/>
      <c r="Z502" s="37"/>
    </row>
    <row r="503" spans="1:26" ht="15.75" customHeight="1" x14ac:dyDescent="0.3">
      <c r="A503" s="22">
        <f>IF($N$1="Piping", IF(ISBLANK(Piping!A503), "", Piping!A503), IF($N$1="Vessels", IF(ISBLANK(Vessels!A503), "", Vessels!A503), ""))</f>
        <v>125.2</v>
      </c>
      <c r="B503" s="21" t="str">
        <f>IF($N$1="Piping", IF(ISBLANK(Piping!B503), "", Piping!B503), IF($N$1="Vessels", IF(ISBLANK(Vessels!B503), "", Vessels!B503), ""))</f>
        <v/>
      </c>
      <c r="C503" s="21" t="str">
        <f>IF($N$1="Piping", IF(ISBLANK(Piping!C503), "", Piping!C503), IF($N$1="Vessels", IF(ISBLANK(Vessels!C503), "", Vessels!C503), ""))</f>
        <v>Piping</v>
      </c>
      <c r="D503" s="21" t="str">
        <f>IF($N$1="Piping", IF(ISBLANK(Piping!D503), "", Piping!D503), IF($N$1="Vessels", IF(ISBLANK(Vessels!D503), "", Vessels!D503), ""))</f>
        <v/>
      </c>
      <c r="E503" s="21" t="str">
        <f>IF($N$1="Piping", IF(ISBLANK(Piping!E503), "", Piping!E503), IF($N$1="Vessels", IF(ISBLANK(Vessels!E503), "", Vessels!E503), ""))</f>
        <v/>
      </c>
      <c r="F503" s="21" t="str">
        <f>IF($N$1="Piping", IF(ISBLANK(Piping!F503), "", Piping!F503), IF($N$1="Vessels", IF(ISBLANK(Vessels!F503), "", Vessels!F503), ""))</f>
        <v/>
      </c>
      <c r="G503" s="21">
        <f>IF($N$1="Piping", IF(ISBLANK(Piping!G503), "", Piping!G503), IF($N$1="Vessels", IF(ISBLANK(Vessels!G503), "", Vessels!G503), ""))</f>
        <v>0</v>
      </c>
      <c r="H503" s="21" t="str">
        <f>IF($N$1="Piping", IF(ISBLANK(Piping!H503), "", Piping!H503), IF($N$1="Vessels", IF(ISBLANK(Vessels!H503), "", Vessels!H503), ""))</f>
        <v/>
      </c>
      <c r="I503" s="21" t="str">
        <f>IF($N$1="Piping", IF(ISBLANK(Piping!I503), "", Piping!I503), IF($N$1="Vessels", IF(ISBLANK(Vessels!I503), "", Vessels!I503), ""))</f>
        <v/>
      </c>
      <c r="J503" s="21" t="str">
        <f>IF($N$1="Piping", IF(ISBLANK(Piping!J503), "", Piping!J503), IF($N$1="Vessels", IF(ISBLANK(Vessels!J503), "", Vessels!J503), ""))</f>
        <v/>
      </c>
      <c r="K503" s="21" t="str">
        <f>IF($N$1="Piping", IF(ISBLANK(Piping!K503), "", Piping!K503), IF($N$1="Vessels", IF(ISBLANK(Vessels!K503), "", Vessels!K503), ""))</f>
        <v/>
      </c>
      <c r="L503" s="21" t="str">
        <f>IF($N$1="Piping", IF(ISBLANK(Piping!L503), "", Piping!L503), IF($N$1="Vessels", IF(ISBLANK(Vessels!L503), "", Vessels!L503), ""))</f>
        <v/>
      </c>
      <c r="M503" s="21"/>
      <c r="N503" s="21"/>
      <c r="O503" s="21"/>
      <c r="P503" s="21"/>
      <c r="Q503" s="21" t="str">
        <f>IF($N$1="Piping", IF(ISBLANK(Piping!T503), "", Piping!T503), IF($N$1="Vessels", IF(ISBLANK(Vessels!T503), "", Vessels!T503), ""))</f>
        <v/>
      </c>
      <c r="R503" s="51" t="str">
        <f>IF($N$1="Piping", IF(ISBLANK(Piping!U503), "", Piping!U503), IF($N$1="Vessels", IF(ISBLANK(Vessels!U503), "", Vessels!U503), ""))</f>
        <v/>
      </c>
      <c r="S503" s="118" t="str">
        <f>IF(B503&lt;&gt;"",IF($N$1="Piping", IF(ISBLANK(Piping!$J$3), "", Piping!$J$3), IF($N$1="Vessels", IF(ISBLANK(Vessels!$J$3), "", Vessels!$J$3), "")),"")</f>
        <v/>
      </c>
      <c r="T503" s="37"/>
      <c r="U503" s="37"/>
      <c r="V503" s="37"/>
      <c r="W503" s="37"/>
      <c r="X503" s="37"/>
      <c r="Y503" s="37"/>
      <c r="Z503" s="37"/>
    </row>
    <row r="504" spans="1:26" ht="15.75" customHeight="1" x14ac:dyDescent="0.3">
      <c r="A504" s="22">
        <f>IF($N$1="Piping", IF(ISBLANK(Piping!A504), "", Piping!A504), IF($N$1="Vessels", IF(ISBLANK(Vessels!A504), "", Vessels!A504), ""))</f>
        <v>125.3</v>
      </c>
      <c r="B504" s="21" t="str">
        <f>IF($N$1="Piping", IF(ISBLANK(Piping!B504), "", Piping!B504), IF($N$1="Vessels", IF(ISBLANK(Vessels!B504), "", Vessels!B504), ""))</f>
        <v/>
      </c>
      <c r="C504" s="21" t="str">
        <f>IF($N$1="Piping", IF(ISBLANK(Piping!C504), "", Piping!C504), IF($N$1="Vessels", IF(ISBLANK(Vessels!C504), "", Vessels!C504), ""))</f>
        <v>Piping</v>
      </c>
      <c r="D504" s="21" t="str">
        <f>IF($N$1="Piping", IF(ISBLANK(Piping!D504), "", Piping!D504), IF($N$1="Vessels", IF(ISBLANK(Vessels!D504), "", Vessels!D504), ""))</f>
        <v/>
      </c>
      <c r="E504" s="21" t="str">
        <f>IF($N$1="Piping", IF(ISBLANK(Piping!E504), "", Piping!E504), IF($N$1="Vessels", IF(ISBLANK(Vessels!E504), "", Vessels!E504), ""))</f>
        <v/>
      </c>
      <c r="F504" s="21" t="str">
        <f>IF($N$1="Piping", IF(ISBLANK(Piping!F504), "", Piping!F504), IF($N$1="Vessels", IF(ISBLANK(Vessels!F504), "", Vessels!F504), ""))</f>
        <v/>
      </c>
      <c r="G504" s="21">
        <f>IF($N$1="Piping", IF(ISBLANK(Piping!G504), "", Piping!G504), IF($N$1="Vessels", IF(ISBLANK(Vessels!G504), "", Vessels!G504), ""))</f>
        <v>0</v>
      </c>
      <c r="H504" s="21" t="str">
        <f>IF($N$1="Piping", IF(ISBLANK(Piping!H504), "", Piping!H504), IF($N$1="Vessels", IF(ISBLANK(Vessels!H504), "", Vessels!H504), ""))</f>
        <v/>
      </c>
      <c r="I504" s="21" t="str">
        <f>IF($N$1="Piping", IF(ISBLANK(Piping!I504), "", Piping!I504), IF($N$1="Vessels", IF(ISBLANK(Vessels!I504), "", Vessels!I504), ""))</f>
        <v/>
      </c>
      <c r="J504" s="21" t="str">
        <f>IF($N$1="Piping", IF(ISBLANK(Piping!J504), "", Piping!J504), IF($N$1="Vessels", IF(ISBLANK(Vessels!J504), "", Vessels!J504), ""))</f>
        <v/>
      </c>
      <c r="K504" s="21" t="str">
        <f>IF($N$1="Piping", IF(ISBLANK(Piping!K504), "", Piping!K504), IF($N$1="Vessels", IF(ISBLANK(Vessels!K504), "", Vessels!K504), ""))</f>
        <v/>
      </c>
      <c r="L504" s="21" t="str">
        <f>IF($N$1="Piping", IF(ISBLANK(Piping!L504), "", Piping!L504), IF($N$1="Vessels", IF(ISBLANK(Vessels!L504), "", Vessels!L504), ""))</f>
        <v/>
      </c>
      <c r="M504" s="21"/>
      <c r="N504" s="21"/>
      <c r="O504" s="21"/>
      <c r="P504" s="21"/>
      <c r="Q504" s="21" t="str">
        <f>IF($N$1="Piping", IF(ISBLANK(Piping!T504), "", Piping!T504), IF($N$1="Vessels", IF(ISBLANK(Vessels!T504), "", Vessels!T504), ""))</f>
        <v/>
      </c>
      <c r="R504" s="51" t="str">
        <f>IF($N$1="Piping", IF(ISBLANK(Piping!U504), "", Piping!U504), IF($N$1="Vessels", IF(ISBLANK(Vessels!U504), "", Vessels!U504), ""))</f>
        <v/>
      </c>
      <c r="S504" s="118" t="str">
        <f>IF(B504&lt;&gt;"",IF($N$1="Piping", IF(ISBLANK(Piping!$J$3), "", Piping!$J$3), IF($N$1="Vessels", IF(ISBLANK(Vessels!$J$3), "", Vessels!$J$3), "")),"")</f>
        <v/>
      </c>
      <c r="T504" s="37"/>
      <c r="U504" s="37"/>
      <c r="V504" s="37"/>
      <c r="W504" s="37"/>
      <c r="X504" s="37"/>
      <c r="Y504" s="37"/>
      <c r="Z504" s="37"/>
    </row>
    <row r="505" spans="1:26" ht="15.75" customHeight="1" x14ac:dyDescent="0.3">
      <c r="A505" s="22">
        <f>IF($N$1="Piping", IF(ISBLANK(Piping!A505), "", Piping!A505), IF($N$1="Vessels", IF(ISBLANK(Vessels!A505), "", Vessels!A505), ""))</f>
        <v>125.4</v>
      </c>
      <c r="B505" s="21" t="str">
        <f>IF($N$1="Piping", IF(ISBLANK(Piping!B505), "", Piping!B505), IF($N$1="Vessels", IF(ISBLANK(Vessels!B505), "", Vessels!B505), ""))</f>
        <v/>
      </c>
      <c r="C505" s="21" t="str">
        <f>IF($N$1="Piping", IF(ISBLANK(Piping!C505), "", Piping!C505), IF($N$1="Vessels", IF(ISBLANK(Vessels!C505), "", Vessels!C505), ""))</f>
        <v>Piping</v>
      </c>
      <c r="D505" s="21" t="str">
        <f>IF($N$1="Piping", IF(ISBLANK(Piping!D505), "", Piping!D505), IF($N$1="Vessels", IF(ISBLANK(Vessels!D505), "", Vessels!D505), ""))</f>
        <v/>
      </c>
      <c r="E505" s="21" t="str">
        <f>IF($N$1="Piping", IF(ISBLANK(Piping!E505), "", Piping!E505), IF($N$1="Vessels", IF(ISBLANK(Vessels!E505), "", Vessels!E505), ""))</f>
        <v/>
      </c>
      <c r="F505" s="21" t="str">
        <f>IF($N$1="Piping", IF(ISBLANK(Piping!F505), "", Piping!F505), IF($N$1="Vessels", IF(ISBLANK(Vessels!F505), "", Vessels!F505), ""))</f>
        <v/>
      </c>
      <c r="G505" s="21">
        <f>IF($N$1="Piping", IF(ISBLANK(Piping!G505), "", Piping!G505), IF($N$1="Vessels", IF(ISBLANK(Vessels!G505), "", Vessels!G505), ""))</f>
        <v>0</v>
      </c>
      <c r="H505" s="21" t="str">
        <f>IF($N$1="Piping", IF(ISBLANK(Piping!H505), "", Piping!H505), IF($N$1="Vessels", IF(ISBLANK(Vessels!H505), "", Vessels!H505), ""))</f>
        <v/>
      </c>
      <c r="I505" s="21" t="str">
        <f>IF($N$1="Piping", IF(ISBLANK(Piping!I505), "", Piping!I505), IF($N$1="Vessels", IF(ISBLANK(Vessels!I505), "", Vessels!I505), ""))</f>
        <v/>
      </c>
      <c r="J505" s="21" t="str">
        <f>IF($N$1="Piping", IF(ISBLANK(Piping!J505), "", Piping!J505), IF($N$1="Vessels", IF(ISBLANK(Vessels!J505), "", Vessels!J505), ""))</f>
        <v/>
      </c>
      <c r="K505" s="21" t="str">
        <f>IF($N$1="Piping", IF(ISBLANK(Piping!K505), "", Piping!K505), IF($N$1="Vessels", IF(ISBLANK(Vessels!K505), "", Vessels!K505), ""))</f>
        <v/>
      </c>
      <c r="L505" s="21" t="str">
        <f>IF($N$1="Piping", IF(ISBLANK(Piping!L505), "", Piping!L505), IF($N$1="Vessels", IF(ISBLANK(Vessels!L505), "", Vessels!L505), ""))</f>
        <v/>
      </c>
      <c r="M505" s="21"/>
      <c r="N505" s="21"/>
      <c r="O505" s="21"/>
      <c r="P505" s="21"/>
      <c r="Q505" s="21" t="str">
        <f>IF($N$1="Piping", IF(ISBLANK(Piping!T505), "", Piping!T505), IF($N$1="Vessels", IF(ISBLANK(Vessels!T505), "", Vessels!T505), ""))</f>
        <v/>
      </c>
      <c r="R505" s="51" t="str">
        <f>IF($N$1="Piping", IF(ISBLANK(Piping!U505), "", Piping!U505), IF($N$1="Vessels", IF(ISBLANK(Vessels!U505), "", Vessels!U505), ""))</f>
        <v/>
      </c>
      <c r="S505" s="118" t="str">
        <f>IF(B505&lt;&gt;"",IF($N$1="Piping", IF(ISBLANK(Piping!$J$3), "", Piping!$J$3), IF($N$1="Vessels", IF(ISBLANK(Vessels!$J$3), "", Vessels!$J$3), "")),"")</f>
        <v/>
      </c>
      <c r="T505" s="37"/>
      <c r="U505" s="37"/>
      <c r="V505" s="37"/>
      <c r="W505" s="37"/>
      <c r="X505" s="37"/>
      <c r="Y505" s="37"/>
      <c r="Z505" s="37"/>
    </row>
    <row r="506" spans="1:26" ht="15.75" customHeight="1" x14ac:dyDescent="0.3">
      <c r="A506" s="22">
        <f>IF($N$1="Piping", IF(ISBLANK(Piping!A506), "", Piping!A506), IF($N$1="Vessels", IF(ISBLANK(Vessels!A506), "", Vessels!A506), ""))</f>
        <v>126.1</v>
      </c>
      <c r="B506" s="21" t="str">
        <f>IF($N$1="Piping", IF(ISBLANK(Piping!B506), "", Piping!B506), IF($N$1="Vessels", IF(ISBLANK(Vessels!B506), "", Vessels!B506), ""))</f>
        <v/>
      </c>
      <c r="C506" s="21" t="str">
        <f>IF($N$1="Piping", IF(ISBLANK(Piping!C506), "", Piping!C506), IF($N$1="Vessels", IF(ISBLANK(Vessels!C506), "", Vessels!C506), ""))</f>
        <v>Piping</v>
      </c>
      <c r="D506" s="21" t="str">
        <f>IF($N$1="Piping", IF(ISBLANK(Piping!D506), "", Piping!D506), IF($N$1="Vessels", IF(ISBLANK(Vessels!D506), "", Vessels!D506), ""))</f>
        <v/>
      </c>
      <c r="E506" s="21" t="str">
        <f>IF($N$1="Piping", IF(ISBLANK(Piping!E506), "", Piping!E506), IF($N$1="Vessels", IF(ISBLANK(Vessels!E506), "", Vessels!E506), ""))</f>
        <v/>
      </c>
      <c r="F506" s="21" t="str">
        <f>IF($N$1="Piping", IF(ISBLANK(Piping!F506), "", Piping!F506), IF($N$1="Vessels", IF(ISBLANK(Vessels!F506), "", Vessels!F506), ""))</f>
        <v/>
      </c>
      <c r="G506" s="21">
        <f>IF($N$1="Piping", IF(ISBLANK(Piping!G506), "", Piping!G506), IF($N$1="Vessels", IF(ISBLANK(Vessels!G506), "", Vessels!G506), ""))</f>
        <v>0</v>
      </c>
      <c r="H506" s="21" t="str">
        <f>IF($N$1="Piping", IF(ISBLANK(Piping!H506), "", Piping!H506), IF($N$1="Vessels", IF(ISBLANK(Vessels!H506), "", Vessels!H506), ""))</f>
        <v/>
      </c>
      <c r="I506" s="21" t="str">
        <f>IF($N$1="Piping", IF(ISBLANK(Piping!I506), "", Piping!I506), IF($N$1="Vessels", IF(ISBLANK(Vessels!I506), "", Vessels!I506), ""))</f>
        <v/>
      </c>
      <c r="J506" s="21" t="str">
        <f>IF($N$1="Piping", IF(ISBLANK(Piping!J506), "", Piping!J506), IF($N$1="Vessels", IF(ISBLANK(Vessels!J506), "", Vessels!J506), ""))</f>
        <v/>
      </c>
      <c r="K506" s="21" t="str">
        <f>IF($N$1="Piping", IF(ISBLANK(Piping!K506), "", Piping!K506), IF($N$1="Vessels", IF(ISBLANK(Vessels!K506), "", Vessels!K506), ""))</f>
        <v/>
      </c>
      <c r="L506" s="21" t="str">
        <f>IF($N$1="Piping", IF(ISBLANK(Piping!L506), "", Piping!L506), IF($N$1="Vessels", IF(ISBLANK(Vessels!L506), "", Vessels!L506), ""))</f>
        <v/>
      </c>
      <c r="M506" s="21"/>
      <c r="N506" s="21"/>
      <c r="O506" s="21"/>
      <c r="P506" s="21"/>
      <c r="Q506" s="21" t="str">
        <f>IF($N$1="Piping", IF(ISBLANK(Piping!T506), "", Piping!T506), IF($N$1="Vessels", IF(ISBLANK(Vessels!T506), "", Vessels!T506), ""))</f>
        <v/>
      </c>
      <c r="R506" s="51" t="str">
        <f>IF($N$1="Piping", IF(ISBLANK(Piping!U506), "", Piping!U506), IF($N$1="Vessels", IF(ISBLANK(Vessels!U506), "", Vessels!U506), ""))</f>
        <v/>
      </c>
      <c r="S506" s="118" t="str">
        <f>IF(B506&lt;&gt;"",IF($N$1="Piping", IF(ISBLANK(Piping!$J$3), "", Piping!$J$3), IF($N$1="Vessels", IF(ISBLANK(Vessels!$J$3), "", Vessels!$J$3), "")),"")</f>
        <v/>
      </c>
      <c r="T506" s="37"/>
      <c r="U506" s="37"/>
      <c r="V506" s="37"/>
      <c r="W506" s="37"/>
      <c r="X506" s="37"/>
      <c r="Y506" s="37"/>
      <c r="Z506" s="37"/>
    </row>
    <row r="507" spans="1:26" ht="15.75" customHeight="1" x14ac:dyDescent="0.3">
      <c r="A507" s="22">
        <f>IF($N$1="Piping", IF(ISBLANK(Piping!A507), "", Piping!A507), IF($N$1="Vessels", IF(ISBLANK(Vessels!A507), "", Vessels!A507), ""))</f>
        <v>126.2</v>
      </c>
      <c r="B507" s="21" t="str">
        <f>IF($N$1="Piping", IF(ISBLANK(Piping!B507), "", Piping!B507), IF($N$1="Vessels", IF(ISBLANK(Vessels!B507), "", Vessels!B507), ""))</f>
        <v/>
      </c>
      <c r="C507" s="21" t="str">
        <f>IF($N$1="Piping", IF(ISBLANK(Piping!C507), "", Piping!C507), IF($N$1="Vessels", IF(ISBLANK(Vessels!C507), "", Vessels!C507), ""))</f>
        <v>Piping</v>
      </c>
      <c r="D507" s="21" t="str">
        <f>IF($N$1="Piping", IF(ISBLANK(Piping!D507), "", Piping!D507), IF($N$1="Vessels", IF(ISBLANK(Vessels!D507), "", Vessels!D507), ""))</f>
        <v/>
      </c>
      <c r="E507" s="21" t="str">
        <f>IF($N$1="Piping", IF(ISBLANK(Piping!E507), "", Piping!E507), IF($N$1="Vessels", IF(ISBLANK(Vessels!E507), "", Vessels!E507), ""))</f>
        <v/>
      </c>
      <c r="F507" s="21" t="str">
        <f>IF($N$1="Piping", IF(ISBLANK(Piping!F507), "", Piping!F507), IF($N$1="Vessels", IF(ISBLANK(Vessels!F507), "", Vessels!F507), ""))</f>
        <v/>
      </c>
      <c r="G507" s="21">
        <f>IF($N$1="Piping", IF(ISBLANK(Piping!G507), "", Piping!G507), IF($N$1="Vessels", IF(ISBLANK(Vessels!G507), "", Vessels!G507), ""))</f>
        <v>0</v>
      </c>
      <c r="H507" s="21" t="str">
        <f>IF($N$1="Piping", IF(ISBLANK(Piping!H507), "", Piping!H507), IF($N$1="Vessels", IF(ISBLANK(Vessels!H507), "", Vessels!H507), ""))</f>
        <v/>
      </c>
      <c r="I507" s="21" t="str">
        <f>IF($N$1="Piping", IF(ISBLANK(Piping!I507), "", Piping!I507), IF($N$1="Vessels", IF(ISBLANK(Vessels!I507), "", Vessels!I507), ""))</f>
        <v/>
      </c>
      <c r="J507" s="21" t="str">
        <f>IF($N$1="Piping", IF(ISBLANK(Piping!J507), "", Piping!J507), IF($N$1="Vessels", IF(ISBLANK(Vessels!J507), "", Vessels!J507), ""))</f>
        <v/>
      </c>
      <c r="K507" s="21" t="str">
        <f>IF($N$1="Piping", IF(ISBLANK(Piping!K507), "", Piping!K507), IF($N$1="Vessels", IF(ISBLANK(Vessels!K507), "", Vessels!K507), ""))</f>
        <v/>
      </c>
      <c r="L507" s="21" t="str">
        <f>IF($N$1="Piping", IF(ISBLANK(Piping!L507), "", Piping!L507), IF($N$1="Vessels", IF(ISBLANK(Vessels!L507), "", Vessels!L507), ""))</f>
        <v/>
      </c>
      <c r="M507" s="21"/>
      <c r="N507" s="21"/>
      <c r="O507" s="21"/>
      <c r="P507" s="21"/>
      <c r="Q507" s="21" t="str">
        <f>IF($N$1="Piping", IF(ISBLANK(Piping!T507), "", Piping!T507), IF($N$1="Vessels", IF(ISBLANK(Vessels!T507), "", Vessels!T507), ""))</f>
        <v/>
      </c>
      <c r="R507" s="51" t="str">
        <f>IF($N$1="Piping", IF(ISBLANK(Piping!U507), "", Piping!U507), IF($N$1="Vessels", IF(ISBLANK(Vessels!U507), "", Vessels!U507), ""))</f>
        <v/>
      </c>
      <c r="S507" s="118" t="str">
        <f>IF(B507&lt;&gt;"",IF($N$1="Piping", IF(ISBLANK(Piping!$J$3), "", Piping!$J$3), IF($N$1="Vessels", IF(ISBLANK(Vessels!$J$3), "", Vessels!$J$3), "")),"")</f>
        <v/>
      </c>
      <c r="T507" s="37"/>
      <c r="U507" s="37"/>
      <c r="V507" s="37"/>
      <c r="W507" s="37"/>
      <c r="X507" s="37"/>
      <c r="Y507" s="37"/>
      <c r="Z507" s="37"/>
    </row>
    <row r="508" spans="1:26" ht="15.75" customHeight="1" x14ac:dyDescent="0.3">
      <c r="A508" s="22">
        <f>IF($N$1="Piping", IF(ISBLANK(Piping!A508), "", Piping!A508), IF($N$1="Vessels", IF(ISBLANK(Vessels!A508), "", Vessels!A508), ""))</f>
        <v>126.3</v>
      </c>
      <c r="B508" s="21" t="str">
        <f>IF($N$1="Piping", IF(ISBLANK(Piping!B508), "", Piping!B508), IF($N$1="Vessels", IF(ISBLANK(Vessels!B508), "", Vessels!B508), ""))</f>
        <v/>
      </c>
      <c r="C508" s="21" t="str">
        <f>IF($N$1="Piping", IF(ISBLANK(Piping!C508), "", Piping!C508), IF($N$1="Vessels", IF(ISBLANK(Vessels!C508), "", Vessels!C508), ""))</f>
        <v>Piping</v>
      </c>
      <c r="D508" s="21" t="str">
        <f>IF($N$1="Piping", IF(ISBLANK(Piping!D508), "", Piping!D508), IF($N$1="Vessels", IF(ISBLANK(Vessels!D508), "", Vessels!D508), ""))</f>
        <v/>
      </c>
      <c r="E508" s="21" t="str">
        <f>IF($N$1="Piping", IF(ISBLANK(Piping!E508), "", Piping!E508), IF($N$1="Vessels", IF(ISBLANK(Vessels!E508), "", Vessels!E508), ""))</f>
        <v/>
      </c>
      <c r="F508" s="21" t="str">
        <f>IF($N$1="Piping", IF(ISBLANK(Piping!F508), "", Piping!F508), IF($N$1="Vessels", IF(ISBLANK(Vessels!F508), "", Vessels!F508), ""))</f>
        <v/>
      </c>
      <c r="G508" s="21">
        <f>IF($N$1="Piping", IF(ISBLANK(Piping!G508), "", Piping!G508), IF($N$1="Vessels", IF(ISBLANK(Vessels!G508), "", Vessels!G508), ""))</f>
        <v>0</v>
      </c>
      <c r="H508" s="21" t="str">
        <f>IF($N$1="Piping", IF(ISBLANK(Piping!H508), "", Piping!H508), IF($N$1="Vessels", IF(ISBLANK(Vessels!H508), "", Vessels!H508), ""))</f>
        <v/>
      </c>
      <c r="I508" s="21" t="str">
        <f>IF($N$1="Piping", IF(ISBLANK(Piping!I508), "", Piping!I508), IF($N$1="Vessels", IF(ISBLANK(Vessels!I508), "", Vessels!I508), ""))</f>
        <v/>
      </c>
      <c r="J508" s="21" t="str">
        <f>IF($N$1="Piping", IF(ISBLANK(Piping!J508), "", Piping!J508), IF($N$1="Vessels", IF(ISBLANK(Vessels!J508), "", Vessels!J508), ""))</f>
        <v/>
      </c>
      <c r="K508" s="21" t="str">
        <f>IF($N$1="Piping", IF(ISBLANK(Piping!K508), "", Piping!K508), IF($N$1="Vessels", IF(ISBLANK(Vessels!K508), "", Vessels!K508), ""))</f>
        <v/>
      </c>
      <c r="L508" s="21" t="str">
        <f>IF($N$1="Piping", IF(ISBLANK(Piping!L508), "", Piping!L508), IF($N$1="Vessels", IF(ISBLANK(Vessels!L508), "", Vessels!L508), ""))</f>
        <v/>
      </c>
      <c r="M508" s="21"/>
      <c r="N508" s="21"/>
      <c r="O508" s="21"/>
      <c r="P508" s="21"/>
      <c r="Q508" s="21" t="str">
        <f>IF($N$1="Piping", IF(ISBLANK(Piping!T508), "", Piping!T508), IF($N$1="Vessels", IF(ISBLANK(Vessels!T508), "", Vessels!T508), ""))</f>
        <v/>
      </c>
      <c r="R508" s="51" t="str">
        <f>IF($N$1="Piping", IF(ISBLANK(Piping!U508), "", Piping!U508), IF($N$1="Vessels", IF(ISBLANK(Vessels!U508), "", Vessels!U508), ""))</f>
        <v/>
      </c>
      <c r="S508" s="118" t="str">
        <f>IF(B508&lt;&gt;"",IF($N$1="Piping", IF(ISBLANK(Piping!$J$3), "", Piping!$J$3), IF($N$1="Vessels", IF(ISBLANK(Vessels!$J$3), "", Vessels!$J$3), "")),"")</f>
        <v/>
      </c>
      <c r="T508" s="37"/>
      <c r="U508" s="37"/>
      <c r="V508" s="37"/>
      <c r="W508" s="37"/>
      <c r="X508" s="37"/>
      <c r="Y508" s="37"/>
      <c r="Z508" s="37"/>
    </row>
    <row r="509" spans="1:26" ht="15.75" customHeight="1" x14ac:dyDescent="0.3">
      <c r="A509" s="22">
        <f>IF($N$1="Piping", IF(ISBLANK(Piping!A509), "", Piping!A509), IF($N$1="Vessels", IF(ISBLANK(Vessels!A509), "", Vessels!A509), ""))</f>
        <v>126.4</v>
      </c>
      <c r="B509" s="21" t="str">
        <f>IF($N$1="Piping", IF(ISBLANK(Piping!B509), "", Piping!B509), IF($N$1="Vessels", IF(ISBLANK(Vessels!B509), "", Vessels!B509), ""))</f>
        <v/>
      </c>
      <c r="C509" s="21" t="str">
        <f>IF($N$1="Piping", IF(ISBLANK(Piping!C509), "", Piping!C509), IF($N$1="Vessels", IF(ISBLANK(Vessels!C509), "", Vessels!C509), ""))</f>
        <v>Piping</v>
      </c>
      <c r="D509" s="21" t="str">
        <f>IF($N$1="Piping", IF(ISBLANK(Piping!D509), "", Piping!D509), IF($N$1="Vessels", IF(ISBLANK(Vessels!D509), "", Vessels!D509), ""))</f>
        <v/>
      </c>
      <c r="E509" s="21" t="str">
        <f>IF($N$1="Piping", IF(ISBLANK(Piping!E509), "", Piping!E509), IF($N$1="Vessels", IF(ISBLANK(Vessels!E509), "", Vessels!E509), ""))</f>
        <v/>
      </c>
      <c r="F509" s="21" t="str">
        <f>IF($N$1="Piping", IF(ISBLANK(Piping!F509), "", Piping!F509), IF($N$1="Vessels", IF(ISBLANK(Vessels!F509), "", Vessels!F509), ""))</f>
        <v/>
      </c>
      <c r="G509" s="21">
        <f>IF($N$1="Piping", IF(ISBLANK(Piping!G509), "", Piping!G509), IF($N$1="Vessels", IF(ISBLANK(Vessels!G509), "", Vessels!G509), ""))</f>
        <v>0</v>
      </c>
      <c r="H509" s="21" t="str">
        <f>IF($N$1="Piping", IF(ISBLANK(Piping!H509), "", Piping!H509), IF($N$1="Vessels", IF(ISBLANK(Vessels!H509), "", Vessels!H509), ""))</f>
        <v/>
      </c>
      <c r="I509" s="21" t="str">
        <f>IF($N$1="Piping", IF(ISBLANK(Piping!I509), "", Piping!I509), IF($N$1="Vessels", IF(ISBLANK(Vessels!I509), "", Vessels!I509), ""))</f>
        <v/>
      </c>
      <c r="J509" s="21" t="str">
        <f>IF($N$1="Piping", IF(ISBLANK(Piping!J509), "", Piping!J509), IF($N$1="Vessels", IF(ISBLANK(Vessels!J509), "", Vessels!J509), ""))</f>
        <v/>
      </c>
      <c r="K509" s="21" t="str">
        <f>IF($N$1="Piping", IF(ISBLANK(Piping!K509), "", Piping!K509), IF($N$1="Vessels", IF(ISBLANK(Vessels!K509), "", Vessels!K509), ""))</f>
        <v/>
      </c>
      <c r="L509" s="21" t="str">
        <f>IF($N$1="Piping", IF(ISBLANK(Piping!L509), "", Piping!L509), IF($N$1="Vessels", IF(ISBLANK(Vessels!L509), "", Vessels!L509), ""))</f>
        <v/>
      </c>
      <c r="M509" s="21"/>
      <c r="N509" s="21"/>
      <c r="O509" s="21"/>
      <c r="P509" s="21"/>
      <c r="Q509" s="21" t="str">
        <f>IF($N$1="Piping", IF(ISBLANK(Piping!T509), "", Piping!T509), IF($N$1="Vessels", IF(ISBLANK(Vessels!T509), "", Vessels!T509), ""))</f>
        <v/>
      </c>
      <c r="R509" s="51" t="str">
        <f>IF($N$1="Piping", IF(ISBLANK(Piping!U509), "", Piping!U509), IF($N$1="Vessels", IF(ISBLANK(Vessels!U509), "", Vessels!U509), ""))</f>
        <v/>
      </c>
      <c r="S509" s="118" t="str">
        <f>IF(B509&lt;&gt;"",IF($N$1="Piping", IF(ISBLANK(Piping!$J$3), "", Piping!$J$3), IF($N$1="Vessels", IF(ISBLANK(Vessels!$J$3), "", Vessels!$J$3), "")),"")</f>
        <v/>
      </c>
      <c r="T509" s="37"/>
      <c r="U509" s="37"/>
      <c r="V509" s="37"/>
      <c r="W509" s="37"/>
      <c r="X509" s="37"/>
      <c r="Y509" s="37"/>
      <c r="Z509" s="37"/>
    </row>
    <row r="510" spans="1:26" ht="15.75" customHeight="1" x14ac:dyDescent="0.3">
      <c r="A510" s="22">
        <f>IF($N$1="Piping", IF(ISBLANK(Piping!A510), "", Piping!A510), IF($N$1="Vessels", IF(ISBLANK(Vessels!A510), "", Vessels!A510), ""))</f>
        <v>127.1</v>
      </c>
      <c r="B510" s="21" t="str">
        <f>IF($N$1="Piping", IF(ISBLANK(Piping!B510), "", Piping!B510), IF($N$1="Vessels", IF(ISBLANK(Vessels!B510), "", Vessels!B510), ""))</f>
        <v/>
      </c>
      <c r="C510" s="21" t="str">
        <f>IF($N$1="Piping", IF(ISBLANK(Piping!C510), "", Piping!C510), IF($N$1="Vessels", IF(ISBLANK(Vessels!C510), "", Vessels!C510), ""))</f>
        <v>Piping</v>
      </c>
      <c r="D510" s="21" t="str">
        <f>IF($N$1="Piping", IF(ISBLANK(Piping!D510), "", Piping!D510), IF($N$1="Vessels", IF(ISBLANK(Vessels!D510), "", Vessels!D510), ""))</f>
        <v/>
      </c>
      <c r="E510" s="21" t="str">
        <f>IF($N$1="Piping", IF(ISBLANK(Piping!E510), "", Piping!E510), IF($N$1="Vessels", IF(ISBLANK(Vessels!E510), "", Vessels!E510), ""))</f>
        <v/>
      </c>
      <c r="F510" s="21" t="str">
        <f>IF($N$1="Piping", IF(ISBLANK(Piping!F510), "", Piping!F510), IF($N$1="Vessels", IF(ISBLANK(Vessels!F510), "", Vessels!F510), ""))</f>
        <v/>
      </c>
      <c r="G510" s="21">
        <f>IF($N$1="Piping", IF(ISBLANK(Piping!G510), "", Piping!G510), IF($N$1="Vessels", IF(ISBLANK(Vessels!G510), "", Vessels!G510), ""))</f>
        <v>0</v>
      </c>
      <c r="H510" s="21" t="str">
        <f>IF($N$1="Piping", IF(ISBLANK(Piping!H510), "", Piping!H510), IF($N$1="Vessels", IF(ISBLANK(Vessels!H510), "", Vessels!H510), ""))</f>
        <v/>
      </c>
      <c r="I510" s="21" t="str">
        <f>IF($N$1="Piping", IF(ISBLANK(Piping!I510), "", Piping!I510), IF($N$1="Vessels", IF(ISBLANK(Vessels!I510), "", Vessels!I510), ""))</f>
        <v/>
      </c>
      <c r="J510" s="21" t="str">
        <f>IF($N$1="Piping", IF(ISBLANK(Piping!J510), "", Piping!J510), IF($N$1="Vessels", IF(ISBLANK(Vessels!J510), "", Vessels!J510), ""))</f>
        <v/>
      </c>
      <c r="K510" s="21" t="str">
        <f>IF($N$1="Piping", IF(ISBLANK(Piping!K510), "", Piping!K510), IF($N$1="Vessels", IF(ISBLANK(Vessels!K510), "", Vessels!K510), ""))</f>
        <v/>
      </c>
      <c r="L510" s="21" t="str">
        <f>IF($N$1="Piping", IF(ISBLANK(Piping!L510), "", Piping!L510), IF($N$1="Vessels", IF(ISBLANK(Vessels!L510), "", Vessels!L510), ""))</f>
        <v/>
      </c>
      <c r="M510" s="21"/>
      <c r="N510" s="21"/>
      <c r="O510" s="21"/>
      <c r="P510" s="21"/>
      <c r="Q510" s="21" t="str">
        <f>IF($N$1="Piping", IF(ISBLANK(Piping!T510), "", Piping!T510), IF($N$1="Vessels", IF(ISBLANK(Vessels!T510), "", Vessels!T510), ""))</f>
        <v/>
      </c>
      <c r="R510" s="51" t="str">
        <f>IF($N$1="Piping", IF(ISBLANK(Piping!U510), "", Piping!U510), IF($N$1="Vessels", IF(ISBLANK(Vessels!U510), "", Vessels!U510), ""))</f>
        <v/>
      </c>
      <c r="S510" s="118" t="str">
        <f>IF(B510&lt;&gt;"",IF($N$1="Piping", IF(ISBLANK(Piping!$J$3), "", Piping!$J$3), IF($N$1="Vessels", IF(ISBLANK(Vessels!$J$3), "", Vessels!$J$3), "")),"")</f>
        <v/>
      </c>
      <c r="T510" s="37"/>
      <c r="U510" s="37"/>
      <c r="V510" s="37"/>
      <c r="W510" s="37"/>
      <c r="X510" s="37"/>
      <c r="Y510" s="37"/>
      <c r="Z510" s="37"/>
    </row>
    <row r="511" spans="1:26" ht="15.75" customHeight="1" x14ac:dyDescent="0.3">
      <c r="A511" s="22">
        <f>IF($N$1="Piping", IF(ISBLANK(Piping!A511), "", Piping!A511), IF($N$1="Vessels", IF(ISBLANK(Vessels!A511), "", Vessels!A511), ""))</f>
        <v>127.2</v>
      </c>
      <c r="B511" s="21" t="str">
        <f>IF($N$1="Piping", IF(ISBLANK(Piping!B511), "", Piping!B511), IF($N$1="Vessels", IF(ISBLANK(Vessels!B511), "", Vessels!B511), ""))</f>
        <v/>
      </c>
      <c r="C511" s="21" t="str">
        <f>IF($N$1="Piping", IF(ISBLANK(Piping!C511), "", Piping!C511), IF($N$1="Vessels", IF(ISBLANK(Vessels!C511), "", Vessels!C511), ""))</f>
        <v>Piping</v>
      </c>
      <c r="D511" s="21" t="str">
        <f>IF($N$1="Piping", IF(ISBLANK(Piping!D511), "", Piping!D511), IF($N$1="Vessels", IF(ISBLANK(Vessels!D511), "", Vessels!D511), ""))</f>
        <v/>
      </c>
      <c r="E511" s="21" t="str">
        <f>IF($N$1="Piping", IF(ISBLANK(Piping!E511), "", Piping!E511), IF($N$1="Vessels", IF(ISBLANK(Vessels!E511), "", Vessels!E511), ""))</f>
        <v/>
      </c>
      <c r="F511" s="21" t="str">
        <f>IF($N$1="Piping", IF(ISBLANK(Piping!F511), "", Piping!F511), IF($N$1="Vessels", IF(ISBLANK(Vessels!F511), "", Vessels!F511), ""))</f>
        <v/>
      </c>
      <c r="G511" s="21">
        <f>IF($N$1="Piping", IF(ISBLANK(Piping!G511), "", Piping!G511), IF($N$1="Vessels", IF(ISBLANK(Vessels!G511), "", Vessels!G511), ""))</f>
        <v>0</v>
      </c>
      <c r="H511" s="21" t="str">
        <f>IF($N$1="Piping", IF(ISBLANK(Piping!H511), "", Piping!H511), IF($N$1="Vessels", IF(ISBLANK(Vessels!H511), "", Vessels!H511), ""))</f>
        <v/>
      </c>
      <c r="I511" s="21" t="str">
        <f>IF($N$1="Piping", IF(ISBLANK(Piping!I511), "", Piping!I511), IF($N$1="Vessels", IF(ISBLANK(Vessels!I511), "", Vessels!I511), ""))</f>
        <v/>
      </c>
      <c r="J511" s="21" t="str">
        <f>IF($N$1="Piping", IF(ISBLANK(Piping!J511), "", Piping!J511), IF($N$1="Vessels", IF(ISBLANK(Vessels!J511), "", Vessels!J511), ""))</f>
        <v/>
      </c>
      <c r="K511" s="21" t="str">
        <f>IF($N$1="Piping", IF(ISBLANK(Piping!K511), "", Piping!K511), IF($N$1="Vessels", IF(ISBLANK(Vessels!K511), "", Vessels!K511), ""))</f>
        <v/>
      </c>
      <c r="L511" s="21" t="str">
        <f>IF($N$1="Piping", IF(ISBLANK(Piping!L511), "", Piping!L511), IF($N$1="Vessels", IF(ISBLANK(Vessels!L511), "", Vessels!L511), ""))</f>
        <v/>
      </c>
      <c r="M511" s="21"/>
      <c r="N511" s="21"/>
      <c r="O511" s="21"/>
      <c r="P511" s="21"/>
      <c r="Q511" s="21" t="str">
        <f>IF($N$1="Piping", IF(ISBLANK(Piping!T511), "", Piping!T511), IF($N$1="Vessels", IF(ISBLANK(Vessels!T511), "", Vessels!T511), ""))</f>
        <v/>
      </c>
      <c r="R511" s="51" t="str">
        <f>IF($N$1="Piping", IF(ISBLANK(Piping!U511), "", Piping!U511), IF($N$1="Vessels", IF(ISBLANK(Vessels!U511), "", Vessels!U511), ""))</f>
        <v/>
      </c>
      <c r="S511" s="118" t="str">
        <f>IF(B511&lt;&gt;"",IF($N$1="Piping", IF(ISBLANK(Piping!$J$3), "", Piping!$J$3), IF($N$1="Vessels", IF(ISBLANK(Vessels!$J$3), "", Vessels!$J$3), "")),"")</f>
        <v/>
      </c>
      <c r="T511" s="37"/>
      <c r="U511" s="37"/>
      <c r="V511" s="37"/>
      <c r="W511" s="37"/>
      <c r="X511" s="37"/>
      <c r="Y511" s="37"/>
      <c r="Z511" s="37"/>
    </row>
    <row r="512" spans="1:26" ht="15.75" customHeight="1" x14ac:dyDescent="0.3">
      <c r="A512" s="22">
        <f>IF($N$1="Piping", IF(ISBLANK(Piping!A512), "", Piping!A512), IF($N$1="Vessels", IF(ISBLANK(Vessels!A512), "", Vessels!A512), ""))</f>
        <v>127.3</v>
      </c>
      <c r="B512" s="21" t="str">
        <f>IF($N$1="Piping", IF(ISBLANK(Piping!B512), "", Piping!B512), IF($N$1="Vessels", IF(ISBLANK(Vessels!B512), "", Vessels!B512), ""))</f>
        <v/>
      </c>
      <c r="C512" s="21" t="str">
        <f>IF($N$1="Piping", IF(ISBLANK(Piping!C512), "", Piping!C512), IF($N$1="Vessels", IF(ISBLANK(Vessels!C512), "", Vessels!C512), ""))</f>
        <v>Piping</v>
      </c>
      <c r="D512" s="21" t="str">
        <f>IF($N$1="Piping", IF(ISBLANK(Piping!D512), "", Piping!D512), IF($N$1="Vessels", IF(ISBLANK(Vessels!D512), "", Vessels!D512), ""))</f>
        <v/>
      </c>
      <c r="E512" s="21" t="str">
        <f>IF($N$1="Piping", IF(ISBLANK(Piping!E512), "", Piping!E512), IF($N$1="Vessels", IF(ISBLANK(Vessels!E512), "", Vessels!E512), ""))</f>
        <v/>
      </c>
      <c r="F512" s="21" t="str">
        <f>IF($N$1="Piping", IF(ISBLANK(Piping!F512), "", Piping!F512), IF($N$1="Vessels", IF(ISBLANK(Vessels!F512), "", Vessels!F512), ""))</f>
        <v/>
      </c>
      <c r="G512" s="21">
        <f>IF($N$1="Piping", IF(ISBLANK(Piping!G512), "", Piping!G512), IF($N$1="Vessels", IF(ISBLANK(Vessels!G512), "", Vessels!G512), ""))</f>
        <v>0</v>
      </c>
      <c r="H512" s="21" t="str">
        <f>IF($N$1="Piping", IF(ISBLANK(Piping!H512), "", Piping!H512), IF($N$1="Vessels", IF(ISBLANK(Vessels!H512), "", Vessels!H512), ""))</f>
        <v/>
      </c>
      <c r="I512" s="21" t="str">
        <f>IF($N$1="Piping", IF(ISBLANK(Piping!I512), "", Piping!I512), IF($N$1="Vessels", IF(ISBLANK(Vessels!I512), "", Vessels!I512), ""))</f>
        <v/>
      </c>
      <c r="J512" s="21" t="str">
        <f>IF($N$1="Piping", IF(ISBLANK(Piping!J512), "", Piping!J512), IF($N$1="Vessels", IF(ISBLANK(Vessels!J512), "", Vessels!J512), ""))</f>
        <v/>
      </c>
      <c r="K512" s="21" t="str">
        <f>IF($N$1="Piping", IF(ISBLANK(Piping!K512), "", Piping!K512), IF($N$1="Vessels", IF(ISBLANK(Vessels!K512), "", Vessels!K512), ""))</f>
        <v/>
      </c>
      <c r="L512" s="21" t="str">
        <f>IF($N$1="Piping", IF(ISBLANK(Piping!L512), "", Piping!L512), IF($N$1="Vessels", IF(ISBLANK(Vessels!L512), "", Vessels!L512), ""))</f>
        <v/>
      </c>
      <c r="M512" s="21"/>
      <c r="N512" s="21"/>
      <c r="O512" s="21"/>
      <c r="P512" s="21"/>
      <c r="Q512" s="21" t="str">
        <f>IF($N$1="Piping", IF(ISBLANK(Piping!T512), "", Piping!T512), IF($N$1="Vessels", IF(ISBLANK(Vessels!T512), "", Vessels!T512), ""))</f>
        <v/>
      </c>
      <c r="R512" s="51" t="str">
        <f>IF($N$1="Piping", IF(ISBLANK(Piping!U512), "", Piping!U512), IF($N$1="Vessels", IF(ISBLANK(Vessels!U512), "", Vessels!U512), ""))</f>
        <v/>
      </c>
      <c r="S512" s="118" t="str">
        <f>IF(B512&lt;&gt;"",IF($N$1="Piping", IF(ISBLANK(Piping!$J$3), "", Piping!$J$3), IF($N$1="Vessels", IF(ISBLANK(Vessels!$J$3), "", Vessels!$J$3), "")),"")</f>
        <v/>
      </c>
      <c r="T512" s="37"/>
      <c r="U512" s="37"/>
      <c r="V512" s="37"/>
      <c r="W512" s="37"/>
      <c r="X512" s="37"/>
      <c r="Y512" s="37"/>
      <c r="Z512" s="37"/>
    </row>
    <row r="513" spans="1:26" ht="15.75" customHeight="1" x14ac:dyDescent="0.3">
      <c r="A513" s="22">
        <f>IF($N$1="Piping", IF(ISBLANK(Piping!A513), "", Piping!A513), IF($N$1="Vessels", IF(ISBLANK(Vessels!A513), "", Vessels!A513), ""))</f>
        <v>127.4</v>
      </c>
      <c r="B513" s="21" t="str">
        <f>IF($N$1="Piping", IF(ISBLANK(Piping!B513), "", Piping!B513), IF($N$1="Vessels", IF(ISBLANK(Vessels!B513), "", Vessels!B513), ""))</f>
        <v/>
      </c>
      <c r="C513" s="21" t="str">
        <f>IF($N$1="Piping", IF(ISBLANK(Piping!C513), "", Piping!C513), IF($N$1="Vessels", IF(ISBLANK(Vessels!C513), "", Vessels!C513), ""))</f>
        <v>Piping</v>
      </c>
      <c r="D513" s="21" t="str">
        <f>IF($N$1="Piping", IF(ISBLANK(Piping!D513), "", Piping!D513), IF($N$1="Vessels", IF(ISBLANK(Vessels!D513), "", Vessels!D513), ""))</f>
        <v/>
      </c>
      <c r="E513" s="21" t="str">
        <f>IF($N$1="Piping", IF(ISBLANK(Piping!E513), "", Piping!E513), IF($N$1="Vessels", IF(ISBLANK(Vessels!E513), "", Vessels!E513), ""))</f>
        <v/>
      </c>
      <c r="F513" s="21" t="str">
        <f>IF($N$1="Piping", IF(ISBLANK(Piping!F513), "", Piping!F513), IF($N$1="Vessels", IF(ISBLANK(Vessels!F513), "", Vessels!F513), ""))</f>
        <v/>
      </c>
      <c r="G513" s="21">
        <f>IF($N$1="Piping", IF(ISBLANK(Piping!G513), "", Piping!G513), IF($N$1="Vessels", IF(ISBLANK(Vessels!G513), "", Vessels!G513), ""))</f>
        <v>0</v>
      </c>
      <c r="H513" s="21" t="str">
        <f>IF($N$1="Piping", IF(ISBLANK(Piping!H513), "", Piping!H513), IF($N$1="Vessels", IF(ISBLANK(Vessels!H513), "", Vessels!H513), ""))</f>
        <v/>
      </c>
      <c r="I513" s="21" t="str">
        <f>IF($N$1="Piping", IF(ISBLANK(Piping!I513), "", Piping!I513), IF($N$1="Vessels", IF(ISBLANK(Vessels!I513), "", Vessels!I513), ""))</f>
        <v/>
      </c>
      <c r="J513" s="21" t="str">
        <f>IF($N$1="Piping", IF(ISBLANK(Piping!J513), "", Piping!J513), IF($N$1="Vessels", IF(ISBLANK(Vessels!J513), "", Vessels!J513), ""))</f>
        <v/>
      </c>
      <c r="K513" s="21" t="str">
        <f>IF($N$1="Piping", IF(ISBLANK(Piping!K513), "", Piping!K513), IF($N$1="Vessels", IF(ISBLANK(Vessels!K513), "", Vessels!K513), ""))</f>
        <v/>
      </c>
      <c r="L513" s="21" t="str">
        <f>IF($N$1="Piping", IF(ISBLANK(Piping!L513), "", Piping!L513), IF($N$1="Vessels", IF(ISBLANK(Vessels!L513), "", Vessels!L513), ""))</f>
        <v/>
      </c>
      <c r="M513" s="21"/>
      <c r="N513" s="21"/>
      <c r="O513" s="21"/>
      <c r="P513" s="21"/>
      <c r="Q513" s="21" t="str">
        <f>IF($N$1="Piping", IF(ISBLANK(Piping!T513), "", Piping!T513), IF($N$1="Vessels", IF(ISBLANK(Vessels!T513), "", Vessels!T513), ""))</f>
        <v/>
      </c>
      <c r="R513" s="51" t="str">
        <f>IF($N$1="Piping", IF(ISBLANK(Piping!U513), "", Piping!U513), IF($N$1="Vessels", IF(ISBLANK(Vessels!U513), "", Vessels!U513), ""))</f>
        <v/>
      </c>
      <c r="S513" s="118" t="str">
        <f>IF(B513&lt;&gt;"",IF($N$1="Piping", IF(ISBLANK(Piping!$J$3), "", Piping!$J$3), IF($N$1="Vessels", IF(ISBLANK(Vessels!$J$3), "", Vessels!$J$3), "")),"")</f>
        <v/>
      </c>
      <c r="T513" s="37"/>
      <c r="U513" s="37"/>
      <c r="V513" s="37"/>
      <c r="W513" s="37"/>
      <c r="X513" s="37"/>
      <c r="Y513" s="37"/>
      <c r="Z513" s="37"/>
    </row>
    <row r="514" spans="1:26" ht="15.75" customHeight="1" x14ac:dyDescent="0.3">
      <c r="A514" s="22">
        <f>IF($N$1="Piping", IF(ISBLANK(Piping!A514), "", Piping!A514), IF($N$1="Vessels", IF(ISBLANK(Vessels!A514), "", Vessels!A514), ""))</f>
        <v>128.1</v>
      </c>
      <c r="B514" s="21" t="str">
        <f>IF($N$1="Piping", IF(ISBLANK(Piping!B514), "", Piping!B514), IF($N$1="Vessels", IF(ISBLANK(Vessels!B514), "", Vessels!B514), ""))</f>
        <v/>
      </c>
      <c r="C514" s="21" t="str">
        <f>IF($N$1="Piping", IF(ISBLANK(Piping!C514), "", Piping!C514), IF($N$1="Vessels", IF(ISBLANK(Vessels!C514), "", Vessels!C514), ""))</f>
        <v>Piping</v>
      </c>
      <c r="D514" s="21" t="str">
        <f>IF($N$1="Piping", IF(ISBLANK(Piping!D514), "", Piping!D514), IF($N$1="Vessels", IF(ISBLANK(Vessels!D514), "", Vessels!D514), ""))</f>
        <v/>
      </c>
      <c r="E514" s="21" t="str">
        <f>IF($N$1="Piping", IF(ISBLANK(Piping!E514), "", Piping!E514), IF($N$1="Vessels", IF(ISBLANK(Vessels!E514), "", Vessels!E514), ""))</f>
        <v/>
      </c>
      <c r="F514" s="21" t="str">
        <f>IF($N$1="Piping", IF(ISBLANK(Piping!F514), "", Piping!F514), IF($N$1="Vessels", IF(ISBLANK(Vessels!F514), "", Vessels!F514), ""))</f>
        <v/>
      </c>
      <c r="G514" s="21">
        <f>IF($N$1="Piping", IF(ISBLANK(Piping!G514), "", Piping!G514), IF($N$1="Vessels", IF(ISBLANK(Vessels!G514), "", Vessels!G514), ""))</f>
        <v>0</v>
      </c>
      <c r="H514" s="21" t="str">
        <f>IF($N$1="Piping", IF(ISBLANK(Piping!H514), "", Piping!H514), IF($N$1="Vessels", IF(ISBLANK(Vessels!H514), "", Vessels!H514), ""))</f>
        <v/>
      </c>
      <c r="I514" s="21" t="str">
        <f>IF($N$1="Piping", IF(ISBLANK(Piping!I514), "", Piping!I514), IF($N$1="Vessels", IF(ISBLANK(Vessels!I514), "", Vessels!I514), ""))</f>
        <v/>
      </c>
      <c r="J514" s="21" t="str">
        <f>IF($N$1="Piping", IF(ISBLANK(Piping!J514), "", Piping!J514), IF($N$1="Vessels", IF(ISBLANK(Vessels!J514), "", Vessels!J514), ""))</f>
        <v/>
      </c>
      <c r="K514" s="21" t="str">
        <f>IF($N$1="Piping", IF(ISBLANK(Piping!K514), "", Piping!K514), IF($N$1="Vessels", IF(ISBLANK(Vessels!K514), "", Vessels!K514), ""))</f>
        <v/>
      </c>
      <c r="L514" s="21" t="str">
        <f>IF($N$1="Piping", IF(ISBLANK(Piping!L514), "", Piping!L514), IF($N$1="Vessels", IF(ISBLANK(Vessels!L514), "", Vessels!L514), ""))</f>
        <v/>
      </c>
      <c r="M514" s="21"/>
      <c r="N514" s="21"/>
      <c r="O514" s="21"/>
      <c r="P514" s="21"/>
      <c r="Q514" s="21" t="str">
        <f>IF($N$1="Piping", IF(ISBLANK(Piping!T514), "", Piping!T514), IF($N$1="Vessels", IF(ISBLANK(Vessels!T514), "", Vessels!T514), ""))</f>
        <v/>
      </c>
      <c r="R514" s="51" t="str">
        <f>IF($N$1="Piping", IF(ISBLANK(Piping!U514), "", Piping!U514), IF($N$1="Vessels", IF(ISBLANK(Vessels!U514), "", Vessels!U514), ""))</f>
        <v/>
      </c>
      <c r="S514" s="118" t="str">
        <f>IF(B514&lt;&gt;"",IF($N$1="Piping", IF(ISBLANK(Piping!$J$3), "", Piping!$J$3), IF($N$1="Vessels", IF(ISBLANK(Vessels!$J$3), "", Vessels!$J$3), "")),"")</f>
        <v/>
      </c>
      <c r="T514" s="37"/>
      <c r="U514" s="37"/>
      <c r="V514" s="37"/>
      <c r="W514" s="37"/>
      <c r="X514" s="37"/>
      <c r="Y514" s="37"/>
      <c r="Z514" s="37"/>
    </row>
    <row r="515" spans="1:26" ht="15.75" customHeight="1" x14ac:dyDescent="0.3">
      <c r="A515" s="22">
        <f>IF($N$1="Piping", IF(ISBLANK(Piping!A515), "", Piping!A515), IF($N$1="Vessels", IF(ISBLANK(Vessels!A515), "", Vessels!A515), ""))</f>
        <v>128.19999999999999</v>
      </c>
      <c r="B515" s="21" t="str">
        <f>IF($N$1="Piping", IF(ISBLANK(Piping!B515), "", Piping!B515), IF($N$1="Vessels", IF(ISBLANK(Vessels!B515), "", Vessels!B515), ""))</f>
        <v/>
      </c>
      <c r="C515" s="21" t="str">
        <f>IF($N$1="Piping", IF(ISBLANK(Piping!C515), "", Piping!C515), IF($N$1="Vessels", IF(ISBLANK(Vessels!C515), "", Vessels!C515), ""))</f>
        <v>Piping</v>
      </c>
      <c r="D515" s="21" t="str">
        <f>IF($N$1="Piping", IF(ISBLANK(Piping!D515), "", Piping!D515), IF($N$1="Vessels", IF(ISBLANK(Vessels!D515), "", Vessels!D515), ""))</f>
        <v/>
      </c>
      <c r="E515" s="21" t="str">
        <f>IF($N$1="Piping", IF(ISBLANK(Piping!E515), "", Piping!E515), IF($N$1="Vessels", IF(ISBLANK(Vessels!E515), "", Vessels!E515), ""))</f>
        <v/>
      </c>
      <c r="F515" s="21" t="str">
        <f>IF($N$1="Piping", IF(ISBLANK(Piping!F515), "", Piping!F515), IF($N$1="Vessels", IF(ISBLANK(Vessels!F515), "", Vessels!F515), ""))</f>
        <v/>
      </c>
      <c r="G515" s="21">
        <f>IF($N$1="Piping", IF(ISBLANK(Piping!G515), "", Piping!G515), IF($N$1="Vessels", IF(ISBLANK(Vessels!G515), "", Vessels!G515), ""))</f>
        <v>0</v>
      </c>
      <c r="H515" s="21" t="str">
        <f>IF($N$1="Piping", IF(ISBLANK(Piping!H515), "", Piping!H515), IF($N$1="Vessels", IF(ISBLANK(Vessels!H515), "", Vessels!H515), ""))</f>
        <v/>
      </c>
      <c r="I515" s="21" t="str">
        <f>IF($N$1="Piping", IF(ISBLANK(Piping!I515), "", Piping!I515), IF($N$1="Vessels", IF(ISBLANK(Vessels!I515), "", Vessels!I515), ""))</f>
        <v/>
      </c>
      <c r="J515" s="21" t="str">
        <f>IF($N$1="Piping", IF(ISBLANK(Piping!J515), "", Piping!J515), IF($N$1="Vessels", IF(ISBLANK(Vessels!J515), "", Vessels!J515), ""))</f>
        <v/>
      </c>
      <c r="K515" s="21" t="str">
        <f>IF($N$1="Piping", IF(ISBLANK(Piping!K515), "", Piping!K515), IF($N$1="Vessels", IF(ISBLANK(Vessels!K515), "", Vessels!K515), ""))</f>
        <v/>
      </c>
      <c r="L515" s="21" t="str">
        <f>IF($N$1="Piping", IF(ISBLANK(Piping!L515), "", Piping!L515), IF($N$1="Vessels", IF(ISBLANK(Vessels!L515), "", Vessels!L515), ""))</f>
        <v/>
      </c>
      <c r="M515" s="21"/>
      <c r="N515" s="21"/>
      <c r="O515" s="21"/>
      <c r="P515" s="21"/>
      <c r="Q515" s="21" t="str">
        <f>IF($N$1="Piping", IF(ISBLANK(Piping!T515), "", Piping!T515), IF($N$1="Vessels", IF(ISBLANK(Vessels!T515), "", Vessels!T515), ""))</f>
        <v/>
      </c>
      <c r="R515" s="51" t="str">
        <f>IF($N$1="Piping", IF(ISBLANK(Piping!U515), "", Piping!U515), IF($N$1="Vessels", IF(ISBLANK(Vessels!U515), "", Vessels!U515), ""))</f>
        <v/>
      </c>
      <c r="S515" s="118" t="str">
        <f>IF(B515&lt;&gt;"",IF($N$1="Piping", IF(ISBLANK(Piping!$J$3), "", Piping!$J$3), IF($N$1="Vessels", IF(ISBLANK(Vessels!$J$3), "", Vessels!$J$3), "")),"")</f>
        <v/>
      </c>
      <c r="T515" s="37"/>
      <c r="U515" s="37"/>
      <c r="V515" s="37"/>
      <c r="W515" s="37"/>
      <c r="X515" s="37"/>
      <c r="Y515" s="37"/>
      <c r="Z515" s="37"/>
    </row>
    <row r="516" spans="1:26" ht="15.75" customHeight="1" x14ac:dyDescent="0.3">
      <c r="A516" s="22">
        <f>IF($N$1="Piping", IF(ISBLANK(Piping!A516), "", Piping!A516), IF($N$1="Vessels", IF(ISBLANK(Vessels!A516), "", Vessels!A516), ""))</f>
        <v>128.30000000000001</v>
      </c>
      <c r="B516" s="21" t="str">
        <f>IF($N$1="Piping", IF(ISBLANK(Piping!B516), "", Piping!B516), IF($N$1="Vessels", IF(ISBLANK(Vessels!B516), "", Vessels!B516), ""))</f>
        <v/>
      </c>
      <c r="C516" s="21" t="str">
        <f>IF($N$1="Piping", IF(ISBLANK(Piping!C516), "", Piping!C516), IF($N$1="Vessels", IF(ISBLANK(Vessels!C516), "", Vessels!C516), ""))</f>
        <v>Piping</v>
      </c>
      <c r="D516" s="21" t="str">
        <f>IF($N$1="Piping", IF(ISBLANK(Piping!D516), "", Piping!D516), IF($N$1="Vessels", IF(ISBLANK(Vessels!D516), "", Vessels!D516), ""))</f>
        <v/>
      </c>
      <c r="E516" s="21" t="str">
        <f>IF($N$1="Piping", IF(ISBLANK(Piping!E516), "", Piping!E516), IF($N$1="Vessels", IF(ISBLANK(Vessels!E516), "", Vessels!E516), ""))</f>
        <v/>
      </c>
      <c r="F516" s="21" t="str">
        <f>IF($N$1="Piping", IF(ISBLANK(Piping!F516), "", Piping!F516), IF($N$1="Vessels", IF(ISBLANK(Vessels!F516), "", Vessels!F516), ""))</f>
        <v/>
      </c>
      <c r="G516" s="21">
        <f>IF($N$1="Piping", IF(ISBLANK(Piping!G516), "", Piping!G516), IF($N$1="Vessels", IF(ISBLANK(Vessels!G516), "", Vessels!G516), ""))</f>
        <v>0</v>
      </c>
      <c r="H516" s="21" t="str">
        <f>IF($N$1="Piping", IF(ISBLANK(Piping!H516), "", Piping!H516), IF($N$1="Vessels", IF(ISBLANK(Vessels!H516), "", Vessels!H516), ""))</f>
        <v/>
      </c>
      <c r="I516" s="21" t="str">
        <f>IF($N$1="Piping", IF(ISBLANK(Piping!I516), "", Piping!I516), IF($N$1="Vessels", IF(ISBLANK(Vessels!I516), "", Vessels!I516), ""))</f>
        <v/>
      </c>
      <c r="J516" s="21" t="str">
        <f>IF($N$1="Piping", IF(ISBLANK(Piping!J516), "", Piping!J516), IF($N$1="Vessels", IF(ISBLANK(Vessels!J516), "", Vessels!J516), ""))</f>
        <v/>
      </c>
      <c r="K516" s="21" t="str">
        <f>IF($N$1="Piping", IF(ISBLANK(Piping!K516), "", Piping!K516), IF($N$1="Vessels", IF(ISBLANK(Vessels!K516), "", Vessels!K516), ""))</f>
        <v/>
      </c>
      <c r="L516" s="21" t="str">
        <f>IF($N$1="Piping", IF(ISBLANK(Piping!L516), "", Piping!L516), IF($N$1="Vessels", IF(ISBLANK(Vessels!L516), "", Vessels!L516), ""))</f>
        <v/>
      </c>
      <c r="M516" s="21"/>
      <c r="N516" s="21"/>
      <c r="O516" s="21"/>
      <c r="P516" s="21"/>
      <c r="Q516" s="21" t="str">
        <f>IF($N$1="Piping", IF(ISBLANK(Piping!T516), "", Piping!T516), IF($N$1="Vessels", IF(ISBLANK(Vessels!T516), "", Vessels!T516), ""))</f>
        <v/>
      </c>
      <c r="R516" s="51" t="str">
        <f>IF($N$1="Piping", IF(ISBLANK(Piping!U516), "", Piping!U516), IF($N$1="Vessels", IF(ISBLANK(Vessels!U516), "", Vessels!U516), ""))</f>
        <v/>
      </c>
      <c r="S516" s="118" t="str">
        <f>IF(B516&lt;&gt;"",IF($N$1="Piping", IF(ISBLANK(Piping!$J$3), "", Piping!$J$3), IF($N$1="Vessels", IF(ISBLANK(Vessels!$J$3), "", Vessels!$J$3), "")),"")</f>
        <v/>
      </c>
      <c r="T516" s="37"/>
      <c r="U516" s="37"/>
      <c r="V516" s="37"/>
      <c r="W516" s="37"/>
      <c r="X516" s="37"/>
      <c r="Y516" s="37"/>
      <c r="Z516" s="37"/>
    </row>
    <row r="517" spans="1:26" ht="15.75" customHeight="1" x14ac:dyDescent="0.3">
      <c r="A517" s="22">
        <f>IF($N$1="Piping", IF(ISBLANK(Piping!A517), "", Piping!A517), IF($N$1="Vessels", IF(ISBLANK(Vessels!A517), "", Vessels!A517), ""))</f>
        <v>128.4</v>
      </c>
      <c r="B517" s="21" t="str">
        <f>IF($N$1="Piping", IF(ISBLANK(Piping!B517), "", Piping!B517), IF($N$1="Vessels", IF(ISBLANK(Vessels!B517), "", Vessels!B517), ""))</f>
        <v/>
      </c>
      <c r="C517" s="21" t="str">
        <f>IF($N$1="Piping", IF(ISBLANK(Piping!C517), "", Piping!C517), IF($N$1="Vessels", IF(ISBLANK(Vessels!C517), "", Vessels!C517), ""))</f>
        <v>Piping</v>
      </c>
      <c r="D517" s="21" t="str">
        <f>IF($N$1="Piping", IF(ISBLANK(Piping!D517), "", Piping!D517), IF($N$1="Vessels", IF(ISBLANK(Vessels!D517), "", Vessels!D517), ""))</f>
        <v/>
      </c>
      <c r="E517" s="21" t="str">
        <f>IF($N$1="Piping", IF(ISBLANK(Piping!E517), "", Piping!E517), IF($N$1="Vessels", IF(ISBLANK(Vessels!E517), "", Vessels!E517), ""))</f>
        <v/>
      </c>
      <c r="F517" s="21" t="str">
        <f>IF($N$1="Piping", IF(ISBLANK(Piping!F517), "", Piping!F517), IF($N$1="Vessels", IF(ISBLANK(Vessels!F517), "", Vessels!F517), ""))</f>
        <v/>
      </c>
      <c r="G517" s="21">
        <f>IF($N$1="Piping", IF(ISBLANK(Piping!G517), "", Piping!G517), IF($N$1="Vessels", IF(ISBLANK(Vessels!G517), "", Vessels!G517), ""))</f>
        <v>0</v>
      </c>
      <c r="H517" s="21" t="str">
        <f>IF($N$1="Piping", IF(ISBLANK(Piping!H517), "", Piping!H517), IF($N$1="Vessels", IF(ISBLANK(Vessels!H517), "", Vessels!H517), ""))</f>
        <v/>
      </c>
      <c r="I517" s="21" t="str">
        <f>IF($N$1="Piping", IF(ISBLANK(Piping!I517), "", Piping!I517), IF($N$1="Vessels", IF(ISBLANK(Vessels!I517), "", Vessels!I517), ""))</f>
        <v/>
      </c>
      <c r="J517" s="21" t="str">
        <f>IF($N$1="Piping", IF(ISBLANK(Piping!J517), "", Piping!J517), IF($N$1="Vessels", IF(ISBLANK(Vessels!J517), "", Vessels!J517), ""))</f>
        <v/>
      </c>
      <c r="K517" s="21" t="str">
        <f>IF($N$1="Piping", IF(ISBLANK(Piping!K517), "", Piping!K517), IF($N$1="Vessels", IF(ISBLANK(Vessels!K517), "", Vessels!K517), ""))</f>
        <v/>
      </c>
      <c r="L517" s="21" t="str">
        <f>IF($N$1="Piping", IF(ISBLANK(Piping!L517), "", Piping!L517), IF($N$1="Vessels", IF(ISBLANK(Vessels!L517), "", Vessels!L517), ""))</f>
        <v/>
      </c>
      <c r="M517" s="21"/>
      <c r="N517" s="21"/>
      <c r="O517" s="21"/>
      <c r="P517" s="21"/>
      <c r="Q517" s="21" t="str">
        <f>IF($N$1="Piping", IF(ISBLANK(Piping!T517), "", Piping!T517), IF($N$1="Vessels", IF(ISBLANK(Vessels!T517), "", Vessels!T517), ""))</f>
        <v/>
      </c>
      <c r="R517" s="51" t="str">
        <f>IF($N$1="Piping", IF(ISBLANK(Piping!U517), "", Piping!U517), IF($N$1="Vessels", IF(ISBLANK(Vessels!U517), "", Vessels!U517), ""))</f>
        <v/>
      </c>
      <c r="S517" s="118" t="str">
        <f>IF(B517&lt;&gt;"",IF($N$1="Piping", IF(ISBLANK(Piping!$J$3), "", Piping!$J$3), IF($N$1="Vessels", IF(ISBLANK(Vessels!$J$3), "", Vessels!$J$3), "")),"")</f>
        <v/>
      </c>
      <c r="T517" s="37"/>
      <c r="U517" s="37"/>
      <c r="V517" s="37"/>
      <c r="W517" s="37"/>
      <c r="X517" s="37"/>
      <c r="Y517" s="37"/>
      <c r="Z517" s="37"/>
    </row>
    <row r="518" spans="1:26" ht="15.75" customHeight="1" x14ac:dyDescent="0.3">
      <c r="A518" s="22">
        <f>IF($N$1="Piping", IF(ISBLANK(Piping!A518), "", Piping!A518), IF($N$1="Vessels", IF(ISBLANK(Vessels!A518), "", Vessels!A518), ""))</f>
        <v>129.1</v>
      </c>
      <c r="B518" s="21" t="str">
        <f>IF($N$1="Piping", IF(ISBLANK(Piping!B518), "", Piping!B518), IF($N$1="Vessels", IF(ISBLANK(Vessels!B518), "", Vessels!B518), ""))</f>
        <v/>
      </c>
      <c r="C518" s="21" t="str">
        <f>IF($N$1="Piping", IF(ISBLANK(Piping!C518), "", Piping!C518), IF($N$1="Vessels", IF(ISBLANK(Vessels!C518), "", Vessels!C518), ""))</f>
        <v>Piping</v>
      </c>
      <c r="D518" s="21" t="str">
        <f>IF($N$1="Piping", IF(ISBLANK(Piping!D518), "", Piping!D518), IF($N$1="Vessels", IF(ISBLANK(Vessels!D518), "", Vessels!D518), ""))</f>
        <v/>
      </c>
      <c r="E518" s="21" t="str">
        <f>IF($N$1="Piping", IF(ISBLANK(Piping!E518), "", Piping!E518), IF($N$1="Vessels", IF(ISBLANK(Vessels!E518), "", Vessels!E518), ""))</f>
        <v/>
      </c>
      <c r="F518" s="21" t="str">
        <f>IF($N$1="Piping", IF(ISBLANK(Piping!F518), "", Piping!F518), IF($N$1="Vessels", IF(ISBLANK(Vessels!F518), "", Vessels!F518), ""))</f>
        <v/>
      </c>
      <c r="G518" s="21">
        <f>IF($N$1="Piping", IF(ISBLANK(Piping!G518), "", Piping!G518), IF($N$1="Vessels", IF(ISBLANK(Vessels!G518), "", Vessels!G518), ""))</f>
        <v>0</v>
      </c>
      <c r="H518" s="21" t="str">
        <f>IF($N$1="Piping", IF(ISBLANK(Piping!H518), "", Piping!H518), IF($N$1="Vessels", IF(ISBLANK(Vessels!H518), "", Vessels!H518), ""))</f>
        <v/>
      </c>
      <c r="I518" s="21" t="str">
        <f>IF($N$1="Piping", IF(ISBLANK(Piping!I518), "", Piping!I518), IF($N$1="Vessels", IF(ISBLANK(Vessels!I518), "", Vessels!I518), ""))</f>
        <v/>
      </c>
      <c r="J518" s="21" t="str">
        <f>IF($N$1="Piping", IF(ISBLANK(Piping!J518), "", Piping!J518), IF($N$1="Vessels", IF(ISBLANK(Vessels!J518), "", Vessels!J518), ""))</f>
        <v/>
      </c>
      <c r="K518" s="21" t="str">
        <f>IF($N$1="Piping", IF(ISBLANK(Piping!K518), "", Piping!K518), IF($N$1="Vessels", IF(ISBLANK(Vessels!K518), "", Vessels!K518), ""))</f>
        <v/>
      </c>
      <c r="L518" s="21" t="str">
        <f>IF($N$1="Piping", IF(ISBLANK(Piping!L518), "", Piping!L518), IF($N$1="Vessels", IF(ISBLANK(Vessels!L518), "", Vessels!L518), ""))</f>
        <v/>
      </c>
      <c r="M518" s="21"/>
      <c r="N518" s="21"/>
      <c r="O518" s="21"/>
      <c r="P518" s="21"/>
      <c r="Q518" s="21" t="str">
        <f>IF($N$1="Piping", IF(ISBLANK(Piping!T518), "", Piping!T518), IF($N$1="Vessels", IF(ISBLANK(Vessels!T518), "", Vessels!T518), ""))</f>
        <v/>
      </c>
      <c r="R518" s="51" t="str">
        <f>IF($N$1="Piping", IF(ISBLANK(Piping!U518), "", Piping!U518), IF($N$1="Vessels", IF(ISBLANK(Vessels!U518), "", Vessels!U518), ""))</f>
        <v/>
      </c>
      <c r="S518" s="118" t="str">
        <f>IF(B518&lt;&gt;"",IF($N$1="Piping", IF(ISBLANK(Piping!$J$3), "", Piping!$J$3), IF($N$1="Vessels", IF(ISBLANK(Vessels!$J$3), "", Vessels!$J$3), "")),"")</f>
        <v/>
      </c>
      <c r="T518" s="37"/>
      <c r="U518" s="37"/>
      <c r="V518" s="37"/>
      <c r="W518" s="37"/>
      <c r="X518" s="37"/>
      <c r="Y518" s="37"/>
      <c r="Z518" s="37"/>
    </row>
    <row r="519" spans="1:26" ht="15.75" customHeight="1" x14ac:dyDescent="0.3">
      <c r="A519" s="22">
        <f>IF($N$1="Piping", IF(ISBLANK(Piping!A519), "", Piping!A519), IF($N$1="Vessels", IF(ISBLANK(Vessels!A519), "", Vessels!A519), ""))</f>
        <v>129.19999999999999</v>
      </c>
      <c r="B519" s="21" t="str">
        <f>IF($N$1="Piping", IF(ISBLANK(Piping!B519), "", Piping!B519), IF($N$1="Vessels", IF(ISBLANK(Vessels!B519), "", Vessels!B519), ""))</f>
        <v/>
      </c>
      <c r="C519" s="21" t="str">
        <f>IF($N$1="Piping", IF(ISBLANK(Piping!C519), "", Piping!C519), IF($N$1="Vessels", IF(ISBLANK(Vessels!C519), "", Vessels!C519), ""))</f>
        <v>Piping</v>
      </c>
      <c r="D519" s="21" t="str">
        <f>IF($N$1="Piping", IF(ISBLANK(Piping!D519), "", Piping!D519), IF($N$1="Vessels", IF(ISBLANK(Vessels!D519), "", Vessels!D519), ""))</f>
        <v/>
      </c>
      <c r="E519" s="21" t="str">
        <f>IF($N$1="Piping", IF(ISBLANK(Piping!E519), "", Piping!E519), IF($N$1="Vessels", IF(ISBLANK(Vessels!E519), "", Vessels!E519), ""))</f>
        <v/>
      </c>
      <c r="F519" s="21" t="str">
        <f>IF($N$1="Piping", IF(ISBLANK(Piping!F519), "", Piping!F519), IF($N$1="Vessels", IF(ISBLANK(Vessels!F519), "", Vessels!F519), ""))</f>
        <v/>
      </c>
      <c r="G519" s="21">
        <f>IF($N$1="Piping", IF(ISBLANK(Piping!G519), "", Piping!G519), IF($N$1="Vessels", IF(ISBLANK(Vessels!G519), "", Vessels!G519), ""))</f>
        <v>0</v>
      </c>
      <c r="H519" s="21" t="str">
        <f>IF($N$1="Piping", IF(ISBLANK(Piping!H519), "", Piping!H519), IF($N$1="Vessels", IF(ISBLANK(Vessels!H519), "", Vessels!H519), ""))</f>
        <v/>
      </c>
      <c r="I519" s="21" t="str">
        <f>IF($N$1="Piping", IF(ISBLANK(Piping!I519), "", Piping!I519), IF($N$1="Vessels", IF(ISBLANK(Vessels!I519), "", Vessels!I519), ""))</f>
        <v/>
      </c>
      <c r="J519" s="21" t="str">
        <f>IF($N$1="Piping", IF(ISBLANK(Piping!J519), "", Piping!J519), IF($N$1="Vessels", IF(ISBLANK(Vessels!J519), "", Vessels!J519), ""))</f>
        <v/>
      </c>
      <c r="K519" s="21" t="str">
        <f>IF($N$1="Piping", IF(ISBLANK(Piping!K519), "", Piping!K519), IF($N$1="Vessels", IF(ISBLANK(Vessels!K519), "", Vessels!K519), ""))</f>
        <v/>
      </c>
      <c r="L519" s="21" t="str">
        <f>IF($N$1="Piping", IF(ISBLANK(Piping!L519), "", Piping!L519), IF($N$1="Vessels", IF(ISBLANK(Vessels!L519), "", Vessels!L519), ""))</f>
        <v/>
      </c>
      <c r="M519" s="21"/>
      <c r="N519" s="21"/>
      <c r="O519" s="21"/>
      <c r="P519" s="21"/>
      <c r="Q519" s="21" t="str">
        <f>IF($N$1="Piping", IF(ISBLANK(Piping!T519), "", Piping!T519), IF($N$1="Vessels", IF(ISBLANK(Vessels!T519), "", Vessels!T519), ""))</f>
        <v/>
      </c>
      <c r="R519" s="51" t="str">
        <f>IF($N$1="Piping", IF(ISBLANK(Piping!U519), "", Piping!U519), IF($N$1="Vessels", IF(ISBLANK(Vessels!U519), "", Vessels!U519), ""))</f>
        <v/>
      </c>
      <c r="S519" s="118" t="str">
        <f>IF(B519&lt;&gt;"",IF($N$1="Piping", IF(ISBLANK(Piping!$J$3), "", Piping!$J$3), IF($N$1="Vessels", IF(ISBLANK(Vessels!$J$3), "", Vessels!$J$3), "")),"")</f>
        <v/>
      </c>
      <c r="T519" s="37"/>
      <c r="U519" s="37"/>
      <c r="V519" s="37"/>
      <c r="W519" s="37"/>
      <c r="X519" s="37"/>
      <c r="Y519" s="37"/>
      <c r="Z519" s="37"/>
    </row>
    <row r="520" spans="1:26" ht="15.75" customHeight="1" x14ac:dyDescent="0.3">
      <c r="A520" s="22">
        <f>IF($N$1="Piping", IF(ISBLANK(Piping!A520), "", Piping!A520), IF($N$1="Vessels", IF(ISBLANK(Vessels!A520), "", Vessels!A520), ""))</f>
        <v>129.30000000000001</v>
      </c>
      <c r="B520" s="21" t="str">
        <f>IF($N$1="Piping", IF(ISBLANK(Piping!B520), "", Piping!B520), IF($N$1="Vessels", IF(ISBLANK(Vessels!B520), "", Vessels!B520), ""))</f>
        <v/>
      </c>
      <c r="C520" s="21" t="str">
        <f>IF($N$1="Piping", IF(ISBLANK(Piping!C520), "", Piping!C520), IF($N$1="Vessels", IF(ISBLANK(Vessels!C520), "", Vessels!C520), ""))</f>
        <v>Piping</v>
      </c>
      <c r="D520" s="21" t="str">
        <f>IF($N$1="Piping", IF(ISBLANK(Piping!D520), "", Piping!D520), IF($N$1="Vessels", IF(ISBLANK(Vessels!D520), "", Vessels!D520), ""))</f>
        <v/>
      </c>
      <c r="E520" s="21" t="str">
        <f>IF($N$1="Piping", IF(ISBLANK(Piping!E520), "", Piping!E520), IF($N$1="Vessels", IF(ISBLANK(Vessels!E520), "", Vessels!E520), ""))</f>
        <v/>
      </c>
      <c r="F520" s="21" t="str">
        <f>IF($N$1="Piping", IF(ISBLANK(Piping!F520), "", Piping!F520), IF($N$1="Vessels", IF(ISBLANK(Vessels!F520), "", Vessels!F520), ""))</f>
        <v/>
      </c>
      <c r="G520" s="21">
        <f>IF($N$1="Piping", IF(ISBLANK(Piping!G520), "", Piping!G520), IF($N$1="Vessels", IF(ISBLANK(Vessels!G520), "", Vessels!G520), ""))</f>
        <v>0</v>
      </c>
      <c r="H520" s="21" t="str">
        <f>IF($N$1="Piping", IF(ISBLANK(Piping!H520), "", Piping!H520), IF($N$1="Vessels", IF(ISBLANK(Vessels!H520), "", Vessels!H520), ""))</f>
        <v/>
      </c>
      <c r="I520" s="21" t="str">
        <f>IF($N$1="Piping", IF(ISBLANK(Piping!I520), "", Piping!I520), IF($N$1="Vessels", IF(ISBLANK(Vessels!I520), "", Vessels!I520), ""))</f>
        <v/>
      </c>
      <c r="J520" s="21" t="str">
        <f>IF($N$1="Piping", IF(ISBLANK(Piping!J520), "", Piping!J520), IF($N$1="Vessels", IF(ISBLANK(Vessels!J520), "", Vessels!J520), ""))</f>
        <v/>
      </c>
      <c r="K520" s="21" t="str">
        <f>IF($N$1="Piping", IF(ISBLANK(Piping!K520), "", Piping!K520), IF($N$1="Vessels", IF(ISBLANK(Vessels!K520), "", Vessels!K520), ""))</f>
        <v/>
      </c>
      <c r="L520" s="21" t="str">
        <f>IF($N$1="Piping", IF(ISBLANK(Piping!L520), "", Piping!L520), IF($N$1="Vessels", IF(ISBLANK(Vessels!L520), "", Vessels!L520), ""))</f>
        <v/>
      </c>
      <c r="M520" s="21"/>
      <c r="N520" s="21"/>
      <c r="O520" s="21"/>
      <c r="P520" s="21"/>
      <c r="Q520" s="21" t="str">
        <f>IF($N$1="Piping", IF(ISBLANK(Piping!T520), "", Piping!T520), IF($N$1="Vessels", IF(ISBLANK(Vessels!T520), "", Vessels!T520), ""))</f>
        <v/>
      </c>
      <c r="R520" s="51" t="str">
        <f>IF($N$1="Piping", IF(ISBLANK(Piping!U520), "", Piping!U520), IF($N$1="Vessels", IF(ISBLANK(Vessels!U520), "", Vessels!U520), ""))</f>
        <v/>
      </c>
      <c r="S520" s="118" t="str">
        <f>IF(B520&lt;&gt;"",IF($N$1="Piping", IF(ISBLANK(Piping!$J$3), "", Piping!$J$3), IF($N$1="Vessels", IF(ISBLANK(Vessels!$J$3), "", Vessels!$J$3), "")),"")</f>
        <v/>
      </c>
      <c r="T520" s="37"/>
      <c r="U520" s="37"/>
      <c r="V520" s="37"/>
      <c r="W520" s="37"/>
      <c r="X520" s="37"/>
      <c r="Y520" s="37"/>
      <c r="Z520" s="37"/>
    </row>
    <row r="521" spans="1:26" ht="15.75" customHeight="1" x14ac:dyDescent="0.3">
      <c r="A521" s="22">
        <f>IF($N$1="Piping", IF(ISBLANK(Piping!A521), "", Piping!A521), IF($N$1="Vessels", IF(ISBLANK(Vessels!A521), "", Vessels!A521), ""))</f>
        <v>129.4</v>
      </c>
      <c r="B521" s="21" t="str">
        <f>IF($N$1="Piping", IF(ISBLANK(Piping!B521), "", Piping!B521), IF($N$1="Vessels", IF(ISBLANK(Vessels!B521), "", Vessels!B521), ""))</f>
        <v/>
      </c>
      <c r="C521" s="21" t="str">
        <f>IF($N$1="Piping", IF(ISBLANK(Piping!C521), "", Piping!C521), IF($N$1="Vessels", IF(ISBLANK(Vessels!C521), "", Vessels!C521), ""))</f>
        <v>Piping</v>
      </c>
      <c r="D521" s="21" t="str">
        <f>IF($N$1="Piping", IF(ISBLANK(Piping!D521), "", Piping!D521), IF($N$1="Vessels", IF(ISBLANK(Vessels!D521), "", Vessels!D521), ""))</f>
        <v/>
      </c>
      <c r="E521" s="21" t="str">
        <f>IF($N$1="Piping", IF(ISBLANK(Piping!E521), "", Piping!E521), IF($N$1="Vessels", IF(ISBLANK(Vessels!E521), "", Vessels!E521), ""))</f>
        <v/>
      </c>
      <c r="F521" s="21" t="str">
        <f>IF($N$1="Piping", IF(ISBLANK(Piping!F521), "", Piping!F521), IF($N$1="Vessels", IF(ISBLANK(Vessels!F521), "", Vessels!F521), ""))</f>
        <v/>
      </c>
      <c r="G521" s="21">
        <f>IF($N$1="Piping", IF(ISBLANK(Piping!G521), "", Piping!G521), IF($N$1="Vessels", IF(ISBLANK(Vessels!G521), "", Vessels!G521), ""))</f>
        <v>0</v>
      </c>
      <c r="H521" s="21" t="str">
        <f>IF($N$1="Piping", IF(ISBLANK(Piping!H521), "", Piping!H521), IF($N$1="Vessels", IF(ISBLANK(Vessels!H521), "", Vessels!H521), ""))</f>
        <v/>
      </c>
      <c r="I521" s="21" t="str">
        <f>IF($N$1="Piping", IF(ISBLANK(Piping!I521), "", Piping!I521), IF($N$1="Vessels", IF(ISBLANK(Vessels!I521), "", Vessels!I521), ""))</f>
        <v/>
      </c>
      <c r="J521" s="21" t="str">
        <f>IF($N$1="Piping", IF(ISBLANK(Piping!J521), "", Piping!J521), IF($N$1="Vessels", IF(ISBLANK(Vessels!J521), "", Vessels!J521), ""))</f>
        <v/>
      </c>
      <c r="K521" s="21" t="str">
        <f>IF($N$1="Piping", IF(ISBLANK(Piping!K521), "", Piping!K521), IF($N$1="Vessels", IF(ISBLANK(Vessels!K521), "", Vessels!K521), ""))</f>
        <v/>
      </c>
      <c r="L521" s="21" t="str">
        <f>IF($N$1="Piping", IF(ISBLANK(Piping!L521), "", Piping!L521), IF($N$1="Vessels", IF(ISBLANK(Vessels!L521), "", Vessels!L521), ""))</f>
        <v/>
      </c>
      <c r="M521" s="21"/>
      <c r="N521" s="21"/>
      <c r="O521" s="21"/>
      <c r="P521" s="21"/>
      <c r="Q521" s="21" t="str">
        <f>IF($N$1="Piping", IF(ISBLANK(Piping!T521), "", Piping!T521), IF($N$1="Vessels", IF(ISBLANK(Vessels!T521), "", Vessels!T521), ""))</f>
        <v/>
      </c>
      <c r="R521" s="51" t="str">
        <f>IF($N$1="Piping", IF(ISBLANK(Piping!U521), "", Piping!U521), IF($N$1="Vessels", IF(ISBLANK(Vessels!U521), "", Vessels!U521), ""))</f>
        <v/>
      </c>
      <c r="S521" s="118" t="str">
        <f>IF(B521&lt;&gt;"",IF($N$1="Piping", IF(ISBLANK(Piping!$J$3), "", Piping!$J$3), IF($N$1="Vessels", IF(ISBLANK(Vessels!$J$3), "", Vessels!$J$3), "")),"")</f>
        <v/>
      </c>
      <c r="T521" s="37"/>
      <c r="U521" s="37"/>
      <c r="V521" s="37"/>
      <c r="W521" s="37"/>
      <c r="X521" s="37"/>
      <c r="Y521" s="37"/>
      <c r="Z521" s="37"/>
    </row>
    <row r="522" spans="1:26" ht="15.75" customHeight="1" x14ac:dyDescent="0.3">
      <c r="A522" s="22">
        <f>IF($N$1="Piping", IF(ISBLANK(Piping!A522), "", Piping!A522), IF($N$1="Vessels", IF(ISBLANK(Vessels!A522), "", Vessels!A522), ""))</f>
        <v>130.1</v>
      </c>
      <c r="B522" s="21" t="str">
        <f>IF($N$1="Piping", IF(ISBLANK(Piping!B522), "", Piping!B522), IF($N$1="Vessels", IF(ISBLANK(Vessels!B522), "", Vessels!B522), ""))</f>
        <v/>
      </c>
      <c r="C522" s="21" t="str">
        <f>IF($N$1="Piping", IF(ISBLANK(Piping!C522), "", Piping!C522), IF($N$1="Vessels", IF(ISBLANK(Vessels!C522), "", Vessels!C522), ""))</f>
        <v>Piping</v>
      </c>
      <c r="D522" s="21" t="str">
        <f>IF($N$1="Piping", IF(ISBLANK(Piping!D522), "", Piping!D522), IF($N$1="Vessels", IF(ISBLANK(Vessels!D522), "", Vessels!D522), ""))</f>
        <v/>
      </c>
      <c r="E522" s="21" t="str">
        <f>IF($N$1="Piping", IF(ISBLANK(Piping!E522), "", Piping!E522), IF($N$1="Vessels", IF(ISBLANK(Vessels!E522), "", Vessels!E522), ""))</f>
        <v/>
      </c>
      <c r="F522" s="21" t="str">
        <f>IF($N$1="Piping", IF(ISBLANK(Piping!F522), "", Piping!F522), IF($N$1="Vessels", IF(ISBLANK(Vessels!F522), "", Vessels!F522), ""))</f>
        <v/>
      </c>
      <c r="G522" s="21">
        <f>IF($N$1="Piping", IF(ISBLANK(Piping!G522), "", Piping!G522), IF($N$1="Vessels", IF(ISBLANK(Vessels!G522), "", Vessels!G522), ""))</f>
        <v>0</v>
      </c>
      <c r="H522" s="21" t="str">
        <f>IF($N$1="Piping", IF(ISBLANK(Piping!H522), "", Piping!H522), IF($N$1="Vessels", IF(ISBLANK(Vessels!H522), "", Vessels!H522), ""))</f>
        <v/>
      </c>
      <c r="I522" s="21" t="str">
        <f>IF($N$1="Piping", IF(ISBLANK(Piping!I522), "", Piping!I522), IF($N$1="Vessels", IF(ISBLANK(Vessels!I522), "", Vessels!I522), ""))</f>
        <v/>
      </c>
      <c r="J522" s="21" t="str">
        <f>IF($N$1="Piping", IF(ISBLANK(Piping!J522), "", Piping!J522), IF($N$1="Vessels", IF(ISBLANK(Vessels!J522), "", Vessels!J522), ""))</f>
        <v/>
      </c>
      <c r="K522" s="21" t="str">
        <f>IF($N$1="Piping", IF(ISBLANK(Piping!K522), "", Piping!K522), IF($N$1="Vessels", IF(ISBLANK(Vessels!K522), "", Vessels!K522), ""))</f>
        <v/>
      </c>
      <c r="L522" s="21" t="str">
        <f>IF($N$1="Piping", IF(ISBLANK(Piping!L522), "", Piping!L522), IF($N$1="Vessels", IF(ISBLANK(Vessels!L522), "", Vessels!L522), ""))</f>
        <v/>
      </c>
      <c r="M522" s="21"/>
      <c r="N522" s="21"/>
      <c r="O522" s="21"/>
      <c r="P522" s="21"/>
      <c r="Q522" s="21" t="str">
        <f>IF($N$1="Piping", IF(ISBLANK(Piping!T522), "", Piping!T522), IF($N$1="Vessels", IF(ISBLANK(Vessels!T522), "", Vessels!T522), ""))</f>
        <v/>
      </c>
      <c r="R522" s="51" t="str">
        <f>IF($N$1="Piping", IF(ISBLANK(Piping!U522), "", Piping!U522), IF($N$1="Vessels", IF(ISBLANK(Vessels!U522), "", Vessels!U522), ""))</f>
        <v/>
      </c>
      <c r="S522" s="118" t="str">
        <f>IF(B522&lt;&gt;"",IF($N$1="Piping", IF(ISBLANK(Piping!$J$3), "", Piping!$J$3), IF($N$1="Vessels", IF(ISBLANK(Vessels!$J$3), "", Vessels!$J$3), "")),"")</f>
        <v/>
      </c>
      <c r="T522" s="37"/>
      <c r="U522" s="37"/>
      <c r="V522" s="37"/>
      <c r="W522" s="37"/>
      <c r="X522" s="37"/>
      <c r="Y522" s="37"/>
      <c r="Z522" s="37"/>
    </row>
    <row r="523" spans="1:26" ht="15.75" customHeight="1" x14ac:dyDescent="0.3">
      <c r="A523" s="22">
        <f>IF($N$1="Piping", IF(ISBLANK(Piping!A523), "", Piping!A523), IF($N$1="Vessels", IF(ISBLANK(Vessels!A523), "", Vessels!A523), ""))</f>
        <v>130.19999999999999</v>
      </c>
      <c r="B523" s="21" t="str">
        <f>IF($N$1="Piping", IF(ISBLANK(Piping!B523), "", Piping!B523), IF($N$1="Vessels", IF(ISBLANK(Vessels!B523), "", Vessels!B523), ""))</f>
        <v/>
      </c>
      <c r="C523" s="21" t="str">
        <f>IF($N$1="Piping", IF(ISBLANK(Piping!C523), "", Piping!C523), IF($N$1="Vessels", IF(ISBLANK(Vessels!C523), "", Vessels!C523), ""))</f>
        <v>Piping</v>
      </c>
      <c r="D523" s="21" t="str">
        <f>IF($N$1="Piping", IF(ISBLANK(Piping!D523), "", Piping!D523), IF($N$1="Vessels", IF(ISBLANK(Vessels!D523), "", Vessels!D523), ""))</f>
        <v/>
      </c>
      <c r="E523" s="21" t="str">
        <f>IF($N$1="Piping", IF(ISBLANK(Piping!E523), "", Piping!E523), IF($N$1="Vessels", IF(ISBLANK(Vessels!E523), "", Vessels!E523), ""))</f>
        <v/>
      </c>
      <c r="F523" s="21" t="str">
        <f>IF($N$1="Piping", IF(ISBLANK(Piping!F523), "", Piping!F523), IF($N$1="Vessels", IF(ISBLANK(Vessels!F523), "", Vessels!F523), ""))</f>
        <v/>
      </c>
      <c r="G523" s="21">
        <f>IF($N$1="Piping", IF(ISBLANK(Piping!G523), "", Piping!G523), IF($N$1="Vessels", IF(ISBLANK(Vessels!G523), "", Vessels!G523), ""))</f>
        <v>0</v>
      </c>
      <c r="H523" s="21" t="str">
        <f>IF($N$1="Piping", IF(ISBLANK(Piping!H523), "", Piping!H523), IF($N$1="Vessels", IF(ISBLANK(Vessels!H523), "", Vessels!H523), ""))</f>
        <v/>
      </c>
      <c r="I523" s="21" t="str">
        <f>IF($N$1="Piping", IF(ISBLANK(Piping!I523), "", Piping!I523), IF($N$1="Vessels", IF(ISBLANK(Vessels!I523), "", Vessels!I523), ""))</f>
        <v/>
      </c>
      <c r="J523" s="21" t="str">
        <f>IF($N$1="Piping", IF(ISBLANK(Piping!J523), "", Piping!J523), IF($N$1="Vessels", IF(ISBLANK(Vessels!J523), "", Vessels!J523), ""))</f>
        <v/>
      </c>
      <c r="K523" s="21" t="str">
        <f>IF($N$1="Piping", IF(ISBLANK(Piping!K523), "", Piping!K523), IF($N$1="Vessels", IF(ISBLANK(Vessels!K523), "", Vessels!K523), ""))</f>
        <v/>
      </c>
      <c r="L523" s="21" t="str">
        <f>IF($N$1="Piping", IF(ISBLANK(Piping!L523), "", Piping!L523), IF($N$1="Vessels", IF(ISBLANK(Vessels!L523), "", Vessels!L523), ""))</f>
        <v/>
      </c>
      <c r="M523" s="21"/>
      <c r="N523" s="21"/>
      <c r="O523" s="21"/>
      <c r="P523" s="21"/>
      <c r="Q523" s="21" t="str">
        <f>IF($N$1="Piping", IF(ISBLANK(Piping!T523), "", Piping!T523), IF($N$1="Vessels", IF(ISBLANK(Vessels!T523), "", Vessels!T523), ""))</f>
        <v/>
      </c>
      <c r="R523" s="51" t="str">
        <f>IF($N$1="Piping", IF(ISBLANK(Piping!U523), "", Piping!U523), IF($N$1="Vessels", IF(ISBLANK(Vessels!U523), "", Vessels!U523), ""))</f>
        <v/>
      </c>
      <c r="S523" s="118" t="str">
        <f>IF(B523&lt;&gt;"",IF($N$1="Piping", IF(ISBLANK(Piping!$J$3), "", Piping!$J$3), IF($N$1="Vessels", IF(ISBLANK(Vessels!$J$3), "", Vessels!$J$3), "")),"")</f>
        <v/>
      </c>
      <c r="T523" s="37"/>
      <c r="U523" s="37"/>
      <c r="V523" s="37"/>
      <c r="W523" s="37"/>
      <c r="X523" s="37"/>
      <c r="Y523" s="37"/>
      <c r="Z523" s="37"/>
    </row>
    <row r="524" spans="1:26" ht="15.75" customHeight="1" x14ac:dyDescent="0.3">
      <c r="A524" s="22">
        <f>IF($N$1="Piping", IF(ISBLANK(Piping!A524), "", Piping!A524), IF($N$1="Vessels", IF(ISBLANK(Vessels!A524), "", Vessels!A524), ""))</f>
        <v>130.30000000000001</v>
      </c>
      <c r="B524" s="21" t="str">
        <f>IF($N$1="Piping", IF(ISBLANK(Piping!B524), "", Piping!B524), IF($N$1="Vessels", IF(ISBLANK(Vessels!B524), "", Vessels!B524), ""))</f>
        <v/>
      </c>
      <c r="C524" s="21" t="str">
        <f>IF($N$1="Piping", IF(ISBLANK(Piping!C524), "", Piping!C524), IF($N$1="Vessels", IF(ISBLANK(Vessels!C524), "", Vessels!C524), ""))</f>
        <v>Piping</v>
      </c>
      <c r="D524" s="21" t="str">
        <f>IF($N$1="Piping", IF(ISBLANK(Piping!D524), "", Piping!D524), IF($N$1="Vessels", IF(ISBLANK(Vessels!D524), "", Vessels!D524), ""))</f>
        <v/>
      </c>
      <c r="E524" s="21" t="str">
        <f>IF($N$1="Piping", IF(ISBLANK(Piping!E524), "", Piping!E524), IF($N$1="Vessels", IF(ISBLANK(Vessels!E524), "", Vessels!E524), ""))</f>
        <v/>
      </c>
      <c r="F524" s="21" t="str">
        <f>IF($N$1="Piping", IF(ISBLANK(Piping!F524), "", Piping!F524), IF($N$1="Vessels", IF(ISBLANK(Vessels!F524), "", Vessels!F524), ""))</f>
        <v/>
      </c>
      <c r="G524" s="21">
        <f>IF($N$1="Piping", IF(ISBLANK(Piping!G524), "", Piping!G524), IF($N$1="Vessels", IF(ISBLANK(Vessels!G524), "", Vessels!G524), ""))</f>
        <v>0</v>
      </c>
      <c r="H524" s="21" t="str">
        <f>IF($N$1="Piping", IF(ISBLANK(Piping!H524), "", Piping!H524), IF($N$1="Vessels", IF(ISBLANK(Vessels!H524), "", Vessels!H524), ""))</f>
        <v/>
      </c>
      <c r="I524" s="21" t="str">
        <f>IF($N$1="Piping", IF(ISBLANK(Piping!I524), "", Piping!I524), IF($N$1="Vessels", IF(ISBLANK(Vessels!I524), "", Vessels!I524), ""))</f>
        <v/>
      </c>
      <c r="J524" s="21" t="str">
        <f>IF($N$1="Piping", IF(ISBLANK(Piping!J524), "", Piping!J524), IF($N$1="Vessels", IF(ISBLANK(Vessels!J524), "", Vessels!J524), ""))</f>
        <v/>
      </c>
      <c r="K524" s="21" t="str">
        <f>IF($N$1="Piping", IF(ISBLANK(Piping!K524), "", Piping!K524), IF($N$1="Vessels", IF(ISBLANK(Vessels!K524), "", Vessels!K524), ""))</f>
        <v/>
      </c>
      <c r="L524" s="21" t="str">
        <f>IF($N$1="Piping", IF(ISBLANK(Piping!L524), "", Piping!L524), IF($N$1="Vessels", IF(ISBLANK(Vessels!L524), "", Vessels!L524), ""))</f>
        <v/>
      </c>
      <c r="M524" s="21"/>
      <c r="N524" s="21"/>
      <c r="O524" s="21"/>
      <c r="P524" s="21"/>
      <c r="Q524" s="21" t="str">
        <f>IF($N$1="Piping", IF(ISBLANK(Piping!T524), "", Piping!T524), IF($N$1="Vessels", IF(ISBLANK(Vessels!T524), "", Vessels!T524), ""))</f>
        <v/>
      </c>
      <c r="R524" s="51" t="str">
        <f>IF($N$1="Piping", IF(ISBLANK(Piping!U524), "", Piping!U524), IF($N$1="Vessels", IF(ISBLANK(Vessels!U524), "", Vessels!U524), ""))</f>
        <v/>
      </c>
      <c r="S524" s="118" t="str">
        <f>IF(B524&lt;&gt;"",IF($N$1="Piping", IF(ISBLANK(Piping!$J$3), "", Piping!$J$3), IF($N$1="Vessels", IF(ISBLANK(Vessels!$J$3), "", Vessels!$J$3), "")),"")</f>
        <v/>
      </c>
      <c r="T524" s="37"/>
      <c r="U524" s="37"/>
      <c r="V524" s="37"/>
      <c r="W524" s="37"/>
      <c r="X524" s="37"/>
      <c r="Y524" s="37"/>
      <c r="Z524" s="37"/>
    </row>
    <row r="525" spans="1:26" ht="15.75" customHeight="1" x14ac:dyDescent="0.3">
      <c r="A525" s="22">
        <f>IF($N$1="Piping", IF(ISBLANK(Piping!A525), "", Piping!A525), IF($N$1="Vessels", IF(ISBLANK(Vessels!A525), "", Vessels!A525), ""))</f>
        <v>130.4</v>
      </c>
      <c r="B525" s="21" t="str">
        <f>IF($N$1="Piping", IF(ISBLANK(Piping!B525), "", Piping!B525), IF($N$1="Vessels", IF(ISBLANK(Vessels!B525), "", Vessels!B525), ""))</f>
        <v/>
      </c>
      <c r="C525" s="21" t="str">
        <f>IF($N$1="Piping", IF(ISBLANK(Piping!C525), "", Piping!C525), IF($N$1="Vessels", IF(ISBLANK(Vessels!C525), "", Vessels!C525), ""))</f>
        <v>Piping</v>
      </c>
      <c r="D525" s="21" t="str">
        <f>IF($N$1="Piping", IF(ISBLANK(Piping!D525), "", Piping!D525), IF($N$1="Vessels", IF(ISBLANK(Vessels!D525), "", Vessels!D525), ""))</f>
        <v/>
      </c>
      <c r="E525" s="21" t="str">
        <f>IF($N$1="Piping", IF(ISBLANK(Piping!E525), "", Piping!E525), IF($N$1="Vessels", IF(ISBLANK(Vessels!E525), "", Vessels!E525), ""))</f>
        <v/>
      </c>
      <c r="F525" s="21" t="str">
        <f>IF($N$1="Piping", IF(ISBLANK(Piping!F525), "", Piping!F525), IF($N$1="Vessels", IF(ISBLANK(Vessels!F525), "", Vessels!F525), ""))</f>
        <v/>
      </c>
      <c r="G525" s="21">
        <f>IF($N$1="Piping", IF(ISBLANK(Piping!G525), "", Piping!G525), IF($N$1="Vessels", IF(ISBLANK(Vessels!G525), "", Vessels!G525), ""))</f>
        <v>0</v>
      </c>
      <c r="H525" s="21" t="str">
        <f>IF($N$1="Piping", IF(ISBLANK(Piping!H525), "", Piping!H525), IF($N$1="Vessels", IF(ISBLANK(Vessels!H525), "", Vessels!H525), ""))</f>
        <v/>
      </c>
      <c r="I525" s="21" t="str">
        <f>IF($N$1="Piping", IF(ISBLANK(Piping!I525), "", Piping!I525), IF($N$1="Vessels", IF(ISBLANK(Vessels!I525), "", Vessels!I525), ""))</f>
        <v/>
      </c>
      <c r="J525" s="21" t="str">
        <f>IF($N$1="Piping", IF(ISBLANK(Piping!J525), "", Piping!J525), IF($N$1="Vessels", IF(ISBLANK(Vessels!J525), "", Vessels!J525), ""))</f>
        <v/>
      </c>
      <c r="K525" s="21" t="str">
        <f>IF($N$1="Piping", IF(ISBLANK(Piping!K525), "", Piping!K525), IF($N$1="Vessels", IF(ISBLANK(Vessels!K525), "", Vessels!K525), ""))</f>
        <v/>
      </c>
      <c r="L525" s="21" t="str">
        <f>IF($N$1="Piping", IF(ISBLANK(Piping!L525), "", Piping!L525), IF($N$1="Vessels", IF(ISBLANK(Vessels!L525), "", Vessels!L525), ""))</f>
        <v/>
      </c>
      <c r="M525" s="21"/>
      <c r="N525" s="21"/>
      <c r="O525" s="21"/>
      <c r="P525" s="21"/>
      <c r="Q525" s="21" t="str">
        <f>IF($N$1="Piping", IF(ISBLANK(Piping!T525), "", Piping!T525), IF($N$1="Vessels", IF(ISBLANK(Vessels!T525), "", Vessels!T525), ""))</f>
        <v/>
      </c>
      <c r="R525" s="51" t="str">
        <f>IF($N$1="Piping", IF(ISBLANK(Piping!U525), "", Piping!U525), IF($N$1="Vessels", IF(ISBLANK(Vessels!U525), "", Vessels!U525), ""))</f>
        <v/>
      </c>
      <c r="S525" s="118" t="str">
        <f>IF(B525&lt;&gt;"",IF($N$1="Piping", IF(ISBLANK(Piping!$J$3), "", Piping!$J$3), IF($N$1="Vessels", IF(ISBLANK(Vessels!$J$3), "", Vessels!$J$3), "")),"")</f>
        <v/>
      </c>
      <c r="T525" s="37"/>
      <c r="U525" s="37"/>
      <c r="V525" s="37"/>
      <c r="W525" s="37"/>
      <c r="X525" s="37"/>
      <c r="Y525" s="37"/>
      <c r="Z525" s="37"/>
    </row>
    <row r="526" spans="1:26" ht="15.75" customHeight="1" x14ac:dyDescent="0.3">
      <c r="A526" s="22">
        <f>IF($N$1="Piping", IF(ISBLANK(Piping!A526), "", Piping!A526), IF($N$1="Vessels", IF(ISBLANK(Vessels!A526), "", Vessels!A526), ""))</f>
        <v>131.1</v>
      </c>
      <c r="B526" s="21" t="str">
        <f>IF($N$1="Piping", IF(ISBLANK(Piping!B526), "", Piping!B526), IF($N$1="Vessels", IF(ISBLANK(Vessels!B526), "", Vessels!B526), ""))</f>
        <v/>
      </c>
      <c r="C526" s="21" t="str">
        <f>IF($N$1="Piping", IF(ISBLANK(Piping!C526), "", Piping!C526), IF($N$1="Vessels", IF(ISBLANK(Vessels!C526), "", Vessels!C526), ""))</f>
        <v>Piping</v>
      </c>
      <c r="D526" s="21" t="str">
        <f>IF($N$1="Piping", IF(ISBLANK(Piping!D526), "", Piping!D526), IF($N$1="Vessels", IF(ISBLANK(Vessels!D526), "", Vessels!D526), ""))</f>
        <v/>
      </c>
      <c r="E526" s="21" t="str">
        <f>IF($N$1="Piping", IF(ISBLANK(Piping!E526), "", Piping!E526), IF($N$1="Vessels", IF(ISBLANK(Vessels!E526), "", Vessels!E526), ""))</f>
        <v/>
      </c>
      <c r="F526" s="21" t="str">
        <f>IF($N$1="Piping", IF(ISBLANK(Piping!F526), "", Piping!F526), IF($N$1="Vessels", IF(ISBLANK(Vessels!F526), "", Vessels!F526), ""))</f>
        <v/>
      </c>
      <c r="G526" s="21">
        <f>IF($N$1="Piping", IF(ISBLANK(Piping!G526), "", Piping!G526), IF($N$1="Vessels", IF(ISBLANK(Vessels!G526), "", Vessels!G526), ""))</f>
        <v>0</v>
      </c>
      <c r="H526" s="21" t="str">
        <f>IF($N$1="Piping", IF(ISBLANK(Piping!H526), "", Piping!H526), IF($N$1="Vessels", IF(ISBLANK(Vessels!H526), "", Vessels!H526), ""))</f>
        <v/>
      </c>
      <c r="I526" s="21" t="str">
        <f>IF($N$1="Piping", IF(ISBLANK(Piping!I526), "", Piping!I526), IF($N$1="Vessels", IF(ISBLANK(Vessels!I526), "", Vessels!I526), ""))</f>
        <v/>
      </c>
      <c r="J526" s="21" t="str">
        <f>IF($N$1="Piping", IF(ISBLANK(Piping!J526), "", Piping!J526), IF($N$1="Vessels", IF(ISBLANK(Vessels!J526), "", Vessels!J526), ""))</f>
        <v/>
      </c>
      <c r="K526" s="21" t="str">
        <f>IF($N$1="Piping", IF(ISBLANK(Piping!K526), "", Piping!K526), IF($N$1="Vessels", IF(ISBLANK(Vessels!K526), "", Vessels!K526), ""))</f>
        <v/>
      </c>
      <c r="L526" s="21" t="str">
        <f>IF($N$1="Piping", IF(ISBLANK(Piping!L526), "", Piping!L526), IF($N$1="Vessels", IF(ISBLANK(Vessels!L526), "", Vessels!L526), ""))</f>
        <v/>
      </c>
      <c r="M526" s="21"/>
      <c r="N526" s="21"/>
      <c r="O526" s="21"/>
      <c r="P526" s="21"/>
      <c r="Q526" s="21" t="str">
        <f>IF($N$1="Piping", IF(ISBLANK(Piping!T526), "", Piping!T526), IF($N$1="Vessels", IF(ISBLANK(Vessels!T526), "", Vessels!T526), ""))</f>
        <v/>
      </c>
      <c r="R526" s="51" t="str">
        <f>IF($N$1="Piping", IF(ISBLANK(Piping!U526), "", Piping!U526), IF($N$1="Vessels", IF(ISBLANK(Vessels!U526), "", Vessels!U526), ""))</f>
        <v/>
      </c>
      <c r="S526" s="118" t="str">
        <f>IF(B526&lt;&gt;"",IF($N$1="Piping", IF(ISBLANK(Piping!$J$3), "", Piping!$J$3), IF($N$1="Vessels", IF(ISBLANK(Vessels!$J$3), "", Vessels!$J$3), "")),"")</f>
        <v/>
      </c>
      <c r="T526" s="37"/>
      <c r="U526" s="37"/>
      <c r="V526" s="37"/>
      <c r="W526" s="37"/>
      <c r="X526" s="37"/>
      <c r="Y526" s="37"/>
      <c r="Z526" s="37"/>
    </row>
    <row r="527" spans="1:26" ht="15.75" customHeight="1" x14ac:dyDescent="0.3">
      <c r="A527" s="22">
        <f>IF($N$1="Piping", IF(ISBLANK(Piping!A527), "", Piping!A527), IF($N$1="Vessels", IF(ISBLANK(Vessels!A527), "", Vessels!A527), ""))</f>
        <v>131.19999999999999</v>
      </c>
      <c r="B527" s="21" t="str">
        <f>IF($N$1="Piping", IF(ISBLANK(Piping!B527), "", Piping!B527), IF($N$1="Vessels", IF(ISBLANK(Vessels!B527), "", Vessels!B527), ""))</f>
        <v/>
      </c>
      <c r="C527" s="21" t="str">
        <f>IF($N$1="Piping", IF(ISBLANK(Piping!C527), "", Piping!C527), IF($N$1="Vessels", IF(ISBLANK(Vessels!C527), "", Vessels!C527), ""))</f>
        <v>Piping</v>
      </c>
      <c r="D527" s="21" t="str">
        <f>IF($N$1="Piping", IF(ISBLANK(Piping!D527), "", Piping!D527), IF($N$1="Vessels", IF(ISBLANK(Vessels!D527), "", Vessels!D527), ""))</f>
        <v/>
      </c>
      <c r="E527" s="21" t="str">
        <f>IF($N$1="Piping", IF(ISBLANK(Piping!E527), "", Piping!E527), IF($N$1="Vessels", IF(ISBLANK(Vessels!E527), "", Vessels!E527), ""))</f>
        <v/>
      </c>
      <c r="F527" s="21" t="str">
        <f>IF($N$1="Piping", IF(ISBLANK(Piping!F527), "", Piping!F527), IF($N$1="Vessels", IF(ISBLANK(Vessels!F527), "", Vessels!F527), ""))</f>
        <v/>
      </c>
      <c r="G527" s="21">
        <f>IF($N$1="Piping", IF(ISBLANK(Piping!G527), "", Piping!G527), IF($N$1="Vessels", IF(ISBLANK(Vessels!G527), "", Vessels!G527), ""))</f>
        <v>0</v>
      </c>
      <c r="H527" s="21" t="str">
        <f>IF($N$1="Piping", IF(ISBLANK(Piping!H527), "", Piping!H527), IF($N$1="Vessels", IF(ISBLANK(Vessels!H527), "", Vessels!H527), ""))</f>
        <v/>
      </c>
      <c r="I527" s="21" t="str">
        <f>IF($N$1="Piping", IF(ISBLANK(Piping!I527), "", Piping!I527), IF($N$1="Vessels", IF(ISBLANK(Vessels!I527), "", Vessels!I527), ""))</f>
        <v/>
      </c>
      <c r="J527" s="21" t="str">
        <f>IF($N$1="Piping", IF(ISBLANK(Piping!J527), "", Piping!J527), IF($N$1="Vessels", IF(ISBLANK(Vessels!J527), "", Vessels!J527), ""))</f>
        <v/>
      </c>
      <c r="K527" s="21" t="str">
        <f>IF($N$1="Piping", IF(ISBLANK(Piping!K527), "", Piping!K527), IF($N$1="Vessels", IF(ISBLANK(Vessels!K527), "", Vessels!K527), ""))</f>
        <v/>
      </c>
      <c r="L527" s="21" t="str">
        <f>IF($N$1="Piping", IF(ISBLANK(Piping!L527), "", Piping!L527), IF($N$1="Vessels", IF(ISBLANK(Vessels!L527), "", Vessels!L527), ""))</f>
        <v/>
      </c>
      <c r="M527" s="21"/>
      <c r="N527" s="21"/>
      <c r="O527" s="21"/>
      <c r="P527" s="21"/>
      <c r="Q527" s="21" t="str">
        <f>IF($N$1="Piping", IF(ISBLANK(Piping!T527), "", Piping!T527), IF($N$1="Vessels", IF(ISBLANK(Vessels!T527), "", Vessels!T527), ""))</f>
        <v/>
      </c>
      <c r="R527" s="51" t="str">
        <f>IF($N$1="Piping", IF(ISBLANK(Piping!U527), "", Piping!U527), IF($N$1="Vessels", IF(ISBLANK(Vessels!U527), "", Vessels!U527), ""))</f>
        <v/>
      </c>
      <c r="S527" s="118" t="str">
        <f>IF(B527&lt;&gt;"",IF($N$1="Piping", IF(ISBLANK(Piping!$J$3), "", Piping!$J$3), IF($N$1="Vessels", IF(ISBLANK(Vessels!$J$3), "", Vessels!$J$3), "")),"")</f>
        <v/>
      </c>
      <c r="T527" s="37"/>
      <c r="U527" s="37"/>
      <c r="V527" s="37"/>
      <c r="W527" s="37"/>
      <c r="X527" s="37"/>
      <c r="Y527" s="37"/>
      <c r="Z527" s="37"/>
    </row>
    <row r="528" spans="1:26" ht="15.75" customHeight="1" x14ac:dyDescent="0.3">
      <c r="A528" s="22">
        <f>IF($N$1="Piping", IF(ISBLANK(Piping!A528), "", Piping!A528), IF($N$1="Vessels", IF(ISBLANK(Vessels!A528), "", Vessels!A528), ""))</f>
        <v>131.30000000000001</v>
      </c>
      <c r="B528" s="21" t="str">
        <f>IF($N$1="Piping", IF(ISBLANK(Piping!B528), "", Piping!B528), IF($N$1="Vessels", IF(ISBLANK(Vessels!B528), "", Vessels!B528), ""))</f>
        <v/>
      </c>
      <c r="C528" s="21" t="str">
        <f>IF($N$1="Piping", IF(ISBLANK(Piping!C528), "", Piping!C528), IF($N$1="Vessels", IF(ISBLANK(Vessels!C528), "", Vessels!C528), ""))</f>
        <v>Piping</v>
      </c>
      <c r="D528" s="21" t="str">
        <f>IF($N$1="Piping", IF(ISBLANK(Piping!D528), "", Piping!D528), IF($N$1="Vessels", IF(ISBLANK(Vessels!D528), "", Vessels!D528), ""))</f>
        <v/>
      </c>
      <c r="E528" s="21" t="str">
        <f>IF($N$1="Piping", IF(ISBLANK(Piping!E528), "", Piping!E528), IF($N$1="Vessels", IF(ISBLANK(Vessels!E528), "", Vessels!E528), ""))</f>
        <v/>
      </c>
      <c r="F528" s="21" t="str">
        <f>IF($N$1="Piping", IF(ISBLANK(Piping!F528), "", Piping!F528), IF($N$1="Vessels", IF(ISBLANK(Vessels!F528), "", Vessels!F528), ""))</f>
        <v/>
      </c>
      <c r="G528" s="21">
        <f>IF($N$1="Piping", IF(ISBLANK(Piping!G528), "", Piping!G528), IF($N$1="Vessels", IF(ISBLANK(Vessels!G528), "", Vessels!G528), ""))</f>
        <v>0</v>
      </c>
      <c r="H528" s="21" t="str">
        <f>IF($N$1="Piping", IF(ISBLANK(Piping!H528), "", Piping!H528), IF($N$1="Vessels", IF(ISBLANK(Vessels!H528), "", Vessels!H528), ""))</f>
        <v/>
      </c>
      <c r="I528" s="21" t="str">
        <f>IF($N$1="Piping", IF(ISBLANK(Piping!I528), "", Piping!I528), IF($N$1="Vessels", IF(ISBLANK(Vessels!I528), "", Vessels!I528), ""))</f>
        <v/>
      </c>
      <c r="J528" s="21" t="str">
        <f>IF($N$1="Piping", IF(ISBLANK(Piping!J528), "", Piping!J528), IF($N$1="Vessels", IF(ISBLANK(Vessels!J528), "", Vessels!J528), ""))</f>
        <v/>
      </c>
      <c r="K528" s="21" t="str">
        <f>IF($N$1="Piping", IF(ISBLANK(Piping!K528), "", Piping!K528), IF($N$1="Vessels", IF(ISBLANK(Vessels!K528), "", Vessels!K528), ""))</f>
        <v/>
      </c>
      <c r="L528" s="21" t="str">
        <f>IF($N$1="Piping", IF(ISBLANK(Piping!L528), "", Piping!L528), IF($N$1="Vessels", IF(ISBLANK(Vessels!L528), "", Vessels!L528), ""))</f>
        <v/>
      </c>
      <c r="M528" s="21"/>
      <c r="N528" s="21"/>
      <c r="O528" s="21"/>
      <c r="P528" s="21"/>
      <c r="Q528" s="21" t="str">
        <f>IF($N$1="Piping", IF(ISBLANK(Piping!T528), "", Piping!T528), IF($N$1="Vessels", IF(ISBLANK(Vessels!T528), "", Vessels!T528), ""))</f>
        <v/>
      </c>
      <c r="R528" s="51" t="str">
        <f>IF($N$1="Piping", IF(ISBLANK(Piping!U528), "", Piping!U528), IF($N$1="Vessels", IF(ISBLANK(Vessels!U528), "", Vessels!U528), ""))</f>
        <v/>
      </c>
      <c r="S528" s="118" t="str">
        <f>IF(B528&lt;&gt;"",IF($N$1="Piping", IF(ISBLANK(Piping!$J$3), "", Piping!$J$3), IF($N$1="Vessels", IF(ISBLANK(Vessels!$J$3), "", Vessels!$J$3), "")),"")</f>
        <v/>
      </c>
      <c r="T528" s="37"/>
      <c r="U528" s="37"/>
      <c r="V528" s="37"/>
      <c r="W528" s="37"/>
      <c r="X528" s="37"/>
      <c r="Y528" s="37"/>
      <c r="Z528" s="37"/>
    </row>
    <row r="529" spans="1:26" ht="15.75" customHeight="1" x14ac:dyDescent="0.3">
      <c r="A529" s="22">
        <f>IF($N$1="Piping", IF(ISBLANK(Piping!A529), "", Piping!A529), IF($N$1="Vessels", IF(ISBLANK(Vessels!A529), "", Vessels!A529), ""))</f>
        <v>131.4</v>
      </c>
      <c r="B529" s="21" t="str">
        <f>IF($N$1="Piping", IF(ISBLANK(Piping!B529), "", Piping!B529), IF($N$1="Vessels", IF(ISBLANK(Vessels!B529), "", Vessels!B529), ""))</f>
        <v/>
      </c>
      <c r="C529" s="21" t="str">
        <f>IF($N$1="Piping", IF(ISBLANK(Piping!C529), "", Piping!C529), IF($N$1="Vessels", IF(ISBLANK(Vessels!C529), "", Vessels!C529), ""))</f>
        <v>Piping</v>
      </c>
      <c r="D529" s="21" t="str">
        <f>IF($N$1="Piping", IF(ISBLANK(Piping!D529), "", Piping!D529), IF($N$1="Vessels", IF(ISBLANK(Vessels!D529), "", Vessels!D529), ""))</f>
        <v/>
      </c>
      <c r="E529" s="21" t="str">
        <f>IF($N$1="Piping", IF(ISBLANK(Piping!E529), "", Piping!E529), IF($N$1="Vessels", IF(ISBLANK(Vessels!E529), "", Vessels!E529), ""))</f>
        <v/>
      </c>
      <c r="F529" s="21" t="str">
        <f>IF($N$1="Piping", IF(ISBLANK(Piping!F529), "", Piping!F529), IF($N$1="Vessels", IF(ISBLANK(Vessels!F529), "", Vessels!F529), ""))</f>
        <v/>
      </c>
      <c r="G529" s="21">
        <f>IF($N$1="Piping", IF(ISBLANK(Piping!G529), "", Piping!G529), IF($N$1="Vessels", IF(ISBLANK(Vessels!G529), "", Vessels!G529), ""))</f>
        <v>0</v>
      </c>
      <c r="H529" s="21" t="str">
        <f>IF($N$1="Piping", IF(ISBLANK(Piping!H529), "", Piping!H529), IF($N$1="Vessels", IF(ISBLANK(Vessels!H529), "", Vessels!H529), ""))</f>
        <v/>
      </c>
      <c r="I529" s="21" t="str">
        <f>IF($N$1="Piping", IF(ISBLANK(Piping!I529), "", Piping!I529), IF($N$1="Vessels", IF(ISBLANK(Vessels!I529), "", Vessels!I529), ""))</f>
        <v/>
      </c>
      <c r="J529" s="21" t="str">
        <f>IF($N$1="Piping", IF(ISBLANK(Piping!J529), "", Piping!J529), IF($N$1="Vessels", IF(ISBLANK(Vessels!J529), "", Vessels!J529), ""))</f>
        <v/>
      </c>
      <c r="K529" s="21" t="str">
        <f>IF($N$1="Piping", IF(ISBLANK(Piping!K529), "", Piping!K529), IF($N$1="Vessels", IF(ISBLANK(Vessels!K529), "", Vessels!K529), ""))</f>
        <v/>
      </c>
      <c r="L529" s="21" t="str">
        <f>IF($N$1="Piping", IF(ISBLANK(Piping!L529), "", Piping!L529), IF($N$1="Vessels", IF(ISBLANK(Vessels!L529), "", Vessels!L529), ""))</f>
        <v/>
      </c>
      <c r="M529" s="21"/>
      <c r="N529" s="21"/>
      <c r="O529" s="21"/>
      <c r="P529" s="21"/>
      <c r="Q529" s="21" t="str">
        <f>IF($N$1="Piping", IF(ISBLANK(Piping!T529), "", Piping!T529), IF($N$1="Vessels", IF(ISBLANK(Vessels!T529), "", Vessels!T529), ""))</f>
        <v/>
      </c>
      <c r="R529" s="51" t="str">
        <f>IF($N$1="Piping", IF(ISBLANK(Piping!U529), "", Piping!U529), IF($N$1="Vessels", IF(ISBLANK(Vessels!U529), "", Vessels!U529), ""))</f>
        <v/>
      </c>
      <c r="S529" s="118" t="str">
        <f>IF(B529&lt;&gt;"",IF($N$1="Piping", IF(ISBLANK(Piping!$J$3), "", Piping!$J$3), IF($N$1="Vessels", IF(ISBLANK(Vessels!$J$3), "", Vessels!$J$3), "")),"")</f>
        <v/>
      </c>
      <c r="T529" s="37"/>
      <c r="U529" s="37"/>
      <c r="V529" s="37"/>
      <c r="W529" s="37"/>
      <c r="X529" s="37"/>
      <c r="Y529" s="37"/>
      <c r="Z529" s="37"/>
    </row>
    <row r="530" spans="1:26" ht="15.75" customHeight="1" x14ac:dyDescent="0.3">
      <c r="A530" s="22">
        <f>IF($N$1="Piping", IF(ISBLANK(Piping!A530), "", Piping!A530), IF($N$1="Vessels", IF(ISBLANK(Vessels!A530), "", Vessels!A530), ""))</f>
        <v>132.1</v>
      </c>
      <c r="B530" s="21" t="str">
        <f>IF($N$1="Piping", IF(ISBLANK(Piping!B530), "", Piping!B530), IF($N$1="Vessels", IF(ISBLANK(Vessels!B530), "", Vessels!B530), ""))</f>
        <v/>
      </c>
      <c r="C530" s="21" t="str">
        <f>IF($N$1="Piping", IF(ISBLANK(Piping!C530), "", Piping!C530), IF($N$1="Vessels", IF(ISBLANK(Vessels!C530), "", Vessels!C530), ""))</f>
        <v>Piping</v>
      </c>
      <c r="D530" s="21" t="str">
        <f>IF($N$1="Piping", IF(ISBLANK(Piping!D530), "", Piping!D530), IF($N$1="Vessels", IF(ISBLANK(Vessels!D530), "", Vessels!D530), ""))</f>
        <v/>
      </c>
      <c r="E530" s="21" t="str">
        <f>IF($N$1="Piping", IF(ISBLANK(Piping!E530), "", Piping!E530), IF($N$1="Vessels", IF(ISBLANK(Vessels!E530), "", Vessels!E530), ""))</f>
        <v/>
      </c>
      <c r="F530" s="21" t="str">
        <f>IF($N$1="Piping", IF(ISBLANK(Piping!F530), "", Piping!F530), IF($N$1="Vessels", IF(ISBLANK(Vessels!F530), "", Vessels!F530), ""))</f>
        <v/>
      </c>
      <c r="G530" s="21">
        <f>IF($N$1="Piping", IF(ISBLANK(Piping!G530), "", Piping!G530), IF($N$1="Vessels", IF(ISBLANK(Vessels!G530), "", Vessels!G530), ""))</f>
        <v>0</v>
      </c>
      <c r="H530" s="21" t="str">
        <f>IF($N$1="Piping", IF(ISBLANK(Piping!H530), "", Piping!H530), IF($N$1="Vessels", IF(ISBLANK(Vessels!H530), "", Vessels!H530), ""))</f>
        <v/>
      </c>
      <c r="I530" s="21" t="str">
        <f>IF($N$1="Piping", IF(ISBLANK(Piping!I530), "", Piping!I530), IF($N$1="Vessels", IF(ISBLANK(Vessels!I530), "", Vessels!I530), ""))</f>
        <v/>
      </c>
      <c r="J530" s="21" t="str">
        <f>IF($N$1="Piping", IF(ISBLANK(Piping!J530), "", Piping!J530), IF($N$1="Vessels", IF(ISBLANK(Vessels!J530), "", Vessels!J530), ""))</f>
        <v/>
      </c>
      <c r="K530" s="21" t="str">
        <f>IF($N$1="Piping", IF(ISBLANK(Piping!K530), "", Piping!K530), IF($N$1="Vessels", IF(ISBLANK(Vessels!K530), "", Vessels!K530), ""))</f>
        <v/>
      </c>
      <c r="L530" s="21" t="str">
        <f>IF($N$1="Piping", IF(ISBLANK(Piping!L530), "", Piping!L530), IF($N$1="Vessels", IF(ISBLANK(Vessels!L530), "", Vessels!L530), ""))</f>
        <v/>
      </c>
      <c r="M530" s="21"/>
      <c r="N530" s="21"/>
      <c r="O530" s="21"/>
      <c r="P530" s="21"/>
      <c r="Q530" s="21" t="str">
        <f>IF($N$1="Piping", IF(ISBLANK(Piping!T530), "", Piping!T530), IF($N$1="Vessels", IF(ISBLANK(Vessels!T530), "", Vessels!T530), ""))</f>
        <v/>
      </c>
      <c r="R530" s="51" t="str">
        <f>IF($N$1="Piping", IF(ISBLANK(Piping!U530), "", Piping!U530), IF($N$1="Vessels", IF(ISBLANK(Vessels!U530), "", Vessels!U530), ""))</f>
        <v/>
      </c>
      <c r="S530" s="118" t="str">
        <f>IF(B530&lt;&gt;"",IF($N$1="Piping", IF(ISBLANK(Piping!$J$3), "", Piping!$J$3), IF($N$1="Vessels", IF(ISBLANK(Vessels!$J$3), "", Vessels!$J$3), "")),"")</f>
        <v/>
      </c>
      <c r="T530" s="37"/>
      <c r="U530" s="37"/>
      <c r="V530" s="37"/>
      <c r="W530" s="37"/>
      <c r="X530" s="37"/>
      <c r="Y530" s="37"/>
      <c r="Z530" s="37"/>
    </row>
    <row r="531" spans="1:26" ht="15.75" customHeight="1" x14ac:dyDescent="0.3">
      <c r="A531" s="22">
        <f>IF($N$1="Piping", IF(ISBLANK(Piping!A531), "", Piping!A531), IF($N$1="Vessels", IF(ISBLANK(Vessels!A531), "", Vessels!A531), ""))</f>
        <v>132.19999999999999</v>
      </c>
      <c r="B531" s="21" t="str">
        <f>IF($N$1="Piping", IF(ISBLANK(Piping!B531), "", Piping!B531), IF($N$1="Vessels", IF(ISBLANK(Vessels!B531), "", Vessels!B531), ""))</f>
        <v/>
      </c>
      <c r="C531" s="21" t="str">
        <f>IF($N$1="Piping", IF(ISBLANK(Piping!C531), "", Piping!C531), IF($N$1="Vessels", IF(ISBLANK(Vessels!C531), "", Vessels!C531), ""))</f>
        <v>Piping</v>
      </c>
      <c r="D531" s="21" t="str">
        <f>IF($N$1="Piping", IF(ISBLANK(Piping!D531), "", Piping!D531), IF($N$1="Vessels", IF(ISBLANK(Vessels!D531), "", Vessels!D531), ""))</f>
        <v/>
      </c>
      <c r="E531" s="21" t="str">
        <f>IF($N$1="Piping", IF(ISBLANK(Piping!E531), "", Piping!E531), IF($N$1="Vessels", IF(ISBLANK(Vessels!E531), "", Vessels!E531), ""))</f>
        <v/>
      </c>
      <c r="F531" s="21" t="str">
        <f>IF($N$1="Piping", IF(ISBLANK(Piping!F531), "", Piping!F531), IF($N$1="Vessels", IF(ISBLANK(Vessels!F531), "", Vessels!F531), ""))</f>
        <v/>
      </c>
      <c r="G531" s="21">
        <f>IF($N$1="Piping", IF(ISBLANK(Piping!G531), "", Piping!G531), IF($N$1="Vessels", IF(ISBLANK(Vessels!G531), "", Vessels!G531), ""))</f>
        <v>0</v>
      </c>
      <c r="H531" s="21" t="str">
        <f>IF($N$1="Piping", IF(ISBLANK(Piping!H531), "", Piping!H531), IF($N$1="Vessels", IF(ISBLANK(Vessels!H531), "", Vessels!H531), ""))</f>
        <v/>
      </c>
      <c r="I531" s="21" t="str">
        <f>IF($N$1="Piping", IF(ISBLANK(Piping!I531), "", Piping!I531), IF($N$1="Vessels", IF(ISBLANK(Vessels!I531), "", Vessels!I531), ""))</f>
        <v/>
      </c>
      <c r="J531" s="21" t="str">
        <f>IF($N$1="Piping", IF(ISBLANK(Piping!J531), "", Piping!J531), IF($N$1="Vessels", IF(ISBLANK(Vessels!J531), "", Vessels!J531), ""))</f>
        <v/>
      </c>
      <c r="K531" s="21" t="str">
        <f>IF($N$1="Piping", IF(ISBLANK(Piping!K531), "", Piping!K531), IF($N$1="Vessels", IF(ISBLANK(Vessels!K531), "", Vessels!K531), ""))</f>
        <v/>
      </c>
      <c r="L531" s="21" t="str">
        <f>IF($N$1="Piping", IF(ISBLANK(Piping!L531), "", Piping!L531), IF($N$1="Vessels", IF(ISBLANK(Vessels!L531), "", Vessels!L531), ""))</f>
        <v/>
      </c>
      <c r="M531" s="21"/>
      <c r="N531" s="21"/>
      <c r="O531" s="21"/>
      <c r="P531" s="21"/>
      <c r="Q531" s="21" t="str">
        <f>IF($N$1="Piping", IF(ISBLANK(Piping!T531), "", Piping!T531), IF($N$1="Vessels", IF(ISBLANK(Vessels!T531), "", Vessels!T531), ""))</f>
        <v/>
      </c>
      <c r="R531" s="51" t="str">
        <f>IF($N$1="Piping", IF(ISBLANK(Piping!U531), "", Piping!U531), IF($N$1="Vessels", IF(ISBLANK(Vessels!U531), "", Vessels!U531), ""))</f>
        <v/>
      </c>
      <c r="S531" s="118" t="str">
        <f>IF(B531&lt;&gt;"",IF($N$1="Piping", IF(ISBLANK(Piping!$J$3), "", Piping!$J$3), IF($N$1="Vessels", IF(ISBLANK(Vessels!$J$3), "", Vessels!$J$3), "")),"")</f>
        <v/>
      </c>
      <c r="T531" s="37"/>
      <c r="U531" s="37"/>
      <c r="V531" s="37"/>
      <c r="W531" s="37"/>
      <c r="X531" s="37"/>
      <c r="Y531" s="37"/>
      <c r="Z531" s="37"/>
    </row>
    <row r="532" spans="1:26" ht="15.75" customHeight="1" x14ac:dyDescent="0.3">
      <c r="A532" s="22">
        <f>IF($N$1="Piping", IF(ISBLANK(Piping!A532), "", Piping!A532), IF($N$1="Vessels", IF(ISBLANK(Vessels!A532), "", Vessels!A532), ""))</f>
        <v>132.30000000000001</v>
      </c>
      <c r="B532" s="21" t="str">
        <f>IF($N$1="Piping", IF(ISBLANK(Piping!B532), "", Piping!B532), IF($N$1="Vessels", IF(ISBLANK(Vessels!B532), "", Vessels!B532), ""))</f>
        <v/>
      </c>
      <c r="C532" s="21" t="str">
        <f>IF($N$1="Piping", IF(ISBLANK(Piping!C532), "", Piping!C532), IF($N$1="Vessels", IF(ISBLANK(Vessels!C532), "", Vessels!C532), ""))</f>
        <v>Piping</v>
      </c>
      <c r="D532" s="21" t="str">
        <f>IF($N$1="Piping", IF(ISBLANK(Piping!D532), "", Piping!D532), IF($N$1="Vessels", IF(ISBLANK(Vessels!D532), "", Vessels!D532), ""))</f>
        <v/>
      </c>
      <c r="E532" s="21" t="str">
        <f>IF($N$1="Piping", IF(ISBLANK(Piping!E532), "", Piping!E532), IF($N$1="Vessels", IF(ISBLANK(Vessels!E532), "", Vessels!E532), ""))</f>
        <v/>
      </c>
      <c r="F532" s="21" t="str">
        <f>IF($N$1="Piping", IF(ISBLANK(Piping!F532), "", Piping!F532), IF($N$1="Vessels", IF(ISBLANK(Vessels!F532), "", Vessels!F532), ""))</f>
        <v/>
      </c>
      <c r="G532" s="21">
        <f>IF($N$1="Piping", IF(ISBLANK(Piping!G532), "", Piping!G532), IF($N$1="Vessels", IF(ISBLANK(Vessels!G532), "", Vessels!G532), ""))</f>
        <v>0</v>
      </c>
      <c r="H532" s="21" t="str">
        <f>IF($N$1="Piping", IF(ISBLANK(Piping!H532), "", Piping!H532), IF($N$1="Vessels", IF(ISBLANK(Vessels!H532), "", Vessels!H532), ""))</f>
        <v/>
      </c>
      <c r="I532" s="21" t="str">
        <f>IF($N$1="Piping", IF(ISBLANK(Piping!I532), "", Piping!I532), IF($N$1="Vessels", IF(ISBLANK(Vessels!I532), "", Vessels!I532), ""))</f>
        <v/>
      </c>
      <c r="J532" s="21" t="str">
        <f>IF($N$1="Piping", IF(ISBLANK(Piping!J532), "", Piping!J532), IF($N$1="Vessels", IF(ISBLANK(Vessels!J532), "", Vessels!J532), ""))</f>
        <v/>
      </c>
      <c r="K532" s="21" t="str">
        <f>IF($N$1="Piping", IF(ISBLANK(Piping!K532), "", Piping!K532), IF($N$1="Vessels", IF(ISBLANK(Vessels!K532), "", Vessels!K532), ""))</f>
        <v/>
      </c>
      <c r="L532" s="21" t="str">
        <f>IF($N$1="Piping", IF(ISBLANK(Piping!L532), "", Piping!L532), IF($N$1="Vessels", IF(ISBLANK(Vessels!L532), "", Vessels!L532), ""))</f>
        <v/>
      </c>
      <c r="M532" s="21"/>
      <c r="N532" s="21"/>
      <c r="O532" s="21"/>
      <c r="P532" s="21"/>
      <c r="Q532" s="21" t="str">
        <f>IF($N$1="Piping", IF(ISBLANK(Piping!T532), "", Piping!T532), IF($N$1="Vessels", IF(ISBLANK(Vessels!T532), "", Vessels!T532), ""))</f>
        <v/>
      </c>
      <c r="R532" s="51" t="str">
        <f>IF($N$1="Piping", IF(ISBLANK(Piping!U532), "", Piping!U532), IF($N$1="Vessels", IF(ISBLANK(Vessels!U532), "", Vessels!U532), ""))</f>
        <v/>
      </c>
      <c r="S532" s="118" t="str">
        <f>IF(B532&lt;&gt;"",IF($N$1="Piping", IF(ISBLANK(Piping!$J$3), "", Piping!$J$3), IF($N$1="Vessels", IF(ISBLANK(Vessels!$J$3), "", Vessels!$J$3), "")),"")</f>
        <v/>
      </c>
      <c r="T532" s="37"/>
      <c r="U532" s="37"/>
      <c r="V532" s="37"/>
      <c r="W532" s="37"/>
      <c r="X532" s="37"/>
      <c r="Y532" s="37"/>
      <c r="Z532" s="37"/>
    </row>
    <row r="533" spans="1:26" ht="15.75" customHeight="1" x14ac:dyDescent="0.3">
      <c r="A533" s="22">
        <f>IF($N$1="Piping", IF(ISBLANK(Piping!A533), "", Piping!A533), IF($N$1="Vessels", IF(ISBLANK(Vessels!A533), "", Vessels!A533), ""))</f>
        <v>132.4</v>
      </c>
      <c r="B533" s="21" t="str">
        <f>IF($N$1="Piping", IF(ISBLANK(Piping!B533), "", Piping!B533), IF($N$1="Vessels", IF(ISBLANK(Vessels!B533), "", Vessels!B533), ""))</f>
        <v/>
      </c>
      <c r="C533" s="21" t="str">
        <f>IF($N$1="Piping", IF(ISBLANK(Piping!C533), "", Piping!C533), IF($N$1="Vessels", IF(ISBLANK(Vessels!C533), "", Vessels!C533), ""))</f>
        <v>Piping</v>
      </c>
      <c r="D533" s="21" t="str">
        <f>IF($N$1="Piping", IF(ISBLANK(Piping!D533), "", Piping!D533), IF($N$1="Vessels", IF(ISBLANK(Vessels!D533), "", Vessels!D533), ""))</f>
        <v/>
      </c>
      <c r="E533" s="21" t="str">
        <f>IF($N$1="Piping", IF(ISBLANK(Piping!E533), "", Piping!E533), IF($N$1="Vessels", IF(ISBLANK(Vessels!E533), "", Vessels!E533), ""))</f>
        <v/>
      </c>
      <c r="F533" s="21" t="str">
        <f>IF($N$1="Piping", IF(ISBLANK(Piping!F533), "", Piping!F533), IF($N$1="Vessels", IF(ISBLANK(Vessels!F533), "", Vessels!F533), ""))</f>
        <v/>
      </c>
      <c r="G533" s="21">
        <f>IF($N$1="Piping", IF(ISBLANK(Piping!G533), "", Piping!G533), IF($N$1="Vessels", IF(ISBLANK(Vessels!G533), "", Vessels!G533), ""))</f>
        <v>0</v>
      </c>
      <c r="H533" s="21" t="str">
        <f>IF($N$1="Piping", IF(ISBLANK(Piping!H533), "", Piping!H533), IF($N$1="Vessels", IF(ISBLANK(Vessels!H533), "", Vessels!H533), ""))</f>
        <v/>
      </c>
      <c r="I533" s="21" t="str">
        <f>IF($N$1="Piping", IF(ISBLANK(Piping!I533), "", Piping!I533), IF($N$1="Vessels", IF(ISBLANK(Vessels!I533), "", Vessels!I533), ""))</f>
        <v/>
      </c>
      <c r="J533" s="21" t="str">
        <f>IF($N$1="Piping", IF(ISBLANK(Piping!J533), "", Piping!J533), IF($N$1="Vessels", IF(ISBLANK(Vessels!J533), "", Vessels!J533), ""))</f>
        <v/>
      </c>
      <c r="K533" s="21" t="str">
        <f>IF($N$1="Piping", IF(ISBLANK(Piping!K533), "", Piping!K533), IF($N$1="Vessels", IF(ISBLANK(Vessels!K533), "", Vessels!K533), ""))</f>
        <v/>
      </c>
      <c r="L533" s="21" t="str">
        <f>IF($N$1="Piping", IF(ISBLANK(Piping!L533), "", Piping!L533), IF($N$1="Vessels", IF(ISBLANK(Vessels!L533), "", Vessels!L533), ""))</f>
        <v/>
      </c>
      <c r="M533" s="21"/>
      <c r="N533" s="21"/>
      <c r="O533" s="21"/>
      <c r="P533" s="21"/>
      <c r="Q533" s="21" t="str">
        <f>IF($N$1="Piping", IF(ISBLANK(Piping!T533), "", Piping!T533), IF($N$1="Vessels", IF(ISBLANK(Vessels!T533), "", Vessels!T533), ""))</f>
        <v/>
      </c>
      <c r="R533" s="51" t="str">
        <f>IF($N$1="Piping", IF(ISBLANK(Piping!U533), "", Piping!U533), IF($N$1="Vessels", IF(ISBLANK(Vessels!U533), "", Vessels!U533), ""))</f>
        <v/>
      </c>
      <c r="S533" s="118" t="str">
        <f>IF(B533&lt;&gt;"",IF($N$1="Piping", IF(ISBLANK(Piping!$J$3), "", Piping!$J$3), IF($N$1="Vessels", IF(ISBLANK(Vessels!$J$3), "", Vessels!$J$3), "")),"")</f>
        <v/>
      </c>
      <c r="T533" s="37"/>
      <c r="U533" s="37"/>
      <c r="V533" s="37"/>
      <c r="W533" s="37"/>
      <c r="X533" s="37"/>
      <c r="Y533" s="37"/>
      <c r="Z533" s="37"/>
    </row>
    <row r="534" spans="1:26" ht="15.75" customHeight="1" x14ac:dyDescent="0.3">
      <c r="A534" s="22">
        <f>IF($N$1="Piping", IF(ISBLANK(Piping!A534), "", Piping!A534), IF($N$1="Vessels", IF(ISBLANK(Vessels!A534), "", Vessels!A534), ""))</f>
        <v>133.1</v>
      </c>
      <c r="B534" s="21" t="str">
        <f>IF($N$1="Piping", IF(ISBLANK(Piping!B534), "", Piping!B534), IF($N$1="Vessels", IF(ISBLANK(Vessels!B534), "", Vessels!B534), ""))</f>
        <v/>
      </c>
      <c r="C534" s="21" t="str">
        <f>IF($N$1="Piping", IF(ISBLANK(Piping!C534), "", Piping!C534), IF($N$1="Vessels", IF(ISBLANK(Vessels!C534), "", Vessels!C534), ""))</f>
        <v>Piping</v>
      </c>
      <c r="D534" s="21" t="str">
        <f>IF($N$1="Piping", IF(ISBLANK(Piping!D534), "", Piping!D534), IF($N$1="Vessels", IF(ISBLANK(Vessels!D534), "", Vessels!D534), ""))</f>
        <v/>
      </c>
      <c r="E534" s="21" t="str">
        <f>IF($N$1="Piping", IF(ISBLANK(Piping!E534), "", Piping!E534), IF($N$1="Vessels", IF(ISBLANK(Vessels!E534), "", Vessels!E534), ""))</f>
        <v/>
      </c>
      <c r="F534" s="21" t="str">
        <f>IF($N$1="Piping", IF(ISBLANK(Piping!F534), "", Piping!F534), IF($N$1="Vessels", IF(ISBLANK(Vessels!F534), "", Vessels!F534), ""))</f>
        <v/>
      </c>
      <c r="G534" s="21">
        <f>IF($N$1="Piping", IF(ISBLANK(Piping!G534), "", Piping!G534), IF($N$1="Vessels", IF(ISBLANK(Vessels!G534), "", Vessels!G534), ""))</f>
        <v>0</v>
      </c>
      <c r="H534" s="21" t="str">
        <f>IF($N$1="Piping", IF(ISBLANK(Piping!H534), "", Piping!H534), IF($N$1="Vessels", IF(ISBLANK(Vessels!H534), "", Vessels!H534), ""))</f>
        <v/>
      </c>
      <c r="I534" s="21" t="str">
        <f>IF($N$1="Piping", IF(ISBLANK(Piping!I534), "", Piping!I534), IF($N$1="Vessels", IF(ISBLANK(Vessels!I534), "", Vessels!I534), ""))</f>
        <v/>
      </c>
      <c r="J534" s="21" t="str">
        <f>IF($N$1="Piping", IF(ISBLANK(Piping!J534), "", Piping!J534), IF($N$1="Vessels", IF(ISBLANK(Vessels!J534), "", Vessels!J534), ""))</f>
        <v/>
      </c>
      <c r="K534" s="21" t="str">
        <f>IF($N$1="Piping", IF(ISBLANK(Piping!K534), "", Piping!K534), IF($N$1="Vessels", IF(ISBLANK(Vessels!K534), "", Vessels!K534), ""))</f>
        <v/>
      </c>
      <c r="L534" s="21" t="str">
        <f>IF($N$1="Piping", IF(ISBLANK(Piping!L534), "", Piping!L534), IF($N$1="Vessels", IF(ISBLANK(Vessels!L534), "", Vessels!L534), ""))</f>
        <v/>
      </c>
      <c r="M534" s="21"/>
      <c r="N534" s="21"/>
      <c r="O534" s="21"/>
      <c r="P534" s="21"/>
      <c r="Q534" s="21" t="str">
        <f>IF($N$1="Piping", IF(ISBLANK(Piping!T534), "", Piping!T534), IF($N$1="Vessels", IF(ISBLANK(Vessels!T534), "", Vessels!T534), ""))</f>
        <v/>
      </c>
      <c r="R534" s="51" t="str">
        <f>IF($N$1="Piping", IF(ISBLANK(Piping!U534), "", Piping!U534), IF($N$1="Vessels", IF(ISBLANK(Vessels!U534), "", Vessels!U534), ""))</f>
        <v/>
      </c>
      <c r="S534" s="118" t="str">
        <f>IF(B534&lt;&gt;"",IF($N$1="Piping", IF(ISBLANK(Piping!$J$3), "", Piping!$J$3), IF($N$1="Vessels", IF(ISBLANK(Vessels!$J$3), "", Vessels!$J$3), "")),"")</f>
        <v/>
      </c>
      <c r="T534" s="37"/>
      <c r="U534" s="37"/>
      <c r="V534" s="37"/>
      <c r="W534" s="37"/>
      <c r="X534" s="37"/>
      <c r="Y534" s="37"/>
      <c r="Z534" s="37"/>
    </row>
    <row r="535" spans="1:26" ht="15.75" customHeight="1" x14ac:dyDescent="0.3">
      <c r="A535" s="22">
        <f>IF($N$1="Piping", IF(ISBLANK(Piping!A535), "", Piping!A535), IF($N$1="Vessels", IF(ISBLANK(Vessels!A535), "", Vessels!A535), ""))</f>
        <v>133.19999999999999</v>
      </c>
      <c r="B535" s="21" t="str">
        <f>IF($N$1="Piping", IF(ISBLANK(Piping!B535), "", Piping!B535), IF($N$1="Vessels", IF(ISBLANK(Vessels!B535), "", Vessels!B535), ""))</f>
        <v/>
      </c>
      <c r="C535" s="21" t="str">
        <f>IF($N$1="Piping", IF(ISBLANK(Piping!C535), "", Piping!C535), IF($N$1="Vessels", IF(ISBLANK(Vessels!C535), "", Vessels!C535), ""))</f>
        <v>Piping</v>
      </c>
      <c r="D535" s="21" t="str">
        <f>IF($N$1="Piping", IF(ISBLANK(Piping!D535), "", Piping!D535), IF($N$1="Vessels", IF(ISBLANK(Vessels!D535), "", Vessels!D535), ""))</f>
        <v/>
      </c>
      <c r="E535" s="21" t="str">
        <f>IF($N$1="Piping", IF(ISBLANK(Piping!E535), "", Piping!E535), IF($N$1="Vessels", IF(ISBLANK(Vessels!E535), "", Vessels!E535), ""))</f>
        <v/>
      </c>
      <c r="F535" s="21" t="str">
        <f>IF($N$1="Piping", IF(ISBLANK(Piping!F535), "", Piping!F535), IF($N$1="Vessels", IF(ISBLANK(Vessels!F535), "", Vessels!F535), ""))</f>
        <v/>
      </c>
      <c r="G535" s="21">
        <f>IF($N$1="Piping", IF(ISBLANK(Piping!G535), "", Piping!G535), IF($N$1="Vessels", IF(ISBLANK(Vessels!G535), "", Vessels!G535), ""))</f>
        <v>0</v>
      </c>
      <c r="H535" s="21" t="str">
        <f>IF($N$1="Piping", IF(ISBLANK(Piping!H535), "", Piping!H535), IF($N$1="Vessels", IF(ISBLANK(Vessels!H535), "", Vessels!H535), ""))</f>
        <v/>
      </c>
      <c r="I535" s="21" t="str">
        <f>IF($N$1="Piping", IF(ISBLANK(Piping!I535), "", Piping!I535), IF($N$1="Vessels", IF(ISBLANK(Vessels!I535), "", Vessels!I535), ""))</f>
        <v/>
      </c>
      <c r="J535" s="21" t="str">
        <f>IF($N$1="Piping", IF(ISBLANK(Piping!J535), "", Piping!J535), IF($N$1="Vessels", IF(ISBLANK(Vessels!J535), "", Vessels!J535), ""))</f>
        <v/>
      </c>
      <c r="K535" s="21" t="str">
        <f>IF($N$1="Piping", IF(ISBLANK(Piping!K535), "", Piping!K535), IF($N$1="Vessels", IF(ISBLANK(Vessels!K535), "", Vessels!K535), ""))</f>
        <v/>
      </c>
      <c r="L535" s="21" t="str">
        <f>IF($N$1="Piping", IF(ISBLANK(Piping!L535), "", Piping!L535), IF($N$1="Vessels", IF(ISBLANK(Vessels!L535), "", Vessels!L535), ""))</f>
        <v/>
      </c>
      <c r="M535" s="21"/>
      <c r="N535" s="21"/>
      <c r="O535" s="21"/>
      <c r="P535" s="21"/>
      <c r="Q535" s="21" t="str">
        <f>IF($N$1="Piping", IF(ISBLANK(Piping!T535), "", Piping!T535), IF($N$1="Vessels", IF(ISBLANK(Vessels!T535), "", Vessels!T535), ""))</f>
        <v/>
      </c>
      <c r="R535" s="51" t="str">
        <f>IF($N$1="Piping", IF(ISBLANK(Piping!U535), "", Piping!U535), IF($N$1="Vessels", IF(ISBLANK(Vessels!U535), "", Vessels!U535), ""))</f>
        <v/>
      </c>
      <c r="S535" s="118" t="str">
        <f>IF(B535&lt;&gt;"",IF($N$1="Piping", IF(ISBLANK(Piping!$J$3), "", Piping!$J$3), IF($N$1="Vessels", IF(ISBLANK(Vessels!$J$3), "", Vessels!$J$3), "")),"")</f>
        <v/>
      </c>
      <c r="T535" s="37"/>
      <c r="U535" s="37"/>
      <c r="V535" s="37"/>
      <c r="W535" s="37"/>
      <c r="X535" s="37"/>
      <c r="Y535" s="37"/>
      <c r="Z535" s="37"/>
    </row>
    <row r="536" spans="1:26" ht="15.75" customHeight="1" x14ac:dyDescent="0.3">
      <c r="A536" s="22">
        <f>IF($N$1="Piping", IF(ISBLANK(Piping!A536), "", Piping!A536), IF($N$1="Vessels", IF(ISBLANK(Vessels!A536), "", Vessels!A536), ""))</f>
        <v>133.30000000000001</v>
      </c>
      <c r="B536" s="21" t="str">
        <f>IF($N$1="Piping", IF(ISBLANK(Piping!B536), "", Piping!B536), IF($N$1="Vessels", IF(ISBLANK(Vessels!B536), "", Vessels!B536), ""))</f>
        <v/>
      </c>
      <c r="C536" s="21" t="str">
        <f>IF($N$1="Piping", IF(ISBLANK(Piping!C536), "", Piping!C536), IF($N$1="Vessels", IF(ISBLANK(Vessels!C536), "", Vessels!C536), ""))</f>
        <v>Piping</v>
      </c>
      <c r="D536" s="21" t="str">
        <f>IF($N$1="Piping", IF(ISBLANK(Piping!D536), "", Piping!D536), IF($N$1="Vessels", IF(ISBLANK(Vessels!D536), "", Vessels!D536), ""))</f>
        <v/>
      </c>
      <c r="E536" s="21" t="str">
        <f>IF($N$1="Piping", IF(ISBLANK(Piping!E536), "", Piping!E536), IF($N$1="Vessels", IF(ISBLANK(Vessels!E536), "", Vessels!E536), ""))</f>
        <v/>
      </c>
      <c r="F536" s="21" t="str">
        <f>IF($N$1="Piping", IF(ISBLANK(Piping!F536), "", Piping!F536), IF($N$1="Vessels", IF(ISBLANK(Vessels!F536), "", Vessels!F536), ""))</f>
        <v/>
      </c>
      <c r="G536" s="21">
        <f>IF($N$1="Piping", IF(ISBLANK(Piping!G536), "", Piping!G536), IF($N$1="Vessels", IF(ISBLANK(Vessels!G536), "", Vessels!G536), ""))</f>
        <v>0</v>
      </c>
      <c r="H536" s="21" t="str">
        <f>IF($N$1="Piping", IF(ISBLANK(Piping!H536), "", Piping!H536), IF($N$1="Vessels", IF(ISBLANK(Vessels!H536), "", Vessels!H536), ""))</f>
        <v/>
      </c>
      <c r="I536" s="21" t="str">
        <f>IF($N$1="Piping", IF(ISBLANK(Piping!I536), "", Piping!I536), IF($N$1="Vessels", IF(ISBLANK(Vessels!I536), "", Vessels!I536), ""))</f>
        <v/>
      </c>
      <c r="J536" s="21" t="str">
        <f>IF($N$1="Piping", IF(ISBLANK(Piping!J536), "", Piping!J536), IF($N$1="Vessels", IF(ISBLANK(Vessels!J536), "", Vessels!J536), ""))</f>
        <v/>
      </c>
      <c r="K536" s="21" t="str">
        <f>IF($N$1="Piping", IF(ISBLANK(Piping!K536), "", Piping!K536), IF($N$1="Vessels", IF(ISBLANK(Vessels!K536), "", Vessels!K536), ""))</f>
        <v/>
      </c>
      <c r="L536" s="21" t="str">
        <f>IF($N$1="Piping", IF(ISBLANK(Piping!L536), "", Piping!L536), IF($N$1="Vessels", IF(ISBLANK(Vessels!L536), "", Vessels!L536), ""))</f>
        <v/>
      </c>
      <c r="M536" s="21"/>
      <c r="N536" s="21"/>
      <c r="O536" s="21"/>
      <c r="P536" s="21"/>
      <c r="Q536" s="21" t="str">
        <f>IF($N$1="Piping", IF(ISBLANK(Piping!T536), "", Piping!T536), IF($N$1="Vessels", IF(ISBLANK(Vessels!T536), "", Vessels!T536), ""))</f>
        <v/>
      </c>
      <c r="R536" s="51" t="str">
        <f>IF($N$1="Piping", IF(ISBLANK(Piping!U536), "", Piping!U536), IF($N$1="Vessels", IF(ISBLANK(Vessels!U536), "", Vessels!U536), ""))</f>
        <v/>
      </c>
      <c r="S536" s="118" t="str">
        <f>IF(B536&lt;&gt;"",IF($N$1="Piping", IF(ISBLANK(Piping!$J$3), "", Piping!$J$3), IF($N$1="Vessels", IF(ISBLANK(Vessels!$J$3), "", Vessels!$J$3), "")),"")</f>
        <v/>
      </c>
      <c r="T536" s="37"/>
      <c r="U536" s="37"/>
      <c r="V536" s="37"/>
      <c r="W536" s="37"/>
      <c r="X536" s="37"/>
      <c r="Y536" s="37"/>
      <c r="Z536" s="37"/>
    </row>
    <row r="537" spans="1:26" ht="15.75" customHeight="1" x14ac:dyDescent="0.3">
      <c r="A537" s="22">
        <f>IF($N$1="Piping", IF(ISBLANK(Piping!A537), "", Piping!A537), IF($N$1="Vessels", IF(ISBLANK(Vessels!A537), "", Vessels!A537), ""))</f>
        <v>133.4</v>
      </c>
      <c r="B537" s="21" t="str">
        <f>IF($N$1="Piping", IF(ISBLANK(Piping!B537), "", Piping!B537), IF($N$1="Vessels", IF(ISBLANK(Vessels!B537), "", Vessels!B537), ""))</f>
        <v/>
      </c>
      <c r="C537" s="21" t="str">
        <f>IF($N$1="Piping", IF(ISBLANK(Piping!C537), "", Piping!C537), IF($N$1="Vessels", IF(ISBLANK(Vessels!C537), "", Vessels!C537), ""))</f>
        <v>Piping</v>
      </c>
      <c r="D537" s="21" t="str">
        <f>IF($N$1="Piping", IF(ISBLANK(Piping!D537), "", Piping!D537), IF($N$1="Vessels", IF(ISBLANK(Vessels!D537), "", Vessels!D537), ""))</f>
        <v/>
      </c>
      <c r="E537" s="21" t="str">
        <f>IF($N$1="Piping", IF(ISBLANK(Piping!E537), "", Piping!E537), IF($N$1="Vessels", IF(ISBLANK(Vessels!E537), "", Vessels!E537), ""))</f>
        <v/>
      </c>
      <c r="F537" s="21" t="str">
        <f>IF($N$1="Piping", IF(ISBLANK(Piping!F537), "", Piping!F537), IF($N$1="Vessels", IF(ISBLANK(Vessels!F537), "", Vessels!F537), ""))</f>
        <v/>
      </c>
      <c r="G537" s="21">
        <f>IF($N$1="Piping", IF(ISBLANK(Piping!G537), "", Piping!G537), IF($N$1="Vessels", IF(ISBLANK(Vessels!G537), "", Vessels!G537), ""))</f>
        <v>0</v>
      </c>
      <c r="H537" s="21" t="str">
        <f>IF($N$1="Piping", IF(ISBLANK(Piping!H537), "", Piping!H537), IF($N$1="Vessels", IF(ISBLANK(Vessels!H537), "", Vessels!H537), ""))</f>
        <v/>
      </c>
      <c r="I537" s="21" t="str">
        <f>IF($N$1="Piping", IF(ISBLANK(Piping!I537), "", Piping!I537), IF($N$1="Vessels", IF(ISBLANK(Vessels!I537), "", Vessels!I537), ""))</f>
        <v/>
      </c>
      <c r="J537" s="21" t="str">
        <f>IF($N$1="Piping", IF(ISBLANK(Piping!J537), "", Piping!J537), IF($N$1="Vessels", IF(ISBLANK(Vessels!J537), "", Vessels!J537), ""))</f>
        <v/>
      </c>
      <c r="K537" s="21" t="str">
        <f>IF($N$1="Piping", IF(ISBLANK(Piping!K537), "", Piping!K537), IF($N$1="Vessels", IF(ISBLANK(Vessels!K537), "", Vessels!K537), ""))</f>
        <v/>
      </c>
      <c r="L537" s="21" t="str">
        <f>IF($N$1="Piping", IF(ISBLANK(Piping!L537), "", Piping!L537), IF($N$1="Vessels", IF(ISBLANK(Vessels!L537), "", Vessels!L537), ""))</f>
        <v/>
      </c>
      <c r="M537" s="21"/>
      <c r="N537" s="21"/>
      <c r="O537" s="21"/>
      <c r="P537" s="21"/>
      <c r="Q537" s="21" t="str">
        <f>IF($N$1="Piping", IF(ISBLANK(Piping!T537), "", Piping!T537), IF($N$1="Vessels", IF(ISBLANK(Vessels!T537), "", Vessels!T537), ""))</f>
        <v/>
      </c>
      <c r="R537" s="51" t="str">
        <f>IF($N$1="Piping", IF(ISBLANK(Piping!U537), "", Piping!U537), IF($N$1="Vessels", IF(ISBLANK(Vessels!U537), "", Vessels!U537), ""))</f>
        <v/>
      </c>
      <c r="S537" s="118" t="str">
        <f>IF(B537&lt;&gt;"",IF($N$1="Piping", IF(ISBLANK(Piping!$J$3), "", Piping!$J$3), IF($N$1="Vessels", IF(ISBLANK(Vessels!$J$3), "", Vessels!$J$3), "")),"")</f>
        <v/>
      </c>
      <c r="T537" s="37"/>
      <c r="U537" s="37"/>
      <c r="V537" s="37"/>
      <c r="W537" s="37"/>
      <c r="X537" s="37"/>
      <c r="Y537" s="37"/>
      <c r="Z537" s="37"/>
    </row>
    <row r="538" spans="1:26" ht="15.75" customHeight="1" x14ac:dyDescent="0.3">
      <c r="A538" s="22">
        <f>IF($N$1="Piping", IF(ISBLANK(Piping!A538), "", Piping!A538), IF($N$1="Vessels", IF(ISBLANK(Vessels!A538), "", Vessels!A538), ""))</f>
        <v>134.1</v>
      </c>
      <c r="B538" s="21" t="str">
        <f>IF($N$1="Piping", IF(ISBLANK(Piping!B538), "", Piping!B538), IF($N$1="Vessels", IF(ISBLANK(Vessels!B538), "", Vessels!B538), ""))</f>
        <v/>
      </c>
      <c r="C538" s="21" t="str">
        <f>IF($N$1="Piping", IF(ISBLANK(Piping!C538), "", Piping!C538), IF($N$1="Vessels", IF(ISBLANK(Vessels!C538), "", Vessels!C538), ""))</f>
        <v>Piping</v>
      </c>
      <c r="D538" s="21" t="str">
        <f>IF($N$1="Piping", IF(ISBLANK(Piping!D538), "", Piping!D538), IF($N$1="Vessels", IF(ISBLANK(Vessels!D538), "", Vessels!D538), ""))</f>
        <v/>
      </c>
      <c r="E538" s="21" t="str">
        <f>IF($N$1="Piping", IF(ISBLANK(Piping!E538), "", Piping!E538), IF($N$1="Vessels", IF(ISBLANK(Vessels!E538), "", Vessels!E538), ""))</f>
        <v/>
      </c>
      <c r="F538" s="21" t="str">
        <f>IF($N$1="Piping", IF(ISBLANK(Piping!F538), "", Piping!F538), IF($N$1="Vessels", IF(ISBLANK(Vessels!F538), "", Vessels!F538), ""))</f>
        <v/>
      </c>
      <c r="G538" s="21">
        <f>IF($N$1="Piping", IF(ISBLANK(Piping!G538), "", Piping!G538), IF($N$1="Vessels", IF(ISBLANK(Vessels!G538), "", Vessels!G538), ""))</f>
        <v>0</v>
      </c>
      <c r="H538" s="21" t="str">
        <f>IF($N$1="Piping", IF(ISBLANK(Piping!H538), "", Piping!H538), IF($N$1="Vessels", IF(ISBLANK(Vessels!H538), "", Vessels!H538), ""))</f>
        <v/>
      </c>
      <c r="I538" s="21" t="str">
        <f>IF($N$1="Piping", IF(ISBLANK(Piping!I538), "", Piping!I538), IF($N$1="Vessels", IF(ISBLANK(Vessels!I538), "", Vessels!I538), ""))</f>
        <v/>
      </c>
      <c r="J538" s="21" t="str">
        <f>IF($N$1="Piping", IF(ISBLANK(Piping!J538), "", Piping!J538), IF($N$1="Vessels", IF(ISBLANK(Vessels!J538), "", Vessels!J538), ""))</f>
        <v/>
      </c>
      <c r="K538" s="21" t="str">
        <f>IF($N$1="Piping", IF(ISBLANK(Piping!K538), "", Piping!K538), IF($N$1="Vessels", IF(ISBLANK(Vessels!K538), "", Vessels!K538), ""))</f>
        <v/>
      </c>
      <c r="L538" s="21" t="str">
        <f>IF($N$1="Piping", IF(ISBLANK(Piping!L538), "", Piping!L538), IF($N$1="Vessels", IF(ISBLANK(Vessels!L538), "", Vessels!L538), ""))</f>
        <v/>
      </c>
      <c r="M538" s="21"/>
      <c r="N538" s="21"/>
      <c r="O538" s="21"/>
      <c r="P538" s="21"/>
      <c r="Q538" s="21" t="str">
        <f>IF($N$1="Piping", IF(ISBLANK(Piping!T538), "", Piping!T538), IF($N$1="Vessels", IF(ISBLANK(Vessels!T538), "", Vessels!T538), ""))</f>
        <v/>
      </c>
      <c r="R538" s="51" t="str">
        <f>IF($N$1="Piping", IF(ISBLANK(Piping!U538), "", Piping!U538), IF($N$1="Vessels", IF(ISBLANK(Vessels!U538), "", Vessels!U538), ""))</f>
        <v/>
      </c>
      <c r="S538" s="118" t="str">
        <f>IF(B538&lt;&gt;"",IF($N$1="Piping", IF(ISBLANK(Piping!$J$3), "", Piping!$J$3), IF($N$1="Vessels", IF(ISBLANK(Vessels!$J$3), "", Vessels!$J$3), "")),"")</f>
        <v/>
      </c>
      <c r="T538" s="37"/>
      <c r="U538" s="37"/>
      <c r="V538" s="37"/>
      <c r="W538" s="37"/>
      <c r="X538" s="37"/>
      <c r="Y538" s="37"/>
      <c r="Z538" s="37"/>
    </row>
    <row r="539" spans="1:26" ht="15.75" customHeight="1" x14ac:dyDescent="0.3">
      <c r="A539" s="22">
        <f>IF($N$1="Piping", IF(ISBLANK(Piping!A539), "", Piping!A539), IF($N$1="Vessels", IF(ISBLANK(Vessels!A539), "", Vessels!A539), ""))</f>
        <v>134.19999999999999</v>
      </c>
      <c r="B539" s="21" t="str">
        <f>IF($N$1="Piping", IF(ISBLANK(Piping!B539), "", Piping!B539), IF($N$1="Vessels", IF(ISBLANK(Vessels!B539), "", Vessels!B539), ""))</f>
        <v/>
      </c>
      <c r="C539" s="21" t="str">
        <f>IF($N$1="Piping", IF(ISBLANK(Piping!C539), "", Piping!C539), IF($N$1="Vessels", IF(ISBLANK(Vessels!C539), "", Vessels!C539), ""))</f>
        <v>Piping</v>
      </c>
      <c r="D539" s="21" t="str">
        <f>IF($N$1="Piping", IF(ISBLANK(Piping!D539), "", Piping!D539), IF($N$1="Vessels", IF(ISBLANK(Vessels!D539), "", Vessels!D539), ""))</f>
        <v/>
      </c>
      <c r="E539" s="21" t="str">
        <f>IF($N$1="Piping", IF(ISBLANK(Piping!E539), "", Piping!E539), IF($N$1="Vessels", IF(ISBLANK(Vessels!E539), "", Vessels!E539), ""))</f>
        <v/>
      </c>
      <c r="F539" s="21" t="str">
        <f>IF($N$1="Piping", IF(ISBLANK(Piping!F539), "", Piping!F539), IF($N$1="Vessels", IF(ISBLANK(Vessels!F539), "", Vessels!F539), ""))</f>
        <v/>
      </c>
      <c r="G539" s="21">
        <f>IF($N$1="Piping", IF(ISBLANK(Piping!G539), "", Piping!G539), IF($N$1="Vessels", IF(ISBLANK(Vessels!G539), "", Vessels!G539), ""))</f>
        <v>0</v>
      </c>
      <c r="H539" s="21" t="str">
        <f>IF($N$1="Piping", IF(ISBLANK(Piping!H539), "", Piping!H539), IF($N$1="Vessels", IF(ISBLANK(Vessels!H539), "", Vessels!H539), ""))</f>
        <v/>
      </c>
      <c r="I539" s="21" t="str">
        <f>IF($N$1="Piping", IF(ISBLANK(Piping!I539), "", Piping!I539), IF($N$1="Vessels", IF(ISBLANK(Vessels!I539), "", Vessels!I539), ""))</f>
        <v/>
      </c>
      <c r="J539" s="21" t="str">
        <f>IF($N$1="Piping", IF(ISBLANK(Piping!J539), "", Piping!J539), IF($N$1="Vessels", IF(ISBLANK(Vessels!J539), "", Vessels!J539), ""))</f>
        <v/>
      </c>
      <c r="K539" s="21" t="str">
        <f>IF($N$1="Piping", IF(ISBLANK(Piping!K539), "", Piping!K539), IF($N$1="Vessels", IF(ISBLANK(Vessels!K539), "", Vessels!K539), ""))</f>
        <v/>
      </c>
      <c r="L539" s="21" t="str">
        <f>IF($N$1="Piping", IF(ISBLANK(Piping!L539), "", Piping!L539), IF($N$1="Vessels", IF(ISBLANK(Vessels!L539), "", Vessels!L539), ""))</f>
        <v/>
      </c>
      <c r="M539" s="21"/>
      <c r="N539" s="21"/>
      <c r="O539" s="21"/>
      <c r="P539" s="21"/>
      <c r="Q539" s="21" t="str">
        <f>IF($N$1="Piping", IF(ISBLANK(Piping!T539), "", Piping!T539), IF($N$1="Vessels", IF(ISBLANK(Vessels!T539), "", Vessels!T539), ""))</f>
        <v/>
      </c>
      <c r="R539" s="51" t="str">
        <f>IF($N$1="Piping", IF(ISBLANK(Piping!U539), "", Piping!U539), IF($N$1="Vessels", IF(ISBLANK(Vessels!U539), "", Vessels!U539), ""))</f>
        <v/>
      </c>
      <c r="S539" s="118" t="str">
        <f>IF(B539&lt;&gt;"",IF($N$1="Piping", IF(ISBLANK(Piping!$J$3), "", Piping!$J$3), IF($N$1="Vessels", IF(ISBLANK(Vessels!$J$3), "", Vessels!$J$3), "")),"")</f>
        <v/>
      </c>
      <c r="T539" s="37"/>
      <c r="U539" s="37"/>
      <c r="V539" s="37"/>
      <c r="W539" s="37"/>
      <c r="X539" s="37"/>
      <c r="Y539" s="37"/>
      <c r="Z539" s="37"/>
    </row>
    <row r="540" spans="1:26" ht="15.75" customHeight="1" x14ac:dyDescent="0.3">
      <c r="A540" s="22">
        <f>IF($N$1="Piping", IF(ISBLANK(Piping!A540), "", Piping!A540), IF($N$1="Vessels", IF(ISBLANK(Vessels!A540), "", Vessels!A540), ""))</f>
        <v>134.30000000000001</v>
      </c>
      <c r="B540" s="21" t="str">
        <f>IF($N$1="Piping", IF(ISBLANK(Piping!B540), "", Piping!B540), IF($N$1="Vessels", IF(ISBLANK(Vessels!B540), "", Vessels!B540), ""))</f>
        <v/>
      </c>
      <c r="C540" s="21" t="str">
        <f>IF($N$1="Piping", IF(ISBLANK(Piping!C540), "", Piping!C540), IF($N$1="Vessels", IF(ISBLANK(Vessels!C540), "", Vessels!C540), ""))</f>
        <v>Piping</v>
      </c>
      <c r="D540" s="21" t="str">
        <f>IF($N$1="Piping", IF(ISBLANK(Piping!D540), "", Piping!D540), IF($N$1="Vessels", IF(ISBLANK(Vessels!D540), "", Vessels!D540), ""))</f>
        <v/>
      </c>
      <c r="E540" s="21" t="str">
        <f>IF($N$1="Piping", IF(ISBLANK(Piping!E540), "", Piping!E540), IF($N$1="Vessels", IF(ISBLANK(Vessels!E540), "", Vessels!E540), ""))</f>
        <v/>
      </c>
      <c r="F540" s="21" t="str">
        <f>IF($N$1="Piping", IF(ISBLANK(Piping!F540), "", Piping!F540), IF($N$1="Vessels", IF(ISBLANK(Vessels!F540), "", Vessels!F540), ""))</f>
        <v/>
      </c>
      <c r="G540" s="21">
        <f>IF($N$1="Piping", IF(ISBLANK(Piping!G540), "", Piping!G540), IF($N$1="Vessels", IF(ISBLANK(Vessels!G540), "", Vessels!G540), ""))</f>
        <v>0</v>
      </c>
      <c r="H540" s="21" t="str">
        <f>IF($N$1="Piping", IF(ISBLANK(Piping!H540), "", Piping!H540), IF($N$1="Vessels", IF(ISBLANK(Vessels!H540), "", Vessels!H540), ""))</f>
        <v/>
      </c>
      <c r="I540" s="21" t="str">
        <f>IF($N$1="Piping", IF(ISBLANK(Piping!I540), "", Piping!I540), IF($N$1="Vessels", IF(ISBLANK(Vessels!I540), "", Vessels!I540), ""))</f>
        <v/>
      </c>
      <c r="J540" s="21" t="str">
        <f>IF($N$1="Piping", IF(ISBLANK(Piping!J540), "", Piping!J540), IF($N$1="Vessels", IF(ISBLANK(Vessels!J540), "", Vessels!J540), ""))</f>
        <v/>
      </c>
      <c r="K540" s="21" t="str">
        <f>IF($N$1="Piping", IF(ISBLANK(Piping!K540), "", Piping!K540), IF($N$1="Vessels", IF(ISBLANK(Vessels!K540), "", Vessels!K540), ""))</f>
        <v/>
      </c>
      <c r="L540" s="21" t="str">
        <f>IF($N$1="Piping", IF(ISBLANK(Piping!L540), "", Piping!L540), IF($N$1="Vessels", IF(ISBLANK(Vessels!L540), "", Vessels!L540), ""))</f>
        <v/>
      </c>
      <c r="M540" s="21"/>
      <c r="N540" s="21"/>
      <c r="O540" s="21"/>
      <c r="P540" s="21"/>
      <c r="Q540" s="21" t="str">
        <f>IF($N$1="Piping", IF(ISBLANK(Piping!T540), "", Piping!T540), IF($N$1="Vessels", IF(ISBLANK(Vessels!T540), "", Vessels!T540), ""))</f>
        <v/>
      </c>
      <c r="R540" s="51" t="str">
        <f>IF($N$1="Piping", IF(ISBLANK(Piping!U540), "", Piping!U540), IF($N$1="Vessels", IF(ISBLANK(Vessels!U540), "", Vessels!U540), ""))</f>
        <v/>
      </c>
      <c r="S540" s="118" t="str">
        <f>IF(B540&lt;&gt;"",IF($N$1="Piping", IF(ISBLANK(Piping!$J$3), "", Piping!$J$3), IF($N$1="Vessels", IF(ISBLANK(Vessels!$J$3), "", Vessels!$J$3), "")),"")</f>
        <v/>
      </c>
      <c r="T540" s="37"/>
      <c r="U540" s="37"/>
      <c r="V540" s="37"/>
      <c r="W540" s="37"/>
      <c r="X540" s="37"/>
      <c r="Y540" s="37"/>
      <c r="Z540" s="37"/>
    </row>
    <row r="541" spans="1:26" ht="15.75" customHeight="1" x14ac:dyDescent="0.3">
      <c r="A541" s="22">
        <f>IF($N$1="Piping", IF(ISBLANK(Piping!A541), "", Piping!A541), IF($N$1="Vessels", IF(ISBLANK(Vessels!A541), "", Vessels!A541), ""))</f>
        <v>134.4</v>
      </c>
      <c r="B541" s="21" t="str">
        <f>IF($N$1="Piping", IF(ISBLANK(Piping!B541), "", Piping!B541), IF($N$1="Vessels", IF(ISBLANK(Vessels!B541), "", Vessels!B541), ""))</f>
        <v/>
      </c>
      <c r="C541" s="21" t="str">
        <f>IF($N$1="Piping", IF(ISBLANK(Piping!C541), "", Piping!C541), IF($N$1="Vessels", IF(ISBLANK(Vessels!C541), "", Vessels!C541), ""))</f>
        <v>Piping</v>
      </c>
      <c r="D541" s="21" t="str">
        <f>IF($N$1="Piping", IF(ISBLANK(Piping!D541), "", Piping!D541), IF($N$1="Vessels", IF(ISBLANK(Vessels!D541), "", Vessels!D541), ""))</f>
        <v/>
      </c>
      <c r="E541" s="21" t="str">
        <f>IF($N$1="Piping", IF(ISBLANK(Piping!E541), "", Piping!E541), IF($N$1="Vessels", IF(ISBLANK(Vessels!E541), "", Vessels!E541), ""))</f>
        <v/>
      </c>
      <c r="F541" s="21" t="str">
        <f>IF($N$1="Piping", IF(ISBLANK(Piping!F541), "", Piping!F541), IF($N$1="Vessels", IF(ISBLANK(Vessels!F541), "", Vessels!F541), ""))</f>
        <v/>
      </c>
      <c r="G541" s="21">
        <f>IF($N$1="Piping", IF(ISBLANK(Piping!G541), "", Piping!G541), IF($N$1="Vessels", IF(ISBLANK(Vessels!G541), "", Vessels!G541), ""))</f>
        <v>0</v>
      </c>
      <c r="H541" s="21" t="str">
        <f>IF($N$1="Piping", IF(ISBLANK(Piping!H541), "", Piping!H541), IF($N$1="Vessels", IF(ISBLANK(Vessels!H541), "", Vessels!H541), ""))</f>
        <v/>
      </c>
      <c r="I541" s="21" t="str">
        <f>IF($N$1="Piping", IF(ISBLANK(Piping!I541), "", Piping!I541), IF($N$1="Vessels", IF(ISBLANK(Vessels!I541), "", Vessels!I541), ""))</f>
        <v/>
      </c>
      <c r="J541" s="21" t="str">
        <f>IF($N$1="Piping", IF(ISBLANK(Piping!J541), "", Piping!J541), IF($N$1="Vessels", IF(ISBLANK(Vessels!J541), "", Vessels!J541), ""))</f>
        <v/>
      </c>
      <c r="K541" s="21" t="str">
        <f>IF($N$1="Piping", IF(ISBLANK(Piping!K541), "", Piping!K541), IF($N$1="Vessels", IF(ISBLANK(Vessels!K541), "", Vessels!K541), ""))</f>
        <v/>
      </c>
      <c r="L541" s="21" t="str">
        <f>IF($N$1="Piping", IF(ISBLANK(Piping!L541), "", Piping!L541), IF($N$1="Vessels", IF(ISBLANK(Vessels!L541), "", Vessels!L541), ""))</f>
        <v/>
      </c>
      <c r="M541" s="21"/>
      <c r="N541" s="21"/>
      <c r="O541" s="21"/>
      <c r="P541" s="21"/>
      <c r="Q541" s="21" t="str">
        <f>IF($N$1="Piping", IF(ISBLANK(Piping!T541), "", Piping!T541), IF($N$1="Vessels", IF(ISBLANK(Vessels!T541), "", Vessels!T541), ""))</f>
        <v/>
      </c>
      <c r="R541" s="51" t="str">
        <f>IF($N$1="Piping", IF(ISBLANK(Piping!U541), "", Piping!U541), IF($N$1="Vessels", IF(ISBLANK(Vessels!U541), "", Vessels!U541), ""))</f>
        <v/>
      </c>
      <c r="S541" s="118" t="str">
        <f>IF(B541&lt;&gt;"",IF($N$1="Piping", IF(ISBLANK(Piping!$J$3), "", Piping!$J$3), IF($N$1="Vessels", IF(ISBLANK(Vessels!$J$3), "", Vessels!$J$3), "")),"")</f>
        <v/>
      </c>
      <c r="T541" s="37"/>
      <c r="U541" s="37"/>
      <c r="V541" s="37"/>
      <c r="W541" s="37"/>
      <c r="X541" s="37"/>
      <c r="Y541" s="37"/>
      <c r="Z541" s="37"/>
    </row>
    <row r="542" spans="1:26" ht="15.75" customHeight="1" x14ac:dyDescent="0.3">
      <c r="A542" s="22">
        <f>IF($N$1="Piping", IF(ISBLANK(Piping!A542), "", Piping!A542), IF($N$1="Vessels", IF(ISBLANK(Vessels!A542), "", Vessels!A542), ""))</f>
        <v>135.1</v>
      </c>
      <c r="B542" s="21" t="str">
        <f>IF($N$1="Piping", IF(ISBLANK(Piping!B542), "", Piping!B542), IF($N$1="Vessels", IF(ISBLANK(Vessels!B542), "", Vessels!B542), ""))</f>
        <v/>
      </c>
      <c r="C542" s="21" t="str">
        <f>IF($N$1="Piping", IF(ISBLANK(Piping!C542), "", Piping!C542), IF($N$1="Vessels", IF(ISBLANK(Vessels!C542), "", Vessels!C542), ""))</f>
        <v>Piping</v>
      </c>
      <c r="D542" s="21" t="str">
        <f>IF($N$1="Piping", IF(ISBLANK(Piping!D542), "", Piping!D542), IF($N$1="Vessels", IF(ISBLANK(Vessels!D542), "", Vessels!D542), ""))</f>
        <v/>
      </c>
      <c r="E542" s="21" t="str">
        <f>IF($N$1="Piping", IF(ISBLANK(Piping!E542), "", Piping!E542), IF($N$1="Vessels", IF(ISBLANK(Vessels!E542), "", Vessels!E542), ""))</f>
        <v/>
      </c>
      <c r="F542" s="21" t="str">
        <f>IF($N$1="Piping", IF(ISBLANK(Piping!F542), "", Piping!F542), IF($N$1="Vessels", IF(ISBLANK(Vessels!F542), "", Vessels!F542), ""))</f>
        <v/>
      </c>
      <c r="G542" s="21">
        <f>IF($N$1="Piping", IF(ISBLANK(Piping!G542), "", Piping!G542), IF($N$1="Vessels", IF(ISBLANK(Vessels!G542), "", Vessels!G542), ""))</f>
        <v>0</v>
      </c>
      <c r="H542" s="21" t="str">
        <f>IF($N$1="Piping", IF(ISBLANK(Piping!H542), "", Piping!H542), IF($N$1="Vessels", IF(ISBLANK(Vessels!H542), "", Vessels!H542), ""))</f>
        <v/>
      </c>
      <c r="I542" s="21" t="str">
        <f>IF($N$1="Piping", IF(ISBLANK(Piping!I542), "", Piping!I542), IF($N$1="Vessels", IF(ISBLANK(Vessels!I542), "", Vessels!I542), ""))</f>
        <v/>
      </c>
      <c r="J542" s="21" t="str">
        <f>IF($N$1="Piping", IF(ISBLANK(Piping!J542), "", Piping!J542), IF($N$1="Vessels", IF(ISBLANK(Vessels!J542), "", Vessels!J542), ""))</f>
        <v/>
      </c>
      <c r="K542" s="21" t="str">
        <f>IF($N$1="Piping", IF(ISBLANK(Piping!K542), "", Piping!K542), IF($N$1="Vessels", IF(ISBLANK(Vessels!K542), "", Vessels!K542), ""))</f>
        <v/>
      </c>
      <c r="L542" s="21" t="str">
        <f>IF($N$1="Piping", IF(ISBLANK(Piping!L542), "", Piping!L542), IF($N$1="Vessels", IF(ISBLANK(Vessels!L542), "", Vessels!L542), ""))</f>
        <v/>
      </c>
      <c r="M542" s="21"/>
      <c r="N542" s="21"/>
      <c r="O542" s="21"/>
      <c r="P542" s="21"/>
      <c r="Q542" s="21" t="str">
        <f>IF($N$1="Piping", IF(ISBLANK(Piping!T542), "", Piping!T542), IF($N$1="Vessels", IF(ISBLANK(Vessels!T542), "", Vessels!T542), ""))</f>
        <v/>
      </c>
      <c r="R542" s="51" t="str">
        <f>IF($N$1="Piping", IF(ISBLANK(Piping!U542), "", Piping!U542), IF($N$1="Vessels", IF(ISBLANK(Vessels!U542), "", Vessels!U542), ""))</f>
        <v/>
      </c>
      <c r="S542" s="118" t="str">
        <f>IF(B542&lt;&gt;"",IF($N$1="Piping", IF(ISBLANK(Piping!$J$3), "", Piping!$J$3), IF($N$1="Vessels", IF(ISBLANK(Vessels!$J$3), "", Vessels!$J$3), "")),"")</f>
        <v/>
      </c>
      <c r="T542" s="37"/>
      <c r="U542" s="37"/>
      <c r="V542" s="37"/>
      <c r="W542" s="37"/>
      <c r="X542" s="37"/>
      <c r="Y542" s="37"/>
      <c r="Z542" s="37"/>
    </row>
    <row r="543" spans="1:26" ht="15.75" customHeight="1" x14ac:dyDescent="0.3">
      <c r="A543" s="22">
        <f>IF($N$1="Piping", IF(ISBLANK(Piping!A543), "", Piping!A543), IF($N$1="Vessels", IF(ISBLANK(Vessels!A543), "", Vessels!A543), ""))</f>
        <v>135.19999999999999</v>
      </c>
      <c r="B543" s="21" t="str">
        <f>IF($N$1="Piping", IF(ISBLANK(Piping!B543), "", Piping!B543), IF($N$1="Vessels", IF(ISBLANK(Vessels!B543), "", Vessels!B543), ""))</f>
        <v/>
      </c>
      <c r="C543" s="21" t="str">
        <f>IF($N$1="Piping", IF(ISBLANK(Piping!C543), "", Piping!C543), IF($N$1="Vessels", IF(ISBLANK(Vessels!C543), "", Vessels!C543), ""))</f>
        <v>Piping</v>
      </c>
      <c r="D543" s="21" t="str">
        <f>IF($N$1="Piping", IF(ISBLANK(Piping!D543), "", Piping!D543), IF($N$1="Vessels", IF(ISBLANK(Vessels!D543), "", Vessels!D543), ""))</f>
        <v/>
      </c>
      <c r="E543" s="21" t="str">
        <f>IF($N$1="Piping", IF(ISBLANK(Piping!E543), "", Piping!E543), IF($N$1="Vessels", IF(ISBLANK(Vessels!E543), "", Vessels!E543), ""))</f>
        <v/>
      </c>
      <c r="F543" s="21" t="str">
        <f>IF($N$1="Piping", IF(ISBLANK(Piping!F543), "", Piping!F543), IF($N$1="Vessels", IF(ISBLANK(Vessels!F543), "", Vessels!F543), ""))</f>
        <v/>
      </c>
      <c r="G543" s="21">
        <f>IF($N$1="Piping", IF(ISBLANK(Piping!G543), "", Piping!G543), IF($N$1="Vessels", IF(ISBLANK(Vessels!G543), "", Vessels!G543), ""))</f>
        <v>0</v>
      </c>
      <c r="H543" s="21" t="str">
        <f>IF($N$1="Piping", IF(ISBLANK(Piping!H543), "", Piping!H543), IF($N$1="Vessels", IF(ISBLANK(Vessels!H543), "", Vessels!H543), ""))</f>
        <v/>
      </c>
      <c r="I543" s="21" t="str">
        <f>IF($N$1="Piping", IF(ISBLANK(Piping!I543), "", Piping!I543), IF($N$1="Vessels", IF(ISBLANK(Vessels!I543), "", Vessels!I543), ""))</f>
        <v/>
      </c>
      <c r="J543" s="21" t="str">
        <f>IF($N$1="Piping", IF(ISBLANK(Piping!J543), "", Piping!J543), IF($N$1="Vessels", IF(ISBLANK(Vessels!J543), "", Vessels!J543), ""))</f>
        <v/>
      </c>
      <c r="K543" s="21" t="str">
        <f>IF($N$1="Piping", IF(ISBLANK(Piping!K543), "", Piping!K543), IF($N$1="Vessels", IF(ISBLANK(Vessels!K543), "", Vessels!K543), ""))</f>
        <v/>
      </c>
      <c r="L543" s="21" t="str">
        <f>IF($N$1="Piping", IF(ISBLANK(Piping!L543), "", Piping!L543), IF($N$1="Vessels", IF(ISBLANK(Vessels!L543), "", Vessels!L543), ""))</f>
        <v/>
      </c>
      <c r="M543" s="21"/>
      <c r="N543" s="21"/>
      <c r="O543" s="21"/>
      <c r="P543" s="21"/>
      <c r="Q543" s="21" t="str">
        <f>IF($N$1="Piping", IF(ISBLANK(Piping!T543), "", Piping!T543), IF($N$1="Vessels", IF(ISBLANK(Vessels!T543), "", Vessels!T543), ""))</f>
        <v/>
      </c>
      <c r="R543" s="51" t="str">
        <f>IF($N$1="Piping", IF(ISBLANK(Piping!U543), "", Piping!U543), IF($N$1="Vessels", IF(ISBLANK(Vessels!U543), "", Vessels!U543), ""))</f>
        <v/>
      </c>
      <c r="S543" s="118" t="str">
        <f>IF(B543&lt;&gt;"",IF($N$1="Piping", IF(ISBLANK(Piping!$J$3), "", Piping!$J$3), IF($N$1="Vessels", IF(ISBLANK(Vessels!$J$3), "", Vessels!$J$3), "")),"")</f>
        <v/>
      </c>
      <c r="T543" s="37"/>
      <c r="U543" s="37"/>
      <c r="V543" s="37"/>
      <c r="W543" s="37"/>
      <c r="X543" s="37"/>
      <c r="Y543" s="37"/>
      <c r="Z543" s="37"/>
    </row>
    <row r="544" spans="1:26" ht="15.75" customHeight="1" x14ac:dyDescent="0.3">
      <c r="A544" s="22">
        <f>IF($N$1="Piping", IF(ISBLANK(Piping!A544), "", Piping!A544), IF($N$1="Vessels", IF(ISBLANK(Vessels!A544), "", Vessels!A544), ""))</f>
        <v>135.30000000000001</v>
      </c>
      <c r="B544" s="21" t="str">
        <f>IF($N$1="Piping", IF(ISBLANK(Piping!B544), "", Piping!B544), IF($N$1="Vessels", IF(ISBLANK(Vessels!B544), "", Vessels!B544), ""))</f>
        <v/>
      </c>
      <c r="C544" s="21" t="str">
        <f>IF($N$1="Piping", IF(ISBLANK(Piping!C544), "", Piping!C544), IF($N$1="Vessels", IF(ISBLANK(Vessels!C544), "", Vessels!C544), ""))</f>
        <v>Piping</v>
      </c>
      <c r="D544" s="21" t="str">
        <f>IF($N$1="Piping", IF(ISBLANK(Piping!D544), "", Piping!D544), IF($N$1="Vessels", IF(ISBLANK(Vessels!D544), "", Vessels!D544), ""))</f>
        <v/>
      </c>
      <c r="E544" s="21" t="str">
        <f>IF($N$1="Piping", IF(ISBLANK(Piping!E544), "", Piping!E544), IF($N$1="Vessels", IF(ISBLANK(Vessels!E544), "", Vessels!E544), ""))</f>
        <v/>
      </c>
      <c r="F544" s="21" t="str">
        <f>IF($N$1="Piping", IF(ISBLANK(Piping!F544), "", Piping!F544), IF($N$1="Vessels", IF(ISBLANK(Vessels!F544), "", Vessels!F544), ""))</f>
        <v/>
      </c>
      <c r="G544" s="21">
        <f>IF($N$1="Piping", IF(ISBLANK(Piping!G544), "", Piping!G544), IF($N$1="Vessels", IF(ISBLANK(Vessels!G544), "", Vessels!G544), ""))</f>
        <v>0</v>
      </c>
      <c r="H544" s="21" t="str">
        <f>IF($N$1="Piping", IF(ISBLANK(Piping!H544), "", Piping!H544), IF($N$1="Vessels", IF(ISBLANK(Vessels!H544), "", Vessels!H544), ""))</f>
        <v/>
      </c>
      <c r="I544" s="21" t="str">
        <f>IF($N$1="Piping", IF(ISBLANK(Piping!I544), "", Piping!I544), IF($N$1="Vessels", IF(ISBLANK(Vessels!I544), "", Vessels!I544), ""))</f>
        <v/>
      </c>
      <c r="J544" s="21" t="str">
        <f>IF($N$1="Piping", IF(ISBLANK(Piping!J544), "", Piping!J544), IF($N$1="Vessels", IF(ISBLANK(Vessels!J544), "", Vessels!J544), ""))</f>
        <v/>
      </c>
      <c r="K544" s="21" t="str">
        <f>IF($N$1="Piping", IF(ISBLANK(Piping!K544), "", Piping!K544), IF($N$1="Vessels", IF(ISBLANK(Vessels!K544), "", Vessels!K544), ""))</f>
        <v/>
      </c>
      <c r="L544" s="21" t="str">
        <f>IF($N$1="Piping", IF(ISBLANK(Piping!L544), "", Piping!L544), IF($N$1="Vessels", IF(ISBLANK(Vessels!L544), "", Vessels!L544), ""))</f>
        <v/>
      </c>
      <c r="M544" s="21"/>
      <c r="N544" s="21"/>
      <c r="O544" s="21"/>
      <c r="P544" s="21"/>
      <c r="Q544" s="21" t="str">
        <f>IF($N$1="Piping", IF(ISBLANK(Piping!T544), "", Piping!T544), IF($N$1="Vessels", IF(ISBLANK(Vessels!T544), "", Vessels!T544), ""))</f>
        <v/>
      </c>
      <c r="R544" s="51" t="str">
        <f>IF($N$1="Piping", IF(ISBLANK(Piping!U544), "", Piping!U544), IF($N$1="Vessels", IF(ISBLANK(Vessels!U544), "", Vessels!U544), ""))</f>
        <v/>
      </c>
      <c r="S544" s="118" t="str">
        <f>IF(B544&lt;&gt;"",IF($N$1="Piping", IF(ISBLANK(Piping!$J$3), "", Piping!$J$3), IF($N$1="Vessels", IF(ISBLANK(Vessels!$J$3), "", Vessels!$J$3), "")),"")</f>
        <v/>
      </c>
      <c r="T544" s="37"/>
      <c r="U544" s="37"/>
      <c r="V544" s="37"/>
      <c r="W544" s="37"/>
      <c r="X544" s="37"/>
      <c r="Y544" s="37"/>
      <c r="Z544" s="37"/>
    </row>
    <row r="545" spans="1:26" ht="15.75" customHeight="1" x14ac:dyDescent="0.3">
      <c r="A545" s="22">
        <f>IF($N$1="Piping", IF(ISBLANK(Piping!A545), "", Piping!A545), IF($N$1="Vessels", IF(ISBLANK(Vessels!A545), "", Vessels!A545), ""))</f>
        <v>135.4</v>
      </c>
      <c r="B545" s="21" t="str">
        <f>IF($N$1="Piping", IF(ISBLANK(Piping!B545), "", Piping!B545), IF($N$1="Vessels", IF(ISBLANK(Vessels!B545), "", Vessels!B545), ""))</f>
        <v/>
      </c>
      <c r="C545" s="21" t="str">
        <f>IF($N$1="Piping", IF(ISBLANK(Piping!C545), "", Piping!C545), IF($N$1="Vessels", IF(ISBLANK(Vessels!C545), "", Vessels!C545), ""))</f>
        <v>Piping</v>
      </c>
      <c r="D545" s="21" t="str">
        <f>IF($N$1="Piping", IF(ISBLANK(Piping!D545), "", Piping!D545), IF($N$1="Vessels", IF(ISBLANK(Vessels!D545), "", Vessels!D545), ""))</f>
        <v/>
      </c>
      <c r="E545" s="21" t="str">
        <f>IF($N$1="Piping", IF(ISBLANK(Piping!E545), "", Piping!E545), IF($N$1="Vessels", IF(ISBLANK(Vessels!E545), "", Vessels!E545), ""))</f>
        <v/>
      </c>
      <c r="F545" s="21" t="str">
        <f>IF($N$1="Piping", IF(ISBLANK(Piping!F545), "", Piping!F545), IF($N$1="Vessels", IF(ISBLANK(Vessels!F545), "", Vessels!F545), ""))</f>
        <v/>
      </c>
      <c r="G545" s="21">
        <f>IF($N$1="Piping", IF(ISBLANK(Piping!G545), "", Piping!G545), IF($N$1="Vessels", IF(ISBLANK(Vessels!G545), "", Vessels!G545), ""))</f>
        <v>0</v>
      </c>
      <c r="H545" s="21" t="str">
        <f>IF($N$1="Piping", IF(ISBLANK(Piping!H545), "", Piping!H545), IF($N$1="Vessels", IF(ISBLANK(Vessels!H545), "", Vessels!H545), ""))</f>
        <v/>
      </c>
      <c r="I545" s="21" t="str">
        <f>IF($N$1="Piping", IF(ISBLANK(Piping!I545), "", Piping!I545), IF($N$1="Vessels", IF(ISBLANK(Vessels!I545), "", Vessels!I545), ""))</f>
        <v/>
      </c>
      <c r="J545" s="21" t="str">
        <f>IF($N$1="Piping", IF(ISBLANK(Piping!J545), "", Piping!J545), IF($N$1="Vessels", IF(ISBLANK(Vessels!J545), "", Vessels!J545), ""))</f>
        <v/>
      </c>
      <c r="K545" s="21" t="str">
        <f>IF($N$1="Piping", IF(ISBLANK(Piping!K545), "", Piping!K545), IF($N$1="Vessels", IF(ISBLANK(Vessels!K545), "", Vessels!K545), ""))</f>
        <v/>
      </c>
      <c r="L545" s="21" t="str">
        <f>IF($N$1="Piping", IF(ISBLANK(Piping!L545), "", Piping!L545), IF($N$1="Vessels", IF(ISBLANK(Vessels!L545), "", Vessels!L545), ""))</f>
        <v/>
      </c>
      <c r="M545" s="21"/>
      <c r="N545" s="21"/>
      <c r="O545" s="21"/>
      <c r="P545" s="21"/>
      <c r="Q545" s="21" t="str">
        <f>IF($N$1="Piping", IF(ISBLANK(Piping!T545), "", Piping!T545), IF($N$1="Vessels", IF(ISBLANK(Vessels!T545), "", Vessels!T545), ""))</f>
        <v/>
      </c>
      <c r="R545" s="51" t="str">
        <f>IF($N$1="Piping", IF(ISBLANK(Piping!U545), "", Piping!U545), IF($N$1="Vessels", IF(ISBLANK(Vessels!U545), "", Vessels!U545), ""))</f>
        <v/>
      </c>
      <c r="S545" s="118" t="str">
        <f>IF(B545&lt;&gt;"",IF($N$1="Piping", IF(ISBLANK(Piping!$J$3), "", Piping!$J$3), IF($N$1="Vessels", IF(ISBLANK(Vessels!$J$3), "", Vessels!$J$3), "")),"")</f>
        <v/>
      </c>
      <c r="T545" s="37"/>
      <c r="U545" s="37"/>
      <c r="V545" s="37"/>
      <c r="W545" s="37"/>
      <c r="X545" s="37"/>
      <c r="Y545" s="37"/>
      <c r="Z545" s="37"/>
    </row>
    <row r="546" spans="1:26" ht="15.75" customHeight="1" x14ac:dyDescent="0.3">
      <c r="A546" s="22">
        <f>IF($N$1="Piping", IF(ISBLANK(Piping!A546), "", Piping!A546), IF($N$1="Vessels", IF(ISBLANK(Vessels!A546), "", Vessels!A546), ""))</f>
        <v>136.1</v>
      </c>
      <c r="B546" s="21" t="str">
        <f>IF($N$1="Piping", IF(ISBLANK(Piping!B546), "", Piping!B546), IF($N$1="Vessels", IF(ISBLANK(Vessels!B546), "", Vessels!B546), ""))</f>
        <v/>
      </c>
      <c r="C546" s="21" t="str">
        <f>IF($N$1="Piping", IF(ISBLANK(Piping!C546), "", Piping!C546), IF($N$1="Vessels", IF(ISBLANK(Vessels!C546), "", Vessels!C546), ""))</f>
        <v>Piping</v>
      </c>
      <c r="D546" s="21" t="str">
        <f>IF($N$1="Piping", IF(ISBLANK(Piping!D546), "", Piping!D546), IF($N$1="Vessels", IF(ISBLANK(Vessels!D546), "", Vessels!D546), ""))</f>
        <v/>
      </c>
      <c r="E546" s="21" t="str">
        <f>IF($N$1="Piping", IF(ISBLANK(Piping!E546), "", Piping!E546), IF($N$1="Vessels", IF(ISBLANK(Vessels!E546), "", Vessels!E546), ""))</f>
        <v/>
      </c>
      <c r="F546" s="21" t="str">
        <f>IF($N$1="Piping", IF(ISBLANK(Piping!F546), "", Piping!F546), IF($N$1="Vessels", IF(ISBLANK(Vessels!F546), "", Vessels!F546), ""))</f>
        <v/>
      </c>
      <c r="G546" s="21">
        <f>IF($N$1="Piping", IF(ISBLANK(Piping!G546), "", Piping!G546), IF($N$1="Vessels", IF(ISBLANK(Vessels!G546), "", Vessels!G546), ""))</f>
        <v>0</v>
      </c>
      <c r="H546" s="21" t="str">
        <f>IF($N$1="Piping", IF(ISBLANK(Piping!H546), "", Piping!H546), IF($N$1="Vessels", IF(ISBLANK(Vessels!H546), "", Vessels!H546), ""))</f>
        <v/>
      </c>
      <c r="I546" s="21" t="str">
        <f>IF($N$1="Piping", IF(ISBLANK(Piping!I546), "", Piping!I546), IF($N$1="Vessels", IF(ISBLANK(Vessels!I546), "", Vessels!I546), ""))</f>
        <v/>
      </c>
      <c r="J546" s="21" t="str">
        <f>IF($N$1="Piping", IF(ISBLANK(Piping!J546), "", Piping!J546), IF($N$1="Vessels", IF(ISBLANK(Vessels!J546), "", Vessels!J546), ""))</f>
        <v/>
      </c>
      <c r="K546" s="21" t="str">
        <f>IF($N$1="Piping", IF(ISBLANK(Piping!K546), "", Piping!K546), IF($N$1="Vessels", IF(ISBLANK(Vessels!K546), "", Vessels!K546), ""))</f>
        <v/>
      </c>
      <c r="L546" s="21" t="str">
        <f>IF($N$1="Piping", IF(ISBLANK(Piping!L546), "", Piping!L546), IF($N$1="Vessels", IF(ISBLANK(Vessels!L546), "", Vessels!L546), ""))</f>
        <v/>
      </c>
      <c r="M546" s="21"/>
      <c r="N546" s="21"/>
      <c r="O546" s="21"/>
      <c r="P546" s="21"/>
      <c r="Q546" s="21" t="str">
        <f>IF($N$1="Piping", IF(ISBLANK(Piping!T546), "", Piping!T546), IF($N$1="Vessels", IF(ISBLANK(Vessels!T546), "", Vessels!T546), ""))</f>
        <v/>
      </c>
      <c r="R546" s="51" t="str">
        <f>IF($N$1="Piping", IF(ISBLANK(Piping!U546), "", Piping!U546), IF($N$1="Vessels", IF(ISBLANK(Vessels!U546), "", Vessels!U546), ""))</f>
        <v/>
      </c>
      <c r="S546" s="118" t="str">
        <f>IF(B546&lt;&gt;"",IF($N$1="Piping", IF(ISBLANK(Piping!$J$3), "", Piping!$J$3), IF($N$1="Vessels", IF(ISBLANK(Vessels!$J$3), "", Vessels!$J$3), "")),"")</f>
        <v/>
      </c>
      <c r="T546" s="37"/>
      <c r="U546" s="37"/>
      <c r="V546" s="37"/>
      <c r="W546" s="37"/>
      <c r="X546" s="37"/>
      <c r="Y546" s="37"/>
      <c r="Z546" s="37"/>
    </row>
    <row r="547" spans="1:26" ht="15.75" customHeight="1" x14ac:dyDescent="0.3">
      <c r="A547" s="22">
        <f>IF($N$1="Piping", IF(ISBLANK(Piping!A547), "", Piping!A547), IF($N$1="Vessels", IF(ISBLANK(Vessels!A547), "", Vessels!A547), ""))</f>
        <v>136.19999999999999</v>
      </c>
      <c r="B547" s="21" t="str">
        <f>IF($N$1="Piping", IF(ISBLANK(Piping!B547), "", Piping!B547), IF($N$1="Vessels", IF(ISBLANK(Vessels!B547), "", Vessels!B547), ""))</f>
        <v/>
      </c>
      <c r="C547" s="21" t="str">
        <f>IF($N$1="Piping", IF(ISBLANK(Piping!C547), "", Piping!C547), IF($N$1="Vessels", IF(ISBLANK(Vessels!C547), "", Vessels!C547), ""))</f>
        <v>Piping</v>
      </c>
      <c r="D547" s="21" t="str">
        <f>IF($N$1="Piping", IF(ISBLANK(Piping!D547), "", Piping!D547), IF($N$1="Vessels", IF(ISBLANK(Vessels!D547), "", Vessels!D547), ""))</f>
        <v/>
      </c>
      <c r="E547" s="21" t="str">
        <f>IF($N$1="Piping", IF(ISBLANK(Piping!E547), "", Piping!E547), IF($N$1="Vessels", IF(ISBLANK(Vessels!E547), "", Vessels!E547), ""))</f>
        <v/>
      </c>
      <c r="F547" s="21" t="str">
        <f>IF($N$1="Piping", IF(ISBLANK(Piping!F547), "", Piping!F547), IF($N$1="Vessels", IF(ISBLANK(Vessels!F547), "", Vessels!F547), ""))</f>
        <v/>
      </c>
      <c r="G547" s="21">
        <f>IF($N$1="Piping", IF(ISBLANK(Piping!G547), "", Piping!G547), IF($N$1="Vessels", IF(ISBLANK(Vessels!G547), "", Vessels!G547), ""))</f>
        <v>0</v>
      </c>
      <c r="H547" s="21" t="str">
        <f>IF($N$1="Piping", IF(ISBLANK(Piping!H547), "", Piping!H547), IF($N$1="Vessels", IF(ISBLANK(Vessels!H547), "", Vessels!H547), ""))</f>
        <v/>
      </c>
      <c r="I547" s="21" t="str">
        <f>IF($N$1="Piping", IF(ISBLANK(Piping!I547), "", Piping!I547), IF($N$1="Vessels", IF(ISBLANK(Vessels!I547), "", Vessels!I547), ""))</f>
        <v/>
      </c>
      <c r="J547" s="21" t="str">
        <f>IF($N$1="Piping", IF(ISBLANK(Piping!J547), "", Piping!J547), IF($N$1="Vessels", IF(ISBLANK(Vessels!J547), "", Vessels!J547), ""))</f>
        <v/>
      </c>
      <c r="K547" s="21" t="str">
        <f>IF($N$1="Piping", IF(ISBLANK(Piping!K547), "", Piping!K547), IF($N$1="Vessels", IF(ISBLANK(Vessels!K547), "", Vessels!K547), ""))</f>
        <v/>
      </c>
      <c r="L547" s="21" t="str">
        <f>IF($N$1="Piping", IF(ISBLANK(Piping!L547), "", Piping!L547), IF($N$1="Vessels", IF(ISBLANK(Vessels!L547), "", Vessels!L547), ""))</f>
        <v/>
      </c>
      <c r="M547" s="21"/>
      <c r="N547" s="21"/>
      <c r="O547" s="21"/>
      <c r="P547" s="21"/>
      <c r="Q547" s="21" t="str">
        <f>IF($N$1="Piping", IF(ISBLANK(Piping!T547), "", Piping!T547), IF($N$1="Vessels", IF(ISBLANK(Vessels!T547), "", Vessels!T547), ""))</f>
        <v/>
      </c>
      <c r="R547" s="51" t="str">
        <f>IF($N$1="Piping", IF(ISBLANK(Piping!U547), "", Piping!U547), IF($N$1="Vessels", IF(ISBLANK(Vessels!U547), "", Vessels!U547), ""))</f>
        <v/>
      </c>
      <c r="S547" s="118" t="str">
        <f>IF(B547&lt;&gt;"",IF($N$1="Piping", IF(ISBLANK(Piping!$J$3), "", Piping!$J$3), IF($N$1="Vessels", IF(ISBLANK(Vessels!$J$3), "", Vessels!$J$3), "")),"")</f>
        <v/>
      </c>
      <c r="T547" s="37"/>
      <c r="U547" s="37"/>
      <c r="V547" s="37"/>
      <c r="W547" s="37"/>
      <c r="X547" s="37"/>
      <c r="Y547" s="37"/>
      <c r="Z547" s="37"/>
    </row>
    <row r="548" spans="1:26" ht="15.75" customHeight="1" x14ac:dyDescent="0.3">
      <c r="A548" s="22">
        <f>IF($N$1="Piping", IF(ISBLANK(Piping!A548), "", Piping!A548), IF($N$1="Vessels", IF(ISBLANK(Vessels!A548), "", Vessels!A548), ""))</f>
        <v>136.30000000000001</v>
      </c>
      <c r="B548" s="21" t="str">
        <f>IF($N$1="Piping", IF(ISBLANK(Piping!B548), "", Piping!B548), IF($N$1="Vessels", IF(ISBLANK(Vessels!B548), "", Vessels!B548), ""))</f>
        <v/>
      </c>
      <c r="C548" s="21" t="str">
        <f>IF($N$1="Piping", IF(ISBLANK(Piping!C548), "", Piping!C548), IF($N$1="Vessels", IF(ISBLANK(Vessels!C548), "", Vessels!C548), ""))</f>
        <v>Piping</v>
      </c>
      <c r="D548" s="21" t="str">
        <f>IF($N$1="Piping", IF(ISBLANK(Piping!D548), "", Piping!D548), IF($N$1="Vessels", IF(ISBLANK(Vessels!D548), "", Vessels!D548), ""))</f>
        <v/>
      </c>
      <c r="E548" s="21" t="str">
        <f>IF($N$1="Piping", IF(ISBLANK(Piping!E548), "", Piping!E548), IF($N$1="Vessels", IF(ISBLANK(Vessels!E548), "", Vessels!E548), ""))</f>
        <v/>
      </c>
      <c r="F548" s="21" t="str">
        <f>IF($N$1="Piping", IF(ISBLANK(Piping!F548), "", Piping!F548), IF($N$1="Vessels", IF(ISBLANK(Vessels!F548), "", Vessels!F548), ""))</f>
        <v/>
      </c>
      <c r="G548" s="21">
        <f>IF($N$1="Piping", IF(ISBLANK(Piping!G548), "", Piping!G548), IF($N$1="Vessels", IF(ISBLANK(Vessels!G548), "", Vessels!G548), ""))</f>
        <v>0</v>
      </c>
      <c r="H548" s="21" t="str">
        <f>IF($N$1="Piping", IF(ISBLANK(Piping!H548), "", Piping!H548), IF($N$1="Vessels", IF(ISBLANK(Vessels!H548), "", Vessels!H548), ""))</f>
        <v/>
      </c>
      <c r="I548" s="21" t="str">
        <f>IF($N$1="Piping", IF(ISBLANK(Piping!I548), "", Piping!I548), IF($N$1="Vessels", IF(ISBLANK(Vessels!I548), "", Vessels!I548), ""))</f>
        <v/>
      </c>
      <c r="J548" s="21" t="str">
        <f>IF($N$1="Piping", IF(ISBLANK(Piping!J548), "", Piping!J548), IF($N$1="Vessels", IF(ISBLANK(Vessels!J548), "", Vessels!J548), ""))</f>
        <v/>
      </c>
      <c r="K548" s="21" t="str">
        <f>IF($N$1="Piping", IF(ISBLANK(Piping!K548), "", Piping!K548), IF($N$1="Vessels", IF(ISBLANK(Vessels!K548), "", Vessels!K548), ""))</f>
        <v/>
      </c>
      <c r="L548" s="21" t="str">
        <f>IF($N$1="Piping", IF(ISBLANK(Piping!L548), "", Piping!L548), IF($N$1="Vessels", IF(ISBLANK(Vessels!L548), "", Vessels!L548), ""))</f>
        <v/>
      </c>
      <c r="M548" s="21"/>
      <c r="N548" s="21"/>
      <c r="O548" s="21"/>
      <c r="P548" s="21"/>
      <c r="Q548" s="21" t="str">
        <f>IF($N$1="Piping", IF(ISBLANK(Piping!T548), "", Piping!T548), IF($N$1="Vessels", IF(ISBLANK(Vessels!T548), "", Vessels!T548), ""))</f>
        <v/>
      </c>
      <c r="R548" s="51" t="str">
        <f>IF($N$1="Piping", IF(ISBLANK(Piping!U548), "", Piping!U548), IF($N$1="Vessels", IF(ISBLANK(Vessels!U548), "", Vessels!U548), ""))</f>
        <v/>
      </c>
      <c r="S548" s="118" t="str">
        <f>IF(B548&lt;&gt;"",IF($N$1="Piping", IF(ISBLANK(Piping!$J$3), "", Piping!$J$3), IF($N$1="Vessels", IF(ISBLANK(Vessels!$J$3), "", Vessels!$J$3), "")),"")</f>
        <v/>
      </c>
      <c r="T548" s="37"/>
      <c r="U548" s="37"/>
      <c r="V548" s="37"/>
      <c r="W548" s="37"/>
      <c r="X548" s="37"/>
      <c r="Y548" s="37"/>
      <c r="Z548" s="37"/>
    </row>
    <row r="549" spans="1:26" ht="15.75" customHeight="1" x14ac:dyDescent="0.3">
      <c r="A549" s="22">
        <f>IF($N$1="Piping", IF(ISBLANK(Piping!A549), "", Piping!A549), IF($N$1="Vessels", IF(ISBLANK(Vessels!A549), "", Vessels!A549), ""))</f>
        <v>136.4</v>
      </c>
      <c r="B549" s="21" t="str">
        <f>IF($N$1="Piping", IF(ISBLANK(Piping!B549), "", Piping!B549), IF($N$1="Vessels", IF(ISBLANK(Vessels!B549), "", Vessels!B549), ""))</f>
        <v/>
      </c>
      <c r="C549" s="21" t="str">
        <f>IF($N$1="Piping", IF(ISBLANK(Piping!C549), "", Piping!C549), IF($N$1="Vessels", IF(ISBLANK(Vessels!C549), "", Vessels!C549), ""))</f>
        <v>Piping</v>
      </c>
      <c r="D549" s="21" t="str">
        <f>IF($N$1="Piping", IF(ISBLANK(Piping!D549), "", Piping!D549), IF($N$1="Vessels", IF(ISBLANK(Vessels!D549), "", Vessels!D549), ""))</f>
        <v/>
      </c>
      <c r="E549" s="21" t="str">
        <f>IF($N$1="Piping", IF(ISBLANK(Piping!E549), "", Piping!E549), IF($N$1="Vessels", IF(ISBLANK(Vessels!E549), "", Vessels!E549), ""))</f>
        <v/>
      </c>
      <c r="F549" s="21" t="str">
        <f>IF($N$1="Piping", IF(ISBLANK(Piping!F549), "", Piping!F549), IF($N$1="Vessels", IF(ISBLANK(Vessels!F549), "", Vessels!F549), ""))</f>
        <v/>
      </c>
      <c r="G549" s="21">
        <f>IF($N$1="Piping", IF(ISBLANK(Piping!G549), "", Piping!G549), IF($N$1="Vessels", IF(ISBLANK(Vessels!G549), "", Vessels!G549), ""))</f>
        <v>0</v>
      </c>
      <c r="H549" s="21" t="str">
        <f>IF($N$1="Piping", IF(ISBLANK(Piping!H549), "", Piping!H549), IF($N$1="Vessels", IF(ISBLANK(Vessels!H549), "", Vessels!H549), ""))</f>
        <v/>
      </c>
      <c r="I549" s="21" t="str">
        <f>IF($N$1="Piping", IF(ISBLANK(Piping!I549), "", Piping!I549), IF($N$1="Vessels", IF(ISBLANK(Vessels!I549), "", Vessels!I549), ""))</f>
        <v/>
      </c>
      <c r="J549" s="21" t="str">
        <f>IF($N$1="Piping", IF(ISBLANK(Piping!J549), "", Piping!J549), IF($N$1="Vessels", IF(ISBLANK(Vessels!J549), "", Vessels!J549), ""))</f>
        <v/>
      </c>
      <c r="K549" s="21" t="str">
        <f>IF($N$1="Piping", IF(ISBLANK(Piping!K549), "", Piping!K549), IF($N$1="Vessels", IF(ISBLANK(Vessels!K549), "", Vessels!K549), ""))</f>
        <v/>
      </c>
      <c r="L549" s="21" t="str">
        <f>IF($N$1="Piping", IF(ISBLANK(Piping!L549), "", Piping!L549), IF($N$1="Vessels", IF(ISBLANK(Vessels!L549), "", Vessels!L549), ""))</f>
        <v/>
      </c>
      <c r="M549" s="21"/>
      <c r="N549" s="21"/>
      <c r="O549" s="21"/>
      <c r="P549" s="21"/>
      <c r="Q549" s="21" t="str">
        <f>IF($N$1="Piping", IF(ISBLANK(Piping!T549), "", Piping!T549), IF($N$1="Vessels", IF(ISBLANK(Vessels!T549), "", Vessels!T549), ""))</f>
        <v/>
      </c>
      <c r="R549" s="51" t="str">
        <f>IF($N$1="Piping", IF(ISBLANK(Piping!U549), "", Piping!U549), IF($N$1="Vessels", IF(ISBLANK(Vessels!U549), "", Vessels!U549), ""))</f>
        <v/>
      </c>
      <c r="S549" s="118" t="str">
        <f>IF(B549&lt;&gt;"",IF($N$1="Piping", IF(ISBLANK(Piping!$J$3), "", Piping!$J$3), IF($N$1="Vessels", IF(ISBLANK(Vessels!$J$3), "", Vessels!$J$3), "")),"")</f>
        <v/>
      </c>
      <c r="T549" s="37"/>
      <c r="U549" s="37"/>
      <c r="V549" s="37"/>
      <c r="W549" s="37"/>
      <c r="X549" s="37"/>
      <c r="Y549" s="37"/>
      <c r="Z549" s="37"/>
    </row>
    <row r="550" spans="1:26" ht="15.75" customHeight="1" x14ac:dyDescent="0.3">
      <c r="A550" s="22">
        <f>IF($N$1="Piping", IF(ISBLANK(Piping!A550), "", Piping!A550), IF($N$1="Vessels", IF(ISBLANK(Vessels!A550), "", Vessels!A550), ""))</f>
        <v>137.1</v>
      </c>
      <c r="B550" s="21" t="str">
        <f>IF($N$1="Piping", IF(ISBLANK(Piping!B550), "", Piping!B550), IF($N$1="Vessels", IF(ISBLANK(Vessels!B550), "", Vessels!B550), ""))</f>
        <v/>
      </c>
      <c r="C550" s="21" t="str">
        <f>IF($N$1="Piping", IF(ISBLANK(Piping!C550), "", Piping!C550), IF($N$1="Vessels", IF(ISBLANK(Vessels!C550), "", Vessels!C550), ""))</f>
        <v>Piping</v>
      </c>
      <c r="D550" s="21" t="str">
        <f>IF($N$1="Piping", IF(ISBLANK(Piping!D550), "", Piping!D550), IF($N$1="Vessels", IF(ISBLANK(Vessels!D550), "", Vessels!D550), ""))</f>
        <v/>
      </c>
      <c r="E550" s="21" t="str">
        <f>IF($N$1="Piping", IF(ISBLANK(Piping!E550), "", Piping!E550), IF($N$1="Vessels", IF(ISBLANK(Vessels!E550), "", Vessels!E550), ""))</f>
        <v/>
      </c>
      <c r="F550" s="21" t="str">
        <f>IF($N$1="Piping", IF(ISBLANK(Piping!F550), "", Piping!F550), IF($N$1="Vessels", IF(ISBLANK(Vessels!F550), "", Vessels!F550), ""))</f>
        <v/>
      </c>
      <c r="G550" s="21">
        <f>IF($N$1="Piping", IF(ISBLANK(Piping!G550), "", Piping!G550), IF($N$1="Vessels", IF(ISBLANK(Vessels!G550), "", Vessels!G550), ""))</f>
        <v>0</v>
      </c>
      <c r="H550" s="21" t="str">
        <f>IF($N$1="Piping", IF(ISBLANK(Piping!H550), "", Piping!H550), IF($N$1="Vessels", IF(ISBLANK(Vessels!H550), "", Vessels!H550), ""))</f>
        <v/>
      </c>
      <c r="I550" s="21" t="str">
        <f>IF($N$1="Piping", IF(ISBLANK(Piping!I550), "", Piping!I550), IF($N$1="Vessels", IF(ISBLANK(Vessels!I550), "", Vessels!I550), ""))</f>
        <v/>
      </c>
      <c r="J550" s="21" t="str">
        <f>IF($N$1="Piping", IF(ISBLANK(Piping!J550), "", Piping!J550), IF($N$1="Vessels", IF(ISBLANK(Vessels!J550), "", Vessels!J550), ""))</f>
        <v/>
      </c>
      <c r="K550" s="21" t="str">
        <f>IF($N$1="Piping", IF(ISBLANK(Piping!K550), "", Piping!K550), IF($N$1="Vessels", IF(ISBLANK(Vessels!K550), "", Vessels!K550), ""))</f>
        <v/>
      </c>
      <c r="L550" s="21" t="str">
        <f>IF($N$1="Piping", IF(ISBLANK(Piping!L550), "", Piping!L550), IF($N$1="Vessels", IF(ISBLANK(Vessels!L550), "", Vessels!L550), ""))</f>
        <v/>
      </c>
      <c r="M550" s="21"/>
      <c r="N550" s="21"/>
      <c r="O550" s="21"/>
      <c r="P550" s="21"/>
      <c r="Q550" s="21" t="str">
        <f>IF($N$1="Piping", IF(ISBLANK(Piping!T550), "", Piping!T550), IF($N$1="Vessels", IF(ISBLANK(Vessels!T550), "", Vessels!T550), ""))</f>
        <v/>
      </c>
      <c r="R550" s="51" t="str">
        <f>IF($N$1="Piping", IF(ISBLANK(Piping!U550), "", Piping!U550), IF($N$1="Vessels", IF(ISBLANK(Vessels!U550), "", Vessels!U550), ""))</f>
        <v/>
      </c>
      <c r="S550" s="118" t="str">
        <f>IF(B550&lt;&gt;"",IF($N$1="Piping", IF(ISBLANK(Piping!$J$3), "", Piping!$J$3), IF($N$1="Vessels", IF(ISBLANK(Vessels!$J$3), "", Vessels!$J$3), "")),"")</f>
        <v/>
      </c>
      <c r="T550" s="37"/>
      <c r="U550" s="37"/>
      <c r="V550" s="37"/>
      <c r="W550" s="37"/>
      <c r="X550" s="37"/>
      <c r="Y550" s="37"/>
      <c r="Z550" s="37"/>
    </row>
    <row r="551" spans="1:26" ht="15.75" customHeight="1" x14ac:dyDescent="0.3">
      <c r="A551" s="22">
        <f>IF($N$1="Piping", IF(ISBLANK(Piping!A551), "", Piping!A551), IF($N$1="Vessels", IF(ISBLANK(Vessels!A551), "", Vessels!A551), ""))</f>
        <v>137.19999999999999</v>
      </c>
      <c r="B551" s="21" t="str">
        <f>IF($N$1="Piping", IF(ISBLANK(Piping!B551), "", Piping!B551), IF($N$1="Vessels", IF(ISBLANK(Vessels!B551), "", Vessels!B551), ""))</f>
        <v/>
      </c>
      <c r="C551" s="21" t="str">
        <f>IF($N$1="Piping", IF(ISBLANK(Piping!C551), "", Piping!C551), IF($N$1="Vessels", IF(ISBLANK(Vessels!C551), "", Vessels!C551), ""))</f>
        <v>Piping</v>
      </c>
      <c r="D551" s="21" t="str">
        <f>IF($N$1="Piping", IF(ISBLANK(Piping!D551), "", Piping!D551), IF($N$1="Vessels", IF(ISBLANK(Vessels!D551), "", Vessels!D551), ""))</f>
        <v/>
      </c>
      <c r="E551" s="21" t="str">
        <f>IF($N$1="Piping", IF(ISBLANK(Piping!E551), "", Piping!E551), IF($N$1="Vessels", IF(ISBLANK(Vessels!E551), "", Vessels!E551), ""))</f>
        <v/>
      </c>
      <c r="F551" s="21" t="str">
        <f>IF($N$1="Piping", IF(ISBLANK(Piping!F551), "", Piping!F551), IF($N$1="Vessels", IF(ISBLANK(Vessels!F551), "", Vessels!F551), ""))</f>
        <v/>
      </c>
      <c r="G551" s="21">
        <f>IF($N$1="Piping", IF(ISBLANK(Piping!G551), "", Piping!G551), IF($N$1="Vessels", IF(ISBLANK(Vessels!G551), "", Vessels!G551), ""))</f>
        <v>0</v>
      </c>
      <c r="H551" s="21" t="str">
        <f>IF($N$1="Piping", IF(ISBLANK(Piping!H551), "", Piping!H551), IF($N$1="Vessels", IF(ISBLANK(Vessels!H551), "", Vessels!H551), ""))</f>
        <v/>
      </c>
      <c r="I551" s="21" t="str">
        <f>IF($N$1="Piping", IF(ISBLANK(Piping!I551), "", Piping!I551), IF($N$1="Vessels", IF(ISBLANK(Vessels!I551), "", Vessels!I551), ""))</f>
        <v/>
      </c>
      <c r="J551" s="21" t="str">
        <f>IF($N$1="Piping", IF(ISBLANK(Piping!J551), "", Piping!J551), IF($N$1="Vessels", IF(ISBLANK(Vessels!J551), "", Vessels!J551), ""))</f>
        <v/>
      </c>
      <c r="K551" s="21" t="str">
        <f>IF($N$1="Piping", IF(ISBLANK(Piping!K551), "", Piping!K551), IF($N$1="Vessels", IF(ISBLANK(Vessels!K551), "", Vessels!K551), ""))</f>
        <v/>
      </c>
      <c r="L551" s="21" t="str">
        <f>IF($N$1="Piping", IF(ISBLANK(Piping!L551), "", Piping!L551), IF($N$1="Vessels", IF(ISBLANK(Vessels!L551), "", Vessels!L551), ""))</f>
        <v/>
      </c>
      <c r="M551" s="21"/>
      <c r="N551" s="21"/>
      <c r="O551" s="21"/>
      <c r="P551" s="21"/>
      <c r="Q551" s="21" t="str">
        <f>IF($N$1="Piping", IF(ISBLANK(Piping!T551), "", Piping!T551), IF($N$1="Vessels", IF(ISBLANK(Vessels!T551), "", Vessels!T551), ""))</f>
        <v/>
      </c>
      <c r="R551" s="51" t="str">
        <f>IF($N$1="Piping", IF(ISBLANK(Piping!U551), "", Piping!U551), IF($N$1="Vessels", IF(ISBLANK(Vessels!U551), "", Vessels!U551), ""))</f>
        <v/>
      </c>
      <c r="S551" s="118" t="str">
        <f>IF(B551&lt;&gt;"",IF($N$1="Piping", IF(ISBLANK(Piping!$J$3), "", Piping!$J$3), IF($N$1="Vessels", IF(ISBLANK(Vessels!$J$3), "", Vessels!$J$3), "")),"")</f>
        <v/>
      </c>
      <c r="T551" s="37"/>
      <c r="U551" s="37"/>
      <c r="V551" s="37"/>
      <c r="W551" s="37"/>
      <c r="X551" s="37"/>
      <c r="Y551" s="37"/>
      <c r="Z551" s="37"/>
    </row>
    <row r="552" spans="1:26" ht="15.75" customHeight="1" x14ac:dyDescent="0.3">
      <c r="A552" s="22">
        <f>IF($N$1="Piping", IF(ISBLANK(Piping!A552), "", Piping!A552), IF($N$1="Vessels", IF(ISBLANK(Vessels!A552), "", Vessels!A552), ""))</f>
        <v>137.30000000000001</v>
      </c>
      <c r="B552" s="21" t="str">
        <f>IF($N$1="Piping", IF(ISBLANK(Piping!B552), "", Piping!B552), IF($N$1="Vessels", IF(ISBLANK(Vessels!B552), "", Vessels!B552), ""))</f>
        <v/>
      </c>
      <c r="C552" s="21" t="str">
        <f>IF($N$1="Piping", IF(ISBLANK(Piping!C552), "", Piping!C552), IF($N$1="Vessels", IF(ISBLANK(Vessels!C552), "", Vessels!C552), ""))</f>
        <v>Piping</v>
      </c>
      <c r="D552" s="21" t="str">
        <f>IF($N$1="Piping", IF(ISBLANK(Piping!D552), "", Piping!D552), IF($N$1="Vessels", IF(ISBLANK(Vessels!D552), "", Vessels!D552), ""))</f>
        <v/>
      </c>
      <c r="E552" s="21" t="str">
        <f>IF($N$1="Piping", IF(ISBLANK(Piping!E552), "", Piping!E552), IF($N$1="Vessels", IF(ISBLANK(Vessels!E552), "", Vessels!E552), ""))</f>
        <v/>
      </c>
      <c r="F552" s="21" t="str">
        <f>IF($N$1="Piping", IF(ISBLANK(Piping!F552), "", Piping!F552), IF($N$1="Vessels", IF(ISBLANK(Vessels!F552), "", Vessels!F552), ""))</f>
        <v/>
      </c>
      <c r="G552" s="21">
        <f>IF($N$1="Piping", IF(ISBLANK(Piping!G552), "", Piping!G552), IF($N$1="Vessels", IF(ISBLANK(Vessels!G552), "", Vessels!G552), ""))</f>
        <v>0</v>
      </c>
      <c r="H552" s="21" t="str">
        <f>IF($N$1="Piping", IF(ISBLANK(Piping!H552), "", Piping!H552), IF($N$1="Vessels", IF(ISBLANK(Vessels!H552), "", Vessels!H552), ""))</f>
        <v/>
      </c>
      <c r="I552" s="21" t="str">
        <f>IF($N$1="Piping", IF(ISBLANK(Piping!I552), "", Piping!I552), IF($N$1="Vessels", IF(ISBLANK(Vessels!I552), "", Vessels!I552), ""))</f>
        <v/>
      </c>
      <c r="J552" s="21" t="str">
        <f>IF($N$1="Piping", IF(ISBLANK(Piping!J552), "", Piping!J552), IF($N$1="Vessels", IF(ISBLANK(Vessels!J552), "", Vessels!J552), ""))</f>
        <v/>
      </c>
      <c r="K552" s="21" t="str">
        <f>IF($N$1="Piping", IF(ISBLANK(Piping!K552), "", Piping!K552), IF($N$1="Vessels", IF(ISBLANK(Vessels!K552), "", Vessels!K552), ""))</f>
        <v/>
      </c>
      <c r="L552" s="21" t="str">
        <f>IF($N$1="Piping", IF(ISBLANK(Piping!L552), "", Piping!L552), IF($N$1="Vessels", IF(ISBLANK(Vessels!L552), "", Vessels!L552), ""))</f>
        <v/>
      </c>
      <c r="M552" s="21"/>
      <c r="N552" s="21"/>
      <c r="O552" s="21"/>
      <c r="P552" s="21"/>
      <c r="Q552" s="21" t="str">
        <f>IF($N$1="Piping", IF(ISBLANK(Piping!T552), "", Piping!T552), IF($N$1="Vessels", IF(ISBLANK(Vessels!T552), "", Vessels!T552), ""))</f>
        <v/>
      </c>
      <c r="R552" s="51" t="str">
        <f>IF($N$1="Piping", IF(ISBLANK(Piping!U552), "", Piping!U552), IF($N$1="Vessels", IF(ISBLANK(Vessels!U552), "", Vessels!U552), ""))</f>
        <v/>
      </c>
      <c r="S552" s="118" t="str">
        <f>IF(B552&lt;&gt;"",IF($N$1="Piping", IF(ISBLANK(Piping!$J$3), "", Piping!$J$3), IF($N$1="Vessels", IF(ISBLANK(Vessels!$J$3), "", Vessels!$J$3), "")),"")</f>
        <v/>
      </c>
      <c r="T552" s="37"/>
      <c r="U552" s="37"/>
      <c r="V552" s="37"/>
      <c r="W552" s="37"/>
      <c r="X552" s="37"/>
      <c r="Y552" s="37"/>
      <c r="Z552" s="37"/>
    </row>
    <row r="553" spans="1:26" ht="15.75" customHeight="1" x14ac:dyDescent="0.3">
      <c r="A553" s="22">
        <f>IF($N$1="Piping", IF(ISBLANK(Piping!A553), "", Piping!A553), IF($N$1="Vessels", IF(ISBLANK(Vessels!A553), "", Vessels!A553), ""))</f>
        <v>137.4</v>
      </c>
      <c r="B553" s="21" t="str">
        <f>IF($N$1="Piping", IF(ISBLANK(Piping!B553), "", Piping!B553), IF($N$1="Vessels", IF(ISBLANK(Vessels!B553), "", Vessels!B553), ""))</f>
        <v/>
      </c>
      <c r="C553" s="21" t="str">
        <f>IF($N$1="Piping", IF(ISBLANK(Piping!C553), "", Piping!C553), IF($N$1="Vessels", IF(ISBLANK(Vessels!C553), "", Vessels!C553), ""))</f>
        <v>Piping</v>
      </c>
      <c r="D553" s="21" t="str">
        <f>IF($N$1="Piping", IF(ISBLANK(Piping!D553), "", Piping!D553), IF($N$1="Vessels", IF(ISBLANK(Vessels!D553), "", Vessels!D553), ""))</f>
        <v/>
      </c>
      <c r="E553" s="21" t="str">
        <f>IF($N$1="Piping", IF(ISBLANK(Piping!E553), "", Piping!E553), IF($N$1="Vessels", IF(ISBLANK(Vessels!E553), "", Vessels!E553), ""))</f>
        <v/>
      </c>
      <c r="F553" s="21" t="str">
        <f>IF($N$1="Piping", IF(ISBLANK(Piping!F553), "", Piping!F553), IF($N$1="Vessels", IF(ISBLANK(Vessels!F553), "", Vessels!F553), ""))</f>
        <v/>
      </c>
      <c r="G553" s="21">
        <f>IF($N$1="Piping", IF(ISBLANK(Piping!G553), "", Piping!G553), IF($N$1="Vessels", IF(ISBLANK(Vessels!G553), "", Vessels!G553), ""))</f>
        <v>0</v>
      </c>
      <c r="H553" s="21" t="str">
        <f>IF($N$1="Piping", IF(ISBLANK(Piping!H553), "", Piping!H553), IF($N$1="Vessels", IF(ISBLANK(Vessels!H553), "", Vessels!H553), ""))</f>
        <v/>
      </c>
      <c r="I553" s="21" t="str">
        <f>IF($N$1="Piping", IF(ISBLANK(Piping!I553), "", Piping!I553), IF($N$1="Vessels", IF(ISBLANK(Vessels!I553), "", Vessels!I553), ""))</f>
        <v/>
      </c>
      <c r="J553" s="21" t="str">
        <f>IF($N$1="Piping", IF(ISBLANK(Piping!J553), "", Piping!J553), IF($N$1="Vessels", IF(ISBLANK(Vessels!J553), "", Vessels!J553), ""))</f>
        <v/>
      </c>
      <c r="K553" s="21" t="str">
        <f>IF($N$1="Piping", IF(ISBLANK(Piping!K553), "", Piping!K553), IF($N$1="Vessels", IF(ISBLANK(Vessels!K553), "", Vessels!K553), ""))</f>
        <v/>
      </c>
      <c r="L553" s="21" t="str">
        <f>IF($N$1="Piping", IF(ISBLANK(Piping!L553), "", Piping!L553), IF($N$1="Vessels", IF(ISBLANK(Vessels!L553), "", Vessels!L553), ""))</f>
        <v/>
      </c>
      <c r="M553" s="21"/>
      <c r="N553" s="21"/>
      <c r="O553" s="21"/>
      <c r="P553" s="21"/>
      <c r="Q553" s="21" t="str">
        <f>IF($N$1="Piping", IF(ISBLANK(Piping!T553), "", Piping!T553), IF($N$1="Vessels", IF(ISBLANK(Vessels!T553), "", Vessels!T553), ""))</f>
        <v/>
      </c>
      <c r="R553" s="51" t="str">
        <f>IF($N$1="Piping", IF(ISBLANK(Piping!U553), "", Piping!U553), IF($N$1="Vessels", IF(ISBLANK(Vessels!U553), "", Vessels!U553), ""))</f>
        <v/>
      </c>
      <c r="S553" s="118" t="str">
        <f>IF(B553&lt;&gt;"",IF($N$1="Piping", IF(ISBLANK(Piping!$J$3), "", Piping!$J$3), IF($N$1="Vessels", IF(ISBLANK(Vessels!$J$3), "", Vessels!$J$3), "")),"")</f>
        <v/>
      </c>
      <c r="T553" s="37"/>
      <c r="U553" s="37"/>
      <c r="V553" s="37"/>
      <c r="W553" s="37"/>
      <c r="X553" s="37"/>
      <c r="Y553" s="37"/>
      <c r="Z553" s="37"/>
    </row>
    <row r="554" spans="1:26" ht="15.75" customHeight="1" x14ac:dyDescent="0.3">
      <c r="A554" s="22">
        <f>IF($N$1="Piping", IF(ISBLANK(Piping!A554), "", Piping!A554), IF($N$1="Vessels", IF(ISBLANK(Vessels!A554), "", Vessels!A554), ""))</f>
        <v>138.1</v>
      </c>
      <c r="B554" s="21" t="str">
        <f>IF($N$1="Piping", IF(ISBLANK(Piping!B554), "", Piping!B554), IF($N$1="Vessels", IF(ISBLANK(Vessels!B554), "", Vessels!B554), ""))</f>
        <v/>
      </c>
      <c r="C554" s="21" t="str">
        <f>IF($N$1="Piping", IF(ISBLANK(Piping!C554), "", Piping!C554), IF($N$1="Vessels", IF(ISBLANK(Vessels!C554), "", Vessels!C554), ""))</f>
        <v>Piping</v>
      </c>
      <c r="D554" s="21" t="str">
        <f>IF($N$1="Piping", IF(ISBLANK(Piping!D554), "", Piping!D554), IF($N$1="Vessels", IF(ISBLANK(Vessels!D554), "", Vessels!D554), ""))</f>
        <v/>
      </c>
      <c r="E554" s="21" t="str">
        <f>IF($N$1="Piping", IF(ISBLANK(Piping!E554), "", Piping!E554), IF($N$1="Vessels", IF(ISBLANK(Vessels!E554), "", Vessels!E554), ""))</f>
        <v/>
      </c>
      <c r="F554" s="21" t="str">
        <f>IF($N$1="Piping", IF(ISBLANK(Piping!F554), "", Piping!F554), IF($N$1="Vessels", IF(ISBLANK(Vessels!F554), "", Vessels!F554), ""))</f>
        <v/>
      </c>
      <c r="G554" s="21">
        <f>IF($N$1="Piping", IF(ISBLANK(Piping!G554), "", Piping!G554), IF($N$1="Vessels", IF(ISBLANK(Vessels!G554), "", Vessels!G554), ""))</f>
        <v>0</v>
      </c>
      <c r="H554" s="21" t="str">
        <f>IF($N$1="Piping", IF(ISBLANK(Piping!H554), "", Piping!H554), IF($N$1="Vessels", IF(ISBLANK(Vessels!H554), "", Vessels!H554), ""))</f>
        <v/>
      </c>
      <c r="I554" s="21" t="str">
        <f>IF($N$1="Piping", IF(ISBLANK(Piping!I554), "", Piping!I554), IF($N$1="Vessels", IF(ISBLANK(Vessels!I554), "", Vessels!I554), ""))</f>
        <v/>
      </c>
      <c r="J554" s="21" t="str">
        <f>IF($N$1="Piping", IF(ISBLANK(Piping!J554), "", Piping!J554), IF($N$1="Vessels", IF(ISBLANK(Vessels!J554), "", Vessels!J554), ""))</f>
        <v/>
      </c>
      <c r="K554" s="21" t="str">
        <f>IF($N$1="Piping", IF(ISBLANK(Piping!K554), "", Piping!K554), IF($N$1="Vessels", IF(ISBLANK(Vessels!K554), "", Vessels!K554), ""))</f>
        <v/>
      </c>
      <c r="L554" s="21" t="str">
        <f>IF($N$1="Piping", IF(ISBLANK(Piping!L554), "", Piping!L554), IF($N$1="Vessels", IF(ISBLANK(Vessels!L554), "", Vessels!L554), ""))</f>
        <v/>
      </c>
      <c r="M554" s="21"/>
      <c r="N554" s="21"/>
      <c r="O554" s="21"/>
      <c r="P554" s="21"/>
      <c r="Q554" s="21" t="str">
        <f>IF($N$1="Piping", IF(ISBLANK(Piping!T554), "", Piping!T554), IF($N$1="Vessels", IF(ISBLANK(Vessels!T554), "", Vessels!T554), ""))</f>
        <v/>
      </c>
      <c r="R554" s="51" t="str">
        <f>IF($N$1="Piping", IF(ISBLANK(Piping!U554), "", Piping!U554), IF($N$1="Vessels", IF(ISBLANK(Vessels!U554), "", Vessels!U554), ""))</f>
        <v/>
      </c>
      <c r="S554" s="118" t="str">
        <f>IF(B554&lt;&gt;"",IF($N$1="Piping", IF(ISBLANK(Piping!$J$3), "", Piping!$J$3), IF($N$1="Vessels", IF(ISBLANK(Vessels!$J$3), "", Vessels!$J$3), "")),"")</f>
        <v/>
      </c>
      <c r="T554" s="37"/>
      <c r="U554" s="37"/>
      <c r="V554" s="37"/>
      <c r="W554" s="37"/>
      <c r="X554" s="37"/>
      <c r="Y554" s="37"/>
      <c r="Z554" s="37"/>
    </row>
    <row r="555" spans="1:26" ht="15.75" customHeight="1" x14ac:dyDescent="0.3">
      <c r="A555" s="22">
        <f>IF($N$1="Piping", IF(ISBLANK(Piping!A555), "", Piping!A555), IF($N$1="Vessels", IF(ISBLANK(Vessels!A555), "", Vessels!A555), ""))</f>
        <v>138.19999999999999</v>
      </c>
      <c r="B555" s="21" t="str">
        <f>IF($N$1="Piping", IF(ISBLANK(Piping!B555), "", Piping!B555), IF($N$1="Vessels", IF(ISBLANK(Vessels!B555), "", Vessels!B555), ""))</f>
        <v/>
      </c>
      <c r="C555" s="21" t="str">
        <f>IF($N$1="Piping", IF(ISBLANK(Piping!C555), "", Piping!C555), IF($N$1="Vessels", IF(ISBLANK(Vessels!C555), "", Vessels!C555), ""))</f>
        <v>Piping</v>
      </c>
      <c r="D555" s="21" t="str">
        <f>IF($N$1="Piping", IF(ISBLANK(Piping!D555), "", Piping!D555), IF($N$1="Vessels", IF(ISBLANK(Vessels!D555), "", Vessels!D555), ""))</f>
        <v/>
      </c>
      <c r="E555" s="21" t="str">
        <f>IF($N$1="Piping", IF(ISBLANK(Piping!E555), "", Piping!E555), IF($N$1="Vessels", IF(ISBLANK(Vessels!E555), "", Vessels!E555), ""))</f>
        <v/>
      </c>
      <c r="F555" s="21" t="str">
        <f>IF($N$1="Piping", IF(ISBLANK(Piping!F555), "", Piping!F555), IF($N$1="Vessels", IF(ISBLANK(Vessels!F555), "", Vessels!F555), ""))</f>
        <v/>
      </c>
      <c r="G555" s="21">
        <f>IF($N$1="Piping", IF(ISBLANK(Piping!G555), "", Piping!G555), IF($N$1="Vessels", IF(ISBLANK(Vessels!G555), "", Vessels!G555), ""))</f>
        <v>0</v>
      </c>
      <c r="H555" s="21" t="str">
        <f>IF($N$1="Piping", IF(ISBLANK(Piping!H555), "", Piping!H555), IF($N$1="Vessels", IF(ISBLANK(Vessels!H555), "", Vessels!H555), ""))</f>
        <v/>
      </c>
      <c r="I555" s="21" t="str">
        <f>IF($N$1="Piping", IF(ISBLANK(Piping!I555), "", Piping!I555), IF($N$1="Vessels", IF(ISBLANK(Vessels!I555), "", Vessels!I555), ""))</f>
        <v/>
      </c>
      <c r="J555" s="21" t="str">
        <f>IF($N$1="Piping", IF(ISBLANK(Piping!J555), "", Piping!J555), IF($N$1="Vessels", IF(ISBLANK(Vessels!J555), "", Vessels!J555), ""))</f>
        <v/>
      </c>
      <c r="K555" s="21" t="str">
        <f>IF($N$1="Piping", IF(ISBLANK(Piping!K555), "", Piping!K555), IF($N$1="Vessels", IF(ISBLANK(Vessels!K555), "", Vessels!K555), ""))</f>
        <v/>
      </c>
      <c r="L555" s="21" t="str">
        <f>IF($N$1="Piping", IF(ISBLANK(Piping!L555), "", Piping!L555), IF($N$1="Vessels", IF(ISBLANK(Vessels!L555), "", Vessels!L555), ""))</f>
        <v/>
      </c>
      <c r="M555" s="21"/>
      <c r="N555" s="21"/>
      <c r="O555" s="21"/>
      <c r="P555" s="21"/>
      <c r="Q555" s="21" t="str">
        <f>IF($N$1="Piping", IF(ISBLANK(Piping!T555), "", Piping!T555), IF($N$1="Vessels", IF(ISBLANK(Vessels!T555), "", Vessels!T555), ""))</f>
        <v/>
      </c>
      <c r="R555" s="51" t="str">
        <f>IF($N$1="Piping", IF(ISBLANK(Piping!U555), "", Piping!U555), IF($N$1="Vessels", IF(ISBLANK(Vessels!U555), "", Vessels!U555), ""))</f>
        <v/>
      </c>
      <c r="S555" s="118" t="str">
        <f>IF(B555&lt;&gt;"",IF($N$1="Piping", IF(ISBLANK(Piping!$J$3), "", Piping!$J$3), IF($N$1="Vessels", IF(ISBLANK(Vessels!$J$3), "", Vessels!$J$3), "")),"")</f>
        <v/>
      </c>
      <c r="T555" s="37"/>
      <c r="U555" s="37"/>
      <c r="V555" s="37"/>
      <c r="W555" s="37"/>
      <c r="X555" s="37"/>
      <c r="Y555" s="37"/>
      <c r="Z555" s="37"/>
    </row>
    <row r="556" spans="1:26" ht="15.75" customHeight="1" x14ac:dyDescent="0.3">
      <c r="A556" s="22">
        <f>IF($N$1="Piping", IF(ISBLANK(Piping!A556), "", Piping!A556), IF($N$1="Vessels", IF(ISBLANK(Vessels!A556), "", Vessels!A556), ""))</f>
        <v>138.30000000000001</v>
      </c>
      <c r="B556" s="21" t="str">
        <f>IF($N$1="Piping", IF(ISBLANK(Piping!B556), "", Piping!B556), IF($N$1="Vessels", IF(ISBLANK(Vessels!B556), "", Vessels!B556), ""))</f>
        <v/>
      </c>
      <c r="C556" s="21" t="str">
        <f>IF($N$1="Piping", IF(ISBLANK(Piping!C556), "", Piping!C556), IF($N$1="Vessels", IF(ISBLANK(Vessels!C556), "", Vessels!C556), ""))</f>
        <v>Piping</v>
      </c>
      <c r="D556" s="21" t="str">
        <f>IF($N$1="Piping", IF(ISBLANK(Piping!D556), "", Piping!D556), IF($N$1="Vessels", IF(ISBLANK(Vessels!D556), "", Vessels!D556), ""))</f>
        <v/>
      </c>
      <c r="E556" s="21" t="str">
        <f>IF($N$1="Piping", IF(ISBLANK(Piping!E556), "", Piping!E556), IF($N$1="Vessels", IF(ISBLANK(Vessels!E556), "", Vessels!E556), ""))</f>
        <v/>
      </c>
      <c r="F556" s="21" t="str">
        <f>IF($N$1="Piping", IF(ISBLANK(Piping!F556), "", Piping!F556), IF($N$1="Vessels", IF(ISBLANK(Vessels!F556), "", Vessels!F556), ""))</f>
        <v/>
      </c>
      <c r="G556" s="21">
        <f>IF($N$1="Piping", IF(ISBLANK(Piping!G556), "", Piping!G556), IF($N$1="Vessels", IF(ISBLANK(Vessels!G556), "", Vessels!G556), ""))</f>
        <v>0</v>
      </c>
      <c r="H556" s="21" t="str">
        <f>IF($N$1="Piping", IF(ISBLANK(Piping!H556), "", Piping!H556), IF($N$1="Vessels", IF(ISBLANK(Vessels!H556), "", Vessels!H556), ""))</f>
        <v/>
      </c>
      <c r="I556" s="21" t="str">
        <f>IF($N$1="Piping", IF(ISBLANK(Piping!I556), "", Piping!I556), IF($N$1="Vessels", IF(ISBLANK(Vessels!I556), "", Vessels!I556), ""))</f>
        <v/>
      </c>
      <c r="J556" s="21" t="str">
        <f>IF($N$1="Piping", IF(ISBLANK(Piping!J556), "", Piping!J556), IF($N$1="Vessels", IF(ISBLANK(Vessels!J556), "", Vessels!J556), ""))</f>
        <v/>
      </c>
      <c r="K556" s="21" t="str">
        <f>IF($N$1="Piping", IF(ISBLANK(Piping!K556), "", Piping!K556), IF($N$1="Vessels", IF(ISBLANK(Vessels!K556), "", Vessels!K556), ""))</f>
        <v/>
      </c>
      <c r="L556" s="21" t="str">
        <f>IF($N$1="Piping", IF(ISBLANK(Piping!L556), "", Piping!L556), IF($N$1="Vessels", IF(ISBLANK(Vessels!L556), "", Vessels!L556), ""))</f>
        <v/>
      </c>
      <c r="M556" s="21"/>
      <c r="N556" s="21"/>
      <c r="O556" s="21"/>
      <c r="P556" s="21"/>
      <c r="Q556" s="21" t="str">
        <f>IF($N$1="Piping", IF(ISBLANK(Piping!T556), "", Piping!T556), IF($N$1="Vessels", IF(ISBLANK(Vessels!T556), "", Vessels!T556), ""))</f>
        <v/>
      </c>
      <c r="R556" s="51" t="str">
        <f>IF($N$1="Piping", IF(ISBLANK(Piping!U556), "", Piping!U556), IF($N$1="Vessels", IF(ISBLANK(Vessels!U556), "", Vessels!U556), ""))</f>
        <v/>
      </c>
      <c r="S556" s="118" t="str">
        <f>IF(B556&lt;&gt;"",IF($N$1="Piping", IF(ISBLANK(Piping!$J$3), "", Piping!$J$3), IF($N$1="Vessels", IF(ISBLANK(Vessels!$J$3), "", Vessels!$J$3), "")),"")</f>
        <v/>
      </c>
      <c r="T556" s="37"/>
      <c r="U556" s="37"/>
      <c r="V556" s="37"/>
      <c r="W556" s="37"/>
      <c r="X556" s="37"/>
      <c r="Y556" s="37"/>
      <c r="Z556" s="37"/>
    </row>
    <row r="557" spans="1:26" ht="15.75" customHeight="1" x14ac:dyDescent="0.3">
      <c r="A557" s="22">
        <f>IF($N$1="Piping", IF(ISBLANK(Piping!A557), "", Piping!A557), IF($N$1="Vessels", IF(ISBLANK(Vessels!A557), "", Vessels!A557), ""))</f>
        <v>138.4</v>
      </c>
      <c r="B557" s="21" t="str">
        <f>IF($N$1="Piping", IF(ISBLANK(Piping!B557), "", Piping!B557), IF($N$1="Vessels", IF(ISBLANK(Vessels!B557), "", Vessels!B557), ""))</f>
        <v/>
      </c>
      <c r="C557" s="21" t="str">
        <f>IF($N$1="Piping", IF(ISBLANK(Piping!C557), "", Piping!C557), IF($N$1="Vessels", IF(ISBLANK(Vessels!C557), "", Vessels!C557), ""))</f>
        <v>Piping</v>
      </c>
      <c r="D557" s="21" t="str">
        <f>IF($N$1="Piping", IF(ISBLANK(Piping!D557), "", Piping!D557), IF($N$1="Vessels", IF(ISBLANK(Vessels!D557), "", Vessels!D557), ""))</f>
        <v/>
      </c>
      <c r="E557" s="21" t="str">
        <f>IF($N$1="Piping", IF(ISBLANK(Piping!E557), "", Piping!E557), IF($N$1="Vessels", IF(ISBLANK(Vessels!E557), "", Vessels!E557), ""))</f>
        <v/>
      </c>
      <c r="F557" s="21" t="str">
        <f>IF($N$1="Piping", IF(ISBLANK(Piping!F557), "", Piping!F557), IF($N$1="Vessels", IF(ISBLANK(Vessels!F557), "", Vessels!F557), ""))</f>
        <v/>
      </c>
      <c r="G557" s="21">
        <f>IF($N$1="Piping", IF(ISBLANK(Piping!G557), "", Piping!G557), IF($N$1="Vessels", IF(ISBLANK(Vessels!G557), "", Vessels!G557), ""))</f>
        <v>0</v>
      </c>
      <c r="H557" s="21" t="str">
        <f>IF($N$1="Piping", IF(ISBLANK(Piping!H557), "", Piping!H557), IF($N$1="Vessels", IF(ISBLANK(Vessels!H557), "", Vessels!H557), ""))</f>
        <v/>
      </c>
      <c r="I557" s="21" t="str">
        <f>IF($N$1="Piping", IF(ISBLANK(Piping!I557), "", Piping!I557), IF($N$1="Vessels", IF(ISBLANK(Vessels!I557), "", Vessels!I557), ""))</f>
        <v/>
      </c>
      <c r="J557" s="21" t="str">
        <f>IF($N$1="Piping", IF(ISBLANK(Piping!J557), "", Piping!J557), IF($N$1="Vessels", IF(ISBLANK(Vessels!J557), "", Vessels!J557), ""))</f>
        <v/>
      </c>
      <c r="K557" s="21" t="str">
        <f>IF($N$1="Piping", IF(ISBLANK(Piping!K557), "", Piping!K557), IF($N$1="Vessels", IF(ISBLANK(Vessels!K557), "", Vessels!K557), ""))</f>
        <v/>
      </c>
      <c r="L557" s="21" t="str">
        <f>IF($N$1="Piping", IF(ISBLANK(Piping!L557), "", Piping!L557), IF($N$1="Vessels", IF(ISBLANK(Vessels!L557), "", Vessels!L557), ""))</f>
        <v/>
      </c>
      <c r="M557" s="21"/>
      <c r="N557" s="21"/>
      <c r="O557" s="21"/>
      <c r="P557" s="21"/>
      <c r="Q557" s="21" t="str">
        <f>IF($N$1="Piping", IF(ISBLANK(Piping!T557), "", Piping!T557), IF($N$1="Vessels", IF(ISBLANK(Vessels!T557), "", Vessels!T557), ""))</f>
        <v/>
      </c>
      <c r="R557" s="51" t="str">
        <f>IF($N$1="Piping", IF(ISBLANK(Piping!U557), "", Piping!U557), IF($N$1="Vessels", IF(ISBLANK(Vessels!U557), "", Vessels!U557), ""))</f>
        <v/>
      </c>
      <c r="S557" s="118" t="str">
        <f>IF(B557&lt;&gt;"",IF($N$1="Piping", IF(ISBLANK(Piping!$J$3), "", Piping!$J$3), IF($N$1="Vessels", IF(ISBLANK(Vessels!$J$3), "", Vessels!$J$3), "")),"")</f>
        <v/>
      </c>
      <c r="T557" s="37"/>
      <c r="U557" s="37"/>
      <c r="V557" s="37"/>
      <c r="W557" s="37"/>
      <c r="X557" s="37"/>
      <c r="Y557" s="37"/>
      <c r="Z557" s="37"/>
    </row>
    <row r="558" spans="1:26" ht="15.75" customHeight="1" x14ac:dyDescent="0.3">
      <c r="A558" s="22">
        <f>IF($N$1="Piping", IF(ISBLANK(Piping!A558), "", Piping!A558), IF($N$1="Vessels", IF(ISBLANK(Vessels!A558), "", Vessels!A558), ""))</f>
        <v>139.1</v>
      </c>
      <c r="B558" s="21" t="str">
        <f>IF($N$1="Piping", IF(ISBLANK(Piping!B558), "", Piping!B558), IF($N$1="Vessels", IF(ISBLANK(Vessels!B558), "", Vessels!B558), ""))</f>
        <v/>
      </c>
      <c r="C558" s="21" t="str">
        <f>IF($N$1="Piping", IF(ISBLANK(Piping!C558), "", Piping!C558), IF($N$1="Vessels", IF(ISBLANK(Vessels!C558), "", Vessels!C558), ""))</f>
        <v>Piping</v>
      </c>
      <c r="D558" s="21" t="str">
        <f>IF($N$1="Piping", IF(ISBLANK(Piping!D558), "", Piping!D558), IF($N$1="Vessels", IF(ISBLANK(Vessels!D558), "", Vessels!D558), ""))</f>
        <v/>
      </c>
      <c r="E558" s="21" t="str">
        <f>IF($N$1="Piping", IF(ISBLANK(Piping!E558), "", Piping!E558), IF($N$1="Vessels", IF(ISBLANK(Vessels!E558), "", Vessels!E558), ""))</f>
        <v/>
      </c>
      <c r="F558" s="21" t="str">
        <f>IF($N$1="Piping", IF(ISBLANK(Piping!F558), "", Piping!F558), IF($N$1="Vessels", IF(ISBLANK(Vessels!F558), "", Vessels!F558), ""))</f>
        <v/>
      </c>
      <c r="G558" s="21">
        <f>IF($N$1="Piping", IF(ISBLANK(Piping!G558), "", Piping!G558), IF($N$1="Vessels", IF(ISBLANK(Vessels!G558), "", Vessels!G558), ""))</f>
        <v>0</v>
      </c>
      <c r="H558" s="21" t="str">
        <f>IF($N$1="Piping", IF(ISBLANK(Piping!H558), "", Piping!H558), IF($N$1="Vessels", IF(ISBLANK(Vessels!H558), "", Vessels!H558), ""))</f>
        <v/>
      </c>
      <c r="I558" s="21" t="str">
        <f>IF($N$1="Piping", IF(ISBLANK(Piping!I558), "", Piping!I558), IF($N$1="Vessels", IF(ISBLANK(Vessels!I558), "", Vessels!I558), ""))</f>
        <v/>
      </c>
      <c r="J558" s="21" t="str">
        <f>IF($N$1="Piping", IF(ISBLANK(Piping!J558), "", Piping!J558), IF($N$1="Vessels", IF(ISBLANK(Vessels!J558), "", Vessels!J558), ""))</f>
        <v/>
      </c>
      <c r="K558" s="21" t="str">
        <f>IF($N$1="Piping", IF(ISBLANK(Piping!K558), "", Piping!K558), IF($N$1="Vessels", IF(ISBLANK(Vessels!K558), "", Vessels!K558), ""))</f>
        <v/>
      </c>
      <c r="L558" s="21" t="str">
        <f>IF($N$1="Piping", IF(ISBLANK(Piping!L558), "", Piping!L558), IF($N$1="Vessels", IF(ISBLANK(Vessels!L558), "", Vessels!L558), ""))</f>
        <v/>
      </c>
      <c r="M558" s="21"/>
      <c r="N558" s="21"/>
      <c r="O558" s="21"/>
      <c r="P558" s="21"/>
      <c r="Q558" s="21" t="str">
        <f>IF($N$1="Piping", IF(ISBLANK(Piping!T558), "", Piping!T558), IF($N$1="Vessels", IF(ISBLANK(Vessels!T558), "", Vessels!T558), ""))</f>
        <v/>
      </c>
      <c r="R558" s="51" t="str">
        <f>IF($N$1="Piping", IF(ISBLANK(Piping!U558), "", Piping!U558), IF($N$1="Vessels", IF(ISBLANK(Vessels!U558), "", Vessels!U558), ""))</f>
        <v/>
      </c>
      <c r="S558" s="118" t="str">
        <f>IF(B558&lt;&gt;"",IF($N$1="Piping", IF(ISBLANK(Piping!$J$3), "", Piping!$J$3), IF($N$1="Vessels", IF(ISBLANK(Vessels!$J$3), "", Vessels!$J$3), "")),"")</f>
        <v/>
      </c>
      <c r="T558" s="37"/>
      <c r="U558" s="37"/>
      <c r="V558" s="37"/>
      <c r="W558" s="37"/>
      <c r="X558" s="37"/>
      <c r="Y558" s="37"/>
      <c r="Z558" s="37"/>
    </row>
    <row r="559" spans="1:26" ht="15.75" customHeight="1" x14ac:dyDescent="0.3">
      <c r="A559" s="22">
        <f>IF($N$1="Piping", IF(ISBLANK(Piping!A559), "", Piping!A559), IF($N$1="Vessels", IF(ISBLANK(Vessels!A559), "", Vessels!A559), ""))</f>
        <v>139.19999999999999</v>
      </c>
      <c r="B559" s="21" t="str">
        <f>IF($N$1="Piping", IF(ISBLANK(Piping!B559), "", Piping!B559), IF($N$1="Vessels", IF(ISBLANK(Vessels!B559), "", Vessels!B559), ""))</f>
        <v/>
      </c>
      <c r="C559" s="21" t="str">
        <f>IF($N$1="Piping", IF(ISBLANK(Piping!C559), "", Piping!C559), IF($N$1="Vessels", IF(ISBLANK(Vessels!C559), "", Vessels!C559), ""))</f>
        <v>Piping</v>
      </c>
      <c r="D559" s="21" t="str">
        <f>IF($N$1="Piping", IF(ISBLANK(Piping!D559), "", Piping!D559), IF($N$1="Vessels", IF(ISBLANK(Vessels!D559), "", Vessels!D559), ""))</f>
        <v/>
      </c>
      <c r="E559" s="21" t="str">
        <f>IF($N$1="Piping", IF(ISBLANK(Piping!E559), "", Piping!E559), IF($N$1="Vessels", IF(ISBLANK(Vessels!E559), "", Vessels!E559), ""))</f>
        <v/>
      </c>
      <c r="F559" s="21" t="str">
        <f>IF($N$1="Piping", IF(ISBLANK(Piping!F559), "", Piping!F559), IF($N$1="Vessels", IF(ISBLANK(Vessels!F559), "", Vessels!F559), ""))</f>
        <v/>
      </c>
      <c r="G559" s="21">
        <f>IF($N$1="Piping", IF(ISBLANK(Piping!G559), "", Piping!G559), IF($N$1="Vessels", IF(ISBLANK(Vessels!G559), "", Vessels!G559), ""))</f>
        <v>0</v>
      </c>
      <c r="H559" s="21" t="str">
        <f>IF($N$1="Piping", IF(ISBLANK(Piping!H559), "", Piping!H559), IF($N$1="Vessels", IF(ISBLANK(Vessels!H559), "", Vessels!H559), ""))</f>
        <v/>
      </c>
      <c r="I559" s="21" t="str">
        <f>IF($N$1="Piping", IF(ISBLANK(Piping!I559), "", Piping!I559), IF($N$1="Vessels", IF(ISBLANK(Vessels!I559), "", Vessels!I559), ""))</f>
        <v/>
      </c>
      <c r="J559" s="21" t="str">
        <f>IF($N$1="Piping", IF(ISBLANK(Piping!J559), "", Piping!J559), IF($N$1="Vessels", IF(ISBLANK(Vessels!J559), "", Vessels!J559), ""))</f>
        <v/>
      </c>
      <c r="K559" s="21" t="str">
        <f>IF($N$1="Piping", IF(ISBLANK(Piping!K559), "", Piping!K559), IF($N$1="Vessels", IF(ISBLANK(Vessels!K559), "", Vessels!K559), ""))</f>
        <v/>
      </c>
      <c r="L559" s="21" t="str">
        <f>IF($N$1="Piping", IF(ISBLANK(Piping!L559), "", Piping!L559), IF($N$1="Vessels", IF(ISBLANK(Vessels!L559), "", Vessels!L559), ""))</f>
        <v/>
      </c>
      <c r="M559" s="21"/>
      <c r="N559" s="21"/>
      <c r="O559" s="21"/>
      <c r="P559" s="21"/>
      <c r="Q559" s="21" t="str">
        <f>IF($N$1="Piping", IF(ISBLANK(Piping!T559), "", Piping!T559), IF($N$1="Vessels", IF(ISBLANK(Vessels!T559), "", Vessels!T559), ""))</f>
        <v/>
      </c>
      <c r="R559" s="51" t="str">
        <f>IF($N$1="Piping", IF(ISBLANK(Piping!U559), "", Piping!U559), IF($N$1="Vessels", IF(ISBLANK(Vessels!U559), "", Vessels!U559), ""))</f>
        <v/>
      </c>
      <c r="S559" s="118" t="str">
        <f>IF(B559&lt;&gt;"",IF($N$1="Piping", IF(ISBLANK(Piping!$J$3), "", Piping!$J$3), IF($N$1="Vessels", IF(ISBLANK(Vessels!$J$3), "", Vessels!$J$3), "")),"")</f>
        <v/>
      </c>
      <c r="T559" s="37"/>
      <c r="U559" s="37"/>
      <c r="V559" s="37"/>
      <c r="W559" s="37"/>
      <c r="X559" s="37"/>
      <c r="Y559" s="37"/>
      <c r="Z559" s="37"/>
    </row>
    <row r="560" spans="1:26" ht="15.75" customHeight="1" x14ac:dyDescent="0.3">
      <c r="A560" s="22">
        <f>IF($N$1="Piping", IF(ISBLANK(Piping!A560), "", Piping!A560), IF($N$1="Vessels", IF(ISBLANK(Vessels!A560), "", Vessels!A560), ""))</f>
        <v>139.30000000000001</v>
      </c>
      <c r="B560" s="21" t="str">
        <f>IF($N$1="Piping", IF(ISBLANK(Piping!B560), "", Piping!B560), IF($N$1="Vessels", IF(ISBLANK(Vessels!B560), "", Vessels!B560), ""))</f>
        <v/>
      </c>
      <c r="C560" s="21" t="str">
        <f>IF($N$1="Piping", IF(ISBLANK(Piping!C560), "", Piping!C560), IF($N$1="Vessels", IF(ISBLANK(Vessels!C560), "", Vessels!C560), ""))</f>
        <v>Piping</v>
      </c>
      <c r="D560" s="21" t="str">
        <f>IF($N$1="Piping", IF(ISBLANK(Piping!D560), "", Piping!D560), IF($N$1="Vessels", IF(ISBLANK(Vessels!D560), "", Vessels!D560), ""))</f>
        <v/>
      </c>
      <c r="E560" s="21" t="str">
        <f>IF($N$1="Piping", IF(ISBLANK(Piping!E560), "", Piping!E560), IF($N$1="Vessels", IF(ISBLANK(Vessels!E560), "", Vessels!E560), ""))</f>
        <v/>
      </c>
      <c r="F560" s="21" t="str">
        <f>IF($N$1="Piping", IF(ISBLANK(Piping!F560), "", Piping!F560), IF($N$1="Vessels", IF(ISBLANK(Vessels!F560), "", Vessels!F560), ""))</f>
        <v/>
      </c>
      <c r="G560" s="21">
        <f>IF($N$1="Piping", IF(ISBLANK(Piping!G560), "", Piping!G560), IF($N$1="Vessels", IF(ISBLANK(Vessels!G560), "", Vessels!G560), ""))</f>
        <v>0</v>
      </c>
      <c r="H560" s="21" t="str">
        <f>IF($N$1="Piping", IF(ISBLANK(Piping!H560), "", Piping!H560), IF($N$1="Vessels", IF(ISBLANK(Vessels!H560), "", Vessels!H560), ""))</f>
        <v/>
      </c>
      <c r="I560" s="21" t="str">
        <f>IF($N$1="Piping", IF(ISBLANK(Piping!I560), "", Piping!I560), IF($N$1="Vessels", IF(ISBLANK(Vessels!I560), "", Vessels!I560), ""))</f>
        <v/>
      </c>
      <c r="J560" s="21" t="str">
        <f>IF($N$1="Piping", IF(ISBLANK(Piping!J560), "", Piping!J560), IF($N$1="Vessels", IF(ISBLANK(Vessels!J560), "", Vessels!J560), ""))</f>
        <v/>
      </c>
      <c r="K560" s="21" t="str">
        <f>IF($N$1="Piping", IF(ISBLANK(Piping!K560), "", Piping!K560), IF($N$1="Vessels", IF(ISBLANK(Vessels!K560), "", Vessels!K560), ""))</f>
        <v/>
      </c>
      <c r="L560" s="21" t="str">
        <f>IF($N$1="Piping", IF(ISBLANK(Piping!L560), "", Piping!L560), IF($N$1="Vessels", IF(ISBLANK(Vessels!L560), "", Vessels!L560), ""))</f>
        <v/>
      </c>
      <c r="M560" s="21"/>
      <c r="N560" s="21"/>
      <c r="O560" s="21"/>
      <c r="P560" s="21"/>
      <c r="Q560" s="21" t="str">
        <f>IF($N$1="Piping", IF(ISBLANK(Piping!T560), "", Piping!T560), IF($N$1="Vessels", IF(ISBLANK(Vessels!T560), "", Vessels!T560), ""))</f>
        <v/>
      </c>
      <c r="R560" s="51" t="str">
        <f>IF($N$1="Piping", IF(ISBLANK(Piping!U560), "", Piping!U560), IF($N$1="Vessels", IF(ISBLANK(Vessels!U560), "", Vessels!U560), ""))</f>
        <v/>
      </c>
      <c r="S560" s="118" t="str">
        <f>IF(B560&lt;&gt;"",IF($N$1="Piping", IF(ISBLANK(Piping!$J$3), "", Piping!$J$3), IF($N$1="Vessels", IF(ISBLANK(Vessels!$J$3), "", Vessels!$J$3), "")),"")</f>
        <v/>
      </c>
      <c r="T560" s="37"/>
      <c r="U560" s="37"/>
      <c r="V560" s="37"/>
      <c r="W560" s="37"/>
      <c r="X560" s="37"/>
      <c r="Y560" s="37"/>
      <c r="Z560" s="37"/>
    </row>
    <row r="561" spans="1:26" ht="15.75" customHeight="1" x14ac:dyDescent="0.3">
      <c r="A561" s="22">
        <f>IF($N$1="Piping", IF(ISBLANK(Piping!A561), "", Piping!A561), IF($N$1="Vessels", IF(ISBLANK(Vessels!A561), "", Vessels!A561), ""))</f>
        <v>139.4</v>
      </c>
      <c r="B561" s="21" t="str">
        <f>IF($N$1="Piping", IF(ISBLANK(Piping!B561), "", Piping!B561), IF($N$1="Vessels", IF(ISBLANK(Vessels!B561), "", Vessels!B561), ""))</f>
        <v/>
      </c>
      <c r="C561" s="21" t="str">
        <f>IF($N$1="Piping", IF(ISBLANK(Piping!C561), "", Piping!C561), IF($N$1="Vessels", IF(ISBLANK(Vessels!C561), "", Vessels!C561), ""))</f>
        <v>Piping</v>
      </c>
      <c r="D561" s="21" t="str">
        <f>IF($N$1="Piping", IF(ISBLANK(Piping!D561), "", Piping!D561), IF($N$1="Vessels", IF(ISBLANK(Vessels!D561), "", Vessels!D561), ""))</f>
        <v/>
      </c>
      <c r="E561" s="21" t="str">
        <f>IF($N$1="Piping", IF(ISBLANK(Piping!E561), "", Piping!E561), IF($N$1="Vessels", IF(ISBLANK(Vessels!E561), "", Vessels!E561), ""))</f>
        <v/>
      </c>
      <c r="F561" s="21" t="str">
        <f>IF($N$1="Piping", IF(ISBLANK(Piping!F561), "", Piping!F561), IF($N$1="Vessels", IF(ISBLANK(Vessels!F561), "", Vessels!F561), ""))</f>
        <v/>
      </c>
      <c r="G561" s="21">
        <f>IF($N$1="Piping", IF(ISBLANK(Piping!G561), "", Piping!G561), IF($N$1="Vessels", IF(ISBLANK(Vessels!G561), "", Vessels!G561), ""))</f>
        <v>0</v>
      </c>
      <c r="H561" s="21" t="str">
        <f>IF($N$1="Piping", IF(ISBLANK(Piping!H561), "", Piping!H561), IF($N$1="Vessels", IF(ISBLANK(Vessels!H561), "", Vessels!H561), ""))</f>
        <v/>
      </c>
      <c r="I561" s="21" t="str">
        <f>IF($N$1="Piping", IF(ISBLANK(Piping!I561), "", Piping!I561), IF($N$1="Vessels", IF(ISBLANK(Vessels!I561), "", Vessels!I561), ""))</f>
        <v/>
      </c>
      <c r="J561" s="21" t="str">
        <f>IF($N$1="Piping", IF(ISBLANK(Piping!J561), "", Piping!J561), IF($N$1="Vessels", IF(ISBLANK(Vessels!J561), "", Vessels!J561), ""))</f>
        <v/>
      </c>
      <c r="K561" s="21" t="str">
        <f>IF($N$1="Piping", IF(ISBLANK(Piping!K561), "", Piping!K561), IF($N$1="Vessels", IF(ISBLANK(Vessels!K561), "", Vessels!K561), ""))</f>
        <v/>
      </c>
      <c r="L561" s="21" t="str">
        <f>IF($N$1="Piping", IF(ISBLANK(Piping!L561), "", Piping!L561), IF($N$1="Vessels", IF(ISBLANK(Vessels!L561), "", Vessels!L561), ""))</f>
        <v/>
      </c>
      <c r="M561" s="21"/>
      <c r="N561" s="21"/>
      <c r="O561" s="21"/>
      <c r="P561" s="21"/>
      <c r="Q561" s="21" t="str">
        <f>IF($N$1="Piping", IF(ISBLANK(Piping!T561), "", Piping!T561), IF($N$1="Vessels", IF(ISBLANK(Vessels!T561), "", Vessels!T561), ""))</f>
        <v/>
      </c>
      <c r="R561" s="51" t="str">
        <f>IF($N$1="Piping", IF(ISBLANK(Piping!U561), "", Piping!U561), IF($N$1="Vessels", IF(ISBLANK(Vessels!U561), "", Vessels!U561), ""))</f>
        <v/>
      </c>
      <c r="S561" s="118" t="str">
        <f>IF(B561&lt;&gt;"",IF($N$1="Piping", IF(ISBLANK(Piping!$J$3), "", Piping!$J$3), IF($N$1="Vessels", IF(ISBLANK(Vessels!$J$3), "", Vessels!$J$3), "")),"")</f>
        <v/>
      </c>
      <c r="T561" s="37"/>
      <c r="U561" s="37"/>
      <c r="V561" s="37"/>
      <c r="W561" s="37"/>
      <c r="X561" s="37"/>
      <c r="Y561" s="37"/>
      <c r="Z561" s="37"/>
    </row>
    <row r="562" spans="1:26" ht="15.75" customHeight="1" x14ac:dyDescent="0.3">
      <c r="A562" s="22">
        <f>IF($N$1="Piping", IF(ISBLANK(Piping!A562), "", Piping!A562), IF($N$1="Vessels", IF(ISBLANK(Vessels!A562), "", Vessels!A562), ""))</f>
        <v>140.1</v>
      </c>
      <c r="B562" s="21" t="str">
        <f>IF($N$1="Piping", IF(ISBLANK(Piping!B562), "", Piping!B562), IF($N$1="Vessels", IF(ISBLANK(Vessels!B562), "", Vessels!B562), ""))</f>
        <v/>
      </c>
      <c r="C562" s="21" t="str">
        <f>IF($N$1="Piping", IF(ISBLANK(Piping!C562), "", Piping!C562), IF($N$1="Vessels", IF(ISBLANK(Vessels!C562), "", Vessels!C562), ""))</f>
        <v>Piping</v>
      </c>
      <c r="D562" s="21" t="str">
        <f>IF($N$1="Piping", IF(ISBLANK(Piping!D562), "", Piping!D562), IF($N$1="Vessels", IF(ISBLANK(Vessels!D562), "", Vessels!D562), ""))</f>
        <v/>
      </c>
      <c r="E562" s="21" t="str">
        <f>IF($N$1="Piping", IF(ISBLANK(Piping!E562), "", Piping!E562), IF($N$1="Vessels", IF(ISBLANK(Vessels!E562), "", Vessels!E562), ""))</f>
        <v/>
      </c>
      <c r="F562" s="21" t="str">
        <f>IF($N$1="Piping", IF(ISBLANK(Piping!F562), "", Piping!F562), IF($N$1="Vessels", IF(ISBLANK(Vessels!F562), "", Vessels!F562), ""))</f>
        <v/>
      </c>
      <c r="G562" s="21">
        <f>IF($N$1="Piping", IF(ISBLANK(Piping!G562), "", Piping!G562), IF($N$1="Vessels", IF(ISBLANK(Vessels!G562), "", Vessels!G562), ""))</f>
        <v>0</v>
      </c>
      <c r="H562" s="21" t="str">
        <f>IF($N$1="Piping", IF(ISBLANK(Piping!H562), "", Piping!H562), IF($N$1="Vessels", IF(ISBLANK(Vessels!H562), "", Vessels!H562), ""))</f>
        <v/>
      </c>
      <c r="I562" s="21" t="str">
        <f>IF($N$1="Piping", IF(ISBLANK(Piping!I562), "", Piping!I562), IF($N$1="Vessels", IF(ISBLANK(Vessels!I562), "", Vessels!I562), ""))</f>
        <v/>
      </c>
      <c r="J562" s="21" t="str">
        <f>IF($N$1="Piping", IF(ISBLANK(Piping!J562), "", Piping!J562), IF($N$1="Vessels", IF(ISBLANK(Vessels!J562), "", Vessels!J562), ""))</f>
        <v/>
      </c>
      <c r="K562" s="21" t="str">
        <f>IF($N$1="Piping", IF(ISBLANK(Piping!K562), "", Piping!K562), IF($N$1="Vessels", IF(ISBLANK(Vessels!K562), "", Vessels!K562), ""))</f>
        <v/>
      </c>
      <c r="L562" s="21" t="str">
        <f>IF($N$1="Piping", IF(ISBLANK(Piping!L562), "", Piping!L562), IF($N$1="Vessels", IF(ISBLANK(Vessels!L562), "", Vessels!L562), ""))</f>
        <v/>
      </c>
      <c r="M562" s="21"/>
      <c r="N562" s="21"/>
      <c r="O562" s="21"/>
      <c r="P562" s="21"/>
      <c r="Q562" s="21" t="str">
        <f>IF($N$1="Piping", IF(ISBLANK(Piping!T562), "", Piping!T562), IF($N$1="Vessels", IF(ISBLANK(Vessels!T562), "", Vessels!T562), ""))</f>
        <v/>
      </c>
      <c r="R562" s="51" t="str">
        <f>IF($N$1="Piping", IF(ISBLANK(Piping!U562), "", Piping!U562), IF($N$1="Vessels", IF(ISBLANK(Vessels!U562), "", Vessels!U562), ""))</f>
        <v/>
      </c>
      <c r="S562" s="118" t="str">
        <f>IF(B562&lt;&gt;"",IF($N$1="Piping", IF(ISBLANK(Piping!$J$3), "", Piping!$J$3), IF($N$1="Vessels", IF(ISBLANK(Vessels!$J$3), "", Vessels!$J$3), "")),"")</f>
        <v/>
      </c>
      <c r="T562" s="37"/>
      <c r="U562" s="37"/>
      <c r="V562" s="37"/>
      <c r="W562" s="37"/>
      <c r="X562" s="37"/>
      <c r="Y562" s="37"/>
      <c r="Z562" s="37"/>
    </row>
    <row r="563" spans="1:26" ht="15.75" customHeight="1" x14ac:dyDescent="0.3">
      <c r="A563" s="22">
        <f>IF($N$1="Piping", IF(ISBLANK(Piping!A563), "", Piping!A563), IF($N$1="Vessels", IF(ISBLANK(Vessels!A563), "", Vessels!A563), ""))</f>
        <v>140.19999999999999</v>
      </c>
      <c r="B563" s="21" t="str">
        <f>IF($N$1="Piping", IF(ISBLANK(Piping!B563), "", Piping!B563), IF($N$1="Vessels", IF(ISBLANK(Vessels!B563), "", Vessels!B563), ""))</f>
        <v/>
      </c>
      <c r="C563" s="21" t="str">
        <f>IF($N$1="Piping", IF(ISBLANK(Piping!C563), "", Piping!C563), IF($N$1="Vessels", IF(ISBLANK(Vessels!C563), "", Vessels!C563), ""))</f>
        <v>Piping</v>
      </c>
      <c r="D563" s="21" t="str">
        <f>IF($N$1="Piping", IF(ISBLANK(Piping!D563), "", Piping!D563), IF($N$1="Vessels", IF(ISBLANK(Vessels!D563), "", Vessels!D563), ""))</f>
        <v/>
      </c>
      <c r="E563" s="21" t="str">
        <f>IF($N$1="Piping", IF(ISBLANK(Piping!E563), "", Piping!E563), IF($N$1="Vessels", IF(ISBLANK(Vessels!E563), "", Vessels!E563), ""))</f>
        <v/>
      </c>
      <c r="F563" s="21" t="str">
        <f>IF($N$1="Piping", IF(ISBLANK(Piping!F563), "", Piping!F563), IF($N$1="Vessels", IF(ISBLANK(Vessels!F563), "", Vessels!F563), ""))</f>
        <v/>
      </c>
      <c r="G563" s="21">
        <f>IF($N$1="Piping", IF(ISBLANK(Piping!G563), "", Piping!G563), IF($N$1="Vessels", IF(ISBLANK(Vessels!G563), "", Vessels!G563), ""))</f>
        <v>0</v>
      </c>
      <c r="H563" s="21" t="str">
        <f>IF($N$1="Piping", IF(ISBLANK(Piping!H563), "", Piping!H563), IF($N$1="Vessels", IF(ISBLANK(Vessels!H563), "", Vessels!H563), ""))</f>
        <v/>
      </c>
      <c r="I563" s="21" t="str">
        <f>IF($N$1="Piping", IF(ISBLANK(Piping!I563), "", Piping!I563), IF($N$1="Vessels", IF(ISBLANK(Vessels!I563), "", Vessels!I563), ""))</f>
        <v/>
      </c>
      <c r="J563" s="21" t="str">
        <f>IF($N$1="Piping", IF(ISBLANK(Piping!J563), "", Piping!J563), IF($N$1="Vessels", IF(ISBLANK(Vessels!J563), "", Vessels!J563), ""))</f>
        <v/>
      </c>
      <c r="K563" s="21" t="str">
        <f>IF($N$1="Piping", IF(ISBLANK(Piping!K563), "", Piping!K563), IF($N$1="Vessels", IF(ISBLANK(Vessels!K563), "", Vessels!K563), ""))</f>
        <v/>
      </c>
      <c r="L563" s="21" t="str">
        <f>IF($N$1="Piping", IF(ISBLANK(Piping!L563), "", Piping!L563), IF($N$1="Vessels", IF(ISBLANK(Vessels!L563), "", Vessels!L563), ""))</f>
        <v/>
      </c>
      <c r="M563" s="21"/>
      <c r="N563" s="21"/>
      <c r="O563" s="21"/>
      <c r="P563" s="21"/>
      <c r="Q563" s="21" t="str">
        <f>IF($N$1="Piping", IF(ISBLANK(Piping!T563), "", Piping!T563), IF($N$1="Vessels", IF(ISBLANK(Vessels!T563), "", Vessels!T563), ""))</f>
        <v/>
      </c>
      <c r="R563" s="51" t="str">
        <f>IF($N$1="Piping", IF(ISBLANK(Piping!U563), "", Piping!U563), IF($N$1="Vessels", IF(ISBLANK(Vessels!U563), "", Vessels!U563), ""))</f>
        <v/>
      </c>
      <c r="S563" s="118" t="str">
        <f>IF(B563&lt;&gt;"",IF($N$1="Piping", IF(ISBLANK(Piping!$J$3), "", Piping!$J$3), IF($N$1="Vessels", IF(ISBLANK(Vessels!$J$3), "", Vessels!$J$3), "")),"")</f>
        <v/>
      </c>
      <c r="T563" s="37"/>
      <c r="U563" s="37"/>
      <c r="V563" s="37"/>
      <c r="W563" s="37"/>
      <c r="X563" s="37"/>
      <c r="Y563" s="37"/>
      <c r="Z563" s="37"/>
    </row>
    <row r="564" spans="1:26" ht="15.75" customHeight="1" x14ac:dyDescent="0.3">
      <c r="A564" s="22">
        <f>IF($N$1="Piping", IF(ISBLANK(Piping!A564), "", Piping!A564), IF($N$1="Vessels", IF(ISBLANK(Vessels!A564), "", Vessels!A564), ""))</f>
        <v>140.30000000000001</v>
      </c>
      <c r="B564" s="21" t="str">
        <f>IF($N$1="Piping", IF(ISBLANK(Piping!B564), "", Piping!B564), IF($N$1="Vessels", IF(ISBLANK(Vessels!B564), "", Vessels!B564), ""))</f>
        <v/>
      </c>
      <c r="C564" s="21" t="str">
        <f>IF($N$1="Piping", IF(ISBLANK(Piping!C564), "", Piping!C564), IF($N$1="Vessels", IF(ISBLANK(Vessels!C564), "", Vessels!C564), ""))</f>
        <v>Piping</v>
      </c>
      <c r="D564" s="21" t="str">
        <f>IF($N$1="Piping", IF(ISBLANK(Piping!D564), "", Piping!D564), IF($N$1="Vessels", IF(ISBLANK(Vessels!D564), "", Vessels!D564), ""))</f>
        <v/>
      </c>
      <c r="E564" s="21" t="str">
        <f>IF($N$1="Piping", IF(ISBLANK(Piping!E564), "", Piping!E564), IF($N$1="Vessels", IF(ISBLANK(Vessels!E564), "", Vessels!E564), ""))</f>
        <v/>
      </c>
      <c r="F564" s="21" t="str">
        <f>IF($N$1="Piping", IF(ISBLANK(Piping!F564), "", Piping!F564), IF($N$1="Vessels", IF(ISBLANK(Vessels!F564), "", Vessels!F564), ""))</f>
        <v/>
      </c>
      <c r="G564" s="21">
        <f>IF($N$1="Piping", IF(ISBLANK(Piping!G564), "", Piping!G564), IF($N$1="Vessels", IF(ISBLANK(Vessels!G564), "", Vessels!G564), ""))</f>
        <v>0</v>
      </c>
      <c r="H564" s="21" t="str">
        <f>IF($N$1="Piping", IF(ISBLANK(Piping!H564), "", Piping!H564), IF($N$1="Vessels", IF(ISBLANK(Vessels!H564), "", Vessels!H564), ""))</f>
        <v/>
      </c>
      <c r="I564" s="21" t="str">
        <f>IF($N$1="Piping", IF(ISBLANK(Piping!I564), "", Piping!I564), IF($N$1="Vessels", IF(ISBLANK(Vessels!I564), "", Vessels!I564), ""))</f>
        <v/>
      </c>
      <c r="J564" s="21" t="str">
        <f>IF($N$1="Piping", IF(ISBLANK(Piping!J564), "", Piping!J564), IF($N$1="Vessels", IF(ISBLANK(Vessels!J564), "", Vessels!J564), ""))</f>
        <v/>
      </c>
      <c r="K564" s="21" t="str">
        <f>IF($N$1="Piping", IF(ISBLANK(Piping!K564), "", Piping!K564), IF($N$1="Vessels", IF(ISBLANK(Vessels!K564), "", Vessels!K564), ""))</f>
        <v/>
      </c>
      <c r="L564" s="21" t="str">
        <f>IF($N$1="Piping", IF(ISBLANK(Piping!L564), "", Piping!L564), IF($N$1="Vessels", IF(ISBLANK(Vessels!L564), "", Vessels!L564), ""))</f>
        <v/>
      </c>
      <c r="M564" s="21"/>
      <c r="N564" s="21"/>
      <c r="O564" s="21"/>
      <c r="P564" s="21"/>
      <c r="Q564" s="21" t="str">
        <f>IF($N$1="Piping", IF(ISBLANK(Piping!T564), "", Piping!T564), IF($N$1="Vessels", IF(ISBLANK(Vessels!T564), "", Vessels!T564), ""))</f>
        <v/>
      </c>
      <c r="R564" s="51" t="str">
        <f>IF($N$1="Piping", IF(ISBLANK(Piping!U564), "", Piping!U564), IF($N$1="Vessels", IF(ISBLANK(Vessels!U564), "", Vessels!U564), ""))</f>
        <v/>
      </c>
      <c r="S564" s="118" t="str">
        <f>IF(B564&lt;&gt;"",IF($N$1="Piping", IF(ISBLANK(Piping!$J$3), "", Piping!$J$3), IF($N$1="Vessels", IF(ISBLANK(Vessels!$J$3), "", Vessels!$J$3), "")),"")</f>
        <v/>
      </c>
      <c r="T564" s="37"/>
      <c r="U564" s="37"/>
      <c r="V564" s="37"/>
      <c r="W564" s="37"/>
      <c r="X564" s="37"/>
      <c r="Y564" s="37"/>
      <c r="Z564" s="37"/>
    </row>
    <row r="565" spans="1:26" ht="15.75" customHeight="1" x14ac:dyDescent="0.3">
      <c r="A565" s="22">
        <f>IF($N$1="Piping", IF(ISBLANK(Piping!A565), "", Piping!A565), IF($N$1="Vessels", IF(ISBLANK(Vessels!A565), "", Vessels!A565), ""))</f>
        <v>140.4</v>
      </c>
      <c r="B565" s="21" t="str">
        <f>IF($N$1="Piping", IF(ISBLANK(Piping!B565), "", Piping!B565), IF($N$1="Vessels", IF(ISBLANK(Vessels!B565), "", Vessels!B565), ""))</f>
        <v/>
      </c>
      <c r="C565" s="21" t="str">
        <f>IF($N$1="Piping", IF(ISBLANK(Piping!C565), "", Piping!C565), IF($N$1="Vessels", IF(ISBLANK(Vessels!C565), "", Vessels!C565), ""))</f>
        <v>Piping</v>
      </c>
      <c r="D565" s="21" t="str">
        <f>IF($N$1="Piping", IF(ISBLANK(Piping!D565), "", Piping!D565), IF($N$1="Vessels", IF(ISBLANK(Vessels!D565), "", Vessels!D565), ""))</f>
        <v/>
      </c>
      <c r="E565" s="21" t="str">
        <f>IF($N$1="Piping", IF(ISBLANK(Piping!E565), "", Piping!E565), IF($N$1="Vessels", IF(ISBLANK(Vessels!E565), "", Vessels!E565), ""))</f>
        <v/>
      </c>
      <c r="F565" s="21" t="str">
        <f>IF($N$1="Piping", IF(ISBLANK(Piping!F565), "", Piping!F565), IF($N$1="Vessels", IF(ISBLANK(Vessels!F565), "", Vessels!F565), ""))</f>
        <v/>
      </c>
      <c r="G565" s="21">
        <f>IF($N$1="Piping", IF(ISBLANK(Piping!G565), "", Piping!G565), IF($N$1="Vessels", IF(ISBLANK(Vessels!G565), "", Vessels!G565), ""))</f>
        <v>0</v>
      </c>
      <c r="H565" s="21" t="str">
        <f>IF($N$1="Piping", IF(ISBLANK(Piping!H565), "", Piping!H565), IF($N$1="Vessels", IF(ISBLANK(Vessels!H565), "", Vessels!H565), ""))</f>
        <v/>
      </c>
      <c r="I565" s="21" t="str">
        <f>IF($N$1="Piping", IF(ISBLANK(Piping!I565), "", Piping!I565), IF($N$1="Vessels", IF(ISBLANK(Vessels!I565), "", Vessels!I565), ""))</f>
        <v/>
      </c>
      <c r="J565" s="21" t="str">
        <f>IF($N$1="Piping", IF(ISBLANK(Piping!J565), "", Piping!J565), IF($N$1="Vessels", IF(ISBLANK(Vessels!J565), "", Vessels!J565), ""))</f>
        <v/>
      </c>
      <c r="K565" s="21" t="str">
        <f>IF($N$1="Piping", IF(ISBLANK(Piping!K565), "", Piping!K565), IF($N$1="Vessels", IF(ISBLANK(Vessels!K565), "", Vessels!K565), ""))</f>
        <v/>
      </c>
      <c r="L565" s="21" t="str">
        <f>IF($N$1="Piping", IF(ISBLANK(Piping!L565), "", Piping!L565), IF($N$1="Vessels", IF(ISBLANK(Vessels!L565), "", Vessels!L565), ""))</f>
        <v/>
      </c>
      <c r="M565" s="21"/>
      <c r="N565" s="21"/>
      <c r="O565" s="21"/>
      <c r="P565" s="21"/>
      <c r="Q565" s="21" t="str">
        <f>IF($N$1="Piping", IF(ISBLANK(Piping!T565), "", Piping!T565), IF($N$1="Vessels", IF(ISBLANK(Vessels!T565), "", Vessels!T565), ""))</f>
        <v/>
      </c>
      <c r="R565" s="51" t="str">
        <f>IF($N$1="Piping", IF(ISBLANK(Piping!U565), "", Piping!U565), IF($N$1="Vessels", IF(ISBLANK(Vessels!U565), "", Vessels!U565), ""))</f>
        <v/>
      </c>
      <c r="S565" s="118" t="str">
        <f>IF(B565&lt;&gt;"",IF($N$1="Piping", IF(ISBLANK(Piping!$J$3), "", Piping!$J$3), IF($N$1="Vessels", IF(ISBLANK(Vessels!$J$3), "", Vessels!$J$3), "")),"")</f>
        <v/>
      </c>
      <c r="T565" s="37"/>
      <c r="U565" s="37"/>
      <c r="V565" s="37"/>
      <c r="W565" s="37"/>
      <c r="X565" s="37"/>
      <c r="Y565" s="37"/>
      <c r="Z565" s="37"/>
    </row>
    <row r="566" spans="1:26" ht="15.75" customHeight="1" x14ac:dyDescent="0.3">
      <c r="A566" s="22">
        <f>IF($N$1="Piping", IF(ISBLANK(Piping!A566), "", Piping!A566), IF($N$1="Vessels", IF(ISBLANK(Vessels!A566), "", Vessels!A566), ""))</f>
        <v>141.1</v>
      </c>
      <c r="B566" s="21" t="str">
        <f>IF($N$1="Piping", IF(ISBLANK(Piping!B566), "", Piping!B566), IF($N$1="Vessels", IF(ISBLANK(Vessels!B566), "", Vessels!B566), ""))</f>
        <v/>
      </c>
      <c r="C566" s="21" t="str">
        <f>IF($N$1="Piping", IF(ISBLANK(Piping!C566), "", Piping!C566), IF($N$1="Vessels", IF(ISBLANK(Vessels!C566), "", Vessels!C566), ""))</f>
        <v>Piping</v>
      </c>
      <c r="D566" s="21" t="str">
        <f>IF($N$1="Piping", IF(ISBLANK(Piping!D566), "", Piping!D566), IF($N$1="Vessels", IF(ISBLANK(Vessels!D566), "", Vessels!D566), ""))</f>
        <v/>
      </c>
      <c r="E566" s="21" t="str">
        <f>IF($N$1="Piping", IF(ISBLANK(Piping!E566), "", Piping!E566), IF($N$1="Vessels", IF(ISBLANK(Vessels!E566), "", Vessels!E566), ""))</f>
        <v/>
      </c>
      <c r="F566" s="21" t="str">
        <f>IF($N$1="Piping", IF(ISBLANK(Piping!F566), "", Piping!F566), IF($N$1="Vessels", IF(ISBLANK(Vessels!F566), "", Vessels!F566), ""))</f>
        <v/>
      </c>
      <c r="G566" s="21">
        <f>IF($N$1="Piping", IF(ISBLANK(Piping!G566), "", Piping!G566), IF($N$1="Vessels", IF(ISBLANK(Vessels!G566), "", Vessels!G566), ""))</f>
        <v>0</v>
      </c>
      <c r="H566" s="21" t="str">
        <f>IF($N$1="Piping", IF(ISBLANK(Piping!H566), "", Piping!H566), IF($N$1="Vessels", IF(ISBLANK(Vessels!H566), "", Vessels!H566), ""))</f>
        <v/>
      </c>
      <c r="I566" s="21" t="str">
        <f>IF($N$1="Piping", IF(ISBLANK(Piping!I566), "", Piping!I566), IF($N$1="Vessels", IF(ISBLANK(Vessels!I566), "", Vessels!I566), ""))</f>
        <v/>
      </c>
      <c r="J566" s="21" t="str">
        <f>IF($N$1="Piping", IF(ISBLANK(Piping!J566), "", Piping!J566), IF($N$1="Vessels", IF(ISBLANK(Vessels!J566), "", Vessels!J566), ""))</f>
        <v/>
      </c>
      <c r="K566" s="21" t="str">
        <f>IF($N$1="Piping", IF(ISBLANK(Piping!K566), "", Piping!K566), IF($N$1="Vessels", IF(ISBLANK(Vessels!K566), "", Vessels!K566), ""))</f>
        <v/>
      </c>
      <c r="L566" s="21" t="str">
        <f>IF($N$1="Piping", IF(ISBLANK(Piping!L566), "", Piping!L566), IF($N$1="Vessels", IF(ISBLANK(Vessels!L566), "", Vessels!L566), ""))</f>
        <v/>
      </c>
      <c r="M566" s="21"/>
      <c r="N566" s="21"/>
      <c r="O566" s="21"/>
      <c r="P566" s="21"/>
      <c r="Q566" s="21" t="str">
        <f>IF($N$1="Piping", IF(ISBLANK(Piping!T566), "", Piping!T566), IF($N$1="Vessels", IF(ISBLANK(Vessels!T566), "", Vessels!T566), ""))</f>
        <v/>
      </c>
      <c r="R566" s="51" t="str">
        <f>IF($N$1="Piping", IF(ISBLANK(Piping!U566), "", Piping!U566), IF($N$1="Vessels", IF(ISBLANK(Vessels!U566), "", Vessels!U566), ""))</f>
        <v/>
      </c>
      <c r="S566" s="118" t="str">
        <f>IF(B566&lt;&gt;"",IF($N$1="Piping", IF(ISBLANK(Piping!$J$3), "", Piping!$J$3), IF($N$1="Vessels", IF(ISBLANK(Vessels!$J$3), "", Vessels!$J$3), "")),"")</f>
        <v/>
      </c>
      <c r="T566" s="37"/>
      <c r="U566" s="37"/>
      <c r="V566" s="37"/>
      <c r="W566" s="37"/>
      <c r="X566" s="37"/>
      <c r="Y566" s="37"/>
      <c r="Z566" s="37"/>
    </row>
    <row r="567" spans="1:26" ht="15.75" customHeight="1" x14ac:dyDescent="0.3">
      <c r="A567" s="22">
        <f>IF($N$1="Piping", IF(ISBLANK(Piping!A567), "", Piping!A567), IF($N$1="Vessels", IF(ISBLANK(Vessels!A567), "", Vessels!A567), ""))</f>
        <v>141.19999999999999</v>
      </c>
      <c r="B567" s="21" t="str">
        <f>IF($N$1="Piping", IF(ISBLANK(Piping!B567), "", Piping!B567), IF($N$1="Vessels", IF(ISBLANK(Vessels!B567), "", Vessels!B567), ""))</f>
        <v/>
      </c>
      <c r="C567" s="21" t="str">
        <f>IF($N$1="Piping", IF(ISBLANK(Piping!C567), "", Piping!C567), IF($N$1="Vessels", IF(ISBLANK(Vessels!C567), "", Vessels!C567), ""))</f>
        <v>Piping</v>
      </c>
      <c r="D567" s="21" t="str">
        <f>IF($N$1="Piping", IF(ISBLANK(Piping!D567), "", Piping!D567), IF($N$1="Vessels", IF(ISBLANK(Vessels!D567), "", Vessels!D567), ""))</f>
        <v/>
      </c>
      <c r="E567" s="21" t="str">
        <f>IF($N$1="Piping", IF(ISBLANK(Piping!E567), "", Piping!E567), IF($N$1="Vessels", IF(ISBLANK(Vessels!E567), "", Vessels!E567), ""))</f>
        <v/>
      </c>
      <c r="F567" s="21" t="str">
        <f>IF($N$1="Piping", IF(ISBLANK(Piping!F567), "", Piping!F567), IF($N$1="Vessels", IF(ISBLANK(Vessels!F567), "", Vessels!F567), ""))</f>
        <v/>
      </c>
      <c r="G567" s="21">
        <f>IF($N$1="Piping", IF(ISBLANK(Piping!G567), "", Piping!G567), IF($N$1="Vessels", IF(ISBLANK(Vessels!G567), "", Vessels!G567), ""))</f>
        <v>0</v>
      </c>
      <c r="H567" s="21" t="str">
        <f>IF($N$1="Piping", IF(ISBLANK(Piping!H567), "", Piping!H567), IF($N$1="Vessels", IF(ISBLANK(Vessels!H567), "", Vessels!H567), ""))</f>
        <v/>
      </c>
      <c r="I567" s="21" t="str">
        <f>IF($N$1="Piping", IF(ISBLANK(Piping!I567), "", Piping!I567), IF($N$1="Vessels", IF(ISBLANK(Vessels!I567), "", Vessels!I567), ""))</f>
        <v/>
      </c>
      <c r="J567" s="21" t="str">
        <f>IF($N$1="Piping", IF(ISBLANK(Piping!J567), "", Piping!J567), IF($N$1="Vessels", IF(ISBLANK(Vessels!J567), "", Vessels!J567), ""))</f>
        <v/>
      </c>
      <c r="K567" s="21" t="str">
        <f>IF($N$1="Piping", IF(ISBLANK(Piping!K567), "", Piping!K567), IF($N$1="Vessels", IF(ISBLANK(Vessels!K567), "", Vessels!K567), ""))</f>
        <v/>
      </c>
      <c r="L567" s="21" t="str">
        <f>IF($N$1="Piping", IF(ISBLANK(Piping!L567), "", Piping!L567), IF($N$1="Vessels", IF(ISBLANK(Vessels!L567), "", Vessels!L567), ""))</f>
        <v/>
      </c>
      <c r="M567" s="21"/>
      <c r="N567" s="21"/>
      <c r="O567" s="21"/>
      <c r="P567" s="21"/>
      <c r="Q567" s="21" t="str">
        <f>IF($N$1="Piping", IF(ISBLANK(Piping!T567), "", Piping!T567), IF($N$1="Vessels", IF(ISBLANK(Vessels!T567), "", Vessels!T567), ""))</f>
        <v/>
      </c>
      <c r="R567" s="51" t="str">
        <f>IF($N$1="Piping", IF(ISBLANK(Piping!U567), "", Piping!U567), IF($N$1="Vessels", IF(ISBLANK(Vessels!U567), "", Vessels!U567), ""))</f>
        <v/>
      </c>
      <c r="S567" s="118" t="str">
        <f>IF(B567&lt;&gt;"",IF($N$1="Piping", IF(ISBLANK(Piping!$J$3), "", Piping!$J$3), IF($N$1="Vessels", IF(ISBLANK(Vessels!$J$3), "", Vessels!$J$3), "")),"")</f>
        <v/>
      </c>
      <c r="T567" s="37"/>
      <c r="U567" s="37"/>
      <c r="V567" s="37"/>
      <c r="W567" s="37"/>
      <c r="X567" s="37"/>
      <c r="Y567" s="37"/>
      <c r="Z567" s="37"/>
    </row>
    <row r="568" spans="1:26" ht="15.75" customHeight="1" x14ac:dyDescent="0.3">
      <c r="A568" s="22">
        <f>IF($N$1="Piping", IF(ISBLANK(Piping!A568), "", Piping!A568), IF($N$1="Vessels", IF(ISBLANK(Vessels!A568), "", Vessels!A568), ""))</f>
        <v>141.30000000000001</v>
      </c>
      <c r="B568" s="21" t="str">
        <f>IF($N$1="Piping", IF(ISBLANK(Piping!B568), "", Piping!B568), IF($N$1="Vessels", IF(ISBLANK(Vessels!B568), "", Vessels!B568), ""))</f>
        <v/>
      </c>
      <c r="C568" s="21" t="str">
        <f>IF($N$1="Piping", IF(ISBLANK(Piping!C568), "", Piping!C568), IF($N$1="Vessels", IF(ISBLANK(Vessels!C568), "", Vessels!C568), ""))</f>
        <v>Piping</v>
      </c>
      <c r="D568" s="21" t="str">
        <f>IF($N$1="Piping", IF(ISBLANK(Piping!D568), "", Piping!D568), IF($N$1="Vessels", IF(ISBLANK(Vessels!D568), "", Vessels!D568), ""))</f>
        <v/>
      </c>
      <c r="E568" s="21" t="str">
        <f>IF($N$1="Piping", IF(ISBLANK(Piping!E568), "", Piping!E568), IF($N$1="Vessels", IF(ISBLANK(Vessels!E568), "", Vessels!E568), ""))</f>
        <v/>
      </c>
      <c r="F568" s="21" t="str">
        <f>IF($N$1="Piping", IF(ISBLANK(Piping!F568), "", Piping!F568), IF($N$1="Vessels", IF(ISBLANK(Vessels!F568), "", Vessels!F568), ""))</f>
        <v/>
      </c>
      <c r="G568" s="21">
        <f>IF($N$1="Piping", IF(ISBLANK(Piping!G568), "", Piping!G568), IF($N$1="Vessels", IF(ISBLANK(Vessels!G568), "", Vessels!G568), ""))</f>
        <v>0</v>
      </c>
      <c r="H568" s="21" t="str">
        <f>IF($N$1="Piping", IF(ISBLANK(Piping!H568), "", Piping!H568), IF($N$1="Vessels", IF(ISBLANK(Vessels!H568), "", Vessels!H568), ""))</f>
        <v/>
      </c>
      <c r="I568" s="21" t="str">
        <f>IF($N$1="Piping", IF(ISBLANK(Piping!I568), "", Piping!I568), IF($N$1="Vessels", IF(ISBLANK(Vessels!I568), "", Vessels!I568), ""))</f>
        <v/>
      </c>
      <c r="J568" s="21" t="str">
        <f>IF($N$1="Piping", IF(ISBLANK(Piping!J568), "", Piping!J568), IF($N$1="Vessels", IF(ISBLANK(Vessels!J568), "", Vessels!J568), ""))</f>
        <v/>
      </c>
      <c r="K568" s="21" t="str">
        <f>IF($N$1="Piping", IF(ISBLANK(Piping!K568), "", Piping!K568), IF($N$1="Vessels", IF(ISBLANK(Vessels!K568), "", Vessels!K568), ""))</f>
        <v/>
      </c>
      <c r="L568" s="21" t="str">
        <f>IF($N$1="Piping", IF(ISBLANK(Piping!L568), "", Piping!L568), IF($N$1="Vessels", IF(ISBLANK(Vessels!L568), "", Vessels!L568), ""))</f>
        <v/>
      </c>
      <c r="M568" s="21"/>
      <c r="N568" s="21"/>
      <c r="O568" s="21"/>
      <c r="P568" s="21"/>
      <c r="Q568" s="21" t="str">
        <f>IF($N$1="Piping", IF(ISBLANK(Piping!T568), "", Piping!T568), IF($N$1="Vessels", IF(ISBLANK(Vessels!T568), "", Vessels!T568), ""))</f>
        <v/>
      </c>
      <c r="R568" s="51" t="str">
        <f>IF($N$1="Piping", IF(ISBLANK(Piping!U568), "", Piping!U568), IF($N$1="Vessels", IF(ISBLANK(Vessels!U568), "", Vessels!U568), ""))</f>
        <v/>
      </c>
      <c r="S568" s="118" t="str">
        <f>IF(B568&lt;&gt;"",IF($N$1="Piping", IF(ISBLANK(Piping!$J$3), "", Piping!$J$3), IF($N$1="Vessels", IF(ISBLANK(Vessels!$J$3), "", Vessels!$J$3), "")),"")</f>
        <v/>
      </c>
      <c r="T568" s="37"/>
      <c r="U568" s="37"/>
      <c r="V568" s="37"/>
      <c r="W568" s="37"/>
      <c r="X568" s="37"/>
      <c r="Y568" s="37"/>
      <c r="Z568" s="37"/>
    </row>
    <row r="569" spans="1:26" ht="15.75" customHeight="1" x14ac:dyDescent="0.3">
      <c r="A569" s="22">
        <f>IF($N$1="Piping", IF(ISBLANK(Piping!A569), "", Piping!A569), IF($N$1="Vessels", IF(ISBLANK(Vessels!A569), "", Vessels!A569), ""))</f>
        <v>141.4</v>
      </c>
      <c r="B569" s="21" t="str">
        <f>IF($N$1="Piping", IF(ISBLANK(Piping!B569), "", Piping!B569), IF($N$1="Vessels", IF(ISBLANK(Vessels!B569), "", Vessels!B569), ""))</f>
        <v/>
      </c>
      <c r="C569" s="21" t="str">
        <f>IF($N$1="Piping", IF(ISBLANK(Piping!C569), "", Piping!C569), IF($N$1="Vessels", IF(ISBLANK(Vessels!C569), "", Vessels!C569), ""))</f>
        <v>Piping</v>
      </c>
      <c r="D569" s="21" t="str">
        <f>IF($N$1="Piping", IF(ISBLANK(Piping!D569), "", Piping!D569), IF($N$1="Vessels", IF(ISBLANK(Vessels!D569), "", Vessels!D569), ""))</f>
        <v/>
      </c>
      <c r="E569" s="21" t="str">
        <f>IF($N$1="Piping", IF(ISBLANK(Piping!E569), "", Piping!E569), IF($N$1="Vessels", IF(ISBLANK(Vessels!E569), "", Vessels!E569), ""))</f>
        <v/>
      </c>
      <c r="F569" s="21" t="str">
        <f>IF($N$1="Piping", IF(ISBLANK(Piping!F569), "", Piping!F569), IF($N$1="Vessels", IF(ISBLANK(Vessels!F569), "", Vessels!F569), ""))</f>
        <v/>
      </c>
      <c r="G569" s="21">
        <f>IF($N$1="Piping", IF(ISBLANK(Piping!G569), "", Piping!G569), IF($N$1="Vessels", IF(ISBLANK(Vessels!G569), "", Vessels!G569), ""))</f>
        <v>0</v>
      </c>
      <c r="H569" s="21" t="str">
        <f>IF($N$1="Piping", IF(ISBLANK(Piping!H569), "", Piping!H569), IF($N$1="Vessels", IF(ISBLANK(Vessels!H569), "", Vessels!H569), ""))</f>
        <v/>
      </c>
      <c r="I569" s="21" t="str">
        <f>IF($N$1="Piping", IF(ISBLANK(Piping!I569), "", Piping!I569), IF($N$1="Vessels", IF(ISBLANK(Vessels!I569), "", Vessels!I569), ""))</f>
        <v/>
      </c>
      <c r="J569" s="21" t="str">
        <f>IF($N$1="Piping", IF(ISBLANK(Piping!J569), "", Piping!J569), IF($N$1="Vessels", IF(ISBLANK(Vessels!J569), "", Vessels!J569), ""))</f>
        <v/>
      </c>
      <c r="K569" s="21" t="str">
        <f>IF($N$1="Piping", IF(ISBLANK(Piping!K569), "", Piping!K569), IF($N$1="Vessels", IF(ISBLANK(Vessels!K569), "", Vessels!K569), ""))</f>
        <v/>
      </c>
      <c r="L569" s="21" t="str">
        <f>IF($N$1="Piping", IF(ISBLANK(Piping!L569), "", Piping!L569), IF($N$1="Vessels", IF(ISBLANK(Vessels!L569), "", Vessels!L569), ""))</f>
        <v/>
      </c>
      <c r="M569" s="21"/>
      <c r="N569" s="21"/>
      <c r="O569" s="21"/>
      <c r="P569" s="21"/>
      <c r="Q569" s="21" t="str">
        <f>IF($N$1="Piping", IF(ISBLANK(Piping!T569), "", Piping!T569), IF($N$1="Vessels", IF(ISBLANK(Vessels!T569), "", Vessels!T569), ""))</f>
        <v/>
      </c>
      <c r="R569" s="51" t="str">
        <f>IF($N$1="Piping", IF(ISBLANK(Piping!U569), "", Piping!U569), IF($N$1="Vessels", IF(ISBLANK(Vessels!U569), "", Vessels!U569), ""))</f>
        <v/>
      </c>
      <c r="S569" s="118" t="str">
        <f>IF(B569&lt;&gt;"",IF($N$1="Piping", IF(ISBLANK(Piping!$J$3), "", Piping!$J$3), IF($N$1="Vessels", IF(ISBLANK(Vessels!$J$3), "", Vessels!$J$3), "")),"")</f>
        <v/>
      </c>
      <c r="T569" s="37"/>
      <c r="U569" s="37"/>
      <c r="V569" s="37"/>
      <c r="W569" s="37"/>
      <c r="X569" s="37"/>
      <c r="Y569" s="37"/>
      <c r="Z569" s="37"/>
    </row>
    <row r="570" spans="1:26" ht="15.75" customHeight="1" x14ac:dyDescent="0.3">
      <c r="A570" s="22">
        <f>IF($N$1="Piping", IF(ISBLANK(Piping!A570), "", Piping!A570), IF($N$1="Vessels", IF(ISBLANK(Vessels!A570), "", Vessels!A570), ""))</f>
        <v>142.1</v>
      </c>
      <c r="B570" s="21" t="str">
        <f>IF($N$1="Piping", IF(ISBLANK(Piping!B570), "", Piping!B570), IF($N$1="Vessels", IF(ISBLANK(Vessels!B570), "", Vessels!B570), ""))</f>
        <v/>
      </c>
      <c r="C570" s="21" t="str">
        <f>IF($N$1="Piping", IF(ISBLANK(Piping!C570), "", Piping!C570), IF($N$1="Vessels", IF(ISBLANK(Vessels!C570), "", Vessels!C570), ""))</f>
        <v>Piping</v>
      </c>
      <c r="D570" s="21" t="str">
        <f>IF($N$1="Piping", IF(ISBLANK(Piping!D570), "", Piping!D570), IF($N$1="Vessels", IF(ISBLANK(Vessels!D570), "", Vessels!D570), ""))</f>
        <v/>
      </c>
      <c r="E570" s="21" t="str">
        <f>IF($N$1="Piping", IF(ISBLANK(Piping!E570), "", Piping!E570), IF($N$1="Vessels", IF(ISBLANK(Vessels!E570), "", Vessels!E570), ""))</f>
        <v/>
      </c>
      <c r="F570" s="21" t="str">
        <f>IF($N$1="Piping", IF(ISBLANK(Piping!F570), "", Piping!F570), IF($N$1="Vessels", IF(ISBLANK(Vessels!F570), "", Vessels!F570), ""))</f>
        <v/>
      </c>
      <c r="G570" s="21">
        <f>IF($N$1="Piping", IF(ISBLANK(Piping!G570), "", Piping!G570), IF($N$1="Vessels", IF(ISBLANK(Vessels!G570), "", Vessels!G570), ""))</f>
        <v>0</v>
      </c>
      <c r="H570" s="21" t="str">
        <f>IF($N$1="Piping", IF(ISBLANK(Piping!H570), "", Piping!H570), IF($N$1="Vessels", IF(ISBLANK(Vessels!H570), "", Vessels!H570), ""))</f>
        <v/>
      </c>
      <c r="I570" s="21" t="str">
        <f>IF($N$1="Piping", IF(ISBLANK(Piping!I570), "", Piping!I570), IF($N$1="Vessels", IF(ISBLANK(Vessels!I570), "", Vessels!I570), ""))</f>
        <v/>
      </c>
      <c r="J570" s="21" t="str">
        <f>IF($N$1="Piping", IF(ISBLANK(Piping!J570), "", Piping!J570), IF($N$1="Vessels", IF(ISBLANK(Vessels!J570), "", Vessels!J570), ""))</f>
        <v/>
      </c>
      <c r="K570" s="21" t="str">
        <f>IF($N$1="Piping", IF(ISBLANK(Piping!K570), "", Piping!K570), IF($N$1="Vessels", IF(ISBLANK(Vessels!K570), "", Vessels!K570), ""))</f>
        <v/>
      </c>
      <c r="L570" s="21" t="str">
        <f>IF($N$1="Piping", IF(ISBLANK(Piping!L570), "", Piping!L570), IF($N$1="Vessels", IF(ISBLANK(Vessels!L570), "", Vessels!L570), ""))</f>
        <v/>
      </c>
      <c r="M570" s="21"/>
      <c r="N570" s="21"/>
      <c r="O570" s="21"/>
      <c r="P570" s="21"/>
      <c r="Q570" s="21" t="str">
        <f>IF($N$1="Piping", IF(ISBLANK(Piping!T570), "", Piping!T570), IF($N$1="Vessels", IF(ISBLANK(Vessels!T570), "", Vessels!T570), ""))</f>
        <v/>
      </c>
      <c r="R570" s="51" t="str">
        <f>IF($N$1="Piping", IF(ISBLANK(Piping!U570), "", Piping!U570), IF($N$1="Vessels", IF(ISBLANK(Vessels!U570), "", Vessels!U570), ""))</f>
        <v/>
      </c>
      <c r="S570" s="118" t="str">
        <f>IF(B570&lt;&gt;"",IF($N$1="Piping", IF(ISBLANK(Piping!$J$3), "", Piping!$J$3), IF($N$1="Vessels", IF(ISBLANK(Vessels!$J$3), "", Vessels!$J$3), "")),"")</f>
        <v/>
      </c>
      <c r="T570" s="37"/>
      <c r="U570" s="37"/>
      <c r="V570" s="37"/>
      <c r="W570" s="37"/>
      <c r="X570" s="37"/>
      <c r="Y570" s="37"/>
      <c r="Z570" s="37"/>
    </row>
    <row r="571" spans="1:26" ht="15.75" customHeight="1" x14ac:dyDescent="0.3">
      <c r="A571" s="22">
        <f>IF($N$1="Piping", IF(ISBLANK(Piping!A571), "", Piping!A571), IF($N$1="Vessels", IF(ISBLANK(Vessels!A571), "", Vessels!A571), ""))</f>
        <v>142.19999999999999</v>
      </c>
      <c r="B571" s="21" t="str">
        <f>IF($N$1="Piping", IF(ISBLANK(Piping!B571), "", Piping!B571), IF($N$1="Vessels", IF(ISBLANK(Vessels!B571), "", Vessels!B571), ""))</f>
        <v/>
      </c>
      <c r="C571" s="21" t="str">
        <f>IF($N$1="Piping", IF(ISBLANK(Piping!C571), "", Piping!C571), IF($N$1="Vessels", IF(ISBLANK(Vessels!C571), "", Vessels!C571), ""))</f>
        <v>Piping</v>
      </c>
      <c r="D571" s="21" t="str">
        <f>IF($N$1="Piping", IF(ISBLANK(Piping!D571), "", Piping!D571), IF($N$1="Vessels", IF(ISBLANK(Vessels!D571), "", Vessels!D571), ""))</f>
        <v/>
      </c>
      <c r="E571" s="21" t="str">
        <f>IF($N$1="Piping", IF(ISBLANK(Piping!E571), "", Piping!E571), IF($N$1="Vessels", IF(ISBLANK(Vessels!E571), "", Vessels!E571), ""))</f>
        <v/>
      </c>
      <c r="F571" s="21" t="str">
        <f>IF($N$1="Piping", IF(ISBLANK(Piping!F571), "", Piping!F571), IF($N$1="Vessels", IF(ISBLANK(Vessels!F571), "", Vessels!F571), ""))</f>
        <v/>
      </c>
      <c r="G571" s="21">
        <f>IF($N$1="Piping", IF(ISBLANK(Piping!G571), "", Piping!G571), IF($N$1="Vessels", IF(ISBLANK(Vessels!G571), "", Vessels!G571), ""))</f>
        <v>0</v>
      </c>
      <c r="H571" s="21" t="str">
        <f>IF($N$1="Piping", IF(ISBLANK(Piping!H571), "", Piping!H571), IF($N$1="Vessels", IF(ISBLANK(Vessels!H571), "", Vessels!H571), ""))</f>
        <v/>
      </c>
      <c r="I571" s="21" t="str">
        <f>IF($N$1="Piping", IF(ISBLANK(Piping!I571), "", Piping!I571), IF($N$1="Vessels", IF(ISBLANK(Vessels!I571), "", Vessels!I571), ""))</f>
        <v/>
      </c>
      <c r="J571" s="21" t="str">
        <f>IF($N$1="Piping", IF(ISBLANK(Piping!J571), "", Piping!J571), IF($N$1="Vessels", IF(ISBLANK(Vessels!J571), "", Vessels!J571), ""))</f>
        <v/>
      </c>
      <c r="K571" s="21" t="str">
        <f>IF($N$1="Piping", IF(ISBLANK(Piping!K571), "", Piping!K571), IF($N$1="Vessels", IF(ISBLANK(Vessels!K571), "", Vessels!K571), ""))</f>
        <v/>
      </c>
      <c r="L571" s="21" t="str">
        <f>IF($N$1="Piping", IF(ISBLANK(Piping!L571), "", Piping!L571), IF($N$1="Vessels", IF(ISBLANK(Vessels!L571), "", Vessels!L571), ""))</f>
        <v/>
      </c>
      <c r="M571" s="21"/>
      <c r="N571" s="21"/>
      <c r="O571" s="21"/>
      <c r="P571" s="21"/>
      <c r="Q571" s="21" t="str">
        <f>IF($N$1="Piping", IF(ISBLANK(Piping!T571), "", Piping!T571), IF($N$1="Vessels", IF(ISBLANK(Vessels!T571), "", Vessels!T571), ""))</f>
        <v/>
      </c>
      <c r="R571" s="51" t="str">
        <f>IF($N$1="Piping", IF(ISBLANK(Piping!U571), "", Piping!U571), IF($N$1="Vessels", IF(ISBLANK(Vessels!U571), "", Vessels!U571), ""))</f>
        <v/>
      </c>
      <c r="S571" s="118" t="str">
        <f>IF(B571&lt;&gt;"",IF($N$1="Piping", IF(ISBLANK(Piping!$J$3), "", Piping!$J$3), IF($N$1="Vessels", IF(ISBLANK(Vessels!$J$3), "", Vessels!$J$3), "")),"")</f>
        <v/>
      </c>
      <c r="T571" s="37"/>
      <c r="U571" s="37"/>
      <c r="V571" s="37"/>
      <c r="W571" s="37"/>
      <c r="X571" s="37"/>
      <c r="Y571" s="37"/>
      <c r="Z571" s="37"/>
    </row>
    <row r="572" spans="1:26" ht="15.75" customHeight="1" x14ac:dyDescent="0.3">
      <c r="A572" s="22">
        <f>IF($N$1="Piping", IF(ISBLANK(Piping!A572), "", Piping!A572), IF($N$1="Vessels", IF(ISBLANK(Vessels!A572), "", Vessels!A572), ""))</f>
        <v>142.30000000000001</v>
      </c>
      <c r="B572" s="21" t="str">
        <f>IF($N$1="Piping", IF(ISBLANK(Piping!B572), "", Piping!B572), IF($N$1="Vessels", IF(ISBLANK(Vessels!B572), "", Vessels!B572), ""))</f>
        <v/>
      </c>
      <c r="C572" s="21" t="str">
        <f>IF($N$1="Piping", IF(ISBLANK(Piping!C572), "", Piping!C572), IF($N$1="Vessels", IF(ISBLANK(Vessels!C572), "", Vessels!C572), ""))</f>
        <v>Piping</v>
      </c>
      <c r="D572" s="21" t="str">
        <f>IF($N$1="Piping", IF(ISBLANK(Piping!D572), "", Piping!D572), IF($N$1="Vessels", IF(ISBLANK(Vessels!D572), "", Vessels!D572), ""))</f>
        <v/>
      </c>
      <c r="E572" s="21" t="str">
        <f>IF($N$1="Piping", IF(ISBLANK(Piping!E572), "", Piping!E572), IF($N$1="Vessels", IF(ISBLANK(Vessels!E572), "", Vessels!E572), ""))</f>
        <v/>
      </c>
      <c r="F572" s="21" t="str">
        <f>IF($N$1="Piping", IF(ISBLANK(Piping!F572), "", Piping!F572), IF($N$1="Vessels", IF(ISBLANK(Vessels!F572), "", Vessels!F572), ""))</f>
        <v/>
      </c>
      <c r="G572" s="21">
        <f>IF($N$1="Piping", IF(ISBLANK(Piping!G572), "", Piping!G572), IF($N$1="Vessels", IF(ISBLANK(Vessels!G572), "", Vessels!G572), ""))</f>
        <v>0</v>
      </c>
      <c r="H572" s="21" t="str">
        <f>IF($N$1="Piping", IF(ISBLANK(Piping!H572), "", Piping!H572), IF($N$1="Vessels", IF(ISBLANK(Vessels!H572), "", Vessels!H572), ""))</f>
        <v/>
      </c>
      <c r="I572" s="21" t="str">
        <f>IF($N$1="Piping", IF(ISBLANK(Piping!I572), "", Piping!I572), IF($N$1="Vessels", IF(ISBLANK(Vessels!I572), "", Vessels!I572), ""))</f>
        <v/>
      </c>
      <c r="J572" s="21" t="str">
        <f>IF($N$1="Piping", IF(ISBLANK(Piping!J572), "", Piping!J572), IF($N$1="Vessels", IF(ISBLANK(Vessels!J572), "", Vessels!J572), ""))</f>
        <v/>
      </c>
      <c r="K572" s="21" t="str">
        <f>IF($N$1="Piping", IF(ISBLANK(Piping!K572), "", Piping!K572), IF($N$1="Vessels", IF(ISBLANK(Vessels!K572), "", Vessels!K572), ""))</f>
        <v/>
      </c>
      <c r="L572" s="21" t="str">
        <f>IF($N$1="Piping", IF(ISBLANK(Piping!L572), "", Piping!L572), IF($N$1="Vessels", IF(ISBLANK(Vessels!L572), "", Vessels!L572), ""))</f>
        <v/>
      </c>
      <c r="M572" s="21"/>
      <c r="N572" s="21"/>
      <c r="O572" s="21"/>
      <c r="P572" s="21"/>
      <c r="Q572" s="21" t="str">
        <f>IF($N$1="Piping", IF(ISBLANK(Piping!T572), "", Piping!T572), IF($N$1="Vessels", IF(ISBLANK(Vessels!T572), "", Vessels!T572), ""))</f>
        <v/>
      </c>
      <c r="R572" s="51" t="str">
        <f>IF($N$1="Piping", IF(ISBLANK(Piping!U572), "", Piping!U572), IF($N$1="Vessels", IF(ISBLANK(Vessels!U572), "", Vessels!U572), ""))</f>
        <v/>
      </c>
      <c r="S572" s="118" t="str">
        <f>IF(B572&lt;&gt;"",IF($N$1="Piping", IF(ISBLANK(Piping!$J$3), "", Piping!$J$3), IF($N$1="Vessels", IF(ISBLANK(Vessels!$J$3), "", Vessels!$J$3), "")),"")</f>
        <v/>
      </c>
      <c r="T572" s="37"/>
      <c r="U572" s="37"/>
      <c r="V572" s="37"/>
      <c r="W572" s="37"/>
      <c r="X572" s="37"/>
      <c r="Y572" s="37"/>
      <c r="Z572" s="37"/>
    </row>
    <row r="573" spans="1:26" ht="15.75" customHeight="1" x14ac:dyDescent="0.3">
      <c r="A573" s="22">
        <f>IF($N$1="Piping", IF(ISBLANK(Piping!A573), "", Piping!A573), IF($N$1="Vessels", IF(ISBLANK(Vessels!A573), "", Vessels!A573), ""))</f>
        <v>142.4</v>
      </c>
      <c r="B573" s="21" t="str">
        <f>IF($N$1="Piping", IF(ISBLANK(Piping!B573), "", Piping!B573), IF($N$1="Vessels", IF(ISBLANK(Vessels!B573), "", Vessels!B573), ""))</f>
        <v/>
      </c>
      <c r="C573" s="21" t="str">
        <f>IF($N$1="Piping", IF(ISBLANK(Piping!C573), "", Piping!C573), IF($N$1="Vessels", IF(ISBLANK(Vessels!C573), "", Vessels!C573), ""))</f>
        <v>Piping</v>
      </c>
      <c r="D573" s="21" t="str">
        <f>IF($N$1="Piping", IF(ISBLANK(Piping!D573), "", Piping!D573), IF($N$1="Vessels", IF(ISBLANK(Vessels!D573), "", Vessels!D573), ""))</f>
        <v/>
      </c>
      <c r="E573" s="21" t="str">
        <f>IF($N$1="Piping", IF(ISBLANK(Piping!E573), "", Piping!E573), IF($N$1="Vessels", IF(ISBLANK(Vessels!E573), "", Vessels!E573), ""))</f>
        <v/>
      </c>
      <c r="F573" s="21" t="str">
        <f>IF($N$1="Piping", IF(ISBLANK(Piping!F573), "", Piping!F573), IF($N$1="Vessels", IF(ISBLANK(Vessels!F573), "", Vessels!F573), ""))</f>
        <v/>
      </c>
      <c r="G573" s="21">
        <f>IF($N$1="Piping", IF(ISBLANK(Piping!G573), "", Piping!G573), IF($N$1="Vessels", IF(ISBLANK(Vessels!G573), "", Vessels!G573), ""))</f>
        <v>0</v>
      </c>
      <c r="H573" s="21" t="str">
        <f>IF($N$1="Piping", IF(ISBLANK(Piping!H573), "", Piping!H573), IF($N$1="Vessels", IF(ISBLANK(Vessels!H573), "", Vessels!H573), ""))</f>
        <v/>
      </c>
      <c r="I573" s="21" t="str">
        <f>IF($N$1="Piping", IF(ISBLANK(Piping!I573), "", Piping!I573), IF($N$1="Vessels", IF(ISBLANK(Vessels!I573), "", Vessels!I573), ""))</f>
        <v/>
      </c>
      <c r="J573" s="21" t="str">
        <f>IF($N$1="Piping", IF(ISBLANK(Piping!J573), "", Piping!J573), IF($N$1="Vessels", IF(ISBLANK(Vessels!J573), "", Vessels!J573), ""))</f>
        <v/>
      </c>
      <c r="K573" s="21" t="str">
        <f>IF($N$1="Piping", IF(ISBLANK(Piping!K573), "", Piping!K573), IF($N$1="Vessels", IF(ISBLANK(Vessels!K573), "", Vessels!K573), ""))</f>
        <v/>
      </c>
      <c r="L573" s="21" t="str">
        <f>IF($N$1="Piping", IF(ISBLANK(Piping!L573), "", Piping!L573), IF($N$1="Vessels", IF(ISBLANK(Vessels!L573), "", Vessels!L573), ""))</f>
        <v/>
      </c>
      <c r="M573" s="21"/>
      <c r="N573" s="21"/>
      <c r="O573" s="21"/>
      <c r="P573" s="21"/>
      <c r="Q573" s="21" t="str">
        <f>IF($N$1="Piping", IF(ISBLANK(Piping!T573), "", Piping!T573), IF($N$1="Vessels", IF(ISBLANK(Vessels!T573), "", Vessels!T573), ""))</f>
        <v/>
      </c>
      <c r="R573" s="51" t="str">
        <f>IF($N$1="Piping", IF(ISBLANK(Piping!U573), "", Piping!U573), IF($N$1="Vessels", IF(ISBLANK(Vessels!U573), "", Vessels!U573), ""))</f>
        <v/>
      </c>
      <c r="S573" s="118" t="str">
        <f>IF(B573&lt;&gt;"",IF($N$1="Piping", IF(ISBLANK(Piping!$J$3), "", Piping!$J$3), IF($N$1="Vessels", IF(ISBLANK(Vessels!$J$3), "", Vessels!$J$3), "")),"")</f>
        <v/>
      </c>
      <c r="T573" s="37"/>
      <c r="U573" s="37"/>
      <c r="V573" s="37"/>
      <c r="W573" s="37"/>
      <c r="X573" s="37"/>
      <c r="Y573" s="37"/>
      <c r="Z573" s="37"/>
    </row>
    <row r="574" spans="1:26" ht="15.75" customHeight="1" x14ac:dyDescent="0.3">
      <c r="A574" s="22">
        <f>IF($N$1="Piping", IF(ISBLANK(Piping!A574), "", Piping!A574), IF($N$1="Vessels", IF(ISBLANK(Vessels!A574), "", Vessels!A574), ""))</f>
        <v>143.1</v>
      </c>
      <c r="B574" s="21" t="str">
        <f>IF($N$1="Piping", IF(ISBLANK(Piping!B574), "", Piping!B574), IF($N$1="Vessels", IF(ISBLANK(Vessels!B574), "", Vessels!B574), ""))</f>
        <v/>
      </c>
      <c r="C574" s="21" t="str">
        <f>IF($N$1="Piping", IF(ISBLANK(Piping!C574), "", Piping!C574), IF($N$1="Vessels", IF(ISBLANK(Vessels!C574), "", Vessels!C574), ""))</f>
        <v>Piping</v>
      </c>
      <c r="D574" s="21" t="str">
        <f>IF($N$1="Piping", IF(ISBLANK(Piping!D574), "", Piping!D574), IF($N$1="Vessels", IF(ISBLANK(Vessels!D574), "", Vessels!D574), ""))</f>
        <v/>
      </c>
      <c r="E574" s="21" t="str">
        <f>IF($N$1="Piping", IF(ISBLANK(Piping!E574), "", Piping!E574), IF($N$1="Vessels", IF(ISBLANK(Vessels!E574), "", Vessels!E574), ""))</f>
        <v/>
      </c>
      <c r="F574" s="21" t="str">
        <f>IF($N$1="Piping", IF(ISBLANK(Piping!F574), "", Piping!F574), IF($N$1="Vessels", IF(ISBLANK(Vessels!F574), "", Vessels!F574), ""))</f>
        <v/>
      </c>
      <c r="G574" s="21">
        <f>IF($N$1="Piping", IF(ISBLANK(Piping!G574), "", Piping!G574), IF($N$1="Vessels", IF(ISBLANK(Vessels!G574), "", Vessels!G574), ""))</f>
        <v>0</v>
      </c>
      <c r="H574" s="21" t="str">
        <f>IF($N$1="Piping", IF(ISBLANK(Piping!H574), "", Piping!H574), IF($N$1="Vessels", IF(ISBLANK(Vessels!H574), "", Vessels!H574), ""))</f>
        <v/>
      </c>
      <c r="I574" s="21" t="str">
        <f>IF($N$1="Piping", IF(ISBLANK(Piping!I574), "", Piping!I574), IF($N$1="Vessels", IF(ISBLANK(Vessels!I574), "", Vessels!I574), ""))</f>
        <v/>
      </c>
      <c r="J574" s="21" t="str">
        <f>IF($N$1="Piping", IF(ISBLANK(Piping!J574), "", Piping!J574), IF($N$1="Vessels", IF(ISBLANK(Vessels!J574), "", Vessels!J574), ""))</f>
        <v/>
      </c>
      <c r="K574" s="21" t="str">
        <f>IF($N$1="Piping", IF(ISBLANK(Piping!K574), "", Piping!K574), IF($N$1="Vessels", IF(ISBLANK(Vessels!K574), "", Vessels!K574), ""))</f>
        <v/>
      </c>
      <c r="L574" s="21" t="str">
        <f>IF($N$1="Piping", IF(ISBLANK(Piping!L574), "", Piping!L574), IF($N$1="Vessels", IF(ISBLANK(Vessels!L574), "", Vessels!L574), ""))</f>
        <v/>
      </c>
      <c r="M574" s="21"/>
      <c r="N574" s="21"/>
      <c r="O574" s="21"/>
      <c r="P574" s="21"/>
      <c r="Q574" s="21" t="str">
        <f>IF($N$1="Piping", IF(ISBLANK(Piping!T574), "", Piping!T574), IF($N$1="Vessels", IF(ISBLANK(Vessels!T574), "", Vessels!T574), ""))</f>
        <v/>
      </c>
      <c r="R574" s="51" t="str">
        <f>IF($N$1="Piping", IF(ISBLANK(Piping!U574), "", Piping!U574), IF($N$1="Vessels", IF(ISBLANK(Vessels!U574), "", Vessels!U574), ""))</f>
        <v/>
      </c>
      <c r="S574" s="118" t="str">
        <f>IF(B574&lt;&gt;"",IF($N$1="Piping", IF(ISBLANK(Piping!$J$3), "", Piping!$J$3), IF($N$1="Vessels", IF(ISBLANK(Vessels!$J$3), "", Vessels!$J$3), "")),"")</f>
        <v/>
      </c>
      <c r="T574" s="37"/>
      <c r="U574" s="37"/>
      <c r="V574" s="37"/>
      <c r="W574" s="37"/>
      <c r="X574" s="37"/>
      <c r="Y574" s="37"/>
      <c r="Z574" s="37"/>
    </row>
    <row r="575" spans="1:26" ht="15.75" customHeight="1" x14ac:dyDescent="0.3">
      <c r="A575" s="22">
        <f>IF($N$1="Piping", IF(ISBLANK(Piping!A575), "", Piping!A575), IF($N$1="Vessels", IF(ISBLANK(Vessels!A575), "", Vessels!A575), ""))</f>
        <v>143.19999999999999</v>
      </c>
      <c r="B575" s="21" t="str">
        <f>IF($N$1="Piping", IF(ISBLANK(Piping!B575), "", Piping!B575), IF($N$1="Vessels", IF(ISBLANK(Vessels!B575), "", Vessels!B575), ""))</f>
        <v/>
      </c>
      <c r="C575" s="21" t="str">
        <f>IF($N$1="Piping", IF(ISBLANK(Piping!C575), "", Piping!C575), IF($N$1="Vessels", IF(ISBLANK(Vessels!C575), "", Vessels!C575), ""))</f>
        <v>Piping</v>
      </c>
      <c r="D575" s="21" t="str">
        <f>IF($N$1="Piping", IF(ISBLANK(Piping!D575), "", Piping!D575), IF($N$1="Vessels", IF(ISBLANK(Vessels!D575), "", Vessels!D575), ""))</f>
        <v/>
      </c>
      <c r="E575" s="21" t="str">
        <f>IF($N$1="Piping", IF(ISBLANK(Piping!E575), "", Piping!E575), IF($N$1="Vessels", IF(ISBLANK(Vessels!E575), "", Vessels!E575), ""))</f>
        <v/>
      </c>
      <c r="F575" s="21" t="str">
        <f>IF($N$1="Piping", IF(ISBLANK(Piping!F575), "", Piping!F575), IF($N$1="Vessels", IF(ISBLANK(Vessels!F575), "", Vessels!F575), ""))</f>
        <v/>
      </c>
      <c r="G575" s="21">
        <f>IF($N$1="Piping", IF(ISBLANK(Piping!G575), "", Piping!G575), IF($N$1="Vessels", IF(ISBLANK(Vessels!G575), "", Vessels!G575), ""))</f>
        <v>0</v>
      </c>
      <c r="H575" s="21" t="str">
        <f>IF($N$1="Piping", IF(ISBLANK(Piping!H575), "", Piping!H575), IF($N$1="Vessels", IF(ISBLANK(Vessels!H575), "", Vessels!H575), ""))</f>
        <v/>
      </c>
      <c r="I575" s="21" t="str">
        <f>IF($N$1="Piping", IF(ISBLANK(Piping!I575), "", Piping!I575), IF($N$1="Vessels", IF(ISBLANK(Vessels!I575), "", Vessels!I575), ""))</f>
        <v/>
      </c>
      <c r="J575" s="21" t="str">
        <f>IF($N$1="Piping", IF(ISBLANK(Piping!J575), "", Piping!J575), IF($N$1="Vessels", IF(ISBLANK(Vessels!J575), "", Vessels!J575), ""))</f>
        <v/>
      </c>
      <c r="K575" s="21" t="str">
        <f>IF($N$1="Piping", IF(ISBLANK(Piping!K575), "", Piping!K575), IF($N$1="Vessels", IF(ISBLANK(Vessels!K575), "", Vessels!K575), ""))</f>
        <v/>
      </c>
      <c r="L575" s="21" t="str">
        <f>IF($N$1="Piping", IF(ISBLANK(Piping!L575), "", Piping!L575), IF($N$1="Vessels", IF(ISBLANK(Vessels!L575), "", Vessels!L575), ""))</f>
        <v/>
      </c>
      <c r="M575" s="21"/>
      <c r="N575" s="21"/>
      <c r="O575" s="21"/>
      <c r="P575" s="21"/>
      <c r="Q575" s="21" t="str">
        <f>IF($N$1="Piping", IF(ISBLANK(Piping!T575), "", Piping!T575), IF($N$1="Vessels", IF(ISBLANK(Vessels!T575), "", Vessels!T575), ""))</f>
        <v/>
      </c>
      <c r="R575" s="51" t="str">
        <f>IF($N$1="Piping", IF(ISBLANK(Piping!U575), "", Piping!U575), IF($N$1="Vessels", IF(ISBLANK(Vessels!U575), "", Vessels!U575), ""))</f>
        <v/>
      </c>
      <c r="S575" s="118" t="str">
        <f>IF(B575&lt;&gt;"",IF($N$1="Piping", IF(ISBLANK(Piping!$J$3), "", Piping!$J$3), IF($N$1="Vessels", IF(ISBLANK(Vessels!$J$3), "", Vessels!$J$3), "")),"")</f>
        <v/>
      </c>
      <c r="T575" s="37"/>
      <c r="U575" s="37"/>
      <c r="V575" s="37"/>
      <c r="W575" s="37"/>
      <c r="X575" s="37"/>
      <c r="Y575" s="37"/>
      <c r="Z575" s="37"/>
    </row>
    <row r="576" spans="1:26" ht="15.75" customHeight="1" x14ac:dyDescent="0.3">
      <c r="A576" s="22">
        <f>IF($N$1="Piping", IF(ISBLANK(Piping!A576), "", Piping!A576), IF($N$1="Vessels", IF(ISBLANK(Vessels!A576), "", Vessels!A576), ""))</f>
        <v>143.30000000000001</v>
      </c>
      <c r="B576" s="21" t="str">
        <f>IF($N$1="Piping", IF(ISBLANK(Piping!B576), "", Piping!B576), IF($N$1="Vessels", IF(ISBLANK(Vessels!B576), "", Vessels!B576), ""))</f>
        <v/>
      </c>
      <c r="C576" s="21" t="str">
        <f>IF($N$1="Piping", IF(ISBLANK(Piping!C576), "", Piping!C576), IF($N$1="Vessels", IF(ISBLANK(Vessels!C576), "", Vessels!C576), ""))</f>
        <v>Piping</v>
      </c>
      <c r="D576" s="21" t="str">
        <f>IF($N$1="Piping", IF(ISBLANK(Piping!D576), "", Piping!D576), IF($N$1="Vessels", IF(ISBLANK(Vessels!D576), "", Vessels!D576), ""))</f>
        <v/>
      </c>
      <c r="E576" s="21" t="str">
        <f>IF($N$1="Piping", IF(ISBLANK(Piping!E576), "", Piping!E576), IF($N$1="Vessels", IF(ISBLANK(Vessels!E576), "", Vessels!E576), ""))</f>
        <v/>
      </c>
      <c r="F576" s="21" t="str">
        <f>IF($N$1="Piping", IF(ISBLANK(Piping!F576), "", Piping!F576), IF($N$1="Vessels", IF(ISBLANK(Vessels!F576), "", Vessels!F576), ""))</f>
        <v/>
      </c>
      <c r="G576" s="21">
        <f>IF($N$1="Piping", IF(ISBLANK(Piping!G576), "", Piping!G576), IF($N$1="Vessels", IF(ISBLANK(Vessels!G576), "", Vessels!G576), ""))</f>
        <v>0</v>
      </c>
      <c r="H576" s="21" t="str">
        <f>IF($N$1="Piping", IF(ISBLANK(Piping!H576), "", Piping!H576), IF($N$1="Vessels", IF(ISBLANK(Vessels!H576), "", Vessels!H576), ""))</f>
        <v/>
      </c>
      <c r="I576" s="21" t="str">
        <f>IF($N$1="Piping", IF(ISBLANK(Piping!I576), "", Piping!I576), IF($N$1="Vessels", IF(ISBLANK(Vessels!I576), "", Vessels!I576), ""))</f>
        <v/>
      </c>
      <c r="J576" s="21" t="str">
        <f>IF($N$1="Piping", IF(ISBLANK(Piping!J576), "", Piping!J576), IF($N$1="Vessels", IF(ISBLANK(Vessels!J576), "", Vessels!J576), ""))</f>
        <v/>
      </c>
      <c r="K576" s="21" t="str">
        <f>IF($N$1="Piping", IF(ISBLANK(Piping!K576), "", Piping!K576), IF($N$1="Vessels", IF(ISBLANK(Vessels!K576), "", Vessels!K576), ""))</f>
        <v/>
      </c>
      <c r="L576" s="21" t="str">
        <f>IF($N$1="Piping", IF(ISBLANK(Piping!L576), "", Piping!L576), IF($N$1="Vessels", IF(ISBLANK(Vessels!L576), "", Vessels!L576), ""))</f>
        <v/>
      </c>
      <c r="M576" s="21"/>
      <c r="N576" s="21"/>
      <c r="O576" s="21"/>
      <c r="P576" s="21"/>
      <c r="Q576" s="21" t="str">
        <f>IF($N$1="Piping", IF(ISBLANK(Piping!T576), "", Piping!T576), IF($N$1="Vessels", IF(ISBLANK(Vessels!T576), "", Vessels!T576), ""))</f>
        <v/>
      </c>
      <c r="R576" s="51" t="str">
        <f>IF($N$1="Piping", IF(ISBLANK(Piping!U576), "", Piping!U576), IF($N$1="Vessels", IF(ISBLANK(Vessels!U576), "", Vessels!U576), ""))</f>
        <v/>
      </c>
      <c r="S576" s="118" t="str">
        <f>IF(B576&lt;&gt;"",IF($N$1="Piping", IF(ISBLANK(Piping!$J$3), "", Piping!$J$3), IF($N$1="Vessels", IF(ISBLANK(Vessels!$J$3), "", Vessels!$J$3), "")),"")</f>
        <v/>
      </c>
      <c r="T576" s="37"/>
      <c r="U576" s="37"/>
      <c r="V576" s="37"/>
      <c r="W576" s="37"/>
      <c r="X576" s="37"/>
      <c r="Y576" s="37"/>
      <c r="Z576" s="37"/>
    </row>
    <row r="577" spans="1:26" ht="15.75" customHeight="1" x14ac:dyDescent="0.3">
      <c r="A577" s="22">
        <f>IF($N$1="Piping", IF(ISBLANK(Piping!A577), "", Piping!A577), IF($N$1="Vessels", IF(ISBLANK(Vessels!A577), "", Vessels!A577), ""))</f>
        <v>143.4</v>
      </c>
      <c r="B577" s="21" t="str">
        <f>IF($N$1="Piping", IF(ISBLANK(Piping!B577), "", Piping!B577), IF($N$1="Vessels", IF(ISBLANK(Vessels!B577), "", Vessels!B577), ""))</f>
        <v/>
      </c>
      <c r="C577" s="21" t="str">
        <f>IF($N$1="Piping", IF(ISBLANK(Piping!C577), "", Piping!C577), IF($N$1="Vessels", IF(ISBLANK(Vessels!C577), "", Vessels!C577), ""))</f>
        <v>Piping</v>
      </c>
      <c r="D577" s="21" t="str">
        <f>IF($N$1="Piping", IF(ISBLANK(Piping!D577), "", Piping!D577), IF($N$1="Vessels", IF(ISBLANK(Vessels!D577), "", Vessels!D577), ""))</f>
        <v/>
      </c>
      <c r="E577" s="21" t="str">
        <f>IF($N$1="Piping", IF(ISBLANK(Piping!E577), "", Piping!E577), IF($N$1="Vessels", IF(ISBLANK(Vessels!E577), "", Vessels!E577), ""))</f>
        <v/>
      </c>
      <c r="F577" s="21" t="str">
        <f>IF($N$1="Piping", IF(ISBLANK(Piping!F577), "", Piping!F577), IF($N$1="Vessels", IF(ISBLANK(Vessels!F577), "", Vessels!F577), ""))</f>
        <v/>
      </c>
      <c r="G577" s="21">
        <f>IF($N$1="Piping", IF(ISBLANK(Piping!G577), "", Piping!G577), IF($N$1="Vessels", IF(ISBLANK(Vessels!G577), "", Vessels!G577), ""))</f>
        <v>0</v>
      </c>
      <c r="H577" s="21" t="str">
        <f>IF($N$1="Piping", IF(ISBLANK(Piping!H577), "", Piping!H577), IF($N$1="Vessels", IF(ISBLANK(Vessels!H577), "", Vessels!H577), ""))</f>
        <v/>
      </c>
      <c r="I577" s="21" t="str">
        <f>IF($N$1="Piping", IF(ISBLANK(Piping!I577), "", Piping!I577), IF($N$1="Vessels", IF(ISBLANK(Vessels!I577), "", Vessels!I577), ""))</f>
        <v/>
      </c>
      <c r="J577" s="21" t="str">
        <f>IF($N$1="Piping", IF(ISBLANK(Piping!J577), "", Piping!J577), IF($N$1="Vessels", IF(ISBLANK(Vessels!J577), "", Vessels!J577), ""))</f>
        <v/>
      </c>
      <c r="K577" s="21" t="str">
        <f>IF($N$1="Piping", IF(ISBLANK(Piping!K577), "", Piping!K577), IF($N$1="Vessels", IF(ISBLANK(Vessels!K577), "", Vessels!K577), ""))</f>
        <v/>
      </c>
      <c r="L577" s="21" t="str">
        <f>IF($N$1="Piping", IF(ISBLANK(Piping!L577), "", Piping!L577), IF($N$1="Vessels", IF(ISBLANK(Vessels!L577), "", Vessels!L577), ""))</f>
        <v/>
      </c>
      <c r="M577" s="21"/>
      <c r="N577" s="21"/>
      <c r="O577" s="21"/>
      <c r="P577" s="21"/>
      <c r="Q577" s="21" t="str">
        <f>IF($N$1="Piping", IF(ISBLANK(Piping!T577), "", Piping!T577), IF($N$1="Vessels", IF(ISBLANK(Vessels!T577), "", Vessels!T577), ""))</f>
        <v/>
      </c>
      <c r="R577" s="51" t="str">
        <f>IF($N$1="Piping", IF(ISBLANK(Piping!U577), "", Piping!U577), IF($N$1="Vessels", IF(ISBLANK(Vessels!U577), "", Vessels!U577), ""))</f>
        <v/>
      </c>
      <c r="S577" s="118" t="str">
        <f>IF(B577&lt;&gt;"",IF($N$1="Piping", IF(ISBLANK(Piping!$J$3), "", Piping!$J$3), IF($N$1="Vessels", IF(ISBLANK(Vessels!$J$3), "", Vessels!$J$3), "")),"")</f>
        <v/>
      </c>
      <c r="T577" s="37"/>
      <c r="U577" s="37"/>
      <c r="V577" s="37"/>
      <c r="W577" s="37"/>
      <c r="X577" s="37"/>
      <c r="Y577" s="37"/>
      <c r="Z577" s="37"/>
    </row>
    <row r="578" spans="1:26" ht="15.75" customHeight="1" x14ac:dyDescent="0.3">
      <c r="A578" s="22">
        <f>IF($N$1="Piping", IF(ISBLANK(Piping!A578), "", Piping!A578), IF($N$1="Vessels", IF(ISBLANK(Vessels!A578), "", Vessels!A578), ""))</f>
        <v>144.1</v>
      </c>
      <c r="B578" s="21" t="str">
        <f>IF($N$1="Piping", IF(ISBLANK(Piping!B578), "", Piping!B578), IF($N$1="Vessels", IF(ISBLANK(Vessels!B578), "", Vessels!B578), ""))</f>
        <v/>
      </c>
      <c r="C578" s="21" t="str">
        <f>IF($N$1="Piping", IF(ISBLANK(Piping!C578), "", Piping!C578), IF($N$1="Vessels", IF(ISBLANK(Vessels!C578), "", Vessels!C578), ""))</f>
        <v>Piping</v>
      </c>
      <c r="D578" s="21" t="str">
        <f>IF($N$1="Piping", IF(ISBLANK(Piping!D578), "", Piping!D578), IF($N$1="Vessels", IF(ISBLANK(Vessels!D578), "", Vessels!D578), ""))</f>
        <v/>
      </c>
      <c r="E578" s="21" t="str">
        <f>IF($N$1="Piping", IF(ISBLANK(Piping!E578), "", Piping!E578), IF($N$1="Vessels", IF(ISBLANK(Vessels!E578), "", Vessels!E578), ""))</f>
        <v/>
      </c>
      <c r="F578" s="21" t="str">
        <f>IF($N$1="Piping", IF(ISBLANK(Piping!F578), "", Piping!F578), IF($N$1="Vessels", IF(ISBLANK(Vessels!F578), "", Vessels!F578), ""))</f>
        <v/>
      </c>
      <c r="G578" s="21">
        <f>IF($N$1="Piping", IF(ISBLANK(Piping!G578), "", Piping!G578), IF($N$1="Vessels", IF(ISBLANK(Vessels!G578), "", Vessels!G578), ""))</f>
        <v>0</v>
      </c>
      <c r="H578" s="21" t="str">
        <f>IF($N$1="Piping", IF(ISBLANK(Piping!H578), "", Piping!H578), IF($N$1="Vessels", IF(ISBLANK(Vessels!H578), "", Vessels!H578), ""))</f>
        <v/>
      </c>
      <c r="I578" s="21" t="str">
        <f>IF($N$1="Piping", IF(ISBLANK(Piping!I578), "", Piping!I578), IF($N$1="Vessels", IF(ISBLANK(Vessels!I578), "", Vessels!I578), ""))</f>
        <v/>
      </c>
      <c r="J578" s="21" t="str">
        <f>IF($N$1="Piping", IF(ISBLANK(Piping!J578), "", Piping!J578), IF($N$1="Vessels", IF(ISBLANK(Vessels!J578), "", Vessels!J578), ""))</f>
        <v/>
      </c>
      <c r="K578" s="21" t="str">
        <f>IF($N$1="Piping", IF(ISBLANK(Piping!K578), "", Piping!K578), IF($N$1="Vessels", IF(ISBLANK(Vessels!K578), "", Vessels!K578), ""))</f>
        <v/>
      </c>
      <c r="L578" s="21" t="str">
        <f>IF($N$1="Piping", IF(ISBLANK(Piping!L578), "", Piping!L578), IF($N$1="Vessels", IF(ISBLANK(Vessels!L578), "", Vessels!L578), ""))</f>
        <v/>
      </c>
      <c r="M578" s="21"/>
      <c r="N578" s="21"/>
      <c r="O578" s="21"/>
      <c r="P578" s="21"/>
      <c r="Q578" s="21" t="str">
        <f>IF($N$1="Piping", IF(ISBLANK(Piping!T578), "", Piping!T578), IF($N$1="Vessels", IF(ISBLANK(Vessels!T578), "", Vessels!T578), ""))</f>
        <v/>
      </c>
      <c r="R578" s="51" t="str">
        <f>IF($N$1="Piping", IF(ISBLANK(Piping!U578), "", Piping!U578), IF($N$1="Vessels", IF(ISBLANK(Vessels!U578), "", Vessels!U578), ""))</f>
        <v/>
      </c>
      <c r="S578" s="118" t="str">
        <f>IF(B578&lt;&gt;"",IF($N$1="Piping", IF(ISBLANK(Piping!$J$3), "", Piping!$J$3), IF($N$1="Vessels", IF(ISBLANK(Vessels!$J$3), "", Vessels!$J$3), "")),"")</f>
        <v/>
      </c>
      <c r="T578" s="37"/>
      <c r="U578" s="37"/>
      <c r="V578" s="37"/>
      <c r="W578" s="37"/>
      <c r="X578" s="37"/>
      <c r="Y578" s="37"/>
      <c r="Z578" s="37"/>
    </row>
    <row r="579" spans="1:26" ht="15.75" customHeight="1" x14ac:dyDescent="0.3">
      <c r="A579" s="22">
        <f>IF($N$1="Piping", IF(ISBLANK(Piping!A579), "", Piping!A579), IF($N$1="Vessels", IF(ISBLANK(Vessels!A579), "", Vessels!A579), ""))</f>
        <v>144.19999999999999</v>
      </c>
      <c r="B579" s="21" t="str">
        <f>IF($N$1="Piping", IF(ISBLANK(Piping!B579), "", Piping!B579), IF($N$1="Vessels", IF(ISBLANK(Vessels!B579), "", Vessels!B579), ""))</f>
        <v/>
      </c>
      <c r="C579" s="21" t="str">
        <f>IF($N$1="Piping", IF(ISBLANK(Piping!C579), "", Piping!C579), IF($N$1="Vessels", IF(ISBLANK(Vessels!C579), "", Vessels!C579), ""))</f>
        <v>Piping</v>
      </c>
      <c r="D579" s="21" t="str">
        <f>IF($N$1="Piping", IF(ISBLANK(Piping!D579), "", Piping!D579), IF($N$1="Vessels", IF(ISBLANK(Vessels!D579), "", Vessels!D579), ""))</f>
        <v/>
      </c>
      <c r="E579" s="21" t="str">
        <f>IF($N$1="Piping", IF(ISBLANK(Piping!E579), "", Piping!E579), IF($N$1="Vessels", IF(ISBLANK(Vessels!E579), "", Vessels!E579), ""))</f>
        <v/>
      </c>
      <c r="F579" s="21" t="str">
        <f>IF($N$1="Piping", IF(ISBLANK(Piping!F579), "", Piping!F579), IF($N$1="Vessels", IF(ISBLANK(Vessels!F579), "", Vessels!F579), ""))</f>
        <v/>
      </c>
      <c r="G579" s="21">
        <f>IF($N$1="Piping", IF(ISBLANK(Piping!G579), "", Piping!G579), IF($N$1="Vessels", IF(ISBLANK(Vessels!G579), "", Vessels!G579), ""))</f>
        <v>0</v>
      </c>
      <c r="H579" s="21" t="str">
        <f>IF($N$1="Piping", IF(ISBLANK(Piping!H579), "", Piping!H579), IF($N$1="Vessels", IF(ISBLANK(Vessels!H579), "", Vessels!H579), ""))</f>
        <v/>
      </c>
      <c r="I579" s="21" t="str">
        <f>IF($N$1="Piping", IF(ISBLANK(Piping!I579), "", Piping!I579), IF($N$1="Vessels", IF(ISBLANK(Vessels!I579), "", Vessels!I579), ""))</f>
        <v/>
      </c>
      <c r="J579" s="21" t="str">
        <f>IF($N$1="Piping", IF(ISBLANK(Piping!J579), "", Piping!J579), IF($N$1="Vessels", IF(ISBLANK(Vessels!J579), "", Vessels!J579), ""))</f>
        <v/>
      </c>
      <c r="K579" s="21" t="str">
        <f>IF($N$1="Piping", IF(ISBLANK(Piping!K579), "", Piping!K579), IF($N$1="Vessels", IF(ISBLANK(Vessels!K579), "", Vessels!K579), ""))</f>
        <v/>
      </c>
      <c r="L579" s="21" t="str">
        <f>IF($N$1="Piping", IF(ISBLANK(Piping!L579), "", Piping!L579), IF($N$1="Vessels", IF(ISBLANK(Vessels!L579), "", Vessels!L579), ""))</f>
        <v/>
      </c>
      <c r="M579" s="21"/>
      <c r="N579" s="21"/>
      <c r="O579" s="21"/>
      <c r="P579" s="21"/>
      <c r="Q579" s="21" t="str">
        <f>IF($N$1="Piping", IF(ISBLANK(Piping!T579), "", Piping!T579), IF($N$1="Vessels", IF(ISBLANK(Vessels!T579), "", Vessels!T579), ""))</f>
        <v/>
      </c>
      <c r="R579" s="51" t="str">
        <f>IF($N$1="Piping", IF(ISBLANK(Piping!U579), "", Piping!U579), IF($N$1="Vessels", IF(ISBLANK(Vessels!U579), "", Vessels!U579), ""))</f>
        <v/>
      </c>
      <c r="S579" s="118" t="str">
        <f>IF(B579&lt;&gt;"",IF($N$1="Piping", IF(ISBLANK(Piping!$J$3), "", Piping!$J$3), IF($N$1="Vessels", IF(ISBLANK(Vessels!$J$3), "", Vessels!$J$3), "")),"")</f>
        <v/>
      </c>
      <c r="T579" s="37"/>
      <c r="U579" s="37"/>
      <c r="V579" s="37"/>
      <c r="W579" s="37"/>
      <c r="X579" s="37"/>
      <c r="Y579" s="37"/>
      <c r="Z579" s="37"/>
    </row>
    <row r="580" spans="1:26" ht="15.75" customHeight="1" x14ac:dyDescent="0.3">
      <c r="A580" s="22">
        <f>IF($N$1="Piping", IF(ISBLANK(Piping!A580), "", Piping!A580), IF($N$1="Vessels", IF(ISBLANK(Vessels!A580), "", Vessels!A580), ""))</f>
        <v>144.30000000000001</v>
      </c>
      <c r="B580" s="21" t="str">
        <f>IF($N$1="Piping", IF(ISBLANK(Piping!B580), "", Piping!B580), IF($N$1="Vessels", IF(ISBLANK(Vessels!B580), "", Vessels!B580), ""))</f>
        <v/>
      </c>
      <c r="C580" s="21" t="str">
        <f>IF($N$1="Piping", IF(ISBLANK(Piping!C580), "", Piping!C580), IF($N$1="Vessels", IF(ISBLANK(Vessels!C580), "", Vessels!C580), ""))</f>
        <v>Piping</v>
      </c>
      <c r="D580" s="21" t="str">
        <f>IF($N$1="Piping", IF(ISBLANK(Piping!D580), "", Piping!D580), IF($N$1="Vessels", IF(ISBLANK(Vessels!D580), "", Vessels!D580), ""))</f>
        <v/>
      </c>
      <c r="E580" s="21" t="str">
        <f>IF($N$1="Piping", IF(ISBLANK(Piping!E580), "", Piping!E580), IF($N$1="Vessels", IF(ISBLANK(Vessels!E580), "", Vessels!E580), ""))</f>
        <v/>
      </c>
      <c r="F580" s="21" t="str">
        <f>IF($N$1="Piping", IF(ISBLANK(Piping!F580), "", Piping!F580), IF($N$1="Vessels", IF(ISBLANK(Vessels!F580), "", Vessels!F580), ""))</f>
        <v/>
      </c>
      <c r="G580" s="21">
        <f>IF($N$1="Piping", IF(ISBLANK(Piping!G580), "", Piping!G580), IF($N$1="Vessels", IF(ISBLANK(Vessels!G580), "", Vessels!G580), ""))</f>
        <v>0</v>
      </c>
      <c r="H580" s="21" t="str">
        <f>IF($N$1="Piping", IF(ISBLANK(Piping!H580), "", Piping!H580), IF($N$1="Vessels", IF(ISBLANK(Vessels!H580), "", Vessels!H580), ""))</f>
        <v/>
      </c>
      <c r="I580" s="21" t="str">
        <f>IF($N$1="Piping", IF(ISBLANK(Piping!I580), "", Piping!I580), IF($N$1="Vessels", IF(ISBLANK(Vessels!I580), "", Vessels!I580), ""))</f>
        <v/>
      </c>
      <c r="J580" s="21" t="str">
        <f>IF($N$1="Piping", IF(ISBLANK(Piping!J580), "", Piping!J580), IF($N$1="Vessels", IF(ISBLANK(Vessels!J580), "", Vessels!J580), ""))</f>
        <v/>
      </c>
      <c r="K580" s="21" t="str">
        <f>IF($N$1="Piping", IF(ISBLANK(Piping!K580), "", Piping!K580), IF($N$1="Vessels", IF(ISBLANK(Vessels!K580), "", Vessels!K580), ""))</f>
        <v/>
      </c>
      <c r="L580" s="21" t="str">
        <f>IF($N$1="Piping", IF(ISBLANK(Piping!L580), "", Piping!L580), IF($N$1="Vessels", IF(ISBLANK(Vessels!L580), "", Vessels!L580), ""))</f>
        <v/>
      </c>
      <c r="M580" s="21"/>
      <c r="N580" s="21"/>
      <c r="O580" s="21"/>
      <c r="P580" s="21"/>
      <c r="Q580" s="21" t="str">
        <f>IF($N$1="Piping", IF(ISBLANK(Piping!T580), "", Piping!T580), IF($N$1="Vessels", IF(ISBLANK(Vessels!T580), "", Vessels!T580), ""))</f>
        <v/>
      </c>
      <c r="R580" s="51" t="str">
        <f>IF($N$1="Piping", IF(ISBLANK(Piping!U580), "", Piping!U580), IF($N$1="Vessels", IF(ISBLANK(Vessels!U580), "", Vessels!U580), ""))</f>
        <v/>
      </c>
      <c r="S580" s="118" t="str">
        <f>IF(B580&lt;&gt;"",IF($N$1="Piping", IF(ISBLANK(Piping!$J$3), "", Piping!$J$3), IF($N$1="Vessels", IF(ISBLANK(Vessels!$J$3), "", Vessels!$J$3), "")),"")</f>
        <v/>
      </c>
      <c r="T580" s="37"/>
      <c r="U580" s="37"/>
      <c r="V580" s="37"/>
      <c r="W580" s="37"/>
      <c r="X580" s="37"/>
      <c r="Y580" s="37"/>
      <c r="Z580" s="37"/>
    </row>
    <row r="581" spans="1:26" ht="15.75" customHeight="1" x14ac:dyDescent="0.3">
      <c r="A581" s="22">
        <f>IF($N$1="Piping", IF(ISBLANK(Piping!A581), "", Piping!A581), IF($N$1="Vessels", IF(ISBLANK(Vessels!A581), "", Vessels!A581), ""))</f>
        <v>144.4</v>
      </c>
      <c r="B581" s="21" t="str">
        <f>IF($N$1="Piping", IF(ISBLANK(Piping!B581), "", Piping!B581), IF($N$1="Vessels", IF(ISBLANK(Vessels!B581), "", Vessels!B581), ""))</f>
        <v/>
      </c>
      <c r="C581" s="21" t="str">
        <f>IF($N$1="Piping", IF(ISBLANK(Piping!C581), "", Piping!C581), IF($N$1="Vessels", IF(ISBLANK(Vessels!C581), "", Vessels!C581), ""))</f>
        <v>Piping</v>
      </c>
      <c r="D581" s="21" t="str">
        <f>IF($N$1="Piping", IF(ISBLANK(Piping!D581), "", Piping!D581), IF($N$1="Vessels", IF(ISBLANK(Vessels!D581), "", Vessels!D581), ""))</f>
        <v/>
      </c>
      <c r="E581" s="21" t="str">
        <f>IF($N$1="Piping", IF(ISBLANK(Piping!E581), "", Piping!E581), IF($N$1="Vessels", IF(ISBLANK(Vessels!E581), "", Vessels!E581), ""))</f>
        <v/>
      </c>
      <c r="F581" s="21" t="str">
        <f>IF($N$1="Piping", IF(ISBLANK(Piping!F581), "", Piping!F581), IF($N$1="Vessels", IF(ISBLANK(Vessels!F581), "", Vessels!F581), ""))</f>
        <v/>
      </c>
      <c r="G581" s="21">
        <f>IF($N$1="Piping", IF(ISBLANK(Piping!G581), "", Piping!G581), IF($N$1="Vessels", IF(ISBLANK(Vessels!G581), "", Vessels!G581), ""))</f>
        <v>0</v>
      </c>
      <c r="H581" s="21" t="str">
        <f>IF($N$1="Piping", IF(ISBLANK(Piping!H581), "", Piping!H581), IF($N$1="Vessels", IF(ISBLANK(Vessels!H581), "", Vessels!H581), ""))</f>
        <v/>
      </c>
      <c r="I581" s="21" t="str">
        <f>IF($N$1="Piping", IF(ISBLANK(Piping!I581), "", Piping!I581), IF($N$1="Vessels", IF(ISBLANK(Vessels!I581), "", Vessels!I581), ""))</f>
        <v/>
      </c>
      <c r="J581" s="21" t="str">
        <f>IF($N$1="Piping", IF(ISBLANK(Piping!J581), "", Piping!J581), IF($N$1="Vessels", IF(ISBLANK(Vessels!J581), "", Vessels!J581), ""))</f>
        <v/>
      </c>
      <c r="K581" s="21" t="str">
        <f>IF($N$1="Piping", IF(ISBLANK(Piping!K581), "", Piping!K581), IF($N$1="Vessels", IF(ISBLANK(Vessels!K581), "", Vessels!K581), ""))</f>
        <v/>
      </c>
      <c r="L581" s="21" t="str">
        <f>IF($N$1="Piping", IF(ISBLANK(Piping!L581), "", Piping!L581), IF($N$1="Vessels", IF(ISBLANK(Vessels!L581), "", Vessels!L581), ""))</f>
        <v/>
      </c>
      <c r="M581" s="21"/>
      <c r="N581" s="21"/>
      <c r="O581" s="21"/>
      <c r="P581" s="21"/>
      <c r="Q581" s="21" t="str">
        <f>IF($N$1="Piping", IF(ISBLANK(Piping!T581), "", Piping!T581), IF($N$1="Vessels", IF(ISBLANK(Vessels!T581), "", Vessels!T581), ""))</f>
        <v/>
      </c>
      <c r="R581" s="51" t="str">
        <f>IF($N$1="Piping", IF(ISBLANK(Piping!U581), "", Piping!U581), IF($N$1="Vessels", IF(ISBLANK(Vessels!U581), "", Vessels!U581), ""))</f>
        <v/>
      </c>
      <c r="S581" s="118" t="str">
        <f>IF(B581&lt;&gt;"",IF($N$1="Piping", IF(ISBLANK(Piping!$J$3), "", Piping!$J$3), IF($N$1="Vessels", IF(ISBLANK(Vessels!$J$3), "", Vessels!$J$3), "")),"")</f>
        <v/>
      </c>
      <c r="T581" s="37"/>
      <c r="U581" s="37"/>
      <c r="V581" s="37"/>
      <c r="W581" s="37"/>
      <c r="X581" s="37"/>
      <c r="Y581" s="37"/>
      <c r="Z581" s="37"/>
    </row>
    <row r="582" spans="1:26" ht="15.75" customHeight="1" x14ac:dyDescent="0.3">
      <c r="A582" s="22">
        <f>IF($N$1="Piping", IF(ISBLANK(Piping!A582), "", Piping!A582), IF($N$1="Vessels", IF(ISBLANK(Vessels!A582), "", Vessels!A582), ""))</f>
        <v>145.1</v>
      </c>
      <c r="B582" s="21" t="str">
        <f>IF($N$1="Piping", IF(ISBLANK(Piping!B582), "", Piping!B582), IF($N$1="Vessels", IF(ISBLANK(Vessels!B582), "", Vessels!B582), ""))</f>
        <v/>
      </c>
      <c r="C582" s="21" t="str">
        <f>IF($N$1="Piping", IF(ISBLANK(Piping!C582), "", Piping!C582), IF($N$1="Vessels", IF(ISBLANK(Vessels!C582), "", Vessels!C582), ""))</f>
        <v>Piping</v>
      </c>
      <c r="D582" s="21" t="str">
        <f>IF($N$1="Piping", IF(ISBLANK(Piping!D582), "", Piping!D582), IF($N$1="Vessels", IF(ISBLANK(Vessels!D582), "", Vessels!D582), ""))</f>
        <v/>
      </c>
      <c r="E582" s="21" t="str">
        <f>IF($N$1="Piping", IF(ISBLANK(Piping!E582), "", Piping!E582), IF($N$1="Vessels", IF(ISBLANK(Vessels!E582), "", Vessels!E582), ""))</f>
        <v/>
      </c>
      <c r="F582" s="21" t="str">
        <f>IF($N$1="Piping", IF(ISBLANK(Piping!F582), "", Piping!F582), IF($N$1="Vessels", IF(ISBLANK(Vessels!F582), "", Vessels!F582), ""))</f>
        <v/>
      </c>
      <c r="G582" s="21">
        <f>IF($N$1="Piping", IF(ISBLANK(Piping!G582), "", Piping!G582), IF($N$1="Vessels", IF(ISBLANK(Vessels!G582), "", Vessels!G582), ""))</f>
        <v>0</v>
      </c>
      <c r="H582" s="21" t="str">
        <f>IF($N$1="Piping", IF(ISBLANK(Piping!H582), "", Piping!H582), IF($N$1="Vessels", IF(ISBLANK(Vessels!H582), "", Vessels!H582), ""))</f>
        <v/>
      </c>
      <c r="I582" s="21" t="str">
        <f>IF($N$1="Piping", IF(ISBLANK(Piping!I582), "", Piping!I582), IF($N$1="Vessels", IF(ISBLANK(Vessels!I582), "", Vessels!I582), ""))</f>
        <v/>
      </c>
      <c r="J582" s="21" t="str">
        <f>IF($N$1="Piping", IF(ISBLANK(Piping!J582), "", Piping!J582), IF($N$1="Vessels", IF(ISBLANK(Vessels!J582), "", Vessels!J582), ""))</f>
        <v/>
      </c>
      <c r="K582" s="21" t="str">
        <f>IF($N$1="Piping", IF(ISBLANK(Piping!K582), "", Piping!K582), IF($N$1="Vessels", IF(ISBLANK(Vessels!K582), "", Vessels!K582), ""))</f>
        <v/>
      </c>
      <c r="L582" s="21" t="str">
        <f>IF($N$1="Piping", IF(ISBLANK(Piping!L582), "", Piping!L582), IF($N$1="Vessels", IF(ISBLANK(Vessels!L582), "", Vessels!L582), ""))</f>
        <v/>
      </c>
      <c r="M582" s="21"/>
      <c r="N582" s="21"/>
      <c r="O582" s="21"/>
      <c r="P582" s="21"/>
      <c r="Q582" s="21" t="str">
        <f>IF($N$1="Piping", IF(ISBLANK(Piping!T582), "", Piping!T582), IF($N$1="Vessels", IF(ISBLANK(Vessels!T582), "", Vessels!T582), ""))</f>
        <v/>
      </c>
      <c r="R582" s="51" t="str">
        <f>IF($N$1="Piping", IF(ISBLANK(Piping!U582), "", Piping!U582), IF($N$1="Vessels", IF(ISBLANK(Vessels!U582), "", Vessels!U582), ""))</f>
        <v/>
      </c>
      <c r="S582" s="118" t="str">
        <f>IF(B582&lt;&gt;"",IF($N$1="Piping", IF(ISBLANK(Piping!$J$3), "", Piping!$J$3), IF($N$1="Vessels", IF(ISBLANK(Vessels!$J$3), "", Vessels!$J$3), "")),"")</f>
        <v/>
      </c>
      <c r="T582" s="37"/>
      <c r="U582" s="37"/>
      <c r="V582" s="37"/>
      <c r="W582" s="37"/>
      <c r="X582" s="37"/>
      <c r="Y582" s="37"/>
      <c r="Z582" s="37"/>
    </row>
    <row r="583" spans="1:26" ht="15.75" customHeight="1" x14ac:dyDescent="0.3">
      <c r="A583" s="22">
        <f>IF($N$1="Piping", IF(ISBLANK(Piping!A583), "", Piping!A583), IF($N$1="Vessels", IF(ISBLANK(Vessels!A583), "", Vessels!A583), ""))</f>
        <v>145.19999999999999</v>
      </c>
      <c r="B583" s="21" t="str">
        <f>IF($N$1="Piping", IF(ISBLANK(Piping!B583), "", Piping!B583), IF($N$1="Vessels", IF(ISBLANK(Vessels!B583), "", Vessels!B583), ""))</f>
        <v/>
      </c>
      <c r="C583" s="21" t="str">
        <f>IF($N$1="Piping", IF(ISBLANK(Piping!C583), "", Piping!C583), IF($N$1="Vessels", IF(ISBLANK(Vessels!C583), "", Vessels!C583), ""))</f>
        <v>Piping</v>
      </c>
      <c r="D583" s="21" t="str">
        <f>IF($N$1="Piping", IF(ISBLANK(Piping!D583), "", Piping!D583), IF($N$1="Vessels", IF(ISBLANK(Vessels!D583), "", Vessels!D583), ""))</f>
        <v/>
      </c>
      <c r="E583" s="21" t="str">
        <f>IF($N$1="Piping", IF(ISBLANK(Piping!E583), "", Piping!E583), IF($N$1="Vessels", IF(ISBLANK(Vessels!E583), "", Vessels!E583), ""))</f>
        <v/>
      </c>
      <c r="F583" s="21" t="str">
        <f>IF($N$1="Piping", IF(ISBLANK(Piping!F583), "", Piping!F583), IF($N$1="Vessels", IF(ISBLANK(Vessels!F583), "", Vessels!F583), ""))</f>
        <v/>
      </c>
      <c r="G583" s="21">
        <f>IF($N$1="Piping", IF(ISBLANK(Piping!G583), "", Piping!G583), IF($N$1="Vessels", IF(ISBLANK(Vessels!G583), "", Vessels!G583), ""))</f>
        <v>0</v>
      </c>
      <c r="H583" s="21" t="str">
        <f>IF($N$1="Piping", IF(ISBLANK(Piping!H583), "", Piping!H583), IF($N$1="Vessels", IF(ISBLANK(Vessels!H583), "", Vessels!H583), ""))</f>
        <v/>
      </c>
      <c r="I583" s="21" t="str">
        <f>IF($N$1="Piping", IF(ISBLANK(Piping!I583), "", Piping!I583), IF($N$1="Vessels", IF(ISBLANK(Vessels!I583), "", Vessels!I583), ""))</f>
        <v/>
      </c>
      <c r="J583" s="21" t="str">
        <f>IF($N$1="Piping", IF(ISBLANK(Piping!J583), "", Piping!J583), IF($N$1="Vessels", IF(ISBLANK(Vessels!J583), "", Vessels!J583), ""))</f>
        <v/>
      </c>
      <c r="K583" s="21" t="str">
        <f>IF($N$1="Piping", IF(ISBLANK(Piping!K583), "", Piping!K583), IF($N$1="Vessels", IF(ISBLANK(Vessels!K583), "", Vessels!K583), ""))</f>
        <v/>
      </c>
      <c r="L583" s="21" t="str">
        <f>IF($N$1="Piping", IF(ISBLANK(Piping!L583), "", Piping!L583), IF($N$1="Vessels", IF(ISBLANK(Vessels!L583), "", Vessels!L583), ""))</f>
        <v/>
      </c>
      <c r="M583" s="21"/>
      <c r="N583" s="21"/>
      <c r="O583" s="21"/>
      <c r="P583" s="21"/>
      <c r="Q583" s="21" t="str">
        <f>IF($N$1="Piping", IF(ISBLANK(Piping!T583), "", Piping!T583), IF($N$1="Vessels", IF(ISBLANK(Vessels!T583), "", Vessels!T583), ""))</f>
        <v/>
      </c>
      <c r="R583" s="51" t="str">
        <f>IF($N$1="Piping", IF(ISBLANK(Piping!U583), "", Piping!U583), IF($N$1="Vessels", IF(ISBLANK(Vessels!U583), "", Vessels!U583), ""))</f>
        <v/>
      </c>
      <c r="S583" s="118" t="str">
        <f>IF(B583&lt;&gt;"",IF($N$1="Piping", IF(ISBLANK(Piping!$J$3), "", Piping!$J$3), IF($N$1="Vessels", IF(ISBLANK(Vessels!$J$3), "", Vessels!$J$3), "")),"")</f>
        <v/>
      </c>
      <c r="T583" s="37"/>
      <c r="U583" s="37"/>
      <c r="V583" s="37"/>
      <c r="W583" s="37"/>
      <c r="X583" s="37"/>
      <c r="Y583" s="37"/>
      <c r="Z583" s="37"/>
    </row>
    <row r="584" spans="1:26" ht="15.75" customHeight="1" x14ac:dyDescent="0.3">
      <c r="A584" s="22">
        <f>IF($N$1="Piping", IF(ISBLANK(Piping!A584), "", Piping!A584), IF($N$1="Vessels", IF(ISBLANK(Vessels!A584), "", Vessels!A584), ""))</f>
        <v>145.30000000000001</v>
      </c>
      <c r="B584" s="21" t="str">
        <f>IF($N$1="Piping", IF(ISBLANK(Piping!B584), "", Piping!B584), IF($N$1="Vessels", IF(ISBLANK(Vessels!B584), "", Vessels!B584), ""))</f>
        <v/>
      </c>
      <c r="C584" s="21" t="str">
        <f>IF($N$1="Piping", IF(ISBLANK(Piping!C584), "", Piping!C584), IF($N$1="Vessels", IF(ISBLANK(Vessels!C584), "", Vessels!C584), ""))</f>
        <v>Piping</v>
      </c>
      <c r="D584" s="21" t="str">
        <f>IF($N$1="Piping", IF(ISBLANK(Piping!D584), "", Piping!D584), IF($N$1="Vessels", IF(ISBLANK(Vessels!D584), "", Vessels!D584), ""))</f>
        <v/>
      </c>
      <c r="E584" s="21" t="str">
        <f>IF($N$1="Piping", IF(ISBLANK(Piping!E584), "", Piping!E584), IF($N$1="Vessels", IF(ISBLANK(Vessels!E584), "", Vessels!E584), ""))</f>
        <v/>
      </c>
      <c r="F584" s="21" t="str">
        <f>IF($N$1="Piping", IF(ISBLANK(Piping!F584), "", Piping!F584), IF($N$1="Vessels", IF(ISBLANK(Vessels!F584), "", Vessels!F584), ""))</f>
        <v/>
      </c>
      <c r="G584" s="21">
        <f>IF($N$1="Piping", IF(ISBLANK(Piping!G584), "", Piping!G584), IF($N$1="Vessels", IF(ISBLANK(Vessels!G584), "", Vessels!G584), ""))</f>
        <v>0</v>
      </c>
      <c r="H584" s="21" t="str">
        <f>IF($N$1="Piping", IF(ISBLANK(Piping!H584), "", Piping!H584), IF($N$1="Vessels", IF(ISBLANK(Vessels!H584), "", Vessels!H584), ""))</f>
        <v/>
      </c>
      <c r="I584" s="21" t="str">
        <f>IF($N$1="Piping", IF(ISBLANK(Piping!I584), "", Piping!I584), IF($N$1="Vessels", IF(ISBLANK(Vessels!I584), "", Vessels!I584), ""))</f>
        <v/>
      </c>
      <c r="J584" s="21" t="str">
        <f>IF($N$1="Piping", IF(ISBLANK(Piping!J584), "", Piping!J584), IF($N$1="Vessels", IF(ISBLANK(Vessels!J584), "", Vessels!J584), ""))</f>
        <v/>
      </c>
      <c r="K584" s="21" t="str">
        <f>IF($N$1="Piping", IF(ISBLANK(Piping!K584), "", Piping!K584), IF($N$1="Vessels", IF(ISBLANK(Vessels!K584), "", Vessels!K584), ""))</f>
        <v/>
      </c>
      <c r="L584" s="21" t="str">
        <f>IF($N$1="Piping", IF(ISBLANK(Piping!L584), "", Piping!L584), IF($N$1="Vessels", IF(ISBLANK(Vessels!L584), "", Vessels!L584), ""))</f>
        <v/>
      </c>
      <c r="M584" s="21"/>
      <c r="N584" s="21"/>
      <c r="O584" s="21"/>
      <c r="P584" s="21"/>
      <c r="Q584" s="21" t="str">
        <f>IF($N$1="Piping", IF(ISBLANK(Piping!T584), "", Piping!T584), IF($N$1="Vessels", IF(ISBLANK(Vessels!T584), "", Vessels!T584), ""))</f>
        <v/>
      </c>
      <c r="R584" s="51" t="str">
        <f>IF($N$1="Piping", IF(ISBLANK(Piping!U584), "", Piping!U584), IF($N$1="Vessels", IF(ISBLANK(Vessels!U584), "", Vessels!U584), ""))</f>
        <v/>
      </c>
      <c r="S584" s="118" t="str">
        <f>IF(B584&lt;&gt;"",IF($N$1="Piping", IF(ISBLANK(Piping!$J$3), "", Piping!$J$3), IF($N$1="Vessels", IF(ISBLANK(Vessels!$J$3), "", Vessels!$J$3), "")),"")</f>
        <v/>
      </c>
      <c r="T584" s="37"/>
      <c r="U584" s="37"/>
      <c r="V584" s="37"/>
      <c r="W584" s="37"/>
      <c r="X584" s="37"/>
      <c r="Y584" s="37"/>
      <c r="Z584" s="37"/>
    </row>
    <row r="585" spans="1:26" ht="15.75" customHeight="1" x14ac:dyDescent="0.3">
      <c r="A585" s="22">
        <f>IF($N$1="Piping", IF(ISBLANK(Piping!A585), "", Piping!A585), IF($N$1="Vessels", IF(ISBLANK(Vessels!A585), "", Vessels!A585), ""))</f>
        <v>145.4</v>
      </c>
      <c r="B585" s="21" t="str">
        <f>IF($N$1="Piping", IF(ISBLANK(Piping!B585), "", Piping!B585), IF($N$1="Vessels", IF(ISBLANK(Vessels!B585), "", Vessels!B585), ""))</f>
        <v/>
      </c>
      <c r="C585" s="21" t="str">
        <f>IF($N$1="Piping", IF(ISBLANK(Piping!C585), "", Piping!C585), IF($N$1="Vessels", IF(ISBLANK(Vessels!C585), "", Vessels!C585), ""))</f>
        <v>Piping</v>
      </c>
      <c r="D585" s="21" t="str">
        <f>IF($N$1="Piping", IF(ISBLANK(Piping!D585), "", Piping!D585), IF($N$1="Vessels", IF(ISBLANK(Vessels!D585), "", Vessels!D585), ""))</f>
        <v/>
      </c>
      <c r="E585" s="21" t="str">
        <f>IF($N$1="Piping", IF(ISBLANK(Piping!E585), "", Piping!E585), IF($N$1="Vessels", IF(ISBLANK(Vessels!E585), "", Vessels!E585), ""))</f>
        <v/>
      </c>
      <c r="F585" s="21" t="str">
        <f>IF($N$1="Piping", IF(ISBLANK(Piping!F585), "", Piping!F585), IF($N$1="Vessels", IF(ISBLANK(Vessels!F585), "", Vessels!F585), ""))</f>
        <v/>
      </c>
      <c r="G585" s="21">
        <f>IF($N$1="Piping", IF(ISBLANK(Piping!G585), "", Piping!G585), IF($N$1="Vessels", IF(ISBLANK(Vessels!G585), "", Vessels!G585), ""))</f>
        <v>0</v>
      </c>
      <c r="H585" s="21" t="str">
        <f>IF($N$1="Piping", IF(ISBLANK(Piping!H585), "", Piping!H585), IF($N$1="Vessels", IF(ISBLANK(Vessels!H585), "", Vessels!H585), ""))</f>
        <v/>
      </c>
      <c r="I585" s="21" t="str">
        <f>IF($N$1="Piping", IF(ISBLANK(Piping!I585), "", Piping!I585), IF($N$1="Vessels", IF(ISBLANK(Vessels!I585), "", Vessels!I585), ""))</f>
        <v/>
      </c>
      <c r="J585" s="21" t="str">
        <f>IF($N$1="Piping", IF(ISBLANK(Piping!J585), "", Piping!J585), IF($N$1="Vessels", IF(ISBLANK(Vessels!J585), "", Vessels!J585), ""))</f>
        <v/>
      </c>
      <c r="K585" s="21" t="str">
        <f>IF($N$1="Piping", IF(ISBLANK(Piping!K585), "", Piping!K585), IF($N$1="Vessels", IF(ISBLANK(Vessels!K585), "", Vessels!K585), ""))</f>
        <v/>
      </c>
      <c r="L585" s="21" t="str">
        <f>IF($N$1="Piping", IF(ISBLANK(Piping!L585), "", Piping!L585), IF($N$1="Vessels", IF(ISBLANK(Vessels!L585), "", Vessels!L585), ""))</f>
        <v/>
      </c>
      <c r="M585" s="21"/>
      <c r="N585" s="21"/>
      <c r="O585" s="21"/>
      <c r="P585" s="21"/>
      <c r="Q585" s="21" t="str">
        <f>IF($N$1="Piping", IF(ISBLANK(Piping!T585), "", Piping!T585), IF($N$1="Vessels", IF(ISBLANK(Vessels!T585), "", Vessels!T585), ""))</f>
        <v/>
      </c>
      <c r="R585" s="51" t="str">
        <f>IF($N$1="Piping", IF(ISBLANK(Piping!U585), "", Piping!U585), IF($N$1="Vessels", IF(ISBLANK(Vessels!U585), "", Vessels!U585), ""))</f>
        <v/>
      </c>
      <c r="S585" s="118" t="str">
        <f>IF(B585&lt;&gt;"",IF($N$1="Piping", IF(ISBLANK(Piping!$J$3), "", Piping!$J$3), IF($N$1="Vessels", IF(ISBLANK(Vessels!$J$3), "", Vessels!$J$3), "")),"")</f>
        <v/>
      </c>
      <c r="T585" s="37"/>
      <c r="U585" s="37"/>
      <c r="V585" s="37"/>
      <c r="W585" s="37"/>
      <c r="X585" s="37"/>
      <c r="Y585" s="37"/>
      <c r="Z585" s="37"/>
    </row>
    <row r="586" spans="1:26" ht="15.75" customHeight="1" x14ac:dyDescent="0.3">
      <c r="A586" s="22">
        <f>IF($N$1="Piping", IF(ISBLANK(Piping!A586), "", Piping!A586), IF($N$1="Vessels", IF(ISBLANK(Vessels!A586), "", Vessels!A586), ""))</f>
        <v>146.1</v>
      </c>
      <c r="B586" s="21" t="str">
        <f>IF($N$1="Piping", IF(ISBLANK(Piping!B586), "", Piping!B586), IF($N$1="Vessels", IF(ISBLANK(Vessels!B586), "", Vessels!B586), ""))</f>
        <v/>
      </c>
      <c r="C586" s="21" t="str">
        <f>IF($N$1="Piping", IF(ISBLANK(Piping!C586), "", Piping!C586), IF($N$1="Vessels", IF(ISBLANK(Vessels!C586), "", Vessels!C586), ""))</f>
        <v>Piping</v>
      </c>
      <c r="D586" s="21" t="str">
        <f>IF($N$1="Piping", IF(ISBLANK(Piping!D586), "", Piping!D586), IF($N$1="Vessels", IF(ISBLANK(Vessels!D586), "", Vessels!D586), ""))</f>
        <v/>
      </c>
      <c r="E586" s="21" t="str">
        <f>IF($N$1="Piping", IF(ISBLANK(Piping!E586), "", Piping!E586), IF($N$1="Vessels", IF(ISBLANK(Vessels!E586), "", Vessels!E586), ""))</f>
        <v/>
      </c>
      <c r="F586" s="21" t="str">
        <f>IF($N$1="Piping", IF(ISBLANK(Piping!F586), "", Piping!F586), IF($N$1="Vessels", IF(ISBLANK(Vessels!F586), "", Vessels!F586), ""))</f>
        <v/>
      </c>
      <c r="G586" s="21">
        <f>IF($N$1="Piping", IF(ISBLANK(Piping!G586), "", Piping!G586), IF($N$1="Vessels", IF(ISBLANK(Vessels!G586), "", Vessels!G586), ""))</f>
        <v>0</v>
      </c>
      <c r="H586" s="21" t="str">
        <f>IF($N$1="Piping", IF(ISBLANK(Piping!H586), "", Piping!H586), IF($N$1="Vessels", IF(ISBLANK(Vessels!H586), "", Vessels!H586), ""))</f>
        <v/>
      </c>
      <c r="I586" s="21" t="str">
        <f>IF($N$1="Piping", IF(ISBLANK(Piping!I586), "", Piping!I586), IF($N$1="Vessels", IF(ISBLANK(Vessels!I586), "", Vessels!I586), ""))</f>
        <v/>
      </c>
      <c r="J586" s="21" t="str">
        <f>IF($N$1="Piping", IF(ISBLANK(Piping!J586), "", Piping!J586), IF($N$1="Vessels", IF(ISBLANK(Vessels!J586), "", Vessels!J586), ""))</f>
        <v/>
      </c>
      <c r="K586" s="21" t="str">
        <f>IF($N$1="Piping", IF(ISBLANK(Piping!K586), "", Piping!K586), IF($N$1="Vessels", IF(ISBLANK(Vessels!K586), "", Vessels!K586), ""))</f>
        <v/>
      </c>
      <c r="L586" s="21" t="str">
        <f>IF($N$1="Piping", IF(ISBLANK(Piping!L586), "", Piping!L586), IF($N$1="Vessels", IF(ISBLANK(Vessels!L586), "", Vessels!L586), ""))</f>
        <v/>
      </c>
      <c r="M586" s="21"/>
      <c r="N586" s="21"/>
      <c r="O586" s="21"/>
      <c r="P586" s="21"/>
      <c r="Q586" s="21" t="str">
        <f>IF($N$1="Piping", IF(ISBLANK(Piping!T586), "", Piping!T586), IF($N$1="Vessels", IF(ISBLANK(Vessels!T586), "", Vessels!T586), ""))</f>
        <v/>
      </c>
      <c r="R586" s="51" t="str">
        <f>IF($N$1="Piping", IF(ISBLANK(Piping!U586), "", Piping!U586), IF($N$1="Vessels", IF(ISBLANK(Vessels!U586), "", Vessels!U586), ""))</f>
        <v/>
      </c>
      <c r="S586" s="118" t="str">
        <f>IF(B586&lt;&gt;"",IF($N$1="Piping", IF(ISBLANK(Piping!$J$3), "", Piping!$J$3), IF($N$1="Vessels", IF(ISBLANK(Vessels!$J$3), "", Vessels!$J$3), "")),"")</f>
        <v/>
      </c>
      <c r="T586" s="37"/>
      <c r="U586" s="37"/>
      <c r="V586" s="37"/>
      <c r="W586" s="37"/>
      <c r="X586" s="37"/>
      <c r="Y586" s="37"/>
      <c r="Z586" s="37"/>
    </row>
    <row r="587" spans="1:26" ht="15.75" customHeight="1" x14ac:dyDescent="0.3">
      <c r="A587" s="22">
        <f>IF($N$1="Piping", IF(ISBLANK(Piping!A587), "", Piping!A587), IF($N$1="Vessels", IF(ISBLANK(Vessels!A587), "", Vessels!A587), ""))</f>
        <v>146.19999999999999</v>
      </c>
      <c r="B587" s="21" t="str">
        <f>IF($N$1="Piping", IF(ISBLANK(Piping!B587), "", Piping!B587), IF($N$1="Vessels", IF(ISBLANK(Vessels!B587), "", Vessels!B587), ""))</f>
        <v/>
      </c>
      <c r="C587" s="21" t="str">
        <f>IF($N$1="Piping", IF(ISBLANK(Piping!C587), "", Piping!C587), IF($N$1="Vessels", IF(ISBLANK(Vessels!C587), "", Vessels!C587), ""))</f>
        <v>Piping</v>
      </c>
      <c r="D587" s="21" t="str">
        <f>IF($N$1="Piping", IF(ISBLANK(Piping!D587), "", Piping!D587), IF($N$1="Vessels", IF(ISBLANK(Vessels!D587), "", Vessels!D587), ""))</f>
        <v/>
      </c>
      <c r="E587" s="21" t="str">
        <f>IF($N$1="Piping", IF(ISBLANK(Piping!E587), "", Piping!E587), IF($N$1="Vessels", IF(ISBLANK(Vessels!E587), "", Vessels!E587), ""))</f>
        <v/>
      </c>
      <c r="F587" s="21" t="str">
        <f>IF($N$1="Piping", IF(ISBLANK(Piping!F587), "", Piping!F587), IF($N$1="Vessels", IF(ISBLANK(Vessels!F587), "", Vessels!F587), ""))</f>
        <v/>
      </c>
      <c r="G587" s="21">
        <f>IF($N$1="Piping", IF(ISBLANK(Piping!G587), "", Piping!G587), IF($N$1="Vessels", IF(ISBLANK(Vessels!G587), "", Vessels!G587), ""))</f>
        <v>0</v>
      </c>
      <c r="H587" s="21" t="str">
        <f>IF($N$1="Piping", IF(ISBLANK(Piping!H587), "", Piping!H587), IF($N$1="Vessels", IF(ISBLANK(Vessels!H587), "", Vessels!H587), ""))</f>
        <v/>
      </c>
      <c r="I587" s="21" t="str">
        <f>IF($N$1="Piping", IF(ISBLANK(Piping!I587), "", Piping!I587), IF($N$1="Vessels", IF(ISBLANK(Vessels!I587), "", Vessels!I587), ""))</f>
        <v/>
      </c>
      <c r="J587" s="21" t="str">
        <f>IF($N$1="Piping", IF(ISBLANK(Piping!J587), "", Piping!J587), IF($N$1="Vessels", IF(ISBLANK(Vessels!J587), "", Vessels!J587), ""))</f>
        <v/>
      </c>
      <c r="K587" s="21" t="str">
        <f>IF($N$1="Piping", IF(ISBLANK(Piping!K587), "", Piping!K587), IF($N$1="Vessels", IF(ISBLANK(Vessels!K587), "", Vessels!K587), ""))</f>
        <v/>
      </c>
      <c r="L587" s="21" t="str">
        <f>IF($N$1="Piping", IF(ISBLANK(Piping!L587), "", Piping!L587), IF($N$1="Vessels", IF(ISBLANK(Vessels!L587), "", Vessels!L587), ""))</f>
        <v/>
      </c>
      <c r="M587" s="21"/>
      <c r="N587" s="21"/>
      <c r="O587" s="21"/>
      <c r="P587" s="21"/>
      <c r="Q587" s="21" t="str">
        <f>IF($N$1="Piping", IF(ISBLANK(Piping!T587), "", Piping!T587), IF($N$1="Vessels", IF(ISBLANK(Vessels!T587), "", Vessels!T587), ""))</f>
        <v/>
      </c>
      <c r="R587" s="51" t="str">
        <f>IF($N$1="Piping", IF(ISBLANK(Piping!U587), "", Piping!U587), IF($N$1="Vessels", IF(ISBLANK(Vessels!U587), "", Vessels!U587), ""))</f>
        <v/>
      </c>
      <c r="S587" s="118" t="str">
        <f>IF(B587&lt;&gt;"",IF($N$1="Piping", IF(ISBLANK(Piping!$J$3), "", Piping!$J$3), IF($N$1="Vessels", IF(ISBLANK(Vessels!$J$3), "", Vessels!$J$3), "")),"")</f>
        <v/>
      </c>
      <c r="T587" s="37"/>
      <c r="U587" s="37"/>
      <c r="V587" s="37"/>
      <c r="W587" s="37"/>
      <c r="X587" s="37"/>
      <c r="Y587" s="37"/>
      <c r="Z587" s="37"/>
    </row>
    <row r="588" spans="1:26" ht="15.75" customHeight="1" x14ac:dyDescent="0.3">
      <c r="A588" s="22">
        <f>IF($N$1="Piping", IF(ISBLANK(Piping!A588), "", Piping!A588), IF($N$1="Vessels", IF(ISBLANK(Vessels!A588), "", Vessels!A588), ""))</f>
        <v>146.30000000000001</v>
      </c>
      <c r="B588" s="21" t="str">
        <f>IF($N$1="Piping", IF(ISBLANK(Piping!B588), "", Piping!B588), IF($N$1="Vessels", IF(ISBLANK(Vessels!B588), "", Vessels!B588), ""))</f>
        <v/>
      </c>
      <c r="C588" s="21" t="str">
        <f>IF($N$1="Piping", IF(ISBLANK(Piping!C588), "", Piping!C588), IF($N$1="Vessels", IF(ISBLANK(Vessels!C588), "", Vessels!C588), ""))</f>
        <v>Piping</v>
      </c>
      <c r="D588" s="21" t="str">
        <f>IF($N$1="Piping", IF(ISBLANK(Piping!D588), "", Piping!D588), IF($N$1="Vessels", IF(ISBLANK(Vessels!D588), "", Vessels!D588), ""))</f>
        <v/>
      </c>
      <c r="E588" s="21" t="str">
        <f>IF($N$1="Piping", IF(ISBLANK(Piping!E588), "", Piping!E588), IF($N$1="Vessels", IF(ISBLANK(Vessels!E588), "", Vessels!E588), ""))</f>
        <v/>
      </c>
      <c r="F588" s="21" t="str">
        <f>IF($N$1="Piping", IF(ISBLANK(Piping!F588), "", Piping!F588), IF($N$1="Vessels", IF(ISBLANK(Vessels!F588), "", Vessels!F588), ""))</f>
        <v/>
      </c>
      <c r="G588" s="21">
        <f>IF($N$1="Piping", IF(ISBLANK(Piping!G588), "", Piping!G588), IF($N$1="Vessels", IF(ISBLANK(Vessels!G588), "", Vessels!G588), ""))</f>
        <v>0</v>
      </c>
      <c r="H588" s="21" t="str">
        <f>IF($N$1="Piping", IF(ISBLANK(Piping!H588), "", Piping!H588), IF($N$1="Vessels", IF(ISBLANK(Vessels!H588), "", Vessels!H588), ""))</f>
        <v/>
      </c>
      <c r="I588" s="21" t="str">
        <f>IF($N$1="Piping", IF(ISBLANK(Piping!I588), "", Piping!I588), IF($N$1="Vessels", IF(ISBLANK(Vessels!I588), "", Vessels!I588), ""))</f>
        <v/>
      </c>
      <c r="J588" s="21" t="str">
        <f>IF($N$1="Piping", IF(ISBLANK(Piping!J588), "", Piping!J588), IF($N$1="Vessels", IF(ISBLANK(Vessels!J588), "", Vessels!J588), ""))</f>
        <v/>
      </c>
      <c r="K588" s="21" t="str">
        <f>IF($N$1="Piping", IF(ISBLANK(Piping!K588), "", Piping!K588), IF($N$1="Vessels", IF(ISBLANK(Vessels!K588), "", Vessels!K588), ""))</f>
        <v/>
      </c>
      <c r="L588" s="21" t="str">
        <f>IF($N$1="Piping", IF(ISBLANK(Piping!L588), "", Piping!L588), IF($N$1="Vessels", IF(ISBLANK(Vessels!L588), "", Vessels!L588), ""))</f>
        <v/>
      </c>
      <c r="M588" s="21"/>
      <c r="N588" s="21"/>
      <c r="O588" s="21"/>
      <c r="P588" s="21"/>
      <c r="Q588" s="21" t="str">
        <f>IF($N$1="Piping", IF(ISBLANK(Piping!T588), "", Piping!T588), IF($N$1="Vessels", IF(ISBLANK(Vessels!T588), "", Vessels!T588), ""))</f>
        <v/>
      </c>
      <c r="R588" s="51" t="str">
        <f>IF($N$1="Piping", IF(ISBLANK(Piping!U588), "", Piping!U588), IF($N$1="Vessels", IF(ISBLANK(Vessels!U588), "", Vessels!U588), ""))</f>
        <v/>
      </c>
      <c r="S588" s="118" t="str">
        <f>IF(B588&lt;&gt;"",IF($N$1="Piping", IF(ISBLANK(Piping!$J$3), "", Piping!$J$3), IF($N$1="Vessels", IF(ISBLANK(Vessels!$J$3), "", Vessels!$J$3), "")),"")</f>
        <v/>
      </c>
      <c r="T588" s="37"/>
      <c r="U588" s="37"/>
      <c r="V588" s="37"/>
      <c r="W588" s="37"/>
      <c r="X588" s="37"/>
      <c r="Y588" s="37"/>
      <c r="Z588" s="37"/>
    </row>
    <row r="589" spans="1:26" ht="15.75" customHeight="1" x14ac:dyDescent="0.3">
      <c r="A589" s="22">
        <f>IF($N$1="Piping", IF(ISBLANK(Piping!A589), "", Piping!A589), IF($N$1="Vessels", IF(ISBLANK(Vessels!A589), "", Vessels!A589), ""))</f>
        <v>146.4</v>
      </c>
      <c r="B589" s="21" t="str">
        <f>IF($N$1="Piping", IF(ISBLANK(Piping!B589), "", Piping!B589), IF($N$1="Vessels", IF(ISBLANK(Vessels!B589), "", Vessels!B589), ""))</f>
        <v/>
      </c>
      <c r="C589" s="21" t="str">
        <f>IF($N$1="Piping", IF(ISBLANK(Piping!C589), "", Piping!C589), IF($N$1="Vessels", IF(ISBLANK(Vessels!C589), "", Vessels!C589), ""))</f>
        <v>Piping</v>
      </c>
      <c r="D589" s="21" t="str">
        <f>IF($N$1="Piping", IF(ISBLANK(Piping!D589), "", Piping!D589), IF($N$1="Vessels", IF(ISBLANK(Vessels!D589), "", Vessels!D589), ""))</f>
        <v/>
      </c>
      <c r="E589" s="21" t="str">
        <f>IF($N$1="Piping", IF(ISBLANK(Piping!E589), "", Piping!E589), IF($N$1="Vessels", IF(ISBLANK(Vessels!E589), "", Vessels!E589), ""))</f>
        <v/>
      </c>
      <c r="F589" s="21" t="str">
        <f>IF($N$1="Piping", IF(ISBLANK(Piping!F589), "", Piping!F589), IF($N$1="Vessels", IF(ISBLANK(Vessels!F589), "", Vessels!F589), ""))</f>
        <v/>
      </c>
      <c r="G589" s="21">
        <f>IF($N$1="Piping", IF(ISBLANK(Piping!G589), "", Piping!G589), IF($N$1="Vessels", IF(ISBLANK(Vessels!G589), "", Vessels!G589), ""))</f>
        <v>0</v>
      </c>
      <c r="H589" s="21" t="str">
        <f>IF($N$1="Piping", IF(ISBLANK(Piping!H589), "", Piping!H589), IF($N$1="Vessels", IF(ISBLANK(Vessels!H589), "", Vessels!H589), ""))</f>
        <v/>
      </c>
      <c r="I589" s="21" t="str">
        <f>IF($N$1="Piping", IF(ISBLANK(Piping!I589), "", Piping!I589), IF($N$1="Vessels", IF(ISBLANK(Vessels!I589), "", Vessels!I589), ""))</f>
        <v/>
      </c>
      <c r="J589" s="21" t="str">
        <f>IF($N$1="Piping", IF(ISBLANK(Piping!J589), "", Piping!J589), IF($N$1="Vessels", IF(ISBLANK(Vessels!J589), "", Vessels!J589), ""))</f>
        <v/>
      </c>
      <c r="K589" s="21" t="str">
        <f>IF($N$1="Piping", IF(ISBLANK(Piping!K589), "", Piping!K589), IF($N$1="Vessels", IF(ISBLANK(Vessels!K589), "", Vessels!K589), ""))</f>
        <v/>
      </c>
      <c r="L589" s="21" t="str">
        <f>IF($N$1="Piping", IF(ISBLANK(Piping!L589), "", Piping!L589), IF($N$1="Vessels", IF(ISBLANK(Vessels!L589), "", Vessels!L589), ""))</f>
        <v/>
      </c>
      <c r="M589" s="21"/>
      <c r="N589" s="21"/>
      <c r="O589" s="21"/>
      <c r="P589" s="21"/>
      <c r="Q589" s="21" t="str">
        <f>IF($N$1="Piping", IF(ISBLANK(Piping!T589), "", Piping!T589), IF($N$1="Vessels", IF(ISBLANK(Vessels!T589), "", Vessels!T589), ""))</f>
        <v/>
      </c>
      <c r="R589" s="51" t="str">
        <f>IF($N$1="Piping", IF(ISBLANK(Piping!U589), "", Piping!U589), IF($N$1="Vessels", IF(ISBLANK(Vessels!U589), "", Vessels!U589), ""))</f>
        <v/>
      </c>
      <c r="S589" s="118" t="str">
        <f>IF(B589&lt;&gt;"",IF($N$1="Piping", IF(ISBLANK(Piping!$J$3), "", Piping!$J$3), IF($N$1="Vessels", IF(ISBLANK(Vessels!$J$3), "", Vessels!$J$3), "")),"")</f>
        <v/>
      </c>
      <c r="T589" s="37"/>
      <c r="U589" s="37"/>
      <c r="V589" s="37"/>
      <c r="W589" s="37"/>
      <c r="X589" s="37"/>
      <c r="Y589" s="37"/>
      <c r="Z589" s="37"/>
    </row>
    <row r="590" spans="1:26" ht="15.75" customHeight="1" x14ac:dyDescent="0.3">
      <c r="A590" s="22">
        <f>IF($N$1="Piping", IF(ISBLANK(Piping!A590), "", Piping!A590), IF($N$1="Vessels", IF(ISBLANK(Vessels!A590), "", Vessels!A590), ""))</f>
        <v>147.1</v>
      </c>
      <c r="B590" s="21" t="str">
        <f>IF($N$1="Piping", IF(ISBLANK(Piping!B590), "", Piping!B590), IF($N$1="Vessels", IF(ISBLANK(Vessels!B590), "", Vessels!B590), ""))</f>
        <v/>
      </c>
      <c r="C590" s="21" t="str">
        <f>IF($N$1="Piping", IF(ISBLANK(Piping!C590), "", Piping!C590), IF($N$1="Vessels", IF(ISBLANK(Vessels!C590), "", Vessels!C590), ""))</f>
        <v>Piping</v>
      </c>
      <c r="D590" s="21" t="str">
        <f>IF($N$1="Piping", IF(ISBLANK(Piping!D590), "", Piping!D590), IF($N$1="Vessels", IF(ISBLANK(Vessels!D590), "", Vessels!D590), ""))</f>
        <v/>
      </c>
      <c r="E590" s="21" t="str">
        <f>IF($N$1="Piping", IF(ISBLANK(Piping!E590), "", Piping!E590), IF($N$1="Vessels", IF(ISBLANK(Vessels!E590), "", Vessels!E590), ""))</f>
        <v/>
      </c>
      <c r="F590" s="21" t="str">
        <f>IF($N$1="Piping", IF(ISBLANK(Piping!F590), "", Piping!F590), IF($N$1="Vessels", IF(ISBLANK(Vessels!F590), "", Vessels!F590), ""))</f>
        <v/>
      </c>
      <c r="G590" s="21">
        <f>IF($N$1="Piping", IF(ISBLANK(Piping!G590), "", Piping!G590), IF($N$1="Vessels", IF(ISBLANK(Vessels!G590), "", Vessels!G590), ""))</f>
        <v>0</v>
      </c>
      <c r="H590" s="21" t="str">
        <f>IF($N$1="Piping", IF(ISBLANK(Piping!H590), "", Piping!H590), IF($N$1="Vessels", IF(ISBLANK(Vessels!H590), "", Vessels!H590), ""))</f>
        <v/>
      </c>
      <c r="I590" s="21" t="str">
        <f>IF($N$1="Piping", IF(ISBLANK(Piping!I590), "", Piping!I590), IF($N$1="Vessels", IF(ISBLANK(Vessels!I590), "", Vessels!I590), ""))</f>
        <v/>
      </c>
      <c r="J590" s="21" t="str">
        <f>IF($N$1="Piping", IF(ISBLANK(Piping!J590), "", Piping!J590), IF($N$1="Vessels", IF(ISBLANK(Vessels!J590), "", Vessels!J590), ""))</f>
        <v/>
      </c>
      <c r="K590" s="21" t="str">
        <f>IF($N$1="Piping", IF(ISBLANK(Piping!K590), "", Piping!K590), IF($N$1="Vessels", IF(ISBLANK(Vessels!K590), "", Vessels!K590), ""))</f>
        <v/>
      </c>
      <c r="L590" s="21" t="str">
        <f>IF($N$1="Piping", IF(ISBLANK(Piping!L590), "", Piping!L590), IF($N$1="Vessels", IF(ISBLANK(Vessels!L590), "", Vessels!L590), ""))</f>
        <v/>
      </c>
      <c r="M590" s="21"/>
      <c r="N590" s="21"/>
      <c r="O590" s="21"/>
      <c r="P590" s="21"/>
      <c r="Q590" s="21" t="str">
        <f>IF($N$1="Piping", IF(ISBLANK(Piping!T590), "", Piping!T590), IF($N$1="Vessels", IF(ISBLANK(Vessels!T590), "", Vessels!T590), ""))</f>
        <v/>
      </c>
      <c r="R590" s="51" t="str">
        <f>IF($N$1="Piping", IF(ISBLANK(Piping!U590), "", Piping!U590), IF($N$1="Vessels", IF(ISBLANK(Vessels!U590), "", Vessels!U590), ""))</f>
        <v/>
      </c>
      <c r="S590" s="118" t="str">
        <f>IF(B590&lt;&gt;"",IF($N$1="Piping", IF(ISBLANK(Piping!$J$3), "", Piping!$J$3), IF($N$1="Vessels", IF(ISBLANK(Vessels!$J$3), "", Vessels!$J$3), "")),"")</f>
        <v/>
      </c>
      <c r="T590" s="37"/>
      <c r="U590" s="37"/>
      <c r="V590" s="37"/>
      <c r="W590" s="37"/>
      <c r="X590" s="37"/>
      <c r="Y590" s="37"/>
      <c r="Z590" s="37"/>
    </row>
    <row r="591" spans="1:26" ht="15.75" customHeight="1" x14ac:dyDescent="0.3">
      <c r="A591" s="22">
        <f>IF($N$1="Piping", IF(ISBLANK(Piping!A591), "", Piping!A591), IF($N$1="Vessels", IF(ISBLANK(Vessels!A591), "", Vessels!A591), ""))</f>
        <v>147.19999999999999</v>
      </c>
      <c r="B591" s="21" t="str">
        <f>IF($N$1="Piping", IF(ISBLANK(Piping!B591), "", Piping!B591), IF($N$1="Vessels", IF(ISBLANK(Vessels!B591), "", Vessels!B591), ""))</f>
        <v/>
      </c>
      <c r="C591" s="21" t="str">
        <f>IF($N$1="Piping", IF(ISBLANK(Piping!C591), "", Piping!C591), IF($N$1="Vessels", IF(ISBLANK(Vessels!C591), "", Vessels!C591), ""))</f>
        <v>Piping</v>
      </c>
      <c r="D591" s="21" t="str">
        <f>IF($N$1="Piping", IF(ISBLANK(Piping!D591), "", Piping!D591), IF($N$1="Vessels", IF(ISBLANK(Vessels!D591), "", Vessels!D591), ""))</f>
        <v/>
      </c>
      <c r="E591" s="21" t="str">
        <f>IF($N$1="Piping", IF(ISBLANK(Piping!E591), "", Piping!E591), IF($N$1="Vessels", IF(ISBLANK(Vessels!E591), "", Vessels!E591), ""))</f>
        <v/>
      </c>
      <c r="F591" s="21" t="str">
        <f>IF($N$1="Piping", IF(ISBLANK(Piping!F591), "", Piping!F591), IF($N$1="Vessels", IF(ISBLANK(Vessels!F591), "", Vessels!F591), ""))</f>
        <v/>
      </c>
      <c r="G591" s="21">
        <f>IF($N$1="Piping", IF(ISBLANK(Piping!G591), "", Piping!G591), IF($N$1="Vessels", IF(ISBLANK(Vessels!G591), "", Vessels!G591), ""))</f>
        <v>0</v>
      </c>
      <c r="H591" s="21" t="str">
        <f>IF($N$1="Piping", IF(ISBLANK(Piping!H591), "", Piping!H591), IF($N$1="Vessels", IF(ISBLANK(Vessels!H591), "", Vessels!H591), ""))</f>
        <v/>
      </c>
      <c r="I591" s="21" t="str">
        <f>IF($N$1="Piping", IF(ISBLANK(Piping!I591), "", Piping!I591), IF($N$1="Vessels", IF(ISBLANK(Vessels!I591), "", Vessels!I591), ""))</f>
        <v/>
      </c>
      <c r="J591" s="21" t="str">
        <f>IF($N$1="Piping", IF(ISBLANK(Piping!J591), "", Piping!J591), IF($N$1="Vessels", IF(ISBLANK(Vessels!J591), "", Vessels!J591), ""))</f>
        <v/>
      </c>
      <c r="K591" s="21" t="str">
        <f>IF($N$1="Piping", IF(ISBLANK(Piping!K591), "", Piping!K591), IF($N$1="Vessels", IF(ISBLANK(Vessels!K591), "", Vessels!K591), ""))</f>
        <v/>
      </c>
      <c r="L591" s="21" t="str">
        <f>IF($N$1="Piping", IF(ISBLANK(Piping!L591), "", Piping!L591), IF($N$1="Vessels", IF(ISBLANK(Vessels!L591), "", Vessels!L591), ""))</f>
        <v/>
      </c>
      <c r="M591" s="21"/>
      <c r="N591" s="21"/>
      <c r="O591" s="21"/>
      <c r="P591" s="21"/>
      <c r="Q591" s="21" t="str">
        <f>IF($N$1="Piping", IF(ISBLANK(Piping!T591), "", Piping!T591), IF($N$1="Vessels", IF(ISBLANK(Vessels!T591), "", Vessels!T591), ""))</f>
        <v/>
      </c>
      <c r="R591" s="51" t="str">
        <f>IF($N$1="Piping", IF(ISBLANK(Piping!U591), "", Piping!U591), IF($N$1="Vessels", IF(ISBLANK(Vessels!U591), "", Vessels!U591), ""))</f>
        <v/>
      </c>
      <c r="S591" s="118" t="str">
        <f>IF(B591&lt;&gt;"",IF($N$1="Piping", IF(ISBLANK(Piping!$J$3), "", Piping!$J$3), IF($N$1="Vessels", IF(ISBLANK(Vessels!$J$3), "", Vessels!$J$3), "")),"")</f>
        <v/>
      </c>
      <c r="T591" s="37"/>
      <c r="U591" s="37"/>
      <c r="V591" s="37"/>
      <c r="W591" s="37"/>
      <c r="X591" s="37"/>
      <c r="Y591" s="37"/>
      <c r="Z591" s="37"/>
    </row>
    <row r="592" spans="1:26" ht="15.75" customHeight="1" x14ac:dyDescent="0.3">
      <c r="A592" s="22">
        <f>IF($N$1="Piping", IF(ISBLANK(Piping!A592), "", Piping!A592), IF($N$1="Vessels", IF(ISBLANK(Vessels!A592), "", Vessels!A592), ""))</f>
        <v>147.30000000000001</v>
      </c>
      <c r="B592" s="21" t="str">
        <f>IF($N$1="Piping", IF(ISBLANK(Piping!B592), "", Piping!B592), IF($N$1="Vessels", IF(ISBLANK(Vessels!B592), "", Vessels!B592), ""))</f>
        <v/>
      </c>
      <c r="C592" s="21" t="str">
        <f>IF($N$1="Piping", IF(ISBLANK(Piping!C592), "", Piping!C592), IF($N$1="Vessels", IF(ISBLANK(Vessels!C592), "", Vessels!C592), ""))</f>
        <v>Piping</v>
      </c>
      <c r="D592" s="21" t="str">
        <f>IF($N$1="Piping", IF(ISBLANK(Piping!D592), "", Piping!D592), IF($N$1="Vessels", IF(ISBLANK(Vessels!D592), "", Vessels!D592), ""))</f>
        <v/>
      </c>
      <c r="E592" s="21" t="str">
        <f>IF($N$1="Piping", IF(ISBLANK(Piping!E592), "", Piping!E592), IF($N$1="Vessels", IF(ISBLANK(Vessels!E592), "", Vessels!E592), ""))</f>
        <v/>
      </c>
      <c r="F592" s="21" t="str">
        <f>IF($N$1="Piping", IF(ISBLANK(Piping!F592), "", Piping!F592), IF($N$1="Vessels", IF(ISBLANK(Vessels!F592), "", Vessels!F592), ""))</f>
        <v/>
      </c>
      <c r="G592" s="21">
        <f>IF($N$1="Piping", IF(ISBLANK(Piping!G592), "", Piping!G592), IF($N$1="Vessels", IF(ISBLANK(Vessels!G592), "", Vessels!G592), ""))</f>
        <v>0</v>
      </c>
      <c r="H592" s="21" t="str">
        <f>IF($N$1="Piping", IF(ISBLANK(Piping!H592), "", Piping!H592), IF($N$1="Vessels", IF(ISBLANK(Vessels!H592), "", Vessels!H592), ""))</f>
        <v/>
      </c>
      <c r="I592" s="21" t="str">
        <f>IF($N$1="Piping", IF(ISBLANK(Piping!I592), "", Piping!I592), IF($N$1="Vessels", IF(ISBLANK(Vessels!I592), "", Vessels!I592), ""))</f>
        <v/>
      </c>
      <c r="J592" s="21" t="str">
        <f>IF($N$1="Piping", IF(ISBLANK(Piping!J592), "", Piping!J592), IF($N$1="Vessels", IF(ISBLANK(Vessels!J592), "", Vessels!J592), ""))</f>
        <v/>
      </c>
      <c r="K592" s="21" t="str">
        <f>IF($N$1="Piping", IF(ISBLANK(Piping!K592), "", Piping!K592), IF($N$1="Vessels", IF(ISBLANK(Vessels!K592), "", Vessels!K592), ""))</f>
        <v/>
      </c>
      <c r="L592" s="21" t="str">
        <f>IF($N$1="Piping", IF(ISBLANK(Piping!L592), "", Piping!L592), IF($N$1="Vessels", IF(ISBLANK(Vessels!L592), "", Vessels!L592), ""))</f>
        <v/>
      </c>
      <c r="M592" s="21"/>
      <c r="N592" s="21"/>
      <c r="O592" s="21"/>
      <c r="P592" s="21"/>
      <c r="Q592" s="21" t="str">
        <f>IF($N$1="Piping", IF(ISBLANK(Piping!T592), "", Piping!T592), IF($N$1="Vessels", IF(ISBLANK(Vessels!T592), "", Vessels!T592), ""))</f>
        <v/>
      </c>
      <c r="R592" s="51" t="str">
        <f>IF($N$1="Piping", IF(ISBLANK(Piping!U592), "", Piping!U592), IF($N$1="Vessels", IF(ISBLANK(Vessels!U592), "", Vessels!U592), ""))</f>
        <v/>
      </c>
      <c r="S592" s="118" t="str">
        <f>IF(B592&lt;&gt;"",IF($N$1="Piping", IF(ISBLANK(Piping!$J$3), "", Piping!$J$3), IF($N$1="Vessels", IF(ISBLANK(Vessels!$J$3), "", Vessels!$J$3), "")),"")</f>
        <v/>
      </c>
      <c r="T592" s="37"/>
      <c r="U592" s="37"/>
      <c r="V592" s="37"/>
      <c r="W592" s="37"/>
      <c r="X592" s="37"/>
      <c r="Y592" s="37"/>
      <c r="Z592" s="37"/>
    </row>
    <row r="593" spans="1:26" ht="15.75" customHeight="1" x14ac:dyDescent="0.3">
      <c r="A593" s="22">
        <f>IF($N$1="Piping", IF(ISBLANK(Piping!A593), "", Piping!A593), IF($N$1="Vessels", IF(ISBLANK(Vessels!A593), "", Vessels!A593), ""))</f>
        <v>147.4</v>
      </c>
      <c r="B593" s="21" t="str">
        <f>IF($N$1="Piping", IF(ISBLANK(Piping!B593), "", Piping!B593), IF($N$1="Vessels", IF(ISBLANK(Vessels!B593), "", Vessels!B593), ""))</f>
        <v/>
      </c>
      <c r="C593" s="21" t="str">
        <f>IF($N$1="Piping", IF(ISBLANK(Piping!C593), "", Piping!C593), IF($N$1="Vessels", IF(ISBLANK(Vessels!C593), "", Vessels!C593), ""))</f>
        <v>Piping</v>
      </c>
      <c r="D593" s="21" t="str">
        <f>IF($N$1="Piping", IF(ISBLANK(Piping!D593), "", Piping!D593), IF($N$1="Vessels", IF(ISBLANK(Vessels!D593), "", Vessels!D593), ""))</f>
        <v/>
      </c>
      <c r="E593" s="21" t="str">
        <f>IF($N$1="Piping", IF(ISBLANK(Piping!E593), "", Piping!E593), IF($N$1="Vessels", IF(ISBLANK(Vessels!E593), "", Vessels!E593), ""))</f>
        <v/>
      </c>
      <c r="F593" s="21" t="str">
        <f>IF($N$1="Piping", IF(ISBLANK(Piping!F593), "", Piping!F593), IF($N$1="Vessels", IF(ISBLANK(Vessels!F593), "", Vessels!F593), ""))</f>
        <v/>
      </c>
      <c r="G593" s="21">
        <f>IF($N$1="Piping", IF(ISBLANK(Piping!G593), "", Piping!G593), IF($N$1="Vessels", IF(ISBLANK(Vessels!G593), "", Vessels!G593), ""))</f>
        <v>0</v>
      </c>
      <c r="H593" s="21" t="str">
        <f>IF($N$1="Piping", IF(ISBLANK(Piping!H593), "", Piping!H593), IF($N$1="Vessels", IF(ISBLANK(Vessels!H593), "", Vessels!H593), ""))</f>
        <v/>
      </c>
      <c r="I593" s="21" t="str">
        <f>IF($N$1="Piping", IF(ISBLANK(Piping!I593), "", Piping!I593), IF($N$1="Vessels", IF(ISBLANK(Vessels!I593), "", Vessels!I593), ""))</f>
        <v/>
      </c>
      <c r="J593" s="21" t="str">
        <f>IF($N$1="Piping", IF(ISBLANK(Piping!J593), "", Piping!J593), IF($N$1="Vessels", IF(ISBLANK(Vessels!J593), "", Vessels!J593), ""))</f>
        <v/>
      </c>
      <c r="K593" s="21" t="str">
        <f>IF($N$1="Piping", IF(ISBLANK(Piping!K593), "", Piping!K593), IF($N$1="Vessels", IF(ISBLANK(Vessels!K593), "", Vessels!K593), ""))</f>
        <v/>
      </c>
      <c r="L593" s="21" t="str">
        <f>IF($N$1="Piping", IF(ISBLANK(Piping!L593), "", Piping!L593), IF($N$1="Vessels", IF(ISBLANK(Vessels!L593), "", Vessels!L593), ""))</f>
        <v/>
      </c>
      <c r="M593" s="21"/>
      <c r="N593" s="21"/>
      <c r="O593" s="21"/>
      <c r="P593" s="21"/>
      <c r="Q593" s="21" t="str">
        <f>IF($N$1="Piping", IF(ISBLANK(Piping!T593), "", Piping!T593), IF($N$1="Vessels", IF(ISBLANK(Vessels!T593), "", Vessels!T593), ""))</f>
        <v/>
      </c>
      <c r="R593" s="51" t="str">
        <f>IF($N$1="Piping", IF(ISBLANK(Piping!U593), "", Piping!U593), IF($N$1="Vessels", IF(ISBLANK(Vessels!U593), "", Vessels!U593), ""))</f>
        <v/>
      </c>
      <c r="S593" s="118" t="str">
        <f>IF(B593&lt;&gt;"",IF($N$1="Piping", IF(ISBLANK(Piping!$J$3), "", Piping!$J$3), IF($N$1="Vessels", IF(ISBLANK(Vessels!$J$3), "", Vessels!$J$3), "")),"")</f>
        <v/>
      </c>
      <c r="T593" s="37"/>
      <c r="U593" s="37"/>
      <c r="V593" s="37"/>
      <c r="W593" s="37"/>
      <c r="X593" s="37"/>
      <c r="Y593" s="37"/>
      <c r="Z593" s="37"/>
    </row>
    <row r="594" spans="1:26" ht="15.75" customHeight="1" x14ac:dyDescent="0.3">
      <c r="A594" s="22">
        <f>IF($N$1="Piping", IF(ISBLANK(Piping!A594), "", Piping!A594), IF($N$1="Vessels", IF(ISBLANK(Vessels!A594), "", Vessels!A594), ""))</f>
        <v>148.1</v>
      </c>
      <c r="B594" s="21" t="str">
        <f>IF($N$1="Piping", IF(ISBLANK(Piping!B594), "", Piping!B594), IF($N$1="Vessels", IF(ISBLANK(Vessels!B594), "", Vessels!B594), ""))</f>
        <v/>
      </c>
      <c r="C594" s="21" t="str">
        <f>IF($N$1="Piping", IF(ISBLANK(Piping!C594), "", Piping!C594), IF($N$1="Vessels", IF(ISBLANK(Vessels!C594), "", Vessels!C594), ""))</f>
        <v>Piping</v>
      </c>
      <c r="D594" s="21" t="str">
        <f>IF($N$1="Piping", IF(ISBLANK(Piping!D594), "", Piping!D594), IF($N$1="Vessels", IF(ISBLANK(Vessels!D594), "", Vessels!D594), ""))</f>
        <v/>
      </c>
      <c r="E594" s="21" t="str">
        <f>IF($N$1="Piping", IF(ISBLANK(Piping!E594), "", Piping!E594), IF($N$1="Vessels", IF(ISBLANK(Vessels!E594), "", Vessels!E594), ""))</f>
        <v/>
      </c>
      <c r="F594" s="21" t="str">
        <f>IF($N$1="Piping", IF(ISBLANK(Piping!F594), "", Piping!F594), IF($N$1="Vessels", IF(ISBLANK(Vessels!F594), "", Vessels!F594), ""))</f>
        <v/>
      </c>
      <c r="G594" s="21">
        <f>IF($N$1="Piping", IF(ISBLANK(Piping!G594), "", Piping!G594), IF($N$1="Vessels", IF(ISBLANK(Vessels!G594), "", Vessels!G594), ""))</f>
        <v>0</v>
      </c>
      <c r="H594" s="21" t="str">
        <f>IF($N$1="Piping", IF(ISBLANK(Piping!H594), "", Piping!H594), IF($N$1="Vessels", IF(ISBLANK(Vessels!H594), "", Vessels!H594), ""))</f>
        <v/>
      </c>
      <c r="I594" s="21" t="str">
        <f>IF($N$1="Piping", IF(ISBLANK(Piping!I594), "", Piping!I594), IF($N$1="Vessels", IF(ISBLANK(Vessels!I594), "", Vessels!I594), ""))</f>
        <v/>
      </c>
      <c r="J594" s="21" t="str">
        <f>IF($N$1="Piping", IF(ISBLANK(Piping!J594), "", Piping!J594), IF($N$1="Vessels", IF(ISBLANK(Vessels!J594), "", Vessels!J594), ""))</f>
        <v/>
      </c>
      <c r="K594" s="21" t="str">
        <f>IF($N$1="Piping", IF(ISBLANK(Piping!K594), "", Piping!K594), IF($N$1="Vessels", IF(ISBLANK(Vessels!K594), "", Vessels!K594), ""))</f>
        <v/>
      </c>
      <c r="L594" s="21" t="str">
        <f>IF($N$1="Piping", IF(ISBLANK(Piping!L594), "", Piping!L594), IF($N$1="Vessels", IF(ISBLANK(Vessels!L594), "", Vessels!L594), ""))</f>
        <v/>
      </c>
      <c r="M594" s="21"/>
      <c r="N594" s="21"/>
      <c r="O594" s="21"/>
      <c r="P594" s="21"/>
      <c r="Q594" s="21" t="str">
        <f>IF($N$1="Piping", IF(ISBLANK(Piping!T594), "", Piping!T594), IF($N$1="Vessels", IF(ISBLANK(Vessels!T594), "", Vessels!T594), ""))</f>
        <v/>
      </c>
      <c r="R594" s="51" t="str">
        <f>IF($N$1="Piping", IF(ISBLANK(Piping!U594), "", Piping!U594), IF($N$1="Vessels", IF(ISBLANK(Vessels!U594), "", Vessels!U594), ""))</f>
        <v/>
      </c>
      <c r="S594" s="118" t="str">
        <f>IF(B594&lt;&gt;"",IF($N$1="Piping", IF(ISBLANK(Piping!$J$3), "", Piping!$J$3), IF($N$1="Vessels", IF(ISBLANK(Vessels!$J$3), "", Vessels!$J$3), "")),"")</f>
        <v/>
      </c>
      <c r="T594" s="37"/>
      <c r="U594" s="37"/>
      <c r="V594" s="37"/>
      <c r="W594" s="37"/>
      <c r="X594" s="37"/>
      <c r="Y594" s="37"/>
      <c r="Z594" s="37"/>
    </row>
    <row r="595" spans="1:26" ht="15.75" customHeight="1" x14ac:dyDescent="0.3">
      <c r="A595" s="22">
        <f>IF($N$1="Piping", IF(ISBLANK(Piping!A595), "", Piping!A595), IF($N$1="Vessels", IF(ISBLANK(Vessels!A595), "", Vessels!A595), ""))</f>
        <v>148.19999999999999</v>
      </c>
      <c r="B595" s="21" t="str">
        <f>IF($N$1="Piping", IF(ISBLANK(Piping!B595), "", Piping!B595), IF($N$1="Vessels", IF(ISBLANK(Vessels!B595), "", Vessels!B595), ""))</f>
        <v/>
      </c>
      <c r="C595" s="21" t="str">
        <f>IF($N$1="Piping", IF(ISBLANK(Piping!C595), "", Piping!C595), IF($N$1="Vessels", IF(ISBLANK(Vessels!C595), "", Vessels!C595), ""))</f>
        <v>Piping</v>
      </c>
      <c r="D595" s="21" t="str">
        <f>IF($N$1="Piping", IF(ISBLANK(Piping!D595), "", Piping!D595), IF($N$1="Vessels", IF(ISBLANK(Vessels!D595), "", Vessels!D595), ""))</f>
        <v/>
      </c>
      <c r="E595" s="21" t="str">
        <f>IF($N$1="Piping", IF(ISBLANK(Piping!E595), "", Piping!E595), IF($N$1="Vessels", IF(ISBLANK(Vessels!E595), "", Vessels!E595), ""))</f>
        <v/>
      </c>
      <c r="F595" s="21" t="str">
        <f>IF($N$1="Piping", IF(ISBLANK(Piping!F595), "", Piping!F595), IF($N$1="Vessels", IF(ISBLANK(Vessels!F595), "", Vessels!F595), ""))</f>
        <v/>
      </c>
      <c r="G595" s="21">
        <f>IF($N$1="Piping", IF(ISBLANK(Piping!G595), "", Piping!G595), IF($N$1="Vessels", IF(ISBLANK(Vessels!G595), "", Vessels!G595), ""))</f>
        <v>0</v>
      </c>
      <c r="H595" s="21" t="str">
        <f>IF($N$1="Piping", IF(ISBLANK(Piping!H595), "", Piping!H595), IF($N$1="Vessels", IF(ISBLANK(Vessels!H595), "", Vessels!H595), ""))</f>
        <v/>
      </c>
      <c r="I595" s="21" t="str">
        <f>IF($N$1="Piping", IF(ISBLANK(Piping!I595), "", Piping!I595), IF($N$1="Vessels", IF(ISBLANK(Vessels!I595), "", Vessels!I595), ""))</f>
        <v/>
      </c>
      <c r="J595" s="21" t="str">
        <f>IF($N$1="Piping", IF(ISBLANK(Piping!J595), "", Piping!J595), IF($N$1="Vessels", IF(ISBLANK(Vessels!J595), "", Vessels!J595), ""))</f>
        <v/>
      </c>
      <c r="K595" s="21" t="str">
        <f>IF($N$1="Piping", IF(ISBLANK(Piping!K595), "", Piping!K595), IF($N$1="Vessels", IF(ISBLANK(Vessels!K595), "", Vessels!K595), ""))</f>
        <v/>
      </c>
      <c r="L595" s="21" t="str">
        <f>IF($N$1="Piping", IF(ISBLANK(Piping!L595), "", Piping!L595), IF($N$1="Vessels", IF(ISBLANK(Vessels!L595), "", Vessels!L595), ""))</f>
        <v/>
      </c>
      <c r="M595" s="21"/>
      <c r="N595" s="21"/>
      <c r="O595" s="21"/>
      <c r="P595" s="21"/>
      <c r="Q595" s="21" t="str">
        <f>IF($N$1="Piping", IF(ISBLANK(Piping!T595), "", Piping!T595), IF($N$1="Vessels", IF(ISBLANK(Vessels!T595), "", Vessels!T595), ""))</f>
        <v/>
      </c>
      <c r="R595" s="51" t="str">
        <f>IF($N$1="Piping", IF(ISBLANK(Piping!U595), "", Piping!U595), IF($N$1="Vessels", IF(ISBLANK(Vessels!U595), "", Vessels!U595), ""))</f>
        <v/>
      </c>
      <c r="S595" s="118" t="str">
        <f>IF(B595&lt;&gt;"",IF($N$1="Piping", IF(ISBLANK(Piping!$J$3), "", Piping!$J$3), IF($N$1="Vessels", IF(ISBLANK(Vessels!$J$3), "", Vessels!$J$3), "")),"")</f>
        <v/>
      </c>
      <c r="T595" s="37"/>
      <c r="U595" s="37"/>
      <c r="V595" s="37"/>
      <c r="W595" s="37"/>
      <c r="X595" s="37"/>
      <c r="Y595" s="37"/>
      <c r="Z595" s="37"/>
    </row>
    <row r="596" spans="1:26" ht="15.75" customHeight="1" x14ac:dyDescent="0.3">
      <c r="A596" s="22">
        <f>IF($N$1="Piping", IF(ISBLANK(Piping!A596), "", Piping!A596), IF($N$1="Vessels", IF(ISBLANK(Vessels!A596), "", Vessels!A596), ""))</f>
        <v>148.30000000000001</v>
      </c>
      <c r="B596" s="21" t="str">
        <f>IF($N$1="Piping", IF(ISBLANK(Piping!B596), "", Piping!B596), IF($N$1="Vessels", IF(ISBLANK(Vessels!B596), "", Vessels!B596), ""))</f>
        <v/>
      </c>
      <c r="C596" s="21" t="str">
        <f>IF($N$1="Piping", IF(ISBLANK(Piping!C596), "", Piping!C596), IF($N$1="Vessels", IF(ISBLANK(Vessels!C596), "", Vessels!C596), ""))</f>
        <v>Piping</v>
      </c>
      <c r="D596" s="21" t="str">
        <f>IF($N$1="Piping", IF(ISBLANK(Piping!D596), "", Piping!D596), IF($N$1="Vessels", IF(ISBLANK(Vessels!D596), "", Vessels!D596), ""))</f>
        <v/>
      </c>
      <c r="E596" s="21" t="str">
        <f>IF($N$1="Piping", IF(ISBLANK(Piping!E596), "", Piping!E596), IF($N$1="Vessels", IF(ISBLANK(Vessels!E596), "", Vessels!E596), ""))</f>
        <v/>
      </c>
      <c r="F596" s="21" t="str">
        <f>IF($N$1="Piping", IF(ISBLANK(Piping!F596), "", Piping!F596), IF($N$1="Vessels", IF(ISBLANK(Vessels!F596), "", Vessels!F596), ""))</f>
        <v/>
      </c>
      <c r="G596" s="21">
        <f>IF($N$1="Piping", IF(ISBLANK(Piping!G596), "", Piping!G596), IF($N$1="Vessels", IF(ISBLANK(Vessels!G596), "", Vessels!G596), ""))</f>
        <v>0</v>
      </c>
      <c r="H596" s="21" t="str">
        <f>IF($N$1="Piping", IF(ISBLANK(Piping!H596), "", Piping!H596), IF($N$1="Vessels", IF(ISBLANK(Vessels!H596), "", Vessels!H596), ""))</f>
        <v/>
      </c>
      <c r="I596" s="21" t="str">
        <f>IF($N$1="Piping", IF(ISBLANK(Piping!I596), "", Piping!I596), IF($N$1="Vessels", IF(ISBLANK(Vessels!I596), "", Vessels!I596), ""))</f>
        <v/>
      </c>
      <c r="J596" s="21" t="str">
        <f>IF($N$1="Piping", IF(ISBLANK(Piping!J596), "", Piping!J596), IF($N$1="Vessels", IF(ISBLANK(Vessels!J596), "", Vessels!J596), ""))</f>
        <v/>
      </c>
      <c r="K596" s="21" t="str">
        <f>IF($N$1="Piping", IF(ISBLANK(Piping!K596), "", Piping!K596), IF($N$1="Vessels", IF(ISBLANK(Vessels!K596), "", Vessels!K596), ""))</f>
        <v/>
      </c>
      <c r="L596" s="21" t="str">
        <f>IF($N$1="Piping", IF(ISBLANK(Piping!L596), "", Piping!L596), IF($N$1="Vessels", IF(ISBLANK(Vessels!L596), "", Vessels!L596), ""))</f>
        <v/>
      </c>
      <c r="M596" s="21"/>
      <c r="N596" s="21"/>
      <c r="O596" s="21"/>
      <c r="P596" s="21"/>
      <c r="Q596" s="21" t="str">
        <f>IF($N$1="Piping", IF(ISBLANK(Piping!T596), "", Piping!T596), IF($N$1="Vessels", IF(ISBLANK(Vessels!T596), "", Vessels!T596), ""))</f>
        <v/>
      </c>
      <c r="R596" s="51" t="str">
        <f>IF($N$1="Piping", IF(ISBLANK(Piping!U596), "", Piping!U596), IF($N$1="Vessels", IF(ISBLANK(Vessels!U596), "", Vessels!U596), ""))</f>
        <v/>
      </c>
      <c r="S596" s="118" t="str">
        <f>IF(B596&lt;&gt;"",IF($N$1="Piping", IF(ISBLANK(Piping!$J$3), "", Piping!$J$3), IF($N$1="Vessels", IF(ISBLANK(Vessels!$J$3), "", Vessels!$J$3), "")),"")</f>
        <v/>
      </c>
      <c r="T596" s="37"/>
      <c r="U596" s="37"/>
      <c r="V596" s="37"/>
      <c r="W596" s="37"/>
      <c r="X596" s="37"/>
      <c r="Y596" s="37"/>
      <c r="Z596" s="37"/>
    </row>
    <row r="597" spans="1:26" ht="15.75" customHeight="1" x14ac:dyDescent="0.3">
      <c r="A597" s="22">
        <f>IF($N$1="Piping", IF(ISBLANK(Piping!A597), "", Piping!A597), IF($N$1="Vessels", IF(ISBLANK(Vessels!A597), "", Vessels!A597), ""))</f>
        <v>148.4</v>
      </c>
      <c r="B597" s="21" t="str">
        <f>IF($N$1="Piping", IF(ISBLANK(Piping!B597), "", Piping!B597), IF($N$1="Vessels", IF(ISBLANK(Vessels!B597), "", Vessels!B597), ""))</f>
        <v/>
      </c>
      <c r="C597" s="21" t="str">
        <f>IF($N$1="Piping", IF(ISBLANK(Piping!C597), "", Piping!C597), IF($N$1="Vessels", IF(ISBLANK(Vessels!C597), "", Vessels!C597), ""))</f>
        <v>Piping</v>
      </c>
      <c r="D597" s="21" t="str">
        <f>IF($N$1="Piping", IF(ISBLANK(Piping!D597), "", Piping!D597), IF($N$1="Vessels", IF(ISBLANK(Vessels!D597), "", Vessels!D597), ""))</f>
        <v/>
      </c>
      <c r="E597" s="21" t="str">
        <f>IF($N$1="Piping", IF(ISBLANK(Piping!E597), "", Piping!E597), IF($N$1="Vessels", IF(ISBLANK(Vessels!E597), "", Vessels!E597), ""))</f>
        <v/>
      </c>
      <c r="F597" s="21" t="str">
        <f>IF($N$1="Piping", IF(ISBLANK(Piping!F597), "", Piping!F597), IF($N$1="Vessels", IF(ISBLANK(Vessels!F597), "", Vessels!F597), ""))</f>
        <v/>
      </c>
      <c r="G597" s="21">
        <f>IF($N$1="Piping", IF(ISBLANK(Piping!G597), "", Piping!G597), IF($N$1="Vessels", IF(ISBLANK(Vessels!G597), "", Vessels!G597), ""))</f>
        <v>0</v>
      </c>
      <c r="H597" s="21" t="str">
        <f>IF($N$1="Piping", IF(ISBLANK(Piping!H597), "", Piping!H597), IF($N$1="Vessels", IF(ISBLANK(Vessels!H597), "", Vessels!H597), ""))</f>
        <v/>
      </c>
      <c r="I597" s="21" t="str">
        <f>IF($N$1="Piping", IF(ISBLANK(Piping!I597), "", Piping!I597), IF($N$1="Vessels", IF(ISBLANK(Vessels!I597), "", Vessels!I597), ""))</f>
        <v/>
      </c>
      <c r="J597" s="21" t="str">
        <f>IF($N$1="Piping", IF(ISBLANK(Piping!J597), "", Piping!J597), IF($N$1="Vessels", IF(ISBLANK(Vessels!J597), "", Vessels!J597), ""))</f>
        <v/>
      </c>
      <c r="K597" s="21" t="str">
        <f>IF($N$1="Piping", IF(ISBLANK(Piping!K597), "", Piping!K597), IF($N$1="Vessels", IF(ISBLANK(Vessels!K597), "", Vessels!K597), ""))</f>
        <v/>
      </c>
      <c r="L597" s="21" t="str">
        <f>IF($N$1="Piping", IF(ISBLANK(Piping!L597), "", Piping!L597), IF($N$1="Vessels", IF(ISBLANK(Vessels!L597), "", Vessels!L597), ""))</f>
        <v/>
      </c>
      <c r="M597" s="21"/>
      <c r="N597" s="21"/>
      <c r="O597" s="21"/>
      <c r="P597" s="21"/>
      <c r="Q597" s="21" t="str">
        <f>IF($N$1="Piping", IF(ISBLANK(Piping!T597), "", Piping!T597), IF($N$1="Vessels", IF(ISBLANK(Vessels!T597), "", Vessels!T597), ""))</f>
        <v/>
      </c>
      <c r="R597" s="51" t="str">
        <f>IF($N$1="Piping", IF(ISBLANK(Piping!U597), "", Piping!U597), IF($N$1="Vessels", IF(ISBLANK(Vessels!U597), "", Vessels!U597), ""))</f>
        <v/>
      </c>
      <c r="S597" s="118" t="str">
        <f>IF(B597&lt;&gt;"",IF($N$1="Piping", IF(ISBLANK(Piping!$J$3), "", Piping!$J$3), IF($N$1="Vessels", IF(ISBLANK(Vessels!$J$3), "", Vessels!$J$3), "")),"")</f>
        <v/>
      </c>
      <c r="T597" s="37"/>
      <c r="U597" s="37"/>
      <c r="V597" s="37"/>
      <c r="W597" s="37"/>
      <c r="X597" s="37"/>
      <c r="Y597" s="37"/>
      <c r="Z597" s="37"/>
    </row>
    <row r="598" spans="1:26" ht="15.75" customHeight="1" x14ac:dyDescent="0.3">
      <c r="A598" s="22">
        <f>IF($N$1="Piping", IF(ISBLANK(Piping!A598), "", Piping!A598), IF($N$1="Vessels", IF(ISBLANK(Vessels!A598), "", Vessels!A598), ""))</f>
        <v>149.1</v>
      </c>
      <c r="B598" s="21" t="str">
        <f>IF($N$1="Piping", IF(ISBLANK(Piping!B598), "", Piping!B598), IF($N$1="Vessels", IF(ISBLANK(Vessels!B598), "", Vessels!B598), ""))</f>
        <v/>
      </c>
      <c r="C598" s="21" t="str">
        <f>IF($N$1="Piping", IF(ISBLANK(Piping!C598), "", Piping!C598), IF($N$1="Vessels", IF(ISBLANK(Vessels!C598), "", Vessels!C598), ""))</f>
        <v>Piping</v>
      </c>
      <c r="D598" s="21" t="str">
        <f>IF($N$1="Piping", IF(ISBLANK(Piping!D598), "", Piping!D598), IF($N$1="Vessels", IF(ISBLANK(Vessels!D598), "", Vessels!D598), ""))</f>
        <v/>
      </c>
      <c r="E598" s="21" t="str">
        <f>IF($N$1="Piping", IF(ISBLANK(Piping!E598), "", Piping!E598), IF($N$1="Vessels", IF(ISBLANK(Vessels!E598), "", Vessels!E598), ""))</f>
        <v/>
      </c>
      <c r="F598" s="21" t="str">
        <f>IF($N$1="Piping", IF(ISBLANK(Piping!F598), "", Piping!F598), IF($N$1="Vessels", IF(ISBLANK(Vessels!F598), "", Vessels!F598), ""))</f>
        <v/>
      </c>
      <c r="G598" s="21">
        <f>IF($N$1="Piping", IF(ISBLANK(Piping!G598), "", Piping!G598), IF($N$1="Vessels", IF(ISBLANK(Vessels!G598), "", Vessels!G598), ""))</f>
        <v>0</v>
      </c>
      <c r="H598" s="21" t="str">
        <f>IF($N$1="Piping", IF(ISBLANK(Piping!H598), "", Piping!H598), IF($N$1="Vessels", IF(ISBLANK(Vessels!H598), "", Vessels!H598), ""))</f>
        <v/>
      </c>
      <c r="I598" s="21" t="str">
        <f>IF($N$1="Piping", IF(ISBLANK(Piping!I598), "", Piping!I598), IF($N$1="Vessels", IF(ISBLANK(Vessels!I598), "", Vessels!I598), ""))</f>
        <v/>
      </c>
      <c r="J598" s="21" t="str">
        <f>IF($N$1="Piping", IF(ISBLANK(Piping!J598), "", Piping!J598), IF($N$1="Vessels", IF(ISBLANK(Vessels!J598), "", Vessels!J598), ""))</f>
        <v/>
      </c>
      <c r="K598" s="21" t="str">
        <f>IF($N$1="Piping", IF(ISBLANK(Piping!K598), "", Piping!K598), IF($N$1="Vessels", IF(ISBLANK(Vessels!K598), "", Vessels!K598), ""))</f>
        <v/>
      </c>
      <c r="L598" s="21" t="str">
        <f>IF($N$1="Piping", IF(ISBLANK(Piping!L598), "", Piping!L598), IF($N$1="Vessels", IF(ISBLANK(Vessels!L598), "", Vessels!L598), ""))</f>
        <v/>
      </c>
      <c r="M598" s="21"/>
      <c r="N598" s="21"/>
      <c r="O598" s="21"/>
      <c r="P598" s="21"/>
      <c r="Q598" s="21" t="str">
        <f>IF($N$1="Piping", IF(ISBLANK(Piping!T598), "", Piping!T598), IF($N$1="Vessels", IF(ISBLANK(Vessels!T598), "", Vessels!T598), ""))</f>
        <v/>
      </c>
      <c r="R598" s="51" t="str">
        <f>IF($N$1="Piping", IF(ISBLANK(Piping!U598), "", Piping!U598), IF($N$1="Vessels", IF(ISBLANK(Vessels!U598), "", Vessels!U598), ""))</f>
        <v/>
      </c>
      <c r="S598" s="118" t="str">
        <f>IF(B598&lt;&gt;"",IF($N$1="Piping", IF(ISBLANK(Piping!$J$3), "", Piping!$J$3), IF($N$1="Vessels", IF(ISBLANK(Vessels!$J$3), "", Vessels!$J$3), "")),"")</f>
        <v/>
      </c>
      <c r="T598" s="37"/>
      <c r="U598" s="37"/>
      <c r="V598" s="37"/>
      <c r="W598" s="37"/>
      <c r="X598" s="37"/>
      <c r="Y598" s="37"/>
      <c r="Z598" s="37"/>
    </row>
    <row r="599" spans="1:26" ht="15.75" customHeight="1" x14ac:dyDescent="0.3">
      <c r="A599" s="22">
        <f>IF($N$1="Piping", IF(ISBLANK(Piping!A599), "", Piping!A599), IF($N$1="Vessels", IF(ISBLANK(Vessels!A599), "", Vessels!A599), ""))</f>
        <v>149.19999999999999</v>
      </c>
      <c r="B599" s="21" t="str">
        <f>IF($N$1="Piping", IF(ISBLANK(Piping!B599), "", Piping!B599), IF($N$1="Vessels", IF(ISBLANK(Vessels!B599), "", Vessels!B599), ""))</f>
        <v/>
      </c>
      <c r="C599" s="21" t="str">
        <f>IF($N$1="Piping", IF(ISBLANK(Piping!C599), "", Piping!C599), IF($N$1="Vessels", IF(ISBLANK(Vessels!C599), "", Vessels!C599), ""))</f>
        <v>Piping</v>
      </c>
      <c r="D599" s="21" t="str">
        <f>IF($N$1="Piping", IF(ISBLANK(Piping!D599), "", Piping!D599), IF($N$1="Vessels", IF(ISBLANK(Vessels!D599), "", Vessels!D599), ""))</f>
        <v/>
      </c>
      <c r="E599" s="21" t="str">
        <f>IF($N$1="Piping", IF(ISBLANK(Piping!E599), "", Piping!E599), IF($N$1="Vessels", IF(ISBLANK(Vessels!E599), "", Vessels!E599), ""))</f>
        <v/>
      </c>
      <c r="F599" s="21" t="str">
        <f>IF($N$1="Piping", IF(ISBLANK(Piping!F599), "", Piping!F599), IF($N$1="Vessels", IF(ISBLANK(Vessels!F599), "", Vessels!F599), ""))</f>
        <v/>
      </c>
      <c r="G599" s="21">
        <f>IF($N$1="Piping", IF(ISBLANK(Piping!G599), "", Piping!G599), IF($N$1="Vessels", IF(ISBLANK(Vessels!G599), "", Vessels!G599), ""))</f>
        <v>0</v>
      </c>
      <c r="H599" s="21" t="str">
        <f>IF($N$1="Piping", IF(ISBLANK(Piping!H599), "", Piping!H599), IF($N$1="Vessels", IF(ISBLANK(Vessels!H599), "", Vessels!H599), ""))</f>
        <v/>
      </c>
      <c r="I599" s="21" t="str">
        <f>IF($N$1="Piping", IF(ISBLANK(Piping!I599), "", Piping!I599), IF($N$1="Vessels", IF(ISBLANK(Vessels!I599), "", Vessels!I599), ""))</f>
        <v/>
      </c>
      <c r="J599" s="21" t="str">
        <f>IF($N$1="Piping", IF(ISBLANK(Piping!J599), "", Piping!J599), IF($N$1="Vessels", IF(ISBLANK(Vessels!J599), "", Vessels!J599), ""))</f>
        <v/>
      </c>
      <c r="K599" s="21" t="str">
        <f>IF($N$1="Piping", IF(ISBLANK(Piping!K599), "", Piping!K599), IF($N$1="Vessels", IF(ISBLANK(Vessels!K599), "", Vessels!K599), ""))</f>
        <v/>
      </c>
      <c r="L599" s="21" t="str">
        <f>IF($N$1="Piping", IF(ISBLANK(Piping!L599), "", Piping!L599), IF($N$1="Vessels", IF(ISBLANK(Vessels!L599), "", Vessels!L599), ""))</f>
        <v/>
      </c>
      <c r="M599" s="21"/>
      <c r="N599" s="21"/>
      <c r="O599" s="21"/>
      <c r="P599" s="21"/>
      <c r="Q599" s="21" t="str">
        <f>IF($N$1="Piping", IF(ISBLANK(Piping!T599), "", Piping!T599), IF($N$1="Vessels", IF(ISBLANK(Vessels!T599), "", Vessels!T599), ""))</f>
        <v/>
      </c>
      <c r="R599" s="51" t="str">
        <f>IF($N$1="Piping", IF(ISBLANK(Piping!U599), "", Piping!U599), IF($N$1="Vessels", IF(ISBLANK(Vessels!U599), "", Vessels!U599), ""))</f>
        <v/>
      </c>
      <c r="S599" s="118" t="str">
        <f>IF(B599&lt;&gt;"",IF($N$1="Piping", IF(ISBLANK(Piping!$J$3), "", Piping!$J$3), IF($N$1="Vessels", IF(ISBLANK(Vessels!$J$3), "", Vessels!$J$3), "")),"")</f>
        <v/>
      </c>
      <c r="T599" s="37"/>
      <c r="U599" s="37"/>
      <c r="V599" s="37"/>
      <c r="W599" s="37"/>
      <c r="X599" s="37"/>
      <c r="Y599" s="37"/>
      <c r="Z599" s="37"/>
    </row>
    <row r="600" spans="1:26" ht="15.75" customHeight="1" x14ac:dyDescent="0.3">
      <c r="A600" s="22">
        <f>IF($N$1="Piping", IF(ISBLANK(Piping!A600), "", Piping!A600), IF($N$1="Vessels", IF(ISBLANK(Vessels!A600), "", Vessels!A600), ""))</f>
        <v>149.30000000000001</v>
      </c>
      <c r="B600" s="21" t="str">
        <f>IF($N$1="Piping", IF(ISBLANK(Piping!B600), "", Piping!B600), IF($N$1="Vessels", IF(ISBLANK(Vessels!B600), "", Vessels!B600), ""))</f>
        <v/>
      </c>
      <c r="C600" s="21" t="str">
        <f>IF($N$1="Piping", IF(ISBLANK(Piping!C600), "", Piping!C600), IF($N$1="Vessels", IF(ISBLANK(Vessels!C600), "", Vessels!C600), ""))</f>
        <v>Piping</v>
      </c>
      <c r="D600" s="21" t="str">
        <f>IF($N$1="Piping", IF(ISBLANK(Piping!D600), "", Piping!D600), IF($N$1="Vessels", IF(ISBLANK(Vessels!D600), "", Vessels!D600), ""))</f>
        <v/>
      </c>
      <c r="E600" s="21" t="str">
        <f>IF($N$1="Piping", IF(ISBLANK(Piping!E600), "", Piping!E600), IF($N$1="Vessels", IF(ISBLANK(Vessels!E600), "", Vessels!E600), ""))</f>
        <v/>
      </c>
      <c r="F600" s="21" t="str">
        <f>IF($N$1="Piping", IF(ISBLANK(Piping!F600), "", Piping!F600), IF($N$1="Vessels", IF(ISBLANK(Vessels!F600), "", Vessels!F600), ""))</f>
        <v/>
      </c>
      <c r="G600" s="21">
        <f>IF($N$1="Piping", IF(ISBLANK(Piping!G600), "", Piping!G600), IF($N$1="Vessels", IF(ISBLANK(Vessels!G600), "", Vessels!G600), ""))</f>
        <v>0</v>
      </c>
      <c r="H600" s="21" t="str">
        <f>IF($N$1="Piping", IF(ISBLANK(Piping!H600), "", Piping!H600), IF($N$1="Vessels", IF(ISBLANK(Vessels!H600), "", Vessels!H600), ""))</f>
        <v/>
      </c>
      <c r="I600" s="21" t="str">
        <f>IF($N$1="Piping", IF(ISBLANK(Piping!I600), "", Piping!I600), IF($N$1="Vessels", IF(ISBLANK(Vessels!I600), "", Vessels!I600), ""))</f>
        <v/>
      </c>
      <c r="J600" s="21" t="str">
        <f>IF($N$1="Piping", IF(ISBLANK(Piping!J600), "", Piping!J600), IF($N$1="Vessels", IF(ISBLANK(Vessels!J600), "", Vessels!J600), ""))</f>
        <v/>
      </c>
      <c r="K600" s="21" t="str">
        <f>IF($N$1="Piping", IF(ISBLANK(Piping!K600), "", Piping!K600), IF($N$1="Vessels", IF(ISBLANK(Vessels!K600), "", Vessels!K600), ""))</f>
        <v/>
      </c>
      <c r="L600" s="21" t="str">
        <f>IF($N$1="Piping", IF(ISBLANK(Piping!L600), "", Piping!L600), IF($N$1="Vessels", IF(ISBLANK(Vessels!L600), "", Vessels!L600), ""))</f>
        <v/>
      </c>
      <c r="M600" s="21"/>
      <c r="N600" s="21"/>
      <c r="O600" s="21"/>
      <c r="P600" s="21"/>
      <c r="Q600" s="21" t="str">
        <f>IF($N$1="Piping", IF(ISBLANK(Piping!T600), "", Piping!T600), IF($N$1="Vessels", IF(ISBLANK(Vessels!T600), "", Vessels!T600), ""))</f>
        <v/>
      </c>
      <c r="R600" s="51" t="str">
        <f>IF($N$1="Piping", IF(ISBLANK(Piping!U600), "", Piping!U600), IF($N$1="Vessels", IF(ISBLANK(Vessels!U600), "", Vessels!U600), ""))</f>
        <v/>
      </c>
      <c r="S600" s="118" t="str">
        <f>IF(B600&lt;&gt;"",IF($N$1="Piping", IF(ISBLANK(Piping!$J$3), "", Piping!$J$3), IF($N$1="Vessels", IF(ISBLANK(Vessels!$J$3), "", Vessels!$J$3), "")),"")</f>
        <v/>
      </c>
      <c r="T600" s="37"/>
      <c r="U600" s="37"/>
      <c r="V600" s="37"/>
      <c r="W600" s="37"/>
      <c r="X600" s="37"/>
      <c r="Y600" s="37"/>
      <c r="Z600" s="37"/>
    </row>
    <row r="601" spans="1:26" ht="15.75" customHeight="1" x14ac:dyDescent="0.3">
      <c r="A601" s="22">
        <f>IF($N$1="Piping", IF(ISBLANK(Piping!A601), "", Piping!A601), IF($N$1="Vessels", IF(ISBLANK(Vessels!A601), "", Vessels!A601), ""))</f>
        <v>149.4</v>
      </c>
      <c r="B601" s="21" t="str">
        <f>IF($N$1="Piping", IF(ISBLANK(Piping!B601), "", Piping!B601), IF($N$1="Vessels", IF(ISBLANK(Vessels!B601), "", Vessels!B601), ""))</f>
        <v/>
      </c>
      <c r="C601" s="21" t="str">
        <f>IF($N$1="Piping", IF(ISBLANK(Piping!C601), "", Piping!C601), IF($N$1="Vessels", IF(ISBLANK(Vessels!C601), "", Vessels!C601), ""))</f>
        <v>Piping</v>
      </c>
      <c r="D601" s="21" t="str">
        <f>IF($N$1="Piping", IF(ISBLANK(Piping!D601), "", Piping!D601), IF($N$1="Vessels", IF(ISBLANK(Vessels!D601), "", Vessels!D601), ""))</f>
        <v/>
      </c>
      <c r="E601" s="21" t="str">
        <f>IF($N$1="Piping", IF(ISBLANK(Piping!E601), "", Piping!E601), IF($N$1="Vessels", IF(ISBLANK(Vessels!E601), "", Vessels!E601), ""))</f>
        <v/>
      </c>
      <c r="F601" s="21" t="str">
        <f>IF($N$1="Piping", IF(ISBLANK(Piping!F601), "", Piping!F601), IF($N$1="Vessels", IF(ISBLANK(Vessels!F601), "", Vessels!F601), ""))</f>
        <v/>
      </c>
      <c r="G601" s="21">
        <f>IF($N$1="Piping", IF(ISBLANK(Piping!G601), "", Piping!G601), IF($N$1="Vessels", IF(ISBLANK(Vessels!G601), "", Vessels!G601), ""))</f>
        <v>0</v>
      </c>
      <c r="H601" s="21" t="str">
        <f>IF($N$1="Piping", IF(ISBLANK(Piping!H601), "", Piping!H601), IF($N$1="Vessels", IF(ISBLANK(Vessels!H601), "", Vessels!H601), ""))</f>
        <v/>
      </c>
      <c r="I601" s="21" t="str">
        <f>IF($N$1="Piping", IF(ISBLANK(Piping!I601), "", Piping!I601), IF($N$1="Vessels", IF(ISBLANK(Vessels!I601), "", Vessels!I601), ""))</f>
        <v/>
      </c>
      <c r="J601" s="21" t="str">
        <f>IF($N$1="Piping", IF(ISBLANK(Piping!J601), "", Piping!J601), IF($N$1="Vessels", IF(ISBLANK(Vessels!J601), "", Vessels!J601), ""))</f>
        <v/>
      </c>
      <c r="K601" s="21" t="str">
        <f>IF($N$1="Piping", IF(ISBLANK(Piping!K601), "", Piping!K601), IF($N$1="Vessels", IF(ISBLANK(Vessels!K601), "", Vessels!K601), ""))</f>
        <v/>
      </c>
      <c r="L601" s="21" t="str">
        <f>IF($N$1="Piping", IF(ISBLANK(Piping!L601), "", Piping!L601), IF($N$1="Vessels", IF(ISBLANK(Vessels!L601), "", Vessels!L601), ""))</f>
        <v/>
      </c>
      <c r="M601" s="21"/>
      <c r="N601" s="21"/>
      <c r="O601" s="21"/>
      <c r="P601" s="21"/>
      <c r="Q601" s="21" t="str">
        <f>IF($N$1="Piping", IF(ISBLANK(Piping!T601), "", Piping!T601), IF($N$1="Vessels", IF(ISBLANK(Vessels!T601), "", Vessels!T601), ""))</f>
        <v/>
      </c>
      <c r="R601" s="51" t="str">
        <f>IF($N$1="Piping", IF(ISBLANK(Piping!U601), "", Piping!U601), IF($N$1="Vessels", IF(ISBLANK(Vessels!U601), "", Vessels!U601), ""))</f>
        <v/>
      </c>
      <c r="S601" s="118" t="str">
        <f>IF(B601&lt;&gt;"",IF($N$1="Piping", IF(ISBLANK(Piping!$J$3), "", Piping!$J$3), IF($N$1="Vessels", IF(ISBLANK(Vessels!$J$3), "", Vessels!$J$3), "")),"")</f>
        <v/>
      </c>
      <c r="T601" s="37"/>
      <c r="U601" s="37"/>
      <c r="V601" s="37"/>
      <c r="W601" s="37"/>
      <c r="X601" s="37"/>
      <c r="Y601" s="37"/>
      <c r="Z601" s="37"/>
    </row>
    <row r="602" spans="1:26" ht="15.75" customHeight="1" x14ac:dyDescent="0.3">
      <c r="A602" s="22">
        <f>IF($N$1="Piping", IF(ISBLANK(Piping!A602), "", Piping!A602), IF($N$1="Vessels", IF(ISBLANK(Vessels!A602), "", Vessels!A602), ""))</f>
        <v>150.1</v>
      </c>
      <c r="B602" s="21" t="str">
        <f>IF($N$1="Piping", IF(ISBLANK(Piping!B602), "", Piping!B602), IF($N$1="Vessels", IF(ISBLANK(Vessels!B602), "", Vessels!B602), ""))</f>
        <v/>
      </c>
      <c r="C602" s="21" t="str">
        <f>IF($N$1="Piping", IF(ISBLANK(Piping!C602), "", Piping!C602), IF($N$1="Vessels", IF(ISBLANK(Vessels!C602), "", Vessels!C602), ""))</f>
        <v>Piping</v>
      </c>
      <c r="D602" s="21" t="str">
        <f>IF($N$1="Piping", IF(ISBLANK(Piping!D602), "", Piping!D602), IF($N$1="Vessels", IF(ISBLANK(Vessels!D602), "", Vessels!D602), ""))</f>
        <v/>
      </c>
      <c r="E602" s="21" t="str">
        <f>IF($N$1="Piping", IF(ISBLANK(Piping!E602), "", Piping!E602), IF($N$1="Vessels", IF(ISBLANK(Vessels!E602), "", Vessels!E602), ""))</f>
        <v/>
      </c>
      <c r="F602" s="21" t="str">
        <f>IF($N$1="Piping", IF(ISBLANK(Piping!F602), "", Piping!F602), IF($N$1="Vessels", IF(ISBLANK(Vessels!F602), "", Vessels!F602), ""))</f>
        <v/>
      </c>
      <c r="G602" s="21">
        <f>IF($N$1="Piping", IF(ISBLANK(Piping!G602), "", Piping!G602), IF($N$1="Vessels", IF(ISBLANK(Vessels!G602), "", Vessels!G602), ""))</f>
        <v>0</v>
      </c>
      <c r="H602" s="21" t="str">
        <f>IF($N$1="Piping", IF(ISBLANK(Piping!H602), "", Piping!H602), IF($N$1="Vessels", IF(ISBLANK(Vessels!H602), "", Vessels!H602), ""))</f>
        <v/>
      </c>
      <c r="I602" s="21" t="str">
        <f>IF($N$1="Piping", IF(ISBLANK(Piping!I602), "", Piping!I602), IF($N$1="Vessels", IF(ISBLANK(Vessels!I602), "", Vessels!I602), ""))</f>
        <v/>
      </c>
      <c r="J602" s="21" t="str">
        <f>IF($N$1="Piping", IF(ISBLANK(Piping!J602), "", Piping!J602), IF($N$1="Vessels", IF(ISBLANK(Vessels!J602), "", Vessels!J602), ""))</f>
        <v/>
      </c>
      <c r="K602" s="21" t="str">
        <f>IF($N$1="Piping", IF(ISBLANK(Piping!K602), "", Piping!K602), IF($N$1="Vessels", IF(ISBLANK(Vessels!K602), "", Vessels!K602), ""))</f>
        <v/>
      </c>
      <c r="L602" s="21" t="str">
        <f>IF($N$1="Piping", IF(ISBLANK(Piping!L602), "", Piping!L602), IF($N$1="Vessels", IF(ISBLANK(Vessels!L602), "", Vessels!L602), ""))</f>
        <v/>
      </c>
      <c r="M602" s="21"/>
      <c r="N602" s="21"/>
      <c r="O602" s="21"/>
      <c r="P602" s="21"/>
      <c r="Q602" s="21" t="str">
        <f>IF($N$1="Piping", IF(ISBLANK(Piping!T602), "", Piping!T602), IF($N$1="Vessels", IF(ISBLANK(Vessels!T602), "", Vessels!T602), ""))</f>
        <v/>
      </c>
      <c r="R602" s="51" t="str">
        <f>IF($N$1="Piping", IF(ISBLANK(Piping!U602), "", Piping!U602), IF($N$1="Vessels", IF(ISBLANK(Vessels!U602), "", Vessels!U602), ""))</f>
        <v/>
      </c>
      <c r="S602" s="118" t="str">
        <f>IF(B602&lt;&gt;"",IF($N$1="Piping", IF(ISBLANK(Piping!$J$3), "", Piping!$J$3), IF($N$1="Vessels", IF(ISBLANK(Vessels!$J$3), "", Vessels!$J$3), "")),"")</f>
        <v/>
      </c>
      <c r="T602" s="37"/>
      <c r="U602" s="37"/>
      <c r="V602" s="37"/>
      <c r="W602" s="37"/>
      <c r="X602" s="37"/>
      <c r="Y602" s="37"/>
      <c r="Z602" s="37"/>
    </row>
    <row r="603" spans="1:26" ht="15.75" customHeight="1" x14ac:dyDescent="0.3">
      <c r="A603" s="22">
        <f>IF($N$1="Piping", IF(ISBLANK(Piping!A603), "", Piping!A603), IF($N$1="Vessels", IF(ISBLANK(Vessels!A603), "", Vessels!A603), ""))</f>
        <v>150.19999999999999</v>
      </c>
      <c r="B603" s="21" t="str">
        <f>IF($N$1="Piping", IF(ISBLANK(Piping!B603), "", Piping!B603), IF($N$1="Vessels", IF(ISBLANK(Vessels!B603), "", Vessels!B603), ""))</f>
        <v/>
      </c>
      <c r="C603" s="21" t="str">
        <f>IF($N$1="Piping", IF(ISBLANK(Piping!C603), "", Piping!C603), IF($N$1="Vessels", IF(ISBLANK(Vessels!C603), "", Vessels!C603), ""))</f>
        <v>Piping</v>
      </c>
      <c r="D603" s="21" t="str">
        <f>IF($N$1="Piping", IF(ISBLANK(Piping!D603), "", Piping!D603), IF($N$1="Vessels", IF(ISBLANK(Vessels!D603), "", Vessels!D603), ""))</f>
        <v/>
      </c>
      <c r="E603" s="21" t="str">
        <f>IF($N$1="Piping", IF(ISBLANK(Piping!E603), "", Piping!E603), IF($N$1="Vessels", IF(ISBLANK(Vessels!E603), "", Vessels!E603), ""))</f>
        <v/>
      </c>
      <c r="F603" s="21" t="str">
        <f>IF($N$1="Piping", IF(ISBLANK(Piping!F603), "", Piping!F603), IF($N$1="Vessels", IF(ISBLANK(Vessels!F603), "", Vessels!F603), ""))</f>
        <v/>
      </c>
      <c r="G603" s="21">
        <f>IF($N$1="Piping", IF(ISBLANK(Piping!G603), "", Piping!G603), IF($N$1="Vessels", IF(ISBLANK(Vessels!G603), "", Vessels!G603), ""))</f>
        <v>0</v>
      </c>
      <c r="H603" s="21" t="str">
        <f>IF($N$1="Piping", IF(ISBLANK(Piping!H603), "", Piping!H603), IF($N$1="Vessels", IF(ISBLANK(Vessels!H603), "", Vessels!H603), ""))</f>
        <v/>
      </c>
      <c r="I603" s="21" t="str">
        <f>IF($N$1="Piping", IF(ISBLANK(Piping!I603), "", Piping!I603), IF($N$1="Vessels", IF(ISBLANK(Vessels!I603), "", Vessels!I603), ""))</f>
        <v/>
      </c>
      <c r="J603" s="21" t="str">
        <f>IF($N$1="Piping", IF(ISBLANK(Piping!J603), "", Piping!J603), IF($N$1="Vessels", IF(ISBLANK(Vessels!J603), "", Vessels!J603), ""))</f>
        <v/>
      </c>
      <c r="K603" s="21" t="str">
        <f>IF($N$1="Piping", IF(ISBLANK(Piping!K603), "", Piping!K603), IF($N$1="Vessels", IF(ISBLANK(Vessels!K603), "", Vessels!K603), ""))</f>
        <v/>
      </c>
      <c r="L603" s="21" t="str">
        <f>IF($N$1="Piping", IF(ISBLANK(Piping!L603), "", Piping!L603), IF($N$1="Vessels", IF(ISBLANK(Vessels!L603), "", Vessels!L603), ""))</f>
        <v/>
      </c>
      <c r="M603" s="21"/>
      <c r="N603" s="21"/>
      <c r="O603" s="21"/>
      <c r="P603" s="21"/>
      <c r="Q603" s="21" t="str">
        <f>IF($N$1="Piping", IF(ISBLANK(Piping!T603), "", Piping!T603), IF($N$1="Vessels", IF(ISBLANK(Vessels!T603), "", Vessels!T603), ""))</f>
        <v/>
      </c>
      <c r="R603" s="51" t="str">
        <f>IF($N$1="Piping", IF(ISBLANK(Piping!U603), "", Piping!U603), IF($N$1="Vessels", IF(ISBLANK(Vessels!U603), "", Vessels!U603), ""))</f>
        <v/>
      </c>
      <c r="S603" s="118" t="str">
        <f>IF(B603&lt;&gt;"",IF($N$1="Piping", IF(ISBLANK(Piping!$J$3), "", Piping!$J$3), IF($N$1="Vessels", IF(ISBLANK(Vessels!$J$3), "", Vessels!$J$3), "")),"")</f>
        <v/>
      </c>
      <c r="T603" s="37"/>
      <c r="U603" s="37"/>
      <c r="V603" s="37"/>
      <c r="W603" s="37"/>
      <c r="X603" s="37"/>
      <c r="Y603" s="37"/>
      <c r="Z603" s="37"/>
    </row>
    <row r="604" spans="1:26" ht="15.75" customHeight="1" x14ac:dyDescent="0.3">
      <c r="A604" s="22">
        <f>IF($N$1="Piping", IF(ISBLANK(Piping!A604), "", Piping!A604), IF($N$1="Vessels", IF(ISBLANK(Vessels!A604), "", Vessels!A604), ""))</f>
        <v>150.30000000000001</v>
      </c>
      <c r="B604" s="21" t="str">
        <f>IF($N$1="Piping", IF(ISBLANK(Piping!B604), "", Piping!B604), IF($N$1="Vessels", IF(ISBLANK(Vessels!B604), "", Vessels!B604), ""))</f>
        <v/>
      </c>
      <c r="C604" s="21" t="str">
        <f>IF($N$1="Piping", IF(ISBLANK(Piping!C604), "", Piping!C604), IF($N$1="Vessels", IF(ISBLANK(Vessels!C604), "", Vessels!C604), ""))</f>
        <v>Piping</v>
      </c>
      <c r="D604" s="21" t="str">
        <f>IF($N$1="Piping", IF(ISBLANK(Piping!D604), "", Piping!D604), IF($N$1="Vessels", IF(ISBLANK(Vessels!D604), "", Vessels!D604), ""))</f>
        <v/>
      </c>
      <c r="E604" s="21" t="str">
        <f>IF($N$1="Piping", IF(ISBLANK(Piping!E604), "", Piping!E604), IF($N$1="Vessels", IF(ISBLANK(Vessels!E604), "", Vessels!E604), ""))</f>
        <v/>
      </c>
      <c r="F604" s="21" t="str">
        <f>IF($N$1="Piping", IF(ISBLANK(Piping!F604), "", Piping!F604), IF($N$1="Vessels", IF(ISBLANK(Vessels!F604), "", Vessels!F604), ""))</f>
        <v/>
      </c>
      <c r="G604" s="21">
        <f>IF($N$1="Piping", IF(ISBLANK(Piping!G604), "", Piping!G604), IF($N$1="Vessels", IF(ISBLANK(Vessels!G604), "", Vessels!G604), ""))</f>
        <v>0</v>
      </c>
      <c r="H604" s="21" t="str">
        <f>IF($N$1="Piping", IF(ISBLANK(Piping!H604), "", Piping!H604), IF($N$1="Vessels", IF(ISBLANK(Vessels!H604), "", Vessels!H604), ""))</f>
        <v/>
      </c>
      <c r="I604" s="21" t="str">
        <f>IF($N$1="Piping", IF(ISBLANK(Piping!I604), "", Piping!I604), IF($N$1="Vessels", IF(ISBLANK(Vessels!I604), "", Vessels!I604), ""))</f>
        <v/>
      </c>
      <c r="J604" s="21" t="str">
        <f>IF($N$1="Piping", IF(ISBLANK(Piping!J604), "", Piping!J604), IF($N$1="Vessels", IF(ISBLANK(Vessels!J604), "", Vessels!J604), ""))</f>
        <v/>
      </c>
      <c r="K604" s="21" t="str">
        <f>IF($N$1="Piping", IF(ISBLANK(Piping!K604), "", Piping!K604), IF($N$1="Vessels", IF(ISBLANK(Vessels!K604), "", Vessels!K604), ""))</f>
        <v/>
      </c>
      <c r="L604" s="21" t="str">
        <f>IF($N$1="Piping", IF(ISBLANK(Piping!L604), "", Piping!L604), IF($N$1="Vessels", IF(ISBLANK(Vessels!L604), "", Vessels!L604), ""))</f>
        <v/>
      </c>
      <c r="M604" s="21"/>
      <c r="N604" s="21"/>
      <c r="O604" s="21"/>
      <c r="P604" s="21"/>
      <c r="Q604" s="21" t="str">
        <f>IF($N$1="Piping", IF(ISBLANK(Piping!T604), "", Piping!T604), IF($N$1="Vessels", IF(ISBLANK(Vessels!T604), "", Vessels!T604), ""))</f>
        <v/>
      </c>
      <c r="R604" s="51" t="str">
        <f>IF($N$1="Piping", IF(ISBLANK(Piping!U604), "", Piping!U604), IF($N$1="Vessels", IF(ISBLANK(Vessels!U604), "", Vessels!U604), ""))</f>
        <v/>
      </c>
      <c r="S604" s="118" t="str">
        <f>IF(B604&lt;&gt;"",IF($N$1="Piping", IF(ISBLANK(Piping!$J$3), "", Piping!$J$3), IF($N$1="Vessels", IF(ISBLANK(Vessels!$J$3), "", Vessels!$J$3), "")),"")</f>
        <v/>
      </c>
      <c r="T604" s="37"/>
      <c r="U604" s="37"/>
      <c r="V604" s="37"/>
      <c r="W604" s="37"/>
      <c r="X604" s="37"/>
      <c r="Y604" s="37"/>
      <c r="Z604" s="37"/>
    </row>
    <row r="605" spans="1:26" ht="15.75" customHeight="1" x14ac:dyDescent="0.3">
      <c r="A605" s="22">
        <f>IF($N$1="Piping", IF(ISBLANK(Piping!A605), "", Piping!A605), IF($N$1="Vessels", IF(ISBLANK(Vessels!A605), "", Vessels!A605), ""))</f>
        <v>150.4</v>
      </c>
      <c r="B605" s="21" t="str">
        <f>IF($N$1="Piping", IF(ISBLANK(Piping!B605), "", Piping!B605), IF($N$1="Vessels", IF(ISBLANK(Vessels!B605), "", Vessels!B605), ""))</f>
        <v/>
      </c>
      <c r="C605" s="21" t="str">
        <f>IF($N$1="Piping", IF(ISBLANK(Piping!C605), "", Piping!C605), IF($N$1="Vessels", IF(ISBLANK(Vessels!C605), "", Vessels!C605), ""))</f>
        <v>Piping</v>
      </c>
      <c r="D605" s="21" t="str">
        <f>IF($N$1="Piping", IF(ISBLANK(Piping!D605), "", Piping!D605), IF($N$1="Vessels", IF(ISBLANK(Vessels!D605), "", Vessels!D605), ""))</f>
        <v/>
      </c>
      <c r="E605" s="21" t="str">
        <f>IF($N$1="Piping", IF(ISBLANK(Piping!E605), "", Piping!E605), IF($N$1="Vessels", IF(ISBLANK(Vessels!E605), "", Vessels!E605), ""))</f>
        <v/>
      </c>
      <c r="F605" s="21" t="str">
        <f>IF($N$1="Piping", IF(ISBLANK(Piping!F605), "", Piping!F605), IF($N$1="Vessels", IF(ISBLANK(Vessels!F605), "", Vessels!F605), ""))</f>
        <v/>
      </c>
      <c r="G605" s="21">
        <f>IF($N$1="Piping", IF(ISBLANK(Piping!G605), "", Piping!G605), IF($N$1="Vessels", IF(ISBLANK(Vessels!G605), "", Vessels!G605), ""))</f>
        <v>0</v>
      </c>
      <c r="H605" s="21" t="str">
        <f>IF($N$1="Piping", IF(ISBLANK(Piping!H605), "", Piping!H605), IF($N$1="Vessels", IF(ISBLANK(Vessels!H605), "", Vessels!H605), ""))</f>
        <v/>
      </c>
      <c r="I605" s="21" t="str">
        <f>IF($N$1="Piping", IF(ISBLANK(Piping!I605), "", Piping!I605), IF($N$1="Vessels", IF(ISBLANK(Vessels!I605), "", Vessels!I605), ""))</f>
        <v/>
      </c>
      <c r="J605" s="21" t="str">
        <f>IF($N$1="Piping", IF(ISBLANK(Piping!J605), "", Piping!J605), IF($N$1="Vessels", IF(ISBLANK(Vessels!J605), "", Vessels!J605), ""))</f>
        <v/>
      </c>
      <c r="K605" s="21" t="str">
        <f>IF($N$1="Piping", IF(ISBLANK(Piping!K605), "", Piping!K605), IF($N$1="Vessels", IF(ISBLANK(Vessels!K605), "", Vessels!K605), ""))</f>
        <v/>
      </c>
      <c r="L605" s="21" t="str">
        <f>IF($N$1="Piping", IF(ISBLANK(Piping!L605), "", Piping!L605), IF($N$1="Vessels", IF(ISBLANK(Vessels!L605), "", Vessels!L605), ""))</f>
        <v/>
      </c>
      <c r="M605" s="21"/>
      <c r="N605" s="21"/>
      <c r="O605" s="21"/>
      <c r="P605" s="21"/>
      <c r="Q605" s="21" t="str">
        <f>IF($N$1="Piping", IF(ISBLANK(Piping!T605), "", Piping!T605), IF($N$1="Vessels", IF(ISBLANK(Vessels!T605), "", Vessels!T605), ""))</f>
        <v/>
      </c>
      <c r="R605" s="51" t="str">
        <f>IF($N$1="Piping", IF(ISBLANK(Piping!U605), "", Piping!U605), IF($N$1="Vessels", IF(ISBLANK(Vessels!U605), "", Vessels!U605), ""))</f>
        <v/>
      </c>
      <c r="S605" s="118" t="str">
        <f>IF(B605&lt;&gt;"",IF($N$1="Piping", IF(ISBLANK(Piping!$J$3), "", Piping!$J$3), IF($N$1="Vessels", IF(ISBLANK(Vessels!$J$3), "", Vessels!$J$3), "")),"")</f>
        <v/>
      </c>
      <c r="T605" s="37"/>
      <c r="U605" s="37"/>
      <c r="V605" s="37"/>
      <c r="W605" s="37"/>
      <c r="X605" s="37"/>
      <c r="Y605" s="37"/>
      <c r="Z605" s="37"/>
    </row>
    <row r="606" spans="1:26" ht="15.75" customHeight="1" x14ac:dyDescent="0.3">
      <c r="A606" s="22">
        <f>IF($N$1="Piping", IF(ISBLANK(Piping!A606), "", Piping!A606), IF($N$1="Vessels", IF(ISBLANK(Vessels!A606), "", Vessels!A606), ""))</f>
        <v>151.1</v>
      </c>
      <c r="B606" s="21" t="str">
        <f>IF($N$1="Piping", IF(ISBLANK(Piping!B606), "", Piping!B606), IF($N$1="Vessels", IF(ISBLANK(Vessels!B606), "", Vessels!B606), ""))</f>
        <v/>
      </c>
      <c r="C606" s="21" t="str">
        <f>IF($N$1="Piping", IF(ISBLANK(Piping!C606), "", Piping!C606), IF($N$1="Vessels", IF(ISBLANK(Vessels!C606), "", Vessels!C606), ""))</f>
        <v>Piping</v>
      </c>
      <c r="D606" s="21" t="str">
        <f>IF($N$1="Piping", IF(ISBLANK(Piping!D606), "", Piping!D606), IF($N$1="Vessels", IF(ISBLANK(Vessels!D606), "", Vessels!D606), ""))</f>
        <v/>
      </c>
      <c r="E606" s="21" t="str">
        <f>IF($N$1="Piping", IF(ISBLANK(Piping!E606), "", Piping!E606), IF($N$1="Vessels", IF(ISBLANK(Vessels!E606), "", Vessels!E606), ""))</f>
        <v/>
      </c>
      <c r="F606" s="21" t="str">
        <f>IF($N$1="Piping", IF(ISBLANK(Piping!F606), "", Piping!F606), IF($N$1="Vessels", IF(ISBLANK(Vessels!F606), "", Vessels!F606), ""))</f>
        <v/>
      </c>
      <c r="G606" s="21">
        <f>IF($N$1="Piping", IF(ISBLANK(Piping!G606), "", Piping!G606), IF($N$1="Vessels", IF(ISBLANK(Vessels!G606), "", Vessels!G606), ""))</f>
        <v>0</v>
      </c>
      <c r="H606" s="21" t="str">
        <f>IF($N$1="Piping", IF(ISBLANK(Piping!H606), "", Piping!H606), IF($N$1="Vessels", IF(ISBLANK(Vessels!H606), "", Vessels!H606), ""))</f>
        <v/>
      </c>
      <c r="I606" s="21" t="str">
        <f>IF($N$1="Piping", IF(ISBLANK(Piping!I606), "", Piping!I606), IF($N$1="Vessels", IF(ISBLANK(Vessels!I606), "", Vessels!I606), ""))</f>
        <v/>
      </c>
      <c r="J606" s="21" t="str">
        <f>IF($N$1="Piping", IF(ISBLANK(Piping!J606), "", Piping!J606), IF($N$1="Vessels", IF(ISBLANK(Vessels!J606), "", Vessels!J606), ""))</f>
        <v/>
      </c>
      <c r="K606" s="21" t="str">
        <f>IF($N$1="Piping", IF(ISBLANK(Piping!K606), "", Piping!K606), IF($N$1="Vessels", IF(ISBLANK(Vessels!K606), "", Vessels!K606), ""))</f>
        <v/>
      </c>
      <c r="L606" s="21" t="str">
        <f>IF($N$1="Piping", IF(ISBLANK(Piping!L606), "", Piping!L606), IF($N$1="Vessels", IF(ISBLANK(Vessels!L606), "", Vessels!L606), ""))</f>
        <v/>
      </c>
      <c r="M606" s="21"/>
      <c r="N606" s="21"/>
      <c r="O606" s="21"/>
      <c r="P606" s="21"/>
      <c r="Q606" s="21" t="str">
        <f>IF($N$1="Piping", IF(ISBLANK(Piping!T606), "", Piping!T606), IF($N$1="Vessels", IF(ISBLANK(Vessels!T606), "", Vessels!T606), ""))</f>
        <v/>
      </c>
      <c r="R606" s="51" t="str">
        <f>IF($N$1="Piping", IF(ISBLANK(Piping!U606), "", Piping!U606), IF($N$1="Vessels", IF(ISBLANK(Vessels!U606), "", Vessels!U606), ""))</f>
        <v/>
      </c>
      <c r="S606" s="118" t="str">
        <f>IF(B606&lt;&gt;"",IF($N$1="Piping", IF(ISBLANK(Piping!$J$3), "", Piping!$J$3), IF($N$1="Vessels", IF(ISBLANK(Vessels!$J$3), "", Vessels!$J$3), "")),"")</f>
        <v/>
      </c>
      <c r="T606" s="37"/>
      <c r="U606" s="37"/>
      <c r="V606" s="37"/>
      <c r="W606" s="37"/>
      <c r="X606" s="37"/>
      <c r="Y606" s="37"/>
      <c r="Z606" s="37"/>
    </row>
    <row r="607" spans="1:26" ht="15.75" customHeight="1" x14ac:dyDescent="0.3">
      <c r="A607" s="22">
        <f>IF($N$1="Piping", IF(ISBLANK(Piping!A607), "", Piping!A607), IF($N$1="Vessels", IF(ISBLANK(Vessels!A607), "", Vessels!A607), ""))</f>
        <v>151.19999999999999</v>
      </c>
      <c r="B607" s="21" t="str">
        <f>IF($N$1="Piping", IF(ISBLANK(Piping!B607), "", Piping!B607), IF($N$1="Vessels", IF(ISBLANK(Vessels!B607), "", Vessels!B607), ""))</f>
        <v/>
      </c>
      <c r="C607" s="21" t="str">
        <f>IF($N$1="Piping", IF(ISBLANK(Piping!C607), "", Piping!C607), IF($N$1="Vessels", IF(ISBLANK(Vessels!C607), "", Vessels!C607), ""))</f>
        <v>Piping</v>
      </c>
      <c r="D607" s="21" t="str">
        <f>IF($N$1="Piping", IF(ISBLANK(Piping!D607), "", Piping!D607), IF($N$1="Vessels", IF(ISBLANK(Vessels!D607), "", Vessels!D607), ""))</f>
        <v/>
      </c>
      <c r="E607" s="21" t="str">
        <f>IF($N$1="Piping", IF(ISBLANK(Piping!E607), "", Piping!E607), IF($N$1="Vessels", IF(ISBLANK(Vessels!E607), "", Vessels!E607), ""))</f>
        <v/>
      </c>
      <c r="F607" s="21" t="str">
        <f>IF($N$1="Piping", IF(ISBLANK(Piping!F607), "", Piping!F607), IF($N$1="Vessels", IF(ISBLANK(Vessels!F607), "", Vessels!F607), ""))</f>
        <v/>
      </c>
      <c r="G607" s="21">
        <f>IF($N$1="Piping", IF(ISBLANK(Piping!G607), "", Piping!G607), IF($N$1="Vessels", IF(ISBLANK(Vessels!G607), "", Vessels!G607), ""))</f>
        <v>0</v>
      </c>
      <c r="H607" s="21" t="str">
        <f>IF($N$1="Piping", IF(ISBLANK(Piping!H607), "", Piping!H607), IF($N$1="Vessels", IF(ISBLANK(Vessels!H607), "", Vessels!H607), ""))</f>
        <v/>
      </c>
      <c r="I607" s="21" t="str">
        <f>IF($N$1="Piping", IF(ISBLANK(Piping!I607), "", Piping!I607), IF($N$1="Vessels", IF(ISBLANK(Vessels!I607), "", Vessels!I607), ""))</f>
        <v/>
      </c>
      <c r="J607" s="21" t="str">
        <f>IF($N$1="Piping", IF(ISBLANK(Piping!J607), "", Piping!J607), IF($N$1="Vessels", IF(ISBLANK(Vessels!J607), "", Vessels!J607), ""))</f>
        <v/>
      </c>
      <c r="K607" s="21" t="str">
        <f>IF($N$1="Piping", IF(ISBLANK(Piping!K607), "", Piping!K607), IF($N$1="Vessels", IF(ISBLANK(Vessels!K607), "", Vessels!K607), ""))</f>
        <v/>
      </c>
      <c r="L607" s="21" t="str">
        <f>IF($N$1="Piping", IF(ISBLANK(Piping!L607), "", Piping!L607), IF($N$1="Vessels", IF(ISBLANK(Vessels!L607), "", Vessels!L607), ""))</f>
        <v/>
      </c>
      <c r="M607" s="21"/>
      <c r="N607" s="21"/>
      <c r="O607" s="21"/>
      <c r="P607" s="21"/>
      <c r="Q607" s="21" t="str">
        <f>IF($N$1="Piping", IF(ISBLANK(Piping!T607), "", Piping!T607), IF($N$1="Vessels", IF(ISBLANK(Vessels!T607), "", Vessels!T607), ""))</f>
        <v/>
      </c>
      <c r="R607" s="51" t="str">
        <f>IF($N$1="Piping", IF(ISBLANK(Piping!U607), "", Piping!U607), IF($N$1="Vessels", IF(ISBLANK(Vessels!U607), "", Vessels!U607), ""))</f>
        <v/>
      </c>
      <c r="S607" s="118" t="str">
        <f>IF(B607&lt;&gt;"",IF($N$1="Piping", IF(ISBLANK(Piping!$J$3), "", Piping!$J$3), IF($N$1="Vessels", IF(ISBLANK(Vessels!$J$3), "", Vessels!$J$3), "")),"")</f>
        <v/>
      </c>
      <c r="T607" s="37"/>
      <c r="U607" s="37"/>
      <c r="V607" s="37"/>
      <c r="W607" s="37"/>
      <c r="X607" s="37"/>
      <c r="Y607" s="37"/>
      <c r="Z607" s="37"/>
    </row>
    <row r="608" spans="1:26" ht="15.75" customHeight="1" x14ac:dyDescent="0.3">
      <c r="A608" s="22">
        <f>IF($N$1="Piping", IF(ISBLANK(Piping!A608), "", Piping!A608), IF($N$1="Vessels", IF(ISBLANK(Vessels!A608), "", Vessels!A608), ""))</f>
        <v>151.30000000000001</v>
      </c>
      <c r="B608" s="21" t="str">
        <f>IF($N$1="Piping", IF(ISBLANK(Piping!B608), "", Piping!B608), IF($N$1="Vessels", IF(ISBLANK(Vessels!B608), "", Vessels!B608), ""))</f>
        <v/>
      </c>
      <c r="C608" s="21" t="str">
        <f>IF($N$1="Piping", IF(ISBLANK(Piping!C608), "", Piping!C608), IF($N$1="Vessels", IF(ISBLANK(Vessels!C608), "", Vessels!C608), ""))</f>
        <v>Piping</v>
      </c>
      <c r="D608" s="21" t="str">
        <f>IF($N$1="Piping", IF(ISBLANK(Piping!D608), "", Piping!D608), IF($N$1="Vessels", IF(ISBLANK(Vessels!D608), "", Vessels!D608), ""))</f>
        <v/>
      </c>
      <c r="E608" s="21" t="str">
        <f>IF($N$1="Piping", IF(ISBLANK(Piping!E608), "", Piping!E608), IF($N$1="Vessels", IF(ISBLANK(Vessels!E608), "", Vessels!E608), ""))</f>
        <v/>
      </c>
      <c r="F608" s="21" t="str">
        <f>IF($N$1="Piping", IF(ISBLANK(Piping!F608), "", Piping!F608), IF($N$1="Vessels", IF(ISBLANK(Vessels!F608), "", Vessels!F608), ""))</f>
        <v/>
      </c>
      <c r="G608" s="21">
        <f>IF($N$1="Piping", IF(ISBLANK(Piping!G608), "", Piping!G608), IF($N$1="Vessels", IF(ISBLANK(Vessels!G608), "", Vessels!G608), ""))</f>
        <v>0</v>
      </c>
      <c r="H608" s="21" t="str">
        <f>IF($N$1="Piping", IF(ISBLANK(Piping!H608), "", Piping!H608), IF($N$1="Vessels", IF(ISBLANK(Vessels!H608), "", Vessels!H608), ""))</f>
        <v/>
      </c>
      <c r="I608" s="21" t="str">
        <f>IF($N$1="Piping", IF(ISBLANK(Piping!I608), "", Piping!I608), IF($N$1="Vessels", IF(ISBLANK(Vessels!I608), "", Vessels!I608), ""))</f>
        <v/>
      </c>
      <c r="J608" s="21" t="str">
        <f>IF($N$1="Piping", IF(ISBLANK(Piping!J608), "", Piping!J608), IF($N$1="Vessels", IF(ISBLANK(Vessels!J608), "", Vessels!J608), ""))</f>
        <v/>
      </c>
      <c r="K608" s="21" t="str">
        <f>IF($N$1="Piping", IF(ISBLANK(Piping!K608), "", Piping!K608), IF($N$1="Vessels", IF(ISBLANK(Vessels!K608), "", Vessels!K608), ""))</f>
        <v/>
      </c>
      <c r="L608" s="21" t="str">
        <f>IF($N$1="Piping", IF(ISBLANK(Piping!L608), "", Piping!L608), IF($N$1="Vessels", IF(ISBLANK(Vessels!L608), "", Vessels!L608), ""))</f>
        <v/>
      </c>
      <c r="M608" s="21"/>
      <c r="N608" s="21"/>
      <c r="O608" s="21"/>
      <c r="P608" s="21"/>
      <c r="Q608" s="21" t="str">
        <f>IF($N$1="Piping", IF(ISBLANK(Piping!T608), "", Piping!T608), IF($N$1="Vessels", IF(ISBLANK(Vessels!T608), "", Vessels!T608), ""))</f>
        <v/>
      </c>
      <c r="R608" s="51" t="str">
        <f>IF($N$1="Piping", IF(ISBLANK(Piping!U608), "", Piping!U608), IF($N$1="Vessels", IF(ISBLANK(Vessels!U608), "", Vessels!U608), ""))</f>
        <v/>
      </c>
      <c r="S608" s="118" t="str">
        <f>IF(B608&lt;&gt;"",IF($N$1="Piping", IF(ISBLANK(Piping!$J$3), "", Piping!$J$3), IF($N$1="Vessels", IF(ISBLANK(Vessels!$J$3), "", Vessels!$J$3), "")),"")</f>
        <v/>
      </c>
      <c r="T608" s="37"/>
      <c r="U608" s="37"/>
      <c r="V608" s="37"/>
      <c r="W608" s="37"/>
      <c r="X608" s="37"/>
      <c r="Y608" s="37"/>
      <c r="Z608" s="37"/>
    </row>
    <row r="609" spans="1:26" ht="15.75" customHeight="1" x14ac:dyDescent="0.3">
      <c r="A609" s="22">
        <f>IF($N$1="Piping", IF(ISBLANK(Piping!A609), "", Piping!A609), IF($N$1="Vessels", IF(ISBLANK(Vessels!A609), "", Vessels!A609), ""))</f>
        <v>151.4</v>
      </c>
      <c r="B609" s="21" t="str">
        <f>IF($N$1="Piping", IF(ISBLANK(Piping!B609), "", Piping!B609), IF($N$1="Vessels", IF(ISBLANK(Vessels!B609), "", Vessels!B609), ""))</f>
        <v/>
      </c>
      <c r="C609" s="21" t="str">
        <f>IF($N$1="Piping", IF(ISBLANK(Piping!C609), "", Piping!C609), IF($N$1="Vessels", IF(ISBLANK(Vessels!C609), "", Vessels!C609), ""))</f>
        <v>Piping</v>
      </c>
      <c r="D609" s="21" t="str">
        <f>IF($N$1="Piping", IF(ISBLANK(Piping!D609), "", Piping!D609), IF($N$1="Vessels", IF(ISBLANK(Vessels!D609), "", Vessels!D609), ""))</f>
        <v/>
      </c>
      <c r="E609" s="21" t="str">
        <f>IF($N$1="Piping", IF(ISBLANK(Piping!E609), "", Piping!E609), IF($N$1="Vessels", IF(ISBLANK(Vessels!E609), "", Vessels!E609), ""))</f>
        <v/>
      </c>
      <c r="F609" s="21" t="str">
        <f>IF($N$1="Piping", IF(ISBLANK(Piping!F609), "", Piping!F609), IF($N$1="Vessels", IF(ISBLANK(Vessels!F609), "", Vessels!F609), ""))</f>
        <v/>
      </c>
      <c r="G609" s="21">
        <f>IF($N$1="Piping", IF(ISBLANK(Piping!G609), "", Piping!G609), IF($N$1="Vessels", IF(ISBLANK(Vessels!G609), "", Vessels!G609), ""))</f>
        <v>0</v>
      </c>
      <c r="H609" s="21" t="str">
        <f>IF($N$1="Piping", IF(ISBLANK(Piping!H609), "", Piping!H609), IF($N$1="Vessels", IF(ISBLANK(Vessels!H609), "", Vessels!H609), ""))</f>
        <v/>
      </c>
      <c r="I609" s="21" t="str">
        <f>IF($N$1="Piping", IF(ISBLANK(Piping!I609), "", Piping!I609), IF($N$1="Vessels", IF(ISBLANK(Vessels!I609), "", Vessels!I609), ""))</f>
        <v/>
      </c>
      <c r="J609" s="21" t="str">
        <f>IF($N$1="Piping", IF(ISBLANK(Piping!J609), "", Piping!J609), IF($N$1="Vessels", IF(ISBLANK(Vessels!J609), "", Vessels!J609), ""))</f>
        <v/>
      </c>
      <c r="K609" s="21" t="str">
        <f>IF($N$1="Piping", IF(ISBLANK(Piping!K609), "", Piping!K609), IF($N$1="Vessels", IF(ISBLANK(Vessels!K609), "", Vessels!K609), ""))</f>
        <v/>
      </c>
      <c r="L609" s="21" t="str">
        <f>IF($N$1="Piping", IF(ISBLANK(Piping!L609), "", Piping!L609), IF($N$1="Vessels", IF(ISBLANK(Vessels!L609), "", Vessels!L609), ""))</f>
        <v/>
      </c>
      <c r="M609" s="21"/>
      <c r="N609" s="21"/>
      <c r="O609" s="21"/>
      <c r="P609" s="21"/>
      <c r="Q609" s="21" t="str">
        <f>IF($N$1="Piping", IF(ISBLANK(Piping!T609), "", Piping!T609), IF($N$1="Vessels", IF(ISBLANK(Vessels!T609), "", Vessels!T609), ""))</f>
        <v/>
      </c>
      <c r="R609" s="51" t="str">
        <f>IF($N$1="Piping", IF(ISBLANK(Piping!U609), "", Piping!U609), IF($N$1="Vessels", IF(ISBLANK(Vessels!U609), "", Vessels!U609), ""))</f>
        <v/>
      </c>
      <c r="S609" s="118" t="str">
        <f>IF(B609&lt;&gt;"",IF($N$1="Piping", IF(ISBLANK(Piping!$J$3), "", Piping!$J$3), IF($N$1="Vessels", IF(ISBLANK(Vessels!$J$3), "", Vessels!$J$3), "")),"")</f>
        <v/>
      </c>
      <c r="T609" s="37"/>
      <c r="U609" s="37"/>
      <c r="V609" s="37"/>
      <c r="W609" s="37"/>
      <c r="X609" s="37"/>
      <c r="Y609" s="37"/>
      <c r="Z609" s="37"/>
    </row>
    <row r="610" spans="1:26" ht="15.75" customHeight="1" x14ac:dyDescent="0.3">
      <c r="A610" s="22">
        <f>IF($N$1="Piping", IF(ISBLANK(Piping!A610), "", Piping!A610), IF($N$1="Vessels", IF(ISBLANK(Vessels!A610), "", Vessels!A610), ""))</f>
        <v>152.1</v>
      </c>
      <c r="B610" s="21" t="str">
        <f>IF($N$1="Piping", IF(ISBLANK(Piping!B610), "", Piping!B610), IF($N$1="Vessels", IF(ISBLANK(Vessels!B610), "", Vessels!B610), ""))</f>
        <v/>
      </c>
      <c r="C610" s="21" t="str">
        <f>IF($N$1="Piping", IF(ISBLANK(Piping!C610), "", Piping!C610), IF($N$1="Vessels", IF(ISBLANK(Vessels!C610), "", Vessels!C610), ""))</f>
        <v>Piping</v>
      </c>
      <c r="D610" s="21" t="str">
        <f>IF($N$1="Piping", IF(ISBLANK(Piping!D610), "", Piping!D610), IF($N$1="Vessels", IF(ISBLANK(Vessels!D610), "", Vessels!D610), ""))</f>
        <v/>
      </c>
      <c r="E610" s="21" t="str">
        <f>IF($N$1="Piping", IF(ISBLANK(Piping!E610), "", Piping!E610), IF($N$1="Vessels", IF(ISBLANK(Vessels!E610), "", Vessels!E610), ""))</f>
        <v/>
      </c>
      <c r="F610" s="21" t="str">
        <f>IF($N$1="Piping", IF(ISBLANK(Piping!F610), "", Piping!F610), IF($N$1="Vessels", IF(ISBLANK(Vessels!F610), "", Vessels!F610), ""))</f>
        <v/>
      </c>
      <c r="G610" s="21">
        <f>IF($N$1="Piping", IF(ISBLANK(Piping!G610), "", Piping!G610), IF($N$1="Vessels", IF(ISBLANK(Vessels!G610), "", Vessels!G610), ""))</f>
        <v>0</v>
      </c>
      <c r="H610" s="21" t="str">
        <f>IF($N$1="Piping", IF(ISBLANK(Piping!H610), "", Piping!H610), IF($N$1="Vessels", IF(ISBLANK(Vessels!H610), "", Vessels!H610), ""))</f>
        <v/>
      </c>
      <c r="I610" s="21" t="str">
        <f>IF($N$1="Piping", IF(ISBLANK(Piping!I610), "", Piping!I610), IF($N$1="Vessels", IF(ISBLANK(Vessels!I610), "", Vessels!I610), ""))</f>
        <v/>
      </c>
      <c r="J610" s="21" t="str">
        <f>IF($N$1="Piping", IF(ISBLANK(Piping!J610), "", Piping!J610), IF($N$1="Vessels", IF(ISBLANK(Vessels!J610), "", Vessels!J610), ""))</f>
        <v/>
      </c>
      <c r="K610" s="21" t="str">
        <f>IF($N$1="Piping", IF(ISBLANK(Piping!K610), "", Piping!K610), IF($N$1="Vessels", IF(ISBLANK(Vessels!K610), "", Vessels!K610), ""))</f>
        <v/>
      </c>
      <c r="L610" s="21" t="str">
        <f>IF($N$1="Piping", IF(ISBLANK(Piping!L610), "", Piping!L610), IF($N$1="Vessels", IF(ISBLANK(Vessels!L610), "", Vessels!L610), ""))</f>
        <v/>
      </c>
      <c r="M610" s="21"/>
      <c r="N610" s="21"/>
      <c r="O610" s="21"/>
      <c r="P610" s="21"/>
      <c r="Q610" s="21" t="str">
        <f>IF($N$1="Piping", IF(ISBLANK(Piping!T610), "", Piping!T610), IF($N$1="Vessels", IF(ISBLANK(Vessels!T610), "", Vessels!T610), ""))</f>
        <v/>
      </c>
      <c r="R610" s="51" t="str">
        <f>IF($N$1="Piping", IF(ISBLANK(Piping!U610), "", Piping!U610), IF($N$1="Vessels", IF(ISBLANK(Vessels!U610), "", Vessels!U610), ""))</f>
        <v/>
      </c>
      <c r="S610" s="118" t="str">
        <f>IF(B610&lt;&gt;"",IF($N$1="Piping", IF(ISBLANK(Piping!$J$3), "", Piping!$J$3), IF($N$1="Vessels", IF(ISBLANK(Vessels!$J$3), "", Vessels!$J$3), "")),"")</f>
        <v/>
      </c>
      <c r="T610" s="37"/>
      <c r="U610" s="37"/>
      <c r="V610" s="37"/>
      <c r="W610" s="37"/>
      <c r="X610" s="37"/>
      <c r="Y610" s="37"/>
      <c r="Z610" s="37"/>
    </row>
    <row r="611" spans="1:26" ht="15.75" customHeight="1" x14ac:dyDescent="0.3">
      <c r="A611" s="22">
        <f>IF($N$1="Piping", IF(ISBLANK(Piping!A611), "", Piping!A611), IF($N$1="Vessels", IF(ISBLANK(Vessels!A611), "", Vessels!A611), ""))</f>
        <v>152.19999999999999</v>
      </c>
      <c r="B611" s="21" t="str">
        <f>IF($N$1="Piping", IF(ISBLANK(Piping!B611), "", Piping!B611), IF($N$1="Vessels", IF(ISBLANK(Vessels!B611), "", Vessels!B611), ""))</f>
        <v/>
      </c>
      <c r="C611" s="21" t="str">
        <f>IF($N$1="Piping", IF(ISBLANK(Piping!C611), "", Piping!C611), IF($N$1="Vessels", IF(ISBLANK(Vessels!C611), "", Vessels!C611), ""))</f>
        <v>Piping</v>
      </c>
      <c r="D611" s="21" t="str">
        <f>IF($N$1="Piping", IF(ISBLANK(Piping!D611), "", Piping!D611), IF($N$1="Vessels", IF(ISBLANK(Vessels!D611), "", Vessels!D611), ""))</f>
        <v/>
      </c>
      <c r="E611" s="21" t="str">
        <f>IF($N$1="Piping", IF(ISBLANK(Piping!E611), "", Piping!E611), IF($N$1="Vessels", IF(ISBLANK(Vessels!E611), "", Vessels!E611), ""))</f>
        <v/>
      </c>
      <c r="F611" s="21" t="str">
        <f>IF($N$1="Piping", IF(ISBLANK(Piping!F611), "", Piping!F611), IF($N$1="Vessels", IF(ISBLANK(Vessels!F611), "", Vessels!F611), ""))</f>
        <v/>
      </c>
      <c r="G611" s="21">
        <f>IF($N$1="Piping", IF(ISBLANK(Piping!G611), "", Piping!G611), IF($N$1="Vessels", IF(ISBLANK(Vessels!G611), "", Vessels!G611), ""))</f>
        <v>0</v>
      </c>
      <c r="H611" s="21" t="str">
        <f>IF($N$1="Piping", IF(ISBLANK(Piping!H611), "", Piping!H611), IF($N$1="Vessels", IF(ISBLANK(Vessels!H611), "", Vessels!H611), ""))</f>
        <v/>
      </c>
      <c r="I611" s="21" t="str">
        <f>IF($N$1="Piping", IF(ISBLANK(Piping!I611), "", Piping!I611), IF($N$1="Vessels", IF(ISBLANK(Vessels!I611), "", Vessels!I611), ""))</f>
        <v/>
      </c>
      <c r="J611" s="21" t="str">
        <f>IF($N$1="Piping", IF(ISBLANK(Piping!J611), "", Piping!J611), IF($N$1="Vessels", IF(ISBLANK(Vessels!J611), "", Vessels!J611), ""))</f>
        <v/>
      </c>
      <c r="K611" s="21" t="str">
        <f>IF($N$1="Piping", IF(ISBLANK(Piping!K611), "", Piping!K611), IF($N$1="Vessels", IF(ISBLANK(Vessels!K611), "", Vessels!K611), ""))</f>
        <v/>
      </c>
      <c r="L611" s="21" t="str">
        <f>IF($N$1="Piping", IF(ISBLANK(Piping!L611), "", Piping!L611), IF($N$1="Vessels", IF(ISBLANK(Vessels!L611), "", Vessels!L611), ""))</f>
        <v/>
      </c>
      <c r="M611" s="21"/>
      <c r="N611" s="21"/>
      <c r="O611" s="21"/>
      <c r="P611" s="21"/>
      <c r="Q611" s="21" t="str">
        <f>IF($N$1="Piping", IF(ISBLANK(Piping!T611), "", Piping!T611), IF($N$1="Vessels", IF(ISBLANK(Vessels!T611), "", Vessels!T611), ""))</f>
        <v/>
      </c>
      <c r="R611" s="51" t="str">
        <f>IF($N$1="Piping", IF(ISBLANK(Piping!U611), "", Piping!U611), IF($N$1="Vessels", IF(ISBLANK(Vessels!U611), "", Vessels!U611), ""))</f>
        <v/>
      </c>
      <c r="S611" s="118" t="str">
        <f>IF(B611&lt;&gt;"",IF($N$1="Piping", IF(ISBLANK(Piping!$J$3), "", Piping!$J$3), IF($N$1="Vessels", IF(ISBLANK(Vessels!$J$3), "", Vessels!$J$3), "")),"")</f>
        <v/>
      </c>
      <c r="T611" s="37"/>
      <c r="U611" s="37"/>
      <c r="V611" s="37"/>
      <c r="W611" s="37"/>
      <c r="X611" s="37"/>
      <c r="Y611" s="37"/>
      <c r="Z611" s="37"/>
    </row>
    <row r="612" spans="1:26" ht="15.75" customHeight="1" x14ac:dyDescent="0.3">
      <c r="A612" s="22">
        <f>IF($N$1="Piping", IF(ISBLANK(Piping!A612), "", Piping!A612), IF($N$1="Vessels", IF(ISBLANK(Vessels!A612), "", Vessels!A612), ""))</f>
        <v>152.30000000000001</v>
      </c>
      <c r="B612" s="21" t="str">
        <f>IF($N$1="Piping", IF(ISBLANK(Piping!B612), "", Piping!B612), IF($N$1="Vessels", IF(ISBLANK(Vessels!B612), "", Vessels!B612), ""))</f>
        <v/>
      </c>
      <c r="C612" s="21" t="str">
        <f>IF($N$1="Piping", IF(ISBLANK(Piping!C612), "", Piping!C612), IF($N$1="Vessels", IF(ISBLANK(Vessels!C612), "", Vessels!C612), ""))</f>
        <v>Piping</v>
      </c>
      <c r="D612" s="21" t="str">
        <f>IF($N$1="Piping", IF(ISBLANK(Piping!D612), "", Piping!D612), IF($N$1="Vessels", IF(ISBLANK(Vessels!D612), "", Vessels!D612), ""))</f>
        <v/>
      </c>
      <c r="E612" s="21" t="str">
        <f>IF($N$1="Piping", IF(ISBLANK(Piping!E612), "", Piping!E612), IF($N$1="Vessels", IF(ISBLANK(Vessels!E612), "", Vessels!E612), ""))</f>
        <v/>
      </c>
      <c r="F612" s="21" t="str">
        <f>IF($N$1="Piping", IF(ISBLANK(Piping!F612), "", Piping!F612), IF($N$1="Vessels", IF(ISBLANK(Vessels!F612), "", Vessels!F612), ""))</f>
        <v/>
      </c>
      <c r="G612" s="21">
        <f>IF($N$1="Piping", IF(ISBLANK(Piping!G612), "", Piping!G612), IF($N$1="Vessels", IF(ISBLANK(Vessels!G612), "", Vessels!G612), ""))</f>
        <v>0</v>
      </c>
      <c r="H612" s="21" t="str">
        <f>IF($N$1="Piping", IF(ISBLANK(Piping!H612), "", Piping!H612), IF($N$1="Vessels", IF(ISBLANK(Vessels!H612), "", Vessels!H612), ""))</f>
        <v/>
      </c>
      <c r="I612" s="21" t="str">
        <f>IF($N$1="Piping", IF(ISBLANK(Piping!I612), "", Piping!I612), IF($N$1="Vessels", IF(ISBLANK(Vessels!I612), "", Vessels!I612), ""))</f>
        <v/>
      </c>
      <c r="J612" s="21" t="str">
        <f>IF($N$1="Piping", IF(ISBLANK(Piping!J612), "", Piping!J612), IF($N$1="Vessels", IF(ISBLANK(Vessels!J612), "", Vessels!J612), ""))</f>
        <v/>
      </c>
      <c r="K612" s="21" t="str">
        <f>IF($N$1="Piping", IF(ISBLANK(Piping!K612), "", Piping!K612), IF($N$1="Vessels", IF(ISBLANK(Vessels!K612), "", Vessels!K612), ""))</f>
        <v/>
      </c>
      <c r="L612" s="21" t="str">
        <f>IF($N$1="Piping", IF(ISBLANK(Piping!L612), "", Piping!L612), IF($N$1="Vessels", IF(ISBLANK(Vessels!L612), "", Vessels!L612), ""))</f>
        <v/>
      </c>
      <c r="M612" s="21"/>
      <c r="N612" s="21"/>
      <c r="O612" s="21"/>
      <c r="P612" s="21"/>
      <c r="Q612" s="21" t="str">
        <f>IF($N$1="Piping", IF(ISBLANK(Piping!T612), "", Piping!T612), IF($N$1="Vessels", IF(ISBLANK(Vessels!T612), "", Vessels!T612), ""))</f>
        <v/>
      </c>
      <c r="R612" s="51" t="str">
        <f>IF($N$1="Piping", IF(ISBLANK(Piping!U612), "", Piping!U612), IF($N$1="Vessels", IF(ISBLANK(Vessels!U612), "", Vessels!U612), ""))</f>
        <v/>
      </c>
      <c r="S612" s="118" t="str">
        <f>IF(B612&lt;&gt;"",IF($N$1="Piping", IF(ISBLANK(Piping!$J$3), "", Piping!$J$3), IF($N$1="Vessels", IF(ISBLANK(Vessels!$J$3), "", Vessels!$J$3), "")),"")</f>
        <v/>
      </c>
      <c r="T612" s="37"/>
      <c r="U612" s="37"/>
      <c r="V612" s="37"/>
      <c r="W612" s="37"/>
      <c r="X612" s="37"/>
      <c r="Y612" s="37"/>
      <c r="Z612" s="37"/>
    </row>
    <row r="613" spans="1:26" ht="15.75" customHeight="1" x14ac:dyDescent="0.3">
      <c r="A613" s="22">
        <f>IF($N$1="Piping", IF(ISBLANK(Piping!A613), "", Piping!A613), IF($N$1="Vessels", IF(ISBLANK(Vessels!A613), "", Vessels!A613), ""))</f>
        <v>152.4</v>
      </c>
      <c r="B613" s="21" t="str">
        <f>IF($N$1="Piping", IF(ISBLANK(Piping!B613), "", Piping!B613), IF($N$1="Vessels", IF(ISBLANK(Vessels!B613), "", Vessels!B613), ""))</f>
        <v/>
      </c>
      <c r="C613" s="21" t="str">
        <f>IF($N$1="Piping", IF(ISBLANK(Piping!C613), "", Piping!C613), IF($N$1="Vessels", IF(ISBLANK(Vessels!C613), "", Vessels!C613), ""))</f>
        <v>Piping</v>
      </c>
      <c r="D613" s="21" t="str">
        <f>IF($N$1="Piping", IF(ISBLANK(Piping!D613), "", Piping!D613), IF($N$1="Vessels", IF(ISBLANK(Vessels!D613), "", Vessels!D613), ""))</f>
        <v/>
      </c>
      <c r="E613" s="21" t="str">
        <f>IF($N$1="Piping", IF(ISBLANK(Piping!E613), "", Piping!E613), IF($N$1="Vessels", IF(ISBLANK(Vessels!E613), "", Vessels!E613), ""))</f>
        <v/>
      </c>
      <c r="F613" s="21" t="str">
        <f>IF($N$1="Piping", IF(ISBLANK(Piping!F613), "", Piping!F613), IF($N$1="Vessels", IF(ISBLANK(Vessels!F613), "", Vessels!F613), ""))</f>
        <v/>
      </c>
      <c r="G613" s="21">
        <f>IF($N$1="Piping", IF(ISBLANK(Piping!G613), "", Piping!G613), IF($N$1="Vessels", IF(ISBLANK(Vessels!G613), "", Vessels!G613), ""))</f>
        <v>0</v>
      </c>
      <c r="H613" s="21" t="str">
        <f>IF($N$1="Piping", IF(ISBLANK(Piping!H613), "", Piping!H613), IF($N$1="Vessels", IF(ISBLANK(Vessels!H613), "", Vessels!H613), ""))</f>
        <v/>
      </c>
      <c r="I613" s="21" t="str">
        <f>IF($N$1="Piping", IF(ISBLANK(Piping!I613), "", Piping!I613), IF($N$1="Vessels", IF(ISBLANK(Vessels!I613), "", Vessels!I613), ""))</f>
        <v/>
      </c>
      <c r="J613" s="21" t="str">
        <f>IF($N$1="Piping", IF(ISBLANK(Piping!J613), "", Piping!J613), IF($N$1="Vessels", IF(ISBLANK(Vessels!J613), "", Vessels!J613), ""))</f>
        <v/>
      </c>
      <c r="K613" s="21" t="str">
        <f>IF($N$1="Piping", IF(ISBLANK(Piping!K613), "", Piping!K613), IF($N$1="Vessels", IF(ISBLANK(Vessels!K613), "", Vessels!K613), ""))</f>
        <v/>
      </c>
      <c r="L613" s="21" t="str">
        <f>IF($N$1="Piping", IF(ISBLANK(Piping!L613), "", Piping!L613), IF($N$1="Vessels", IF(ISBLANK(Vessels!L613), "", Vessels!L613), ""))</f>
        <v/>
      </c>
      <c r="M613" s="21"/>
      <c r="N613" s="21"/>
      <c r="O613" s="21"/>
      <c r="P613" s="21"/>
      <c r="Q613" s="21" t="str">
        <f>IF($N$1="Piping", IF(ISBLANK(Piping!T613), "", Piping!T613), IF($N$1="Vessels", IF(ISBLANK(Vessels!T613), "", Vessels!T613), ""))</f>
        <v/>
      </c>
      <c r="R613" s="51" t="str">
        <f>IF($N$1="Piping", IF(ISBLANK(Piping!U613), "", Piping!U613), IF($N$1="Vessels", IF(ISBLANK(Vessels!U613), "", Vessels!U613), ""))</f>
        <v/>
      </c>
      <c r="S613" s="118" t="str">
        <f>IF(B613&lt;&gt;"",IF($N$1="Piping", IF(ISBLANK(Piping!$J$3), "", Piping!$J$3), IF($N$1="Vessels", IF(ISBLANK(Vessels!$J$3), "", Vessels!$J$3), "")),"")</f>
        <v/>
      </c>
      <c r="T613" s="37"/>
      <c r="U613" s="37"/>
      <c r="V613" s="37"/>
      <c r="W613" s="37"/>
      <c r="X613" s="37"/>
      <c r="Y613" s="37"/>
      <c r="Z613" s="37"/>
    </row>
    <row r="614" spans="1:26" ht="15.75" customHeight="1" x14ac:dyDescent="0.3">
      <c r="A614" s="22">
        <f>IF($N$1="Piping", IF(ISBLANK(Piping!A614), "", Piping!A614), IF($N$1="Vessels", IF(ISBLANK(Vessels!A614), "", Vessels!A614), ""))</f>
        <v>153.1</v>
      </c>
      <c r="B614" s="21" t="str">
        <f>IF($N$1="Piping", IF(ISBLANK(Piping!B614), "", Piping!B614), IF($N$1="Vessels", IF(ISBLANK(Vessels!B614), "", Vessels!B614), ""))</f>
        <v/>
      </c>
      <c r="C614" s="21" t="str">
        <f>IF($N$1="Piping", IF(ISBLANK(Piping!C614), "", Piping!C614), IF($N$1="Vessels", IF(ISBLANK(Vessels!C614), "", Vessels!C614), ""))</f>
        <v>Piping</v>
      </c>
      <c r="D614" s="21" t="str">
        <f>IF($N$1="Piping", IF(ISBLANK(Piping!D614), "", Piping!D614), IF($N$1="Vessels", IF(ISBLANK(Vessels!D614), "", Vessels!D614), ""))</f>
        <v/>
      </c>
      <c r="E614" s="21" t="str">
        <f>IF($N$1="Piping", IF(ISBLANK(Piping!E614), "", Piping!E614), IF($N$1="Vessels", IF(ISBLANK(Vessels!E614), "", Vessels!E614), ""))</f>
        <v/>
      </c>
      <c r="F614" s="21" t="str">
        <f>IF($N$1="Piping", IF(ISBLANK(Piping!F614), "", Piping!F614), IF($N$1="Vessels", IF(ISBLANK(Vessels!F614), "", Vessels!F614), ""))</f>
        <v/>
      </c>
      <c r="G614" s="21">
        <f>IF($N$1="Piping", IF(ISBLANK(Piping!G614), "", Piping!G614), IF($N$1="Vessels", IF(ISBLANK(Vessels!G614), "", Vessels!G614), ""))</f>
        <v>0</v>
      </c>
      <c r="H614" s="21" t="str">
        <f>IF($N$1="Piping", IF(ISBLANK(Piping!H614), "", Piping!H614), IF($N$1="Vessels", IF(ISBLANK(Vessels!H614), "", Vessels!H614), ""))</f>
        <v/>
      </c>
      <c r="I614" s="21" t="str">
        <f>IF($N$1="Piping", IF(ISBLANK(Piping!I614), "", Piping!I614), IF($N$1="Vessels", IF(ISBLANK(Vessels!I614), "", Vessels!I614), ""))</f>
        <v/>
      </c>
      <c r="J614" s="21" t="str">
        <f>IF($N$1="Piping", IF(ISBLANK(Piping!J614), "", Piping!J614), IF($N$1="Vessels", IF(ISBLANK(Vessels!J614), "", Vessels!J614), ""))</f>
        <v/>
      </c>
      <c r="K614" s="21" t="str">
        <f>IF($N$1="Piping", IF(ISBLANK(Piping!K614), "", Piping!K614), IF($N$1="Vessels", IF(ISBLANK(Vessels!K614), "", Vessels!K614), ""))</f>
        <v/>
      </c>
      <c r="L614" s="21" t="str">
        <f>IF($N$1="Piping", IF(ISBLANK(Piping!L614), "", Piping!L614), IF($N$1="Vessels", IF(ISBLANK(Vessels!L614), "", Vessels!L614), ""))</f>
        <v/>
      </c>
      <c r="M614" s="21"/>
      <c r="N614" s="21"/>
      <c r="O614" s="21"/>
      <c r="P614" s="21"/>
      <c r="Q614" s="21" t="str">
        <f>IF($N$1="Piping", IF(ISBLANK(Piping!T614), "", Piping!T614), IF($N$1="Vessels", IF(ISBLANK(Vessels!T614), "", Vessels!T614), ""))</f>
        <v/>
      </c>
      <c r="R614" s="51" t="str">
        <f>IF($N$1="Piping", IF(ISBLANK(Piping!U614), "", Piping!U614), IF($N$1="Vessels", IF(ISBLANK(Vessels!U614), "", Vessels!U614), ""))</f>
        <v/>
      </c>
      <c r="S614" s="118" t="str">
        <f>IF(B614&lt;&gt;"",IF($N$1="Piping", IF(ISBLANK(Piping!$J$3), "", Piping!$J$3), IF($N$1="Vessels", IF(ISBLANK(Vessels!$J$3), "", Vessels!$J$3), "")),"")</f>
        <v/>
      </c>
      <c r="T614" s="37"/>
      <c r="U614" s="37"/>
      <c r="V614" s="37"/>
      <c r="W614" s="37"/>
      <c r="X614" s="37"/>
      <c r="Y614" s="37"/>
      <c r="Z614" s="37"/>
    </row>
    <row r="615" spans="1:26" ht="15.75" customHeight="1" x14ac:dyDescent="0.3">
      <c r="A615" s="22">
        <f>IF($N$1="Piping", IF(ISBLANK(Piping!A615), "", Piping!A615), IF($N$1="Vessels", IF(ISBLANK(Vessels!A615), "", Vessels!A615), ""))</f>
        <v>153.19999999999999</v>
      </c>
      <c r="B615" s="21" t="str">
        <f>IF($N$1="Piping", IF(ISBLANK(Piping!B615), "", Piping!B615), IF($N$1="Vessels", IF(ISBLANK(Vessels!B615), "", Vessels!B615), ""))</f>
        <v/>
      </c>
      <c r="C615" s="21" t="str">
        <f>IF($N$1="Piping", IF(ISBLANK(Piping!C615), "", Piping!C615), IF($N$1="Vessels", IF(ISBLANK(Vessels!C615), "", Vessels!C615), ""))</f>
        <v>Piping</v>
      </c>
      <c r="D615" s="21" t="str">
        <f>IF($N$1="Piping", IF(ISBLANK(Piping!D615), "", Piping!D615), IF($N$1="Vessels", IF(ISBLANK(Vessels!D615), "", Vessels!D615), ""))</f>
        <v/>
      </c>
      <c r="E615" s="21" t="str">
        <f>IF($N$1="Piping", IF(ISBLANK(Piping!E615), "", Piping!E615), IF($N$1="Vessels", IF(ISBLANK(Vessels!E615), "", Vessels!E615), ""))</f>
        <v/>
      </c>
      <c r="F615" s="21" t="str">
        <f>IF($N$1="Piping", IF(ISBLANK(Piping!F615), "", Piping!F615), IF($N$1="Vessels", IF(ISBLANK(Vessels!F615), "", Vessels!F615), ""))</f>
        <v/>
      </c>
      <c r="G615" s="21">
        <f>IF($N$1="Piping", IF(ISBLANK(Piping!G615), "", Piping!G615), IF($N$1="Vessels", IF(ISBLANK(Vessels!G615), "", Vessels!G615), ""))</f>
        <v>0</v>
      </c>
      <c r="H615" s="21" t="str">
        <f>IF($N$1="Piping", IF(ISBLANK(Piping!H615), "", Piping!H615), IF($N$1="Vessels", IF(ISBLANK(Vessels!H615), "", Vessels!H615), ""))</f>
        <v/>
      </c>
      <c r="I615" s="21" t="str">
        <f>IF($N$1="Piping", IF(ISBLANK(Piping!I615), "", Piping!I615), IF($N$1="Vessels", IF(ISBLANK(Vessels!I615), "", Vessels!I615), ""))</f>
        <v/>
      </c>
      <c r="J615" s="21" t="str">
        <f>IF($N$1="Piping", IF(ISBLANK(Piping!J615), "", Piping!J615), IF($N$1="Vessels", IF(ISBLANK(Vessels!J615), "", Vessels!J615), ""))</f>
        <v/>
      </c>
      <c r="K615" s="21" t="str">
        <f>IF($N$1="Piping", IF(ISBLANK(Piping!K615), "", Piping!K615), IF($N$1="Vessels", IF(ISBLANK(Vessels!K615), "", Vessels!K615), ""))</f>
        <v/>
      </c>
      <c r="L615" s="21" t="str">
        <f>IF($N$1="Piping", IF(ISBLANK(Piping!L615), "", Piping!L615), IF($N$1="Vessels", IF(ISBLANK(Vessels!L615), "", Vessels!L615), ""))</f>
        <v/>
      </c>
      <c r="M615" s="21"/>
      <c r="N615" s="21"/>
      <c r="O615" s="21"/>
      <c r="P615" s="21"/>
      <c r="Q615" s="21" t="str">
        <f>IF($N$1="Piping", IF(ISBLANK(Piping!T615), "", Piping!T615), IF($N$1="Vessels", IF(ISBLANK(Vessels!T615), "", Vessels!T615), ""))</f>
        <v/>
      </c>
      <c r="R615" s="51" t="str">
        <f>IF($N$1="Piping", IF(ISBLANK(Piping!U615), "", Piping!U615), IF($N$1="Vessels", IF(ISBLANK(Vessels!U615), "", Vessels!U615), ""))</f>
        <v/>
      </c>
      <c r="S615" s="118" t="str">
        <f>IF(B615&lt;&gt;"",IF($N$1="Piping", IF(ISBLANK(Piping!$J$3), "", Piping!$J$3), IF($N$1="Vessels", IF(ISBLANK(Vessels!$J$3), "", Vessels!$J$3), "")),"")</f>
        <v/>
      </c>
      <c r="T615" s="37"/>
      <c r="U615" s="37"/>
      <c r="V615" s="37"/>
      <c r="W615" s="37"/>
      <c r="X615" s="37"/>
      <c r="Y615" s="37"/>
      <c r="Z615" s="37"/>
    </row>
    <row r="616" spans="1:26" ht="15.75" customHeight="1" x14ac:dyDescent="0.3">
      <c r="A616" s="22">
        <f>IF($N$1="Piping", IF(ISBLANK(Piping!A616), "", Piping!A616), IF($N$1="Vessels", IF(ISBLANK(Vessels!A616), "", Vessels!A616), ""))</f>
        <v>153.30000000000001</v>
      </c>
      <c r="B616" s="21" t="str">
        <f>IF($N$1="Piping", IF(ISBLANK(Piping!B616), "", Piping!B616), IF($N$1="Vessels", IF(ISBLANK(Vessels!B616), "", Vessels!B616), ""))</f>
        <v/>
      </c>
      <c r="C616" s="21" t="str">
        <f>IF($N$1="Piping", IF(ISBLANK(Piping!C616), "", Piping!C616), IF($N$1="Vessels", IF(ISBLANK(Vessels!C616), "", Vessels!C616), ""))</f>
        <v>Piping</v>
      </c>
      <c r="D616" s="21" t="str">
        <f>IF($N$1="Piping", IF(ISBLANK(Piping!D616), "", Piping!D616), IF($N$1="Vessels", IF(ISBLANK(Vessels!D616), "", Vessels!D616), ""))</f>
        <v/>
      </c>
      <c r="E616" s="21" t="str">
        <f>IF($N$1="Piping", IF(ISBLANK(Piping!E616), "", Piping!E616), IF($N$1="Vessels", IF(ISBLANK(Vessels!E616), "", Vessels!E616), ""))</f>
        <v/>
      </c>
      <c r="F616" s="21" t="str">
        <f>IF($N$1="Piping", IF(ISBLANK(Piping!F616), "", Piping!F616), IF($N$1="Vessels", IF(ISBLANK(Vessels!F616), "", Vessels!F616), ""))</f>
        <v/>
      </c>
      <c r="G616" s="21">
        <f>IF($N$1="Piping", IF(ISBLANK(Piping!G616), "", Piping!G616), IF($N$1="Vessels", IF(ISBLANK(Vessels!G616), "", Vessels!G616), ""))</f>
        <v>0</v>
      </c>
      <c r="H616" s="21" t="str">
        <f>IF($N$1="Piping", IF(ISBLANK(Piping!H616), "", Piping!H616), IF($N$1="Vessels", IF(ISBLANK(Vessels!H616), "", Vessels!H616), ""))</f>
        <v/>
      </c>
      <c r="I616" s="21" t="str">
        <f>IF($N$1="Piping", IF(ISBLANK(Piping!I616), "", Piping!I616), IF($N$1="Vessels", IF(ISBLANK(Vessels!I616), "", Vessels!I616), ""))</f>
        <v/>
      </c>
      <c r="J616" s="21" t="str">
        <f>IF($N$1="Piping", IF(ISBLANK(Piping!J616), "", Piping!J616), IF($N$1="Vessels", IF(ISBLANK(Vessels!J616), "", Vessels!J616), ""))</f>
        <v/>
      </c>
      <c r="K616" s="21" t="str">
        <f>IF($N$1="Piping", IF(ISBLANK(Piping!K616), "", Piping!K616), IF($N$1="Vessels", IF(ISBLANK(Vessels!K616), "", Vessels!K616), ""))</f>
        <v/>
      </c>
      <c r="L616" s="21" t="str">
        <f>IF($N$1="Piping", IF(ISBLANK(Piping!L616), "", Piping!L616), IF($N$1="Vessels", IF(ISBLANK(Vessels!L616), "", Vessels!L616), ""))</f>
        <v/>
      </c>
      <c r="M616" s="21"/>
      <c r="N616" s="21"/>
      <c r="O616" s="21"/>
      <c r="P616" s="21"/>
      <c r="Q616" s="21" t="str">
        <f>IF($N$1="Piping", IF(ISBLANK(Piping!T616), "", Piping!T616), IF($N$1="Vessels", IF(ISBLANK(Vessels!T616), "", Vessels!T616), ""))</f>
        <v/>
      </c>
      <c r="R616" s="51" t="str">
        <f>IF($N$1="Piping", IF(ISBLANK(Piping!U616), "", Piping!U616), IF($N$1="Vessels", IF(ISBLANK(Vessels!U616), "", Vessels!U616), ""))</f>
        <v/>
      </c>
      <c r="S616" s="118" t="str">
        <f>IF(B616&lt;&gt;"",IF($N$1="Piping", IF(ISBLANK(Piping!$J$3), "", Piping!$J$3), IF($N$1="Vessels", IF(ISBLANK(Vessels!$J$3), "", Vessels!$J$3), "")),"")</f>
        <v/>
      </c>
      <c r="T616" s="37"/>
      <c r="U616" s="37"/>
      <c r="V616" s="37"/>
      <c r="W616" s="37"/>
      <c r="X616" s="37"/>
      <c r="Y616" s="37"/>
      <c r="Z616" s="37"/>
    </row>
    <row r="617" spans="1:26" ht="15.75" customHeight="1" x14ac:dyDescent="0.3">
      <c r="A617" s="22">
        <f>IF($N$1="Piping", IF(ISBLANK(Piping!A617), "", Piping!A617), IF($N$1="Vessels", IF(ISBLANK(Vessels!A617), "", Vessels!A617), ""))</f>
        <v>153.4</v>
      </c>
      <c r="B617" s="21" t="str">
        <f>IF($N$1="Piping", IF(ISBLANK(Piping!B617), "", Piping!B617), IF($N$1="Vessels", IF(ISBLANK(Vessels!B617), "", Vessels!B617), ""))</f>
        <v/>
      </c>
      <c r="C617" s="21" t="str">
        <f>IF($N$1="Piping", IF(ISBLANK(Piping!C617), "", Piping!C617), IF($N$1="Vessels", IF(ISBLANK(Vessels!C617), "", Vessels!C617), ""))</f>
        <v>Piping</v>
      </c>
      <c r="D617" s="21" t="str">
        <f>IF($N$1="Piping", IF(ISBLANK(Piping!D617), "", Piping!D617), IF($N$1="Vessels", IF(ISBLANK(Vessels!D617), "", Vessels!D617), ""))</f>
        <v/>
      </c>
      <c r="E617" s="21" t="str">
        <f>IF($N$1="Piping", IF(ISBLANK(Piping!E617), "", Piping!E617), IF($N$1="Vessels", IF(ISBLANK(Vessels!E617), "", Vessels!E617), ""))</f>
        <v/>
      </c>
      <c r="F617" s="21" t="str">
        <f>IF($N$1="Piping", IF(ISBLANK(Piping!F617), "", Piping!F617), IF($N$1="Vessels", IF(ISBLANK(Vessels!F617), "", Vessels!F617), ""))</f>
        <v/>
      </c>
      <c r="G617" s="21">
        <f>IF($N$1="Piping", IF(ISBLANK(Piping!G617), "", Piping!G617), IF($N$1="Vessels", IF(ISBLANK(Vessels!G617), "", Vessels!G617), ""))</f>
        <v>0</v>
      </c>
      <c r="H617" s="21" t="str">
        <f>IF($N$1="Piping", IF(ISBLANK(Piping!H617), "", Piping!H617), IF($N$1="Vessels", IF(ISBLANK(Vessels!H617), "", Vessels!H617), ""))</f>
        <v/>
      </c>
      <c r="I617" s="21" t="str">
        <f>IF($N$1="Piping", IF(ISBLANK(Piping!I617), "", Piping!I617), IF($N$1="Vessels", IF(ISBLANK(Vessels!I617), "", Vessels!I617), ""))</f>
        <v/>
      </c>
      <c r="J617" s="21" t="str">
        <f>IF($N$1="Piping", IF(ISBLANK(Piping!J617), "", Piping!J617), IF($N$1="Vessels", IF(ISBLANK(Vessels!J617), "", Vessels!J617), ""))</f>
        <v/>
      </c>
      <c r="K617" s="21" t="str">
        <f>IF($N$1="Piping", IF(ISBLANK(Piping!K617), "", Piping!K617), IF($N$1="Vessels", IF(ISBLANK(Vessels!K617), "", Vessels!K617), ""))</f>
        <v/>
      </c>
      <c r="L617" s="21" t="str">
        <f>IF($N$1="Piping", IF(ISBLANK(Piping!L617), "", Piping!L617), IF($N$1="Vessels", IF(ISBLANK(Vessels!L617), "", Vessels!L617), ""))</f>
        <v/>
      </c>
      <c r="M617" s="21"/>
      <c r="N617" s="21"/>
      <c r="O617" s="21"/>
      <c r="P617" s="21"/>
      <c r="Q617" s="21" t="str">
        <f>IF($N$1="Piping", IF(ISBLANK(Piping!T617), "", Piping!T617), IF($N$1="Vessels", IF(ISBLANK(Vessels!T617), "", Vessels!T617), ""))</f>
        <v/>
      </c>
      <c r="R617" s="51" t="str">
        <f>IF($N$1="Piping", IF(ISBLANK(Piping!U617), "", Piping!U617), IF($N$1="Vessels", IF(ISBLANK(Vessels!U617), "", Vessels!U617), ""))</f>
        <v/>
      </c>
      <c r="S617" s="118" t="str">
        <f>IF(B617&lt;&gt;"",IF($N$1="Piping", IF(ISBLANK(Piping!$J$3), "", Piping!$J$3), IF($N$1="Vessels", IF(ISBLANK(Vessels!$J$3), "", Vessels!$J$3), "")),"")</f>
        <v/>
      </c>
      <c r="T617" s="37"/>
      <c r="U617" s="37"/>
      <c r="V617" s="37"/>
      <c r="W617" s="37"/>
      <c r="X617" s="37"/>
      <c r="Y617" s="37"/>
      <c r="Z617" s="37"/>
    </row>
    <row r="618" spans="1:26" ht="15.75" customHeight="1" x14ac:dyDescent="0.3">
      <c r="A618" s="22">
        <f>IF($N$1="Piping", IF(ISBLANK(Piping!A618), "", Piping!A618), IF($N$1="Vessels", IF(ISBLANK(Vessels!A618), "", Vessels!A618), ""))</f>
        <v>154.1</v>
      </c>
      <c r="B618" s="21" t="str">
        <f>IF($N$1="Piping", IF(ISBLANK(Piping!B618), "", Piping!B618), IF($N$1="Vessels", IF(ISBLANK(Vessels!B618), "", Vessels!B618), ""))</f>
        <v/>
      </c>
      <c r="C618" s="21" t="str">
        <f>IF($N$1="Piping", IF(ISBLANK(Piping!C618), "", Piping!C618), IF($N$1="Vessels", IF(ISBLANK(Vessels!C618), "", Vessels!C618), ""))</f>
        <v>Piping</v>
      </c>
      <c r="D618" s="21" t="str">
        <f>IF($N$1="Piping", IF(ISBLANK(Piping!D618), "", Piping!D618), IF($N$1="Vessels", IF(ISBLANK(Vessels!D618), "", Vessels!D618), ""))</f>
        <v/>
      </c>
      <c r="E618" s="21" t="str">
        <f>IF($N$1="Piping", IF(ISBLANK(Piping!E618), "", Piping!E618), IF($N$1="Vessels", IF(ISBLANK(Vessels!E618), "", Vessels!E618), ""))</f>
        <v/>
      </c>
      <c r="F618" s="21" t="str">
        <f>IF($N$1="Piping", IF(ISBLANK(Piping!F618), "", Piping!F618), IF($N$1="Vessels", IF(ISBLANK(Vessels!F618), "", Vessels!F618), ""))</f>
        <v/>
      </c>
      <c r="G618" s="21">
        <f>IF($N$1="Piping", IF(ISBLANK(Piping!G618), "", Piping!G618), IF($N$1="Vessels", IF(ISBLANK(Vessels!G618), "", Vessels!G618), ""))</f>
        <v>0</v>
      </c>
      <c r="H618" s="21" t="str">
        <f>IF($N$1="Piping", IF(ISBLANK(Piping!H618), "", Piping!H618), IF($N$1="Vessels", IF(ISBLANK(Vessels!H618), "", Vessels!H618), ""))</f>
        <v/>
      </c>
      <c r="I618" s="21" t="str">
        <f>IF($N$1="Piping", IF(ISBLANK(Piping!I618), "", Piping!I618), IF($N$1="Vessels", IF(ISBLANK(Vessels!I618), "", Vessels!I618), ""))</f>
        <v/>
      </c>
      <c r="J618" s="21" t="str">
        <f>IF($N$1="Piping", IF(ISBLANK(Piping!J618), "", Piping!J618), IF($N$1="Vessels", IF(ISBLANK(Vessels!J618), "", Vessels!J618), ""))</f>
        <v/>
      </c>
      <c r="K618" s="21" t="str">
        <f>IF($N$1="Piping", IF(ISBLANK(Piping!K618), "", Piping!K618), IF($N$1="Vessels", IF(ISBLANK(Vessels!K618), "", Vessels!K618), ""))</f>
        <v/>
      </c>
      <c r="L618" s="21" t="str">
        <f>IF($N$1="Piping", IF(ISBLANK(Piping!L618), "", Piping!L618), IF($N$1="Vessels", IF(ISBLANK(Vessels!L618), "", Vessels!L618), ""))</f>
        <v/>
      </c>
      <c r="M618" s="21"/>
      <c r="N618" s="21"/>
      <c r="O618" s="21"/>
      <c r="P618" s="21"/>
      <c r="Q618" s="21" t="str">
        <f>IF($N$1="Piping", IF(ISBLANK(Piping!T618), "", Piping!T618), IF($N$1="Vessels", IF(ISBLANK(Vessels!T618), "", Vessels!T618), ""))</f>
        <v/>
      </c>
      <c r="R618" s="51" t="str">
        <f>IF($N$1="Piping", IF(ISBLANK(Piping!U618), "", Piping!U618), IF($N$1="Vessels", IF(ISBLANK(Vessels!U618), "", Vessels!U618), ""))</f>
        <v/>
      </c>
      <c r="S618" s="118" t="str">
        <f>IF(B618&lt;&gt;"",IF($N$1="Piping", IF(ISBLANK(Piping!$J$3), "", Piping!$J$3), IF($N$1="Vessels", IF(ISBLANK(Vessels!$J$3), "", Vessels!$J$3), "")),"")</f>
        <v/>
      </c>
      <c r="T618" s="37"/>
      <c r="U618" s="37"/>
      <c r="V618" s="37"/>
      <c r="W618" s="37"/>
      <c r="X618" s="37"/>
      <c r="Y618" s="37"/>
      <c r="Z618" s="37"/>
    </row>
    <row r="619" spans="1:26" ht="15.75" customHeight="1" x14ac:dyDescent="0.3">
      <c r="A619" s="22">
        <f>IF($N$1="Piping", IF(ISBLANK(Piping!A619), "", Piping!A619), IF($N$1="Vessels", IF(ISBLANK(Vessels!A619), "", Vessels!A619), ""))</f>
        <v>154.19999999999999</v>
      </c>
      <c r="B619" s="21" t="str">
        <f>IF($N$1="Piping", IF(ISBLANK(Piping!B619), "", Piping!B619), IF($N$1="Vessels", IF(ISBLANK(Vessels!B619), "", Vessels!B619), ""))</f>
        <v/>
      </c>
      <c r="C619" s="21" t="str">
        <f>IF($N$1="Piping", IF(ISBLANK(Piping!C619), "", Piping!C619), IF($N$1="Vessels", IF(ISBLANK(Vessels!C619), "", Vessels!C619), ""))</f>
        <v>Piping</v>
      </c>
      <c r="D619" s="21" t="str">
        <f>IF($N$1="Piping", IF(ISBLANK(Piping!D619), "", Piping!D619), IF($N$1="Vessels", IF(ISBLANK(Vessels!D619), "", Vessels!D619), ""))</f>
        <v/>
      </c>
      <c r="E619" s="21" t="str">
        <f>IF($N$1="Piping", IF(ISBLANK(Piping!E619), "", Piping!E619), IF($N$1="Vessels", IF(ISBLANK(Vessels!E619), "", Vessels!E619), ""))</f>
        <v/>
      </c>
      <c r="F619" s="21" t="str">
        <f>IF($N$1="Piping", IF(ISBLANK(Piping!F619), "", Piping!F619), IF($N$1="Vessels", IF(ISBLANK(Vessels!F619), "", Vessels!F619), ""))</f>
        <v/>
      </c>
      <c r="G619" s="21">
        <f>IF($N$1="Piping", IF(ISBLANK(Piping!G619), "", Piping!G619), IF($N$1="Vessels", IF(ISBLANK(Vessels!G619), "", Vessels!G619), ""))</f>
        <v>0</v>
      </c>
      <c r="H619" s="21" t="str">
        <f>IF($N$1="Piping", IF(ISBLANK(Piping!H619), "", Piping!H619), IF($N$1="Vessels", IF(ISBLANK(Vessels!H619), "", Vessels!H619), ""))</f>
        <v/>
      </c>
      <c r="I619" s="21" t="str">
        <f>IF($N$1="Piping", IF(ISBLANK(Piping!I619), "", Piping!I619), IF($N$1="Vessels", IF(ISBLANK(Vessels!I619), "", Vessels!I619), ""))</f>
        <v/>
      </c>
      <c r="J619" s="21" t="str">
        <f>IF($N$1="Piping", IF(ISBLANK(Piping!J619), "", Piping!J619), IF($N$1="Vessels", IF(ISBLANK(Vessels!J619), "", Vessels!J619), ""))</f>
        <v/>
      </c>
      <c r="K619" s="21" t="str">
        <f>IF($N$1="Piping", IF(ISBLANK(Piping!K619), "", Piping!K619), IF($N$1="Vessels", IF(ISBLANK(Vessels!K619), "", Vessels!K619), ""))</f>
        <v/>
      </c>
      <c r="L619" s="21" t="str">
        <f>IF($N$1="Piping", IF(ISBLANK(Piping!L619), "", Piping!L619), IF($N$1="Vessels", IF(ISBLANK(Vessels!L619), "", Vessels!L619), ""))</f>
        <v/>
      </c>
      <c r="M619" s="21"/>
      <c r="N619" s="21"/>
      <c r="O619" s="21"/>
      <c r="P619" s="21"/>
      <c r="Q619" s="21" t="str">
        <f>IF($N$1="Piping", IF(ISBLANK(Piping!T619), "", Piping!T619), IF($N$1="Vessels", IF(ISBLANK(Vessels!T619), "", Vessels!T619), ""))</f>
        <v/>
      </c>
      <c r="R619" s="51" t="str">
        <f>IF($N$1="Piping", IF(ISBLANK(Piping!U619), "", Piping!U619), IF($N$1="Vessels", IF(ISBLANK(Vessels!U619), "", Vessels!U619), ""))</f>
        <v/>
      </c>
      <c r="S619" s="118" t="str">
        <f>IF(B619&lt;&gt;"",IF($N$1="Piping", IF(ISBLANK(Piping!$J$3), "", Piping!$J$3), IF($N$1="Vessels", IF(ISBLANK(Vessels!$J$3), "", Vessels!$J$3), "")),"")</f>
        <v/>
      </c>
      <c r="T619" s="37"/>
      <c r="U619" s="37"/>
      <c r="V619" s="37"/>
      <c r="W619" s="37"/>
      <c r="X619" s="37"/>
      <c r="Y619" s="37"/>
      <c r="Z619" s="37"/>
    </row>
    <row r="620" spans="1:26" ht="15.75" customHeight="1" x14ac:dyDescent="0.3">
      <c r="A620" s="22">
        <f>IF($N$1="Piping", IF(ISBLANK(Piping!A620), "", Piping!A620), IF($N$1="Vessels", IF(ISBLANK(Vessels!A620), "", Vessels!A620), ""))</f>
        <v>154.30000000000001</v>
      </c>
      <c r="B620" s="21" t="str">
        <f>IF($N$1="Piping", IF(ISBLANK(Piping!B620), "", Piping!B620), IF($N$1="Vessels", IF(ISBLANK(Vessels!B620), "", Vessels!B620), ""))</f>
        <v/>
      </c>
      <c r="C620" s="21" t="str">
        <f>IF($N$1="Piping", IF(ISBLANK(Piping!C620), "", Piping!C620), IF($N$1="Vessels", IF(ISBLANK(Vessels!C620), "", Vessels!C620), ""))</f>
        <v>Piping</v>
      </c>
      <c r="D620" s="21" t="str">
        <f>IF($N$1="Piping", IF(ISBLANK(Piping!D620), "", Piping!D620), IF($N$1="Vessels", IF(ISBLANK(Vessels!D620), "", Vessels!D620), ""))</f>
        <v/>
      </c>
      <c r="E620" s="21" t="str">
        <f>IF($N$1="Piping", IF(ISBLANK(Piping!E620), "", Piping!E620), IF($N$1="Vessels", IF(ISBLANK(Vessels!E620), "", Vessels!E620), ""))</f>
        <v/>
      </c>
      <c r="F620" s="21" t="str">
        <f>IF($N$1="Piping", IF(ISBLANK(Piping!F620), "", Piping!F620), IF($N$1="Vessels", IF(ISBLANK(Vessels!F620), "", Vessels!F620), ""))</f>
        <v/>
      </c>
      <c r="G620" s="21">
        <f>IF($N$1="Piping", IF(ISBLANK(Piping!G620), "", Piping!G620), IF($N$1="Vessels", IF(ISBLANK(Vessels!G620), "", Vessels!G620), ""))</f>
        <v>0</v>
      </c>
      <c r="H620" s="21" t="str">
        <f>IF($N$1="Piping", IF(ISBLANK(Piping!H620), "", Piping!H620), IF($N$1="Vessels", IF(ISBLANK(Vessels!H620), "", Vessels!H620), ""))</f>
        <v/>
      </c>
      <c r="I620" s="21" t="str">
        <f>IF($N$1="Piping", IF(ISBLANK(Piping!I620), "", Piping!I620), IF($N$1="Vessels", IF(ISBLANK(Vessels!I620), "", Vessels!I620), ""))</f>
        <v/>
      </c>
      <c r="J620" s="21" t="str">
        <f>IF($N$1="Piping", IF(ISBLANK(Piping!J620), "", Piping!J620), IF($N$1="Vessels", IF(ISBLANK(Vessels!J620), "", Vessels!J620), ""))</f>
        <v/>
      </c>
      <c r="K620" s="21" t="str">
        <f>IF($N$1="Piping", IF(ISBLANK(Piping!K620), "", Piping!K620), IF($N$1="Vessels", IF(ISBLANK(Vessels!K620), "", Vessels!K620), ""))</f>
        <v/>
      </c>
      <c r="L620" s="21" t="str">
        <f>IF($N$1="Piping", IF(ISBLANK(Piping!L620), "", Piping!L620), IF($N$1="Vessels", IF(ISBLANK(Vessels!L620), "", Vessels!L620), ""))</f>
        <v/>
      </c>
      <c r="M620" s="21"/>
      <c r="N620" s="21"/>
      <c r="O620" s="21"/>
      <c r="P620" s="21"/>
      <c r="Q620" s="21" t="str">
        <f>IF($N$1="Piping", IF(ISBLANK(Piping!T620), "", Piping!T620), IF($N$1="Vessels", IF(ISBLANK(Vessels!T620), "", Vessels!T620), ""))</f>
        <v/>
      </c>
      <c r="R620" s="51" t="str">
        <f>IF($N$1="Piping", IF(ISBLANK(Piping!U620), "", Piping!U620), IF($N$1="Vessels", IF(ISBLANK(Vessels!U620), "", Vessels!U620), ""))</f>
        <v/>
      </c>
      <c r="S620" s="118" t="str">
        <f>IF(B620&lt;&gt;"",IF($N$1="Piping", IF(ISBLANK(Piping!$J$3), "", Piping!$J$3), IF($N$1="Vessels", IF(ISBLANK(Vessels!$J$3), "", Vessels!$J$3), "")),"")</f>
        <v/>
      </c>
      <c r="T620" s="37"/>
      <c r="U620" s="37"/>
      <c r="V620" s="37"/>
      <c r="W620" s="37"/>
      <c r="X620" s="37"/>
      <c r="Y620" s="37"/>
      <c r="Z620" s="37"/>
    </row>
    <row r="621" spans="1:26" ht="15.75" customHeight="1" x14ac:dyDescent="0.3">
      <c r="A621" s="22">
        <f>IF($N$1="Piping", IF(ISBLANK(Piping!A621), "", Piping!A621), IF($N$1="Vessels", IF(ISBLANK(Vessels!A621), "", Vessels!A621), ""))</f>
        <v>154.4</v>
      </c>
      <c r="B621" s="21" t="str">
        <f>IF($N$1="Piping", IF(ISBLANK(Piping!B621), "", Piping!B621), IF($N$1="Vessels", IF(ISBLANK(Vessels!B621), "", Vessels!B621), ""))</f>
        <v/>
      </c>
      <c r="C621" s="21" t="str">
        <f>IF($N$1="Piping", IF(ISBLANK(Piping!C621), "", Piping!C621), IF($N$1="Vessels", IF(ISBLANK(Vessels!C621), "", Vessels!C621), ""))</f>
        <v>Piping</v>
      </c>
      <c r="D621" s="21" t="str">
        <f>IF($N$1="Piping", IF(ISBLANK(Piping!D621), "", Piping!D621), IF($N$1="Vessels", IF(ISBLANK(Vessels!D621), "", Vessels!D621), ""))</f>
        <v/>
      </c>
      <c r="E621" s="21" t="str">
        <f>IF($N$1="Piping", IF(ISBLANK(Piping!E621), "", Piping!E621), IF($N$1="Vessels", IF(ISBLANK(Vessels!E621), "", Vessels!E621), ""))</f>
        <v/>
      </c>
      <c r="F621" s="21" t="str">
        <f>IF($N$1="Piping", IF(ISBLANK(Piping!F621), "", Piping!F621), IF($N$1="Vessels", IF(ISBLANK(Vessels!F621), "", Vessels!F621), ""))</f>
        <v/>
      </c>
      <c r="G621" s="21">
        <f>IF($N$1="Piping", IF(ISBLANK(Piping!G621), "", Piping!G621), IF($N$1="Vessels", IF(ISBLANK(Vessels!G621), "", Vessels!G621), ""))</f>
        <v>0</v>
      </c>
      <c r="H621" s="21" t="str">
        <f>IF($N$1="Piping", IF(ISBLANK(Piping!H621), "", Piping!H621), IF($N$1="Vessels", IF(ISBLANK(Vessels!H621), "", Vessels!H621), ""))</f>
        <v/>
      </c>
      <c r="I621" s="21" t="str">
        <f>IF($N$1="Piping", IF(ISBLANK(Piping!I621), "", Piping!I621), IF($N$1="Vessels", IF(ISBLANK(Vessels!I621), "", Vessels!I621), ""))</f>
        <v/>
      </c>
      <c r="J621" s="21" t="str">
        <f>IF($N$1="Piping", IF(ISBLANK(Piping!J621), "", Piping!J621), IF($N$1="Vessels", IF(ISBLANK(Vessels!J621), "", Vessels!J621), ""))</f>
        <v/>
      </c>
      <c r="K621" s="21" t="str">
        <f>IF($N$1="Piping", IF(ISBLANK(Piping!K621), "", Piping!K621), IF($N$1="Vessels", IF(ISBLANK(Vessels!K621), "", Vessels!K621), ""))</f>
        <v/>
      </c>
      <c r="L621" s="21" t="str">
        <f>IF($N$1="Piping", IF(ISBLANK(Piping!L621), "", Piping!L621), IF($N$1="Vessels", IF(ISBLANK(Vessels!L621), "", Vessels!L621), ""))</f>
        <v/>
      </c>
      <c r="M621" s="21"/>
      <c r="N621" s="21"/>
      <c r="O621" s="21"/>
      <c r="P621" s="21"/>
      <c r="Q621" s="21" t="str">
        <f>IF($N$1="Piping", IF(ISBLANK(Piping!T621), "", Piping!T621), IF($N$1="Vessels", IF(ISBLANK(Vessels!T621), "", Vessels!T621), ""))</f>
        <v/>
      </c>
      <c r="R621" s="51" t="str">
        <f>IF($N$1="Piping", IF(ISBLANK(Piping!U621), "", Piping!U621), IF($N$1="Vessels", IF(ISBLANK(Vessels!U621), "", Vessels!U621), ""))</f>
        <v/>
      </c>
      <c r="S621" s="118" t="str">
        <f>IF(B621&lt;&gt;"",IF($N$1="Piping", IF(ISBLANK(Piping!$J$3), "", Piping!$J$3), IF($N$1="Vessels", IF(ISBLANK(Vessels!$J$3), "", Vessels!$J$3), "")),"")</f>
        <v/>
      </c>
      <c r="T621" s="37"/>
      <c r="U621" s="37"/>
      <c r="V621" s="37"/>
      <c r="W621" s="37"/>
      <c r="X621" s="37"/>
      <c r="Y621" s="37"/>
      <c r="Z621" s="37"/>
    </row>
    <row r="622" spans="1:26" ht="15.75" customHeight="1" x14ac:dyDescent="0.3">
      <c r="A622" s="22">
        <f>IF($N$1="Piping", IF(ISBLANK(Piping!A622), "", Piping!A622), IF($N$1="Vessels", IF(ISBLANK(Vessels!A622), "", Vessels!A622), ""))</f>
        <v>155.1</v>
      </c>
      <c r="B622" s="21" t="str">
        <f>IF($N$1="Piping", IF(ISBLANK(Piping!B622), "", Piping!B622), IF($N$1="Vessels", IF(ISBLANK(Vessels!B622), "", Vessels!B622), ""))</f>
        <v/>
      </c>
      <c r="C622" s="21" t="str">
        <f>IF($N$1="Piping", IF(ISBLANK(Piping!C622), "", Piping!C622), IF($N$1="Vessels", IF(ISBLANK(Vessels!C622), "", Vessels!C622), ""))</f>
        <v>Piping</v>
      </c>
      <c r="D622" s="21" t="str">
        <f>IF($N$1="Piping", IF(ISBLANK(Piping!D622), "", Piping!D622), IF($N$1="Vessels", IF(ISBLANK(Vessels!D622), "", Vessels!D622), ""))</f>
        <v/>
      </c>
      <c r="E622" s="21" t="str">
        <f>IF($N$1="Piping", IF(ISBLANK(Piping!E622), "", Piping!E622), IF($N$1="Vessels", IF(ISBLANK(Vessels!E622), "", Vessels!E622), ""))</f>
        <v/>
      </c>
      <c r="F622" s="21" t="str">
        <f>IF($N$1="Piping", IF(ISBLANK(Piping!F622), "", Piping!F622), IF($N$1="Vessels", IF(ISBLANK(Vessels!F622), "", Vessels!F622), ""))</f>
        <v/>
      </c>
      <c r="G622" s="21">
        <f>IF($N$1="Piping", IF(ISBLANK(Piping!G622), "", Piping!G622), IF($N$1="Vessels", IF(ISBLANK(Vessels!G622), "", Vessels!G622), ""))</f>
        <v>0</v>
      </c>
      <c r="H622" s="21" t="str">
        <f>IF($N$1="Piping", IF(ISBLANK(Piping!H622), "", Piping!H622), IF($N$1="Vessels", IF(ISBLANK(Vessels!H622), "", Vessels!H622), ""))</f>
        <v/>
      </c>
      <c r="I622" s="21" t="str">
        <f>IF($N$1="Piping", IF(ISBLANK(Piping!I622), "", Piping!I622), IF($N$1="Vessels", IF(ISBLANK(Vessels!I622), "", Vessels!I622), ""))</f>
        <v/>
      </c>
      <c r="J622" s="21" t="str">
        <f>IF($N$1="Piping", IF(ISBLANK(Piping!J622), "", Piping!J622), IF($N$1="Vessels", IF(ISBLANK(Vessels!J622), "", Vessels!J622), ""))</f>
        <v/>
      </c>
      <c r="K622" s="21" t="str">
        <f>IF($N$1="Piping", IF(ISBLANK(Piping!K622), "", Piping!K622), IF($N$1="Vessels", IF(ISBLANK(Vessels!K622), "", Vessels!K622), ""))</f>
        <v/>
      </c>
      <c r="L622" s="21" t="str">
        <f>IF($N$1="Piping", IF(ISBLANK(Piping!L622), "", Piping!L622), IF($N$1="Vessels", IF(ISBLANK(Vessels!L622), "", Vessels!L622), ""))</f>
        <v/>
      </c>
      <c r="M622" s="21"/>
      <c r="N622" s="21"/>
      <c r="O622" s="21"/>
      <c r="P622" s="21"/>
      <c r="Q622" s="21" t="str">
        <f>IF($N$1="Piping", IF(ISBLANK(Piping!T622), "", Piping!T622), IF($N$1="Vessels", IF(ISBLANK(Vessels!T622), "", Vessels!T622), ""))</f>
        <v/>
      </c>
      <c r="R622" s="51" t="str">
        <f>IF($N$1="Piping", IF(ISBLANK(Piping!U622), "", Piping!U622), IF($N$1="Vessels", IF(ISBLANK(Vessels!U622), "", Vessels!U622), ""))</f>
        <v/>
      </c>
      <c r="S622" s="118" t="str">
        <f>IF(B622&lt;&gt;"",IF($N$1="Piping", IF(ISBLANK(Piping!$J$3), "", Piping!$J$3), IF($N$1="Vessels", IF(ISBLANK(Vessels!$J$3), "", Vessels!$J$3), "")),"")</f>
        <v/>
      </c>
      <c r="T622" s="37"/>
      <c r="U622" s="37"/>
      <c r="V622" s="37"/>
      <c r="W622" s="37"/>
      <c r="X622" s="37"/>
      <c r="Y622" s="37"/>
      <c r="Z622" s="37"/>
    </row>
    <row r="623" spans="1:26" ht="15.75" customHeight="1" x14ac:dyDescent="0.3">
      <c r="A623" s="22">
        <f>IF($N$1="Piping", IF(ISBLANK(Piping!A623), "", Piping!A623), IF($N$1="Vessels", IF(ISBLANK(Vessels!A623), "", Vessels!A623), ""))</f>
        <v>155.19999999999999</v>
      </c>
      <c r="B623" s="21" t="str">
        <f>IF($N$1="Piping", IF(ISBLANK(Piping!B623), "", Piping!B623), IF($N$1="Vessels", IF(ISBLANK(Vessels!B623), "", Vessels!B623), ""))</f>
        <v/>
      </c>
      <c r="C623" s="21" t="str">
        <f>IF($N$1="Piping", IF(ISBLANK(Piping!C623), "", Piping!C623), IF($N$1="Vessels", IF(ISBLANK(Vessels!C623), "", Vessels!C623), ""))</f>
        <v>Piping</v>
      </c>
      <c r="D623" s="21" t="str">
        <f>IF($N$1="Piping", IF(ISBLANK(Piping!D623), "", Piping!D623), IF($N$1="Vessels", IF(ISBLANK(Vessels!D623), "", Vessels!D623), ""))</f>
        <v/>
      </c>
      <c r="E623" s="21" t="str">
        <f>IF($N$1="Piping", IF(ISBLANK(Piping!E623), "", Piping!E623), IF($N$1="Vessels", IF(ISBLANK(Vessels!E623), "", Vessels!E623), ""))</f>
        <v/>
      </c>
      <c r="F623" s="21" t="str">
        <f>IF($N$1="Piping", IF(ISBLANK(Piping!F623), "", Piping!F623), IF($N$1="Vessels", IF(ISBLANK(Vessels!F623), "", Vessels!F623), ""))</f>
        <v/>
      </c>
      <c r="G623" s="21">
        <f>IF($N$1="Piping", IF(ISBLANK(Piping!G623), "", Piping!G623), IF($N$1="Vessels", IF(ISBLANK(Vessels!G623), "", Vessels!G623), ""))</f>
        <v>0</v>
      </c>
      <c r="H623" s="21" t="str">
        <f>IF($N$1="Piping", IF(ISBLANK(Piping!H623), "", Piping!H623), IF($N$1="Vessels", IF(ISBLANK(Vessels!H623), "", Vessels!H623), ""))</f>
        <v/>
      </c>
      <c r="I623" s="21" t="str">
        <f>IF($N$1="Piping", IF(ISBLANK(Piping!I623), "", Piping!I623), IF($N$1="Vessels", IF(ISBLANK(Vessels!I623), "", Vessels!I623), ""))</f>
        <v/>
      </c>
      <c r="J623" s="21" t="str">
        <f>IF($N$1="Piping", IF(ISBLANK(Piping!J623), "", Piping!J623), IF($N$1="Vessels", IF(ISBLANK(Vessels!J623), "", Vessels!J623), ""))</f>
        <v/>
      </c>
      <c r="K623" s="21" t="str">
        <f>IF($N$1="Piping", IF(ISBLANK(Piping!K623), "", Piping!K623), IF($N$1="Vessels", IF(ISBLANK(Vessels!K623), "", Vessels!K623), ""))</f>
        <v/>
      </c>
      <c r="L623" s="21" t="str">
        <f>IF($N$1="Piping", IF(ISBLANK(Piping!L623), "", Piping!L623), IF($N$1="Vessels", IF(ISBLANK(Vessels!L623), "", Vessels!L623), ""))</f>
        <v/>
      </c>
      <c r="M623" s="21"/>
      <c r="N623" s="21"/>
      <c r="O623" s="21"/>
      <c r="P623" s="21"/>
      <c r="Q623" s="21" t="str">
        <f>IF($N$1="Piping", IF(ISBLANK(Piping!T623), "", Piping!T623), IF($N$1="Vessels", IF(ISBLANK(Vessels!T623), "", Vessels!T623), ""))</f>
        <v/>
      </c>
      <c r="R623" s="51" t="str">
        <f>IF($N$1="Piping", IF(ISBLANK(Piping!U623), "", Piping!U623), IF($N$1="Vessels", IF(ISBLANK(Vessels!U623), "", Vessels!U623), ""))</f>
        <v/>
      </c>
      <c r="S623" s="118" t="str">
        <f>IF(B623&lt;&gt;"",IF($N$1="Piping", IF(ISBLANK(Piping!$J$3), "", Piping!$J$3), IF($N$1="Vessels", IF(ISBLANK(Vessels!$J$3), "", Vessels!$J$3), "")),"")</f>
        <v/>
      </c>
      <c r="T623" s="37"/>
      <c r="U623" s="37"/>
      <c r="V623" s="37"/>
      <c r="W623" s="37"/>
      <c r="X623" s="37"/>
      <c r="Y623" s="37"/>
      <c r="Z623" s="37"/>
    </row>
    <row r="624" spans="1:26" ht="15.75" customHeight="1" x14ac:dyDescent="0.3">
      <c r="A624" s="22">
        <f>IF($N$1="Piping", IF(ISBLANK(Piping!A624), "", Piping!A624), IF($N$1="Vessels", IF(ISBLANK(Vessels!A624), "", Vessels!A624), ""))</f>
        <v>155.30000000000001</v>
      </c>
      <c r="B624" s="21" t="str">
        <f>IF($N$1="Piping", IF(ISBLANK(Piping!B624), "", Piping!B624), IF($N$1="Vessels", IF(ISBLANK(Vessels!B624), "", Vessels!B624), ""))</f>
        <v/>
      </c>
      <c r="C624" s="21" t="str">
        <f>IF($N$1="Piping", IF(ISBLANK(Piping!C624), "", Piping!C624), IF($N$1="Vessels", IF(ISBLANK(Vessels!C624), "", Vessels!C624), ""))</f>
        <v>Piping</v>
      </c>
      <c r="D624" s="21" t="str">
        <f>IF($N$1="Piping", IF(ISBLANK(Piping!D624), "", Piping!D624), IF($N$1="Vessels", IF(ISBLANK(Vessels!D624), "", Vessels!D624), ""))</f>
        <v/>
      </c>
      <c r="E624" s="21" t="str">
        <f>IF($N$1="Piping", IF(ISBLANK(Piping!E624), "", Piping!E624), IF($N$1="Vessels", IF(ISBLANK(Vessels!E624), "", Vessels!E624), ""))</f>
        <v/>
      </c>
      <c r="F624" s="21" t="str">
        <f>IF($N$1="Piping", IF(ISBLANK(Piping!F624), "", Piping!F624), IF($N$1="Vessels", IF(ISBLANK(Vessels!F624), "", Vessels!F624), ""))</f>
        <v/>
      </c>
      <c r="G624" s="21">
        <f>IF($N$1="Piping", IF(ISBLANK(Piping!G624), "", Piping!G624), IF($N$1="Vessels", IF(ISBLANK(Vessels!G624), "", Vessels!G624), ""))</f>
        <v>0</v>
      </c>
      <c r="H624" s="21" t="str">
        <f>IF($N$1="Piping", IF(ISBLANK(Piping!H624), "", Piping!H624), IF($N$1="Vessels", IF(ISBLANK(Vessels!H624), "", Vessels!H624), ""))</f>
        <v/>
      </c>
      <c r="I624" s="21" t="str">
        <f>IF($N$1="Piping", IF(ISBLANK(Piping!I624), "", Piping!I624), IF($N$1="Vessels", IF(ISBLANK(Vessels!I624), "", Vessels!I624), ""))</f>
        <v/>
      </c>
      <c r="J624" s="21" t="str">
        <f>IF($N$1="Piping", IF(ISBLANK(Piping!J624), "", Piping!J624), IF($N$1="Vessels", IF(ISBLANK(Vessels!J624), "", Vessels!J624), ""))</f>
        <v/>
      </c>
      <c r="K624" s="21" t="str">
        <f>IF($N$1="Piping", IF(ISBLANK(Piping!K624), "", Piping!K624), IF($N$1="Vessels", IF(ISBLANK(Vessels!K624), "", Vessels!K624), ""))</f>
        <v/>
      </c>
      <c r="L624" s="21" t="str">
        <f>IF($N$1="Piping", IF(ISBLANK(Piping!L624), "", Piping!L624), IF($N$1="Vessels", IF(ISBLANK(Vessels!L624), "", Vessels!L624), ""))</f>
        <v/>
      </c>
      <c r="M624" s="21"/>
      <c r="N624" s="21"/>
      <c r="O624" s="21"/>
      <c r="P624" s="21"/>
      <c r="Q624" s="21" t="str">
        <f>IF($N$1="Piping", IF(ISBLANK(Piping!T624), "", Piping!T624), IF($N$1="Vessels", IF(ISBLANK(Vessels!T624), "", Vessels!T624), ""))</f>
        <v/>
      </c>
      <c r="R624" s="51" t="str">
        <f>IF($N$1="Piping", IF(ISBLANK(Piping!U624), "", Piping!U624), IF($N$1="Vessels", IF(ISBLANK(Vessels!U624), "", Vessels!U624), ""))</f>
        <v/>
      </c>
      <c r="S624" s="118" t="str">
        <f>IF(B624&lt;&gt;"",IF($N$1="Piping", IF(ISBLANK(Piping!$J$3), "", Piping!$J$3), IF($N$1="Vessels", IF(ISBLANK(Vessels!$J$3), "", Vessels!$J$3), "")),"")</f>
        <v/>
      </c>
      <c r="T624" s="37"/>
      <c r="U624" s="37"/>
      <c r="V624" s="37"/>
      <c r="W624" s="37"/>
      <c r="X624" s="37"/>
      <c r="Y624" s="37"/>
      <c r="Z624" s="37"/>
    </row>
    <row r="625" spans="1:26" ht="15.75" customHeight="1" x14ac:dyDescent="0.3">
      <c r="A625" s="22">
        <f>IF($N$1="Piping", IF(ISBLANK(Piping!A625), "", Piping!A625), IF($N$1="Vessels", IF(ISBLANK(Vessels!A625), "", Vessels!A625), ""))</f>
        <v>155.4</v>
      </c>
      <c r="B625" s="21" t="str">
        <f>IF($N$1="Piping", IF(ISBLANK(Piping!B625), "", Piping!B625), IF($N$1="Vessels", IF(ISBLANK(Vessels!B625), "", Vessels!B625), ""))</f>
        <v/>
      </c>
      <c r="C625" s="21" t="str">
        <f>IF($N$1="Piping", IF(ISBLANK(Piping!C625), "", Piping!C625), IF($N$1="Vessels", IF(ISBLANK(Vessels!C625), "", Vessels!C625), ""))</f>
        <v>Piping</v>
      </c>
      <c r="D625" s="21" t="str">
        <f>IF($N$1="Piping", IF(ISBLANK(Piping!D625), "", Piping!D625), IF($N$1="Vessels", IF(ISBLANK(Vessels!D625), "", Vessels!D625), ""))</f>
        <v/>
      </c>
      <c r="E625" s="21" t="str">
        <f>IF($N$1="Piping", IF(ISBLANK(Piping!E625), "", Piping!E625), IF($N$1="Vessels", IF(ISBLANK(Vessels!E625), "", Vessels!E625), ""))</f>
        <v/>
      </c>
      <c r="F625" s="21" t="str">
        <f>IF($N$1="Piping", IF(ISBLANK(Piping!F625), "", Piping!F625), IF($N$1="Vessels", IF(ISBLANK(Vessels!F625), "", Vessels!F625), ""))</f>
        <v/>
      </c>
      <c r="G625" s="21">
        <f>IF($N$1="Piping", IF(ISBLANK(Piping!G625), "", Piping!G625), IF($N$1="Vessels", IF(ISBLANK(Vessels!G625), "", Vessels!G625), ""))</f>
        <v>0</v>
      </c>
      <c r="H625" s="21" t="str">
        <f>IF($N$1="Piping", IF(ISBLANK(Piping!H625), "", Piping!H625), IF($N$1="Vessels", IF(ISBLANK(Vessels!H625), "", Vessels!H625), ""))</f>
        <v/>
      </c>
      <c r="I625" s="21" t="str">
        <f>IF($N$1="Piping", IF(ISBLANK(Piping!I625), "", Piping!I625), IF($N$1="Vessels", IF(ISBLANK(Vessels!I625), "", Vessels!I625), ""))</f>
        <v/>
      </c>
      <c r="J625" s="21" t="str">
        <f>IF($N$1="Piping", IF(ISBLANK(Piping!J625), "", Piping!J625), IF($N$1="Vessels", IF(ISBLANK(Vessels!J625), "", Vessels!J625), ""))</f>
        <v/>
      </c>
      <c r="K625" s="21" t="str">
        <f>IF($N$1="Piping", IF(ISBLANK(Piping!K625), "", Piping!K625), IF($N$1="Vessels", IF(ISBLANK(Vessels!K625), "", Vessels!K625), ""))</f>
        <v/>
      </c>
      <c r="L625" s="21" t="str">
        <f>IF($N$1="Piping", IF(ISBLANK(Piping!L625), "", Piping!L625), IF($N$1="Vessels", IF(ISBLANK(Vessels!L625), "", Vessels!L625), ""))</f>
        <v/>
      </c>
      <c r="M625" s="21"/>
      <c r="N625" s="21"/>
      <c r="O625" s="21"/>
      <c r="P625" s="21"/>
      <c r="Q625" s="21" t="str">
        <f>IF($N$1="Piping", IF(ISBLANK(Piping!T625), "", Piping!T625), IF($N$1="Vessels", IF(ISBLANK(Vessels!T625), "", Vessels!T625), ""))</f>
        <v/>
      </c>
      <c r="R625" s="51" t="str">
        <f>IF($N$1="Piping", IF(ISBLANK(Piping!U625), "", Piping!U625), IF($N$1="Vessels", IF(ISBLANK(Vessels!U625), "", Vessels!U625), ""))</f>
        <v/>
      </c>
      <c r="S625" s="118" t="str">
        <f>IF(B625&lt;&gt;"",IF($N$1="Piping", IF(ISBLANK(Piping!$J$3), "", Piping!$J$3), IF($N$1="Vessels", IF(ISBLANK(Vessels!$J$3), "", Vessels!$J$3), "")),"")</f>
        <v/>
      </c>
      <c r="T625" s="37"/>
      <c r="U625" s="37"/>
      <c r="V625" s="37"/>
      <c r="W625" s="37"/>
      <c r="X625" s="37"/>
      <c r="Y625" s="37"/>
      <c r="Z625" s="37"/>
    </row>
    <row r="626" spans="1:26" ht="15.75" customHeight="1" x14ac:dyDescent="0.3">
      <c r="A626" s="22">
        <f>IF($N$1="Piping", IF(ISBLANK(Piping!A626), "", Piping!A626), IF($N$1="Vessels", IF(ISBLANK(Vessels!A626), "", Vessels!A626), ""))</f>
        <v>156.1</v>
      </c>
      <c r="B626" s="21" t="str">
        <f>IF($N$1="Piping", IF(ISBLANK(Piping!B626), "", Piping!B626), IF($N$1="Vessels", IF(ISBLANK(Vessels!B626), "", Vessels!B626), ""))</f>
        <v/>
      </c>
      <c r="C626" s="21" t="str">
        <f>IF($N$1="Piping", IF(ISBLANK(Piping!C626), "", Piping!C626), IF($N$1="Vessels", IF(ISBLANK(Vessels!C626), "", Vessels!C626), ""))</f>
        <v>Piping</v>
      </c>
      <c r="D626" s="21" t="str">
        <f>IF($N$1="Piping", IF(ISBLANK(Piping!D626), "", Piping!D626), IF($N$1="Vessels", IF(ISBLANK(Vessels!D626), "", Vessels!D626), ""))</f>
        <v/>
      </c>
      <c r="E626" s="21" t="str">
        <f>IF($N$1="Piping", IF(ISBLANK(Piping!E626), "", Piping!E626), IF($N$1="Vessels", IF(ISBLANK(Vessels!E626), "", Vessels!E626), ""))</f>
        <v/>
      </c>
      <c r="F626" s="21" t="str">
        <f>IF($N$1="Piping", IF(ISBLANK(Piping!F626), "", Piping!F626), IF($N$1="Vessels", IF(ISBLANK(Vessels!F626), "", Vessels!F626), ""))</f>
        <v/>
      </c>
      <c r="G626" s="21">
        <f>IF($N$1="Piping", IF(ISBLANK(Piping!G626), "", Piping!G626), IF($N$1="Vessels", IF(ISBLANK(Vessels!G626), "", Vessels!G626), ""))</f>
        <v>0</v>
      </c>
      <c r="H626" s="21" t="str">
        <f>IF($N$1="Piping", IF(ISBLANK(Piping!H626), "", Piping!H626), IF($N$1="Vessels", IF(ISBLANK(Vessels!H626), "", Vessels!H626), ""))</f>
        <v/>
      </c>
      <c r="I626" s="21" t="str">
        <f>IF($N$1="Piping", IF(ISBLANK(Piping!I626), "", Piping!I626), IF($N$1="Vessels", IF(ISBLANK(Vessels!I626), "", Vessels!I626), ""))</f>
        <v/>
      </c>
      <c r="J626" s="21" t="str">
        <f>IF($N$1="Piping", IF(ISBLANK(Piping!J626), "", Piping!J626), IF($N$1="Vessels", IF(ISBLANK(Vessels!J626), "", Vessels!J626), ""))</f>
        <v/>
      </c>
      <c r="K626" s="21" t="str">
        <f>IF($N$1="Piping", IF(ISBLANK(Piping!K626), "", Piping!K626), IF($N$1="Vessels", IF(ISBLANK(Vessels!K626), "", Vessels!K626), ""))</f>
        <v/>
      </c>
      <c r="L626" s="21" t="str">
        <f>IF($N$1="Piping", IF(ISBLANK(Piping!L626), "", Piping!L626), IF($N$1="Vessels", IF(ISBLANK(Vessels!L626), "", Vessels!L626), ""))</f>
        <v/>
      </c>
      <c r="M626" s="21"/>
      <c r="N626" s="21"/>
      <c r="O626" s="21"/>
      <c r="P626" s="21"/>
      <c r="Q626" s="21" t="str">
        <f>IF($N$1="Piping", IF(ISBLANK(Piping!T626), "", Piping!T626), IF($N$1="Vessels", IF(ISBLANK(Vessels!T626), "", Vessels!T626), ""))</f>
        <v/>
      </c>
      <c r="R626" s="51" t="str">
        <f>IF($N$1="Piping", IF(ISBLANK(Piping!U626), "", Piping!U626), IF($N$1="Vessels", IF(ISBLANK(Vessels!U626), "", Vessels!U626), ""))</f>
        <v/>
      </c>
      <c r="S626" s="118" t="str">
        <f>IF(B626&lt;&gt;"",IF($N$1="Piping", IF(ISBLANK(Piping!$J$3), "", Piping!$J$3), IF($N$1="Vessels", IF(ISBLANK(Vessels!$J$3), "", Vessels!$J$3), "")),"")</f>
        <v/>
      </c>
      <c r="T626" s="37"/>
      <c r="U626" s="37"/>
      <c r="V626" s="37"/>
      <c r="W626" s="37"/>
      <c r="X626" s="37"/>
      <c r="Y626" s="37"/>
      <c r="Z626" s="37"/>
    </row>
    <row r="627" spans="1:26" ht="15.75" customHeight="1" x14ac:dyDescent="0.3">
      <c r="A627" s="22">
        <f>IF($N$1="Piping", IF(ISBLANK(Piping!A627), "", Piping!A627), IF($N$1="Vessels", IF(ISBLANK(Vessels!A627), "", Vessels!A627), ""))</f>
        <v>156.19999999999999</v>
      </c>
      <c r="B627" s="21" t="str">
        <f>IF($N$1="Piping", IF(ISBLANK(Piping!B627), "", Piping!B627), IF($N$1="Vessels", IF(ISBLANK(Vessels!B627), "", Vessels!B627), ""))</f>
        <v/>
      </c>
      <c r="C627" s="21" t="str">
        <f>IF($N$1="Piping", IF(ISBLANK(Piping!C627), "", Piping!C627), IF($N$1="Vessels", IF(ISBLANK(Vessels!C627), "", Vessels!C627), ""))</f>
        <v>Piping</v>
      </c>
      <c r="D627" s="21" t="str">
        <f>IF($N$1="Piping", IF(ISBLANK(Piping!D627), "", Piping!D627), IF($N$1="Vessels", IF(ISBLANK(Vessels!D627), "", Vessels!D627), ""))</f>
        <v/>
      </c>
      <c r="E627" s="21" t="str">
        <f>IF($N$1="Piping", IF(ISBLANK(Piping!E627), "", Piping!E627), IF($N$1="Vessels", IF(ISBLANK(Vessels!E627), "", Vessels!E627), ""))</f>
        <v/>
      </c>
      <c r="F627" s="21" t="str">
        <f>IF($N$1="Piping", IF(ISBLANK(Piping!F627), "", Piping!F627), IF($N$1="Vessels", IF(ISBLANK(Vessels!F627), "", Vessels!F627), ""))</f>
        <v/>
      </c>
      <c r="G627" s="21">
        <f>IF($N$1="Piping", IF(ISBLANK(Piping!G627), "", Piping!G627), IF($N$1="Vessels", IF(ISBLANK(Vessels!G627), "", Vessels!G627), ""))</f>
        <v>0</v>
      </c>
      <c r="H627" s="21" t="str">
        <f>IF($N$1="Piping", IF(ISBLANK(Piping!H627), "", Piping!H627), IF($N$1="Vessels", IF(ISBLANK(Vessels!H627), "", Vessels!H627), ""))</f>
        <v/>
      </c>
      <c r="I627" s="21" t="str">
        <f>IF($N$1="Piping", IF(ISBLANK(Piping!I627), "", Piping!I627), IF($N$1="Vessels", IF(ISBLANK(Vessels!I627), "", Vessels!I627), ""))</f>
        <v/>
      </c>
      <c r="J627" s="21" t="str">
        <f>IF($N$1="Piping", IF(ISBLANK(Piping!J627), "", Piping!J627), IF($N$1="Vessels", IF(ISBLANK(Vessels!J627), "", Vessels!J627), ""))</f>
        <v/>
      </c>
      <c r="K627" s="21" t="str">
        <f>IF($N$1="Piping", IF(ISBLANK(Piping!K627), "", Piping!K627), IF($N$1="Vessels", IF(ISBLANK(Vessels!K627), "", Vessels!K627), ""))</f>
        <v/>
      </c>
      <c r="L627" s="21" t="str">
        <f>IF($N$1="Piping", IF(ISBLANK(Piping!L627), "", Piping!L627), IF($N$1="Vessels", IF(ISBLANK(Vessels!L627), "", Vessels!L627), ""))</f>
        <v/>
      </c>
      <c r="M627" s="21"/>
      <c r="N627" s="21"/>
      <c r="O627" s="21"/>
      <c r="P627" s="21"/>
      <c r="Q627" s="21" t="str">
        <f>IF($N$1="Piping", IF(ISBLANK(Piping!T627), "", Piping!T627), IF($N$1="Vessels", IF(ISBLANK(Vessels!T627), "", Vessels!T627), ""))</f>
        <v/>
      </c>
      <c r="R627" s="51" t="str">
        <f>IF($N$1="Piping", IF(ISBLANK(Piping!U627), "", Piping!U627), IF($N$1="Vessels", IF(ISBLANK(Vessels!U627), "", Vessels!U627), ""))</f>
        <v/>
      </c>
      <c r="S627" s="118" t="str">
        <f>IF(B627&lt;&gt;"",IF($N$1="Piping", IF(ISBLANK(Piping!$J$3), "", Piping!$J$3), IF($N$1="Vessels", IF(ISBLANK(Vessels!$J$3), "", Vessels!$J$3), "")),"")</f>
        <v/>
      </c>
      <c r="T627" s="37"/>
      <c r="U627" s="37"/>
      <c r="V627" s="37"/>
      <c r="W627" s="37"/>
      <c r="X627" s="37"/>
      <c r="Y627" s="37"/>
      <c r="Z627" s="37"/>
    </row>
    <row r="628" spans="1:26" ht="15.75" customHeight="1" x14ac:dyDescent="0.3">
      <c r="A628" s="22">
        <f>IF($N$1="Piping", IF(ISBLANK(Piping!A628), "", Piping!A628), IF($N$1="Vessels", IF(ISBLANK(Vessels!A628), "", Vessels!A628), ""))</f>
        <v>156.30000000000001</v>
      </c>
      <c r="B628" s="21" t="str">
        <f>IF($N$1="Piping", IF(ISBLANK(Piping!B628), "", Piping!B628), IF($N$1="Vessels", IF(ISBLANK(Vessels!B628), "", Vessels!B628), ""))</f>
        <v/>
      </c>
      <c r="C628" s="21" t="str">
        <f>IF($N$1="Piping", IF(ISBLANK(Piping!C628), "", Piping!C628), IF($N$1="Vessels", IF(ISBLANK(Vessels!C628), "", Vessels!C628), ""))</f>
        <v>Piping</v>
      </c>
      <c r="D628" s="21" t="str">
        <f>IF($N$1="Piping", IF(ISBLANK(Piping!D628), "", Piping!D628), IF($N$1="Vessels", IF(ISBLANK(Vessels!D628), "", Vessels!D628), ""))</f>
        <v/>
      </c>
      <c r="E628" s="21" t="str">
        <f>IF($N$1="Piping", IF(ISBLANK(Piping!E628), "", Piping!E628), IF($N$1="Vessels", IF(ISBLANK(Vessels!E628), "", Vessels!E628), ""))</f>
        <v/>
      </c>
      <c r="F628" s="21" t="str">
        <f>IF($N$1="Piping", IF(ISBLANK(Piping!F628), "", Piping!F628), IF($N$1="Vessels", IF(ISBLANK(Vessels!F628), "", Vessels!F628), ""))</f>
        <v/>
      </c>
      <c r="G628" s="21">
        <f>IF($N$1="Piping", IF(ISBLANK(Piping!G628), "", Piping!G628), IF($N$1="Vessels", IF(ISBLANK(Vessels!G628), "", Vessels!G628), ""))</f>
        <v>0</v>
      </c>
      <c r="H628" s="21" t="str">
        <f>IF($N$1="Piping", IF(ISBLANK(Piping!H628), "", Piping!H628), IF($N$1="Vessels", IF(ISBLANK(Vessels!H628), "", Vessels!H628), ""))</f>
        <v/>
      </c>
      <c r="I628" s="21" t="str">
        <f>IF($N$1="Piping", IF(ISBLANK(Piping!I628), "", Piping!I628), IF($N$1="Vessels", IF(ISBLANK(Vessels!I628), "", Vessels!I628), ""))</f>
        <v/>
      </c>
      <c r="J628" s="21" t="str">
        <f>IF($N$1="Piping", IF(ISBLANK(Piping!J628), "", Piping!J628), IF($N$1="Vessels", IF(ISBLANK(Vessels!J628), "", Vessels!J628), ""))</f>
        <v/>
      </c>
      <c r="K628" s="21" t="str">
        <f>IF($N$1="Piping", IF(ISBLANK(Piping!K628), "", Piping!K628), IF($N$1="Vessels", IF(ISBLANK(Vessels!K628), "", Vessels!K628), ""))</f>
        <v/>
      </c>
      <c r="L628" s="21" t="str">
        <f>IF($N$1="Piping", IF(ISBLANK(Piping!L628), "", Piping!L628), IF($N$1="Vessels", IF(ISBLANK(Vessels!L628), "", Vessels!L628), ""))</f>
        <v/>
      </c>
      <c r="M628" s="21"/>
      <c r="N628" s="21"/>
      <c r="O628" s="21"/>
      <c r="P628" s="21"/>
      <c r="Q628" s="21" t="str">
        <f>IF($N$1="Piping", IF(ISBLANK(Piping!T628), "", Piping!T628), IF($N$1="Vessels", IF(ISBLANK(Vessels!T628), "", Vessels!T628), ""))</f>
        <v/>
      </c>
      <c r="R628" s="51" t="str">
        <f>IF($N$1="Piping", IF(ISBLANK(Piping!U628), "", Piping!U628), IF($N$1="Vessels", IF(ISBLANK(Vessels!U628), "", Vessels!U628), ""))</f>
        <v/>
      </c>
      <c r="S628" s="118" t="str">
        <f>IF(B628&lt;&gt;"",IF($N$1="Piping", IF(ISBLANK(Piping!$J$3), "", Piping!$J$3), IF($N$1="Vessels", IF(ISBLANK(Vessels!$J$3), "", Vessels!$J$3), "")),"")</f>
        <v/>
      </c>
      <c r="T628" s="37"/>
      <c r="U628" s="37"/>
      <c r="V628" s="37"/>
      <c r="W628" s="37"/>
      <c r="X628" s="37"/>
      <c r="Y628" s="37"/>
      <c r="Z628" s="37"/>
    </row>
    <row r="629" spans="1:26" ht="15.75" customHeight="1" x14ac:dyDescent="0.3">
      <c r="A629" s="22">
        <f>IF($N$1="Piping", IF(ISBLANK(Piping!A629), "", Piping!A629), IF($N$1="Vessels", IF(ISBLANK(Vessels!A629), "", Vessels!A629), ""))</f>
        <v>156.4</v>
      </c>
      <c r="B629" s="21" t="str">
        <f>IF($N$1="Piping", IF(ISBLANK(Piping!B629), "", Piping!B629), IF($N$1="Vessels", IF(ISBLANK(Vessels!B629), "", Vessels!B629), ""))</f>
        <v/>
      </c>
      <c r="C629" s="21" t="str">
        <f>IF($N$1="Piping", IF(ISBLANK(Piping!C629), "", Piping!C629), IF($N$1="Vessels", IF(ISBLANK(Vessels!C629), "", Vessels!C629), ""))</f>
        <v>Piping</v>
      </c>
      <c r="D629" s="21" t="str">
        <f>IF($N$1="Piping", IF(ISBLANK(Piping!D629), "", Piping!D629), IF($N$1="Vessels", IF(ISBLANK(Vessels!D629), "", Vessels!D629), ""))</f>
        <v/>
      </c>
      <c r="E629" s="21" t="str">
        <f>IF($N$1="Piping", IF(ISBLANK(Piping!E629), "", Piping!E629), IF($N$1="Vessels", IF(ISBLANK(Vessels!E629), "", Vessels!E629), ""))</f>
        <v/>
      </c>
      <c r="F629" s="21" t="str">
        <f>IF($N$1="Piping", IF(ISBLANK(Piping!F629), "", Piping!F629), IF($N$1="Vessels", IF(ISBLANK(Vessels!F629), "", Vessels!F629), ""))</f>
        <v/>
      </c>
      <c r="G629" s="21">
        <f>IF($N$1="Piping", IF(ISBLANK(Piping!G629), "", Piping!G629), IF($N$1="Vessels", IF(ISBLANK(Vessels!G629), "", Vessels!G629), ""))</f>
        <v>0</v>
      </c>
      <c r="H629" s="21" t="str">
        <f>IF($N$1="Piping", IF(ISBLANK(Piping!H629), "", Piping!H629), IF($N$1="Vessels", IF(ISBLANK(Vessels!H629), "", Vessels!H629), ""))</f>
        <v/>
      </c>
      <c r="I629" s="21" t="str">
        <f>IF($N$1="Piping", IF(ISBLANK(Piping!I629), "", Piping!I629), IF($N$1="Vessels", IF(ISBLANK(Vessels!I629), "", Vessels!I629), ""))</f>
        <v/>
      </c>
      <c r="J629" s="21" t="str">
        <f>IF($N$1="Piping", IF(ISBLANK(Piping!J629), "", Piping!J629), IF($N$1="Vessels", IF(ISBLANK(Vessels!J629), "", Vessels!J629), ""))</f>
        <v/>
      </c>
      <c r="K629" s="21" t="str">
        <f>IF($N$1="Piping", IF(ISBLANK(Piping!K629), "", Piping!K629), IF($N$1="Vessels", IF(ISBLANK(Vessels!K629), "", Vessels!K629), ""))</f>
        <v/>
      </c>
      <c r="L629" s="21" t="str">
        <f>IF($N$1="Piping", IF(ISBLANK(Piping!L629), "", Piping!L629), IF($N$1="Vessels", IF(ISBLANK(Vessels!L629), "", Vessels!L629), ""))</f>
        <v/>
      </c>
      <c r="M629" s="21"/>
      <c r="N629" s="21"/>
      <c r="O629" s="21"/>
      <c r="P629" s="21"/>
      <c r="Q629" s="21" t="str">
        <f>IF($N$1="Piping", IF(ISBLANK(Piping!T629), "", Piping!T629), IF($N$1="Vessels", IF(ISBLANK(Vessels!T629), "", Vessels!T629), ""))</f>
        <v/>
      </c>
      <c r="R629" s="51" t="str">
        <f>IF($N$1="Piping", IF(ISBLANK(Piping!U629), "", Piping!U629), IF($N$1="Vessels", IF(ISBLANK(Vessels!U629), "", Vessels!U629), ""))</f>
        <v/>
      </c>
      <c r="S629" s="118" t="str">
        <f>IF(B629&lt;&gt;"",IF($N$1="Piping", IF(ISBLANK(Piping!$J$3), "", Piping!$J$3), IF($N$1="Vessels", IF(ISBLANK(Vessels!$J$3), "", Vessels!$J$3), "")),"")</f>
        <v/>
      </c>
      <c r="T629" s="37"/>
      <c r="U629" s="37"/>
      <c r="V629" s="37"/>
      <c r="W629" s="37"/>
      <c r="X629" s="37"/>
      <c r="Y629" s="37"/>
      <c r="Z629" s="37"/>
    </row>
    <row r="630" spans="1:26" ht="15.75" customHeight="1" x14ac:dyDescent="0.3">
      <c r="A630" s="22">
        <f>IF($N$1="Piping", IF(ISBLANK(Piping!A630), "", Piping!A630), IF($N$1="Vessels", IF(ISBLANK(Vessels!A630), "", Vessels!A630), ""))</f>
        <v>157.1</v>
      </c>
      <c r="B630" s="21" t="str">
        <f>IF($N$1="Piping", IF(ISBLANK(Piping!B630), "", Piping!B630), IF($N$1="Vessels", IF(ISBLANK(Vessels!B630), "", Vessels!B630), ""))</f>
        <v/>
      </c>
      <c r="C630" s="21" t="str">
        <f>IF($N$1="Piping", IF(ISBLANK(Piping!C630), "", Piping!C630), IF($N$1="Vessels", IF(ISBLANK(Vessels!C630), "", Vessels!C630), ""))</f>
        <v>Piping</v>
      </c>
      <c r="D630" s="21" t="str">
        <f>IF($N$1="Piping", IF(ISBLANK(Piping!D630), "", Piping!D630), IF($N$1="Vessels", IF(ISBLANK(Vessels!D630), "", Vessels!D630), ""))</f>
        <v/>
      </c>
      <c r="E630" s="21" t="str">
        <f>IF($N$1="Piping", IF(ISBLANK(Piping!E630), "", Piping!E630), IF($N$1="Vessels", IF(ISBLANK(Vessels!E630), "", Vessels!E630), ""))</f>
        <v/>
      </c>
      <c r="F630" s="21" t="str">
        <f>IF($N$1="Piping", IF(ISBLANK(Piping!F630), "", Piping!F630), IF($N$1="Vessels", IF(ISBLANK(Vessels!F630), "", Vessels!F630), ""))</f>
        <v/>
      </c>
      <c r="G630" s="21">
        <f>IF($N$1="Piping", IF(ISBLANK(Piping!G630), "", Piping!G630), IF($N$1="Vessels", IF(ISBLANK(Vessels!G630), "", Vessels!G630), ""))</f>
        <v>0</v>
      </c>
      <c r="H630" s="21" t="str">
        <f>IF($N$1="Piping", IF(ISBLANK(Piping!H630), "", Piping!H630), IF($N$1="Vessels", IF(ISBLANK(Vessels!H630), "", Vessels!H630), ""))</f>
        <v/>
      </c>
      <c r="I630" s="21" t="str">
        <f>IF($N$1="Piping", IF(ISBLANK(Piping!I630), "", Piping!I630), IF($N$1="Vessels", IF(ISBLANK(Vessels!I630), "", Vessels!I630), ""))</f>
        <v/>
      </c>
      <c r="J630" s="21" t="str">
        <f>IF($N$1="Piping", IF(ISBLANK(Piping!J630), "", Piping!J630), IF($N$1="Vessels", IF(ISBLANK(Vessels!J630), "", Vessels!J630), ""))</f>
        <v/>
      </c>
      <c r="K630" s="21" t="str">
        <f>IF($N$1="Piping", IF(ISBLANK(Piping!K630), "", Piping!K630), IF($N$1="Vessels", IF(ISBLANK(Vessels!K630), "", Vessels!K630), ""))</f>
        <v/>
      </c>
      <c r="L630" s="21" t="str">
        <f>IF($N$1="Piping", IF(ISBLANK(Piping!L630), "", Piping!L630), IF($N$1="Vessels", IF(ISBLANK(Vessels!L630), "", Vessels!L630), ""))</f>
        <v/>
      </c>
      <c r="M630" s="21"/>
      <c r="N630" s="21"/>
      <c r="O630" s="21"/>
      <c r="P630" s="21"/>
      <c r="Q630" s="21" t="str">
        <f>IF($N$1="Piping", IF(ISBLANK(Piping!T630), "", Piping!T630), IF($N$1="Vessels", IF(ISBLANK(Vessels!T630), "", Vessels!T630), ""))</f>
        <v/>
      </c>
      <c r="R630" s="51" t="str">
        <f>IF($N$1="Piping", IF(ISBLANK(Piping!U630), "", Piping!U630), IF($N$1="Vessels", IF(ISBLANK(Vessels!U630), "", Vessels!U630), ""))</f>
        <v/>
      </c>
      <c r="S630" s="118" t="str">
        <f>IF(B630&lt;&gt;"",IF($N$1="Piping", IF(ISBLANK(Piping!$J$3), "", Piping!$J$3), IF($N$1="Vessels", IF(ISBLANK(Vessels!$J$3), "", Vessels!$J$3), "")),"")</f>
        <v/>
      </c>
      <c r="T630" s="37"/>
      <c r="U630" s="37"/>
      <c r="V630" s="37"/>
      <c r="W630" s="37"/>
      <c r="X630" s="37"/>
      <c r="Y630" s="37"/>
      <c r="Z630" s="37"/>
    </row>
    <row r="631" spans="1:26" ht="15.75" customHeight="1" x14ac:dyDescent="0.3">
      <c r="A631" s="22">
        <f>IF($N$1="Piping", IF(ISBLANK(Piping!A631), "", Piping!A631), IF($N$1="Vessels", IF(ISBLANK(Vessels!A631), "", Vessels!A631), ""))</f>
        <v>157.19999999999999</v>
      </c>
      <c r="B631" s="21" t="str">
        <f>IF($N$1="Piping", IF(ISBLANK(Piping!B631), "", Piping!B631), IF($N$1="Vessels", IF(ISBLANK(Vessels!B631), "", Vessels!B631), ""))</f>
        <v/>
      </c>
      <c r="C631" s="21" t="str">
        <f>IF($N$1="Piping", IF(ISBLANK(Piping!C631), "", Piping!C631), IF($N$1="Vessels", IF(ISBLANK(Vessels!C631), "", Vessels!C631), ""))</f>
        <v>Piping</v>
      </c>
      <c r="D631" s="21" t="str">
        <f>IF($N$1="Piping", IF(ISBLANK(Piping!D631), "", Piping!D631), IF($N$1="Vessels", IF(ISBLANK(Vessels!D631), "", Vessels!D631), ""))</f>
        <v/>
      </c>
      <c r="E631" s="21" t="str">
        <f>IF($N$1="Piping", IF(ISBLANK(Piping!E631), "", Piping!E631), IF($N$1="Vessels", IF(ISBLANK(Vessels!E631), "", Vessels!E631), ""))</f>
        <v/>
      </c>
      <c r="F631" s="21" t="str">
        <f>IF($N$1="Piping", IF(ISBLANK(Piping!F631), "", Piping!F631), IF($N$1="Vessels", IF(ISBLANK(Vessels!F631), "", Vessels!F631), ""))</f>
        <v/>
      </c>
      <c r="G631" s="21">
        <f>IF($N$1="Piping", IF(ISBLANK(Piping!G631), "", Piping!G631), IF($N$1="Vessels", IF(ISBLANK(Vessels!G631), "", Vessels!G631), ""))</f>
        <v>0</v>
      </c>
      <c r="H631" s="21" t="str">
        <f>IF($N$1="Piping", IF(ISBLANK(Piping!H631), "", Piping!H631), IF($N$1="Vessels", IF(ISBLANK(Vessels!H631), "", Vessels!H631), ""))</f>
        <v/>
      </c>
      <c r="I631" s="21" t="str">
        <f>IF($N$1="Piping", IF(ISBLANK(Piping!I631), "", Piping!I631), IF($N$1="Vessels", IF(ISBLANK(Vessels!I631), "", Vessels!I631), ""))</f>
        <v/>
      </c>
      <c r="J631" s="21" t="str">
        <f>IF($N$1="Piping", IF(ISBLANK(Piping!J631), "", Piping!J631), IF($N$1="Vessels", IF(ISBLANK(Vessels!J631), "", Vessels!J631), ""))</f>
        <v/>
      </c>
      <c r="K631" s="21" t="str">
        <f>IF($N$1="Piping", IF(ISBLANK(Piping!K631), "", Piping!K631), IF($N$1="Vessels", IF(ISBLANK(Vessels!K631), "", Vessels!K631), ""))</f>
        <v/>
      </c>
      <c r="L631" s="21" t="str">
        <f>IF($N$1="Piping", IF(ISBLANK(Piping!L631), "", Piping!L631), IF($N$1="Vessels", IF(ISBLANK(Vessels!L631), "", Vessels!L631), ""))</f>
        <v/>
      </c>
      <c r="M631" s="21"/>
      <c r="N631" s="21"/>
      <c r="O631" s="21"/>
      <c r="P631" s="21"/>
      <c r="Q631" s="21" t="str">
        <f>IF($N$1="Piping", IF(ISBLANK(Piping!T631), "", Piping!T631), IF($N$1="Vessels", IF(ISBLANK(Vessels!T631), "", Vessels!T631), ""))</f>
        <v/>
      </c>
      <c r="R631" s="51" t="str">
        <f>IF($N$1="Piping", IF(ISBLANK(Piping!U631), "", Piping!U631), IF($N$1="Vessels", IF(ISBLANK(Vessels!U631), "", Vessels!U631), ""))</f>
        <v/>
      </c>
      <c r="S631" s="118" t="str">
        <f>IF(B631&lt;&gt;"",IF($N$1="Piping", IF(ISBLANK(Piping!$J$3), "", Piping!$J$3), IF($N$1="Vessels", IF(ISBLANK(Vessels!$J$3), "", Vessels!$J$3), "")),"")</f>
        <v/>
      </c>
      <c r="T631" s="37"/>
      <c r="U631" s="37"/>
      <c r="V631" s="37"/>
      <c r="W631" s="37"/>
      <c r="X631" s="37"/>
      <c r="Y631" s="37"/>
      <c r="Z631" s="37"/>
    </row>
    <row r="632" spans="1:26" ht="15.75" customHeight="1" x14ac:dyDescent="0.3">
      <c r="A632" s="22">
        <f>IF($N$1="Piping", IF(ISBLANK(Piping!A632), "", Piping!A632), IF($N$1="Vessels", IF(ISBLANK(Vessels!A632), "", Vessels!A632), ""))</f>
        <v>157.30000000000001</v>
      </c>
      <c r="B632" s="21" t="str">
        <f>IF($N$1="Piping", IF(ISBLANK(Piping!B632), "", Piping!B632), IF($N$1="Vessels", IF(ISBLANK(Vessels!B632), "", Vessels!B632), ""))</f>
        <v/>
      </c>
      <c r="C632" s="21" t="str">
        <f>IF($N$1="Piping", IF(ISBLANK(Piping!C632), "", Piping!C632), IF($N$1="Vessels", IF(ISBLANK(Vessels!C632), "", Vessels!C632), ""))</f>
        <v>Piping</v>
      </c>
      <c r="D632" s="21" t="str">
        <f>IF($N$1="Piping", IF(ISBLANK(Piping!D632), "", Piping!D632), IF($N$1="Vessels", IF(ISBLANK(Vessels!D632), "", Vessels!D632), ""))</f>
        <v/>
      </c>
      <c r="E632" s="21" t="str">
        <f>IF($N$1="Piping", IF(ISBLANK(Piping!E632), "", Piping!E632), IF($N$1="Vessels", IF(ISBLANK(Vessels!E632), "", Vessels!E632), ""))</f>
        <v/>
      </c>
      <c r="F632" s="21" t="str">
        <f>IF($N$1="Piping", IF(ISBLANK(Piping!F632), "", Piping!F632), IF($N$1="Vessels", IF(ISBLANK(Vessels!F632), "", Vessels!F632), ""))</f>
        <v/>
      </c>
      <c r="G632" s="21">
        <f>IF($N$1="Piping", IF(ISBLANK(Piping!G632), "", Piping!G632), IF($N$1="Vessels", IF(ISBLANK(Vessels!G632), "", Vessels!G632), ""))</f>
        <v>0</v>
      </c>
      <c r="H632" s="21" t="str">
        <f>IF($N$1="Piping", IF(ISBLANK(Piping!H632), "", Piping!H632), IF($N$1="Vessels", IF(ISBLANK(Vessels!H632), "", Vessels!H632), ""))</f>
        <v/>
      </c>
      <c r="I632" s="21" t="str">
        <f>IF($N$1="Piping", IF(ISBLANK(Piping!I632), "", Piping!I632), IF($N$1="Vessels", IF(ISBLANK(Vessels!I632), "", Vessels!I632), ""))</f>
        <v/>
      </c>
      <c r="J632" s="21" t="str">
        <f>IF($N$1="Piping", IF(ISBLANK(Piping!J632), "", Piping!J632), IF($N$1="Vessels", IF(ISBLANK(Vessels!J632), "", Vessels!J632), ""))</f>
        <v/>
      </c>
      <c r="K632" s="21" t="str">
        <f>IF($N$1="Piping", IF(ISBLANK(Piping!K632), "", Piping!K632), IF($N$1="Vessels", IF(ISBLANK(Vessels!K632), "", Vessels!K632), ""))</f>
        <v/>
      </c>
      <c r="L632" s="21" t="str">
        <f>IF($N$1="Piping", IF(ISBLANK(Piping!L632), "", Piping!L632), IF($N$1="Vessels", IF(ISBLANK(Vessels!L632), "", Vessels!L632), ""))</f>
        <v/>
      </c>
      <c r="M632" s="21"/>
      <c r="N632" s="21"/>
      <c r="O632" s="21"/>
      <c r="P632" s="21"/>
      <c r="Q632" s="21" t="str">
        <f>IF($N$1="Piping", IF(ISBLANK(Piping!T632), "", Piping!T632), IF($N$1="Vessels", IF(ISBLANK(Vessels!T632), "", Vessels!T632), ""))</f>
        <v/>
      </c>
      <c r="R632" s="51" t="str">
        <f>IF($N$1="Piping", IF(ISBLANK(Piping!U632), "", Piping!U632), IF($N$1="Vessels", IF(ISBLANK(Vessels!U632), "", Vessels!U632), ""))</f>
        <v/>
      </c>
      <c r="S632" s="118" t="str">
        <f>IF(B632&lt;&gt;"",IF($N$1="Piping", IF(ISBLANK(Piping!$J$3), "", Piping!$J$3), IF($N$1="Vessels", IF(ISBLANK(Vessels!$J$3), "", Vessels!$J$3), "")),"")</f>
        <v/>
      </c>
      <c r="T632" s="37"/>
      <c r="U632" s="37"/>
      <c r="V632" s="37"/>
      <c r="W632" s="37"/>
      <c r="X632" s="37"/>
      <c r="Y632" s="37"/>
      <c r="Z632" s="37"/>
    </row>
    <row r="633" spans="1:26" ht="15.75" customHeight="1" x14ac:dyDescent="0.3">
      <c r="A633" s="22">
        <f>IF($N$1="Piping", IF(ISBLANK(Piping!A633), "", Piping!A633), IF($N$1="Vessels", IF(ISBLANK(Vessels!A633), "", Vessels!A633), ""))</f>
        <v>157.4</v>
      </c>
      <c r="B633" s="21" t="str">
        <f>IF($N$1="Piping", IF(ISBLANK(Piping!B633), "", Piping!B633), IF($N$1="Vessels", IF(ISBLANK(Vessels!B633), "", Vessels!B633), ""))</f>
        <v/>
      </c>
      <c r="C633" s="21" t="str">
        <f>IF($N$1="Piping", IF(ISBLANK(Piping!C633), "", Piping!C633), IF($N$1="Vessels", IF(ISBLANK(Vessels!C633), "", Vessels!C633), ""))</f>
        <v>Piping</v>
      </c>
      <c r="D633" s="21" t="str">
        <f>IF($N$1="Piping", IF(ISBLANK(Piping!D633), "", Piping!D633), IF($N$1="Vessels", IF(ISBLANK(Vessels!D633), "", Vessels!D633), ""))</f>
        <v/>
      </c>
      <c r="E633" s="21" t="str">
        <f>IF($N$1="Piping", IF(ISBLANK(Piping!E633), "", Piping!E633), IF($N$1="Vessels", IF(ISBLANK(Vessels!E633), "", Vessels!E633), ""))</f>
        <v/>
      </c>
      <c r="F633" s="21" t="str">
        <f>IF($N$1="Piping", IF(ISBLANK(Piping!F633), "", Piping!F633), IF($N$1="Vessels", IF(ISBLANK(Vessels!F633), "", Vessels!F633), ""))</f>
        <v/>
      </c>
      <c r="G633" s="21">
        <f>IF($N$1="Piping", IF(ISBLANK(Piping!G633), "", Piping!G633), IF($N$1="Vessels", IF(ISBLANK(Vessels!G633), "", Vessels!G633), ""))</f>
        <v>0</v>
      </c>
      <c r="H633" s="21" t="str">
        <f>IF($N$1="Piping", IF(ISBLANK(Piping!H633), "", Piping!H633), IF($N$1="Vessels", IF(ISBLANK(Vessels!H633), "", Vessels!H633), ""))</f>
        <v/>
      </c>
      <c r="I633" s="21" t="str">
        <f>IF($N$1="Piping", IF(ISBLANK(Piping!I633), "", Piping!I633), IF($N$1="Vessels", IF(ISBLANK(Vessels!I633), "", Vessels!I633), ""))</f>
        <v/>
      </c>
      <c r="J633" s="21" t="str">
        <f>IF($N$1="Piping", IF(ISBLANK(Piping!J633), "", Piping!J633), IF($N$1="Vessels", IF(ISBLANK(Vessels!J633), "", Vessels!J633), ""))</f>
        <v/>
      </c>
      <c r="K633" s="21" t="str">
        <f>IF($N$1="Piping", IF(ISBLANK(Piping!K633), "", Piping!K633), IF($N$1="Vessels", IF(ISBLANK(Vessels!K633), "", Vessels!K633), ""))</f>
        <v/>
      </c>
      <c r="L633" s="21" t="str">
        <f>IF($N$1="Piping", IF(ISBLANK(Piping!L633), "", Piping!L633), IF($N$1="Vessels", IF(ISBLANK(Vessels!L633), "", Vessels!L633), ""))</f>
        <v/>
      </c>
      <c r="M633" s="21"/>
      <c r="N633" s="21"/>
      <c r="O633" s="21"/>
      <c r="P633" s="21"/>
      <c r="Q633" s="21" t="str">
        <f>IF($N$1="Piping", IF(ISBLANK(Piping!T633), "", Piping!T633), IF($N$1="Vessels", IF(ISBLANK(Vessels!T633), "", Vessels!T633), ""))</f>
        <v/>
      </c>
      <c r="R633" s="51" t="str">
        <f>IF($N$1="Piping", IF(ISBLANK(Piping!U633), "", Piping!U633), IF($N$1="Vessels", IF(ISBLANK(Vessels!U633), "", Vessels!U633), ""))</f>
        <v/>
      </c>
      <c r="S633" s="118" t="str">
        <f>IF(B633&lt;&gt;"",IF($N$1="Piping", IF(ISBLANK(Piping!$J$3), "", Piping!$J$3), IF($N$1="Vessels", IF(ISBLANK(Vessels!$J$3), "", Vessels!$J$3), "")),"")</f>
        <v/>
      </c>
      <c r="T633" s="37"/>
      <c r="U633" s="37"/>
      <c r="V633" s="37"/>
      <c r="W633" s="37"/>
      <c r="X633" s="37"/>
      <c r="Y633" s="37"/>
      <c r="Z633" s="37"/>
    </row>
    <row r="634" spans="1:26" ht="15.75" customHeight="1" x14ac:dyDescent="0.3">
      <c r="A634" s="22">
        <f>IF($N$1="Piping", IF(ISBLANK(Piping!A634), "", Piping!A634), IF($N$1="Vessels", IF(ISBLANK(Vessels!A634), "", Vessels!A634), ""))</f>
        <v>158.1</v>
      </c>
      <c r="B634" s="21" t="str">
        <f>IF($N$1="Piping", IF(ISBLANK(Piping!B634), "", Piping!B634), IF($N$1="Vessels", IF(ISBLANK(Vessels!B634), "", Vessels!B634), ""))</f>
        <v/>
      </c>
      <c r="C634" s="21" t="str">
        <f>IF($N$1="Piping", IF(ISBLANK(Piping!C634), "", Piping!C634), IF($N$1="Vessels", IF(ISBLANK(Vessels!C634), "", Vessels!C634), ""))</f>
        <v>Piping</v>
      </c>
      <c r="D634" s="21" t="str">
        <f>IF($N$1="Piping", IF(ISBLANK(Piping!D634), "", Piping!D634), IF($N$1="Vessels", IF(ISBLANK(Vessels!D634), "", Vessels!D634), ""))</f>
        <v/>
      </c>
      <c r="E634" s="21" t="str">
        <f>IF($N$1="Piping", IF(ISBLANK(Piping!E634), "", Piping!E634), IF($N$1="Vessels", IF(ISBLANK(Vessels!E634), "", Vessels!E634), ""))</f>
        <v/>
      </c>
      <c r="F634" s="21" t="str">
        <f>IF($N$1="Piping", IF(ISBLANK(Piping!F634), "", Piping!F634), IF($N$1="Vessels", IF(ISBLANK(Vessels!F634), "", Vessels!F634), ""))</f>
        <v/>
      </c>
      <c r="G634" s="21">
        <f>IF($N$1="Piping", IF(ISBLANK(Piping!G634), "", Piping!G634), IF($N$1="Vessels", IF(ISBLANK(Vessels!G634), "", Vessels!G634), ""))</f>
        <v>0</v>
      </c>
      <c r="H634" s="21" t="str">
        <f>IF($N$1="Piping", IF(ISBLANK(Piping!H634), "", Piping!H634), IF($N$1="Vessels", IF(ISBLANK(Vessels!H634), "", Vessels!H634), ""))</f>
        <v/>
      </c>
      <c r="I634" s="21" t="str">
        <f>IF($N$1="Piping", IF(ISBLANK(Piping!I634), "", Piping!I634), IF($N$1="Vessels", IF(ISBLANK(Vessels!I634), "", Vessels!I634), ""))</f>
        <v/>
      </c>
      <c r="J634" s="21" t="str">
        <f>IF($N$1="Piping", IF(ISBLANK(Piping!J634), "", Piping!J634), IF($N$1="Vessels", IF(ISBLANK(Vessels!J634), "", Vessels!J634), ""))</f>
        <v/>
      </c>
      <c r="K634" s="21" t="str">
        <f>IF($N$1="Piping", IF(ISBLANK(Piping!K634), "", Piping!K634), IF($N$1="Vessels", IF(ISBLANK(Vessels!K634), "", Vessels!K634), ""))</f>
        <v/>
      </c>
      <c r="L634" s="21" t="str">
        <f>IF($N$1="Piping", IF(ISBLANK(Piping!L634), "", Piping!L634), IF($N$1="Vessels", IF(ISBLANK(Vessels!L634), "", Vessels!L634), ""))</f>
        <v/>
      </c>
      <c r="M634" s="21"/>
      <c r="N634" s="21"/>
      <c r="O634" s="21"/>
      <c r="P634" s="21"/>
      <c r="Q634" s="21" t="str">
        <f>IF($N$1="Piping", IF(ISBLANK(Piping!T634), "", Piping!T634), IF($N$1="Vessels", IF(ISBLANK(Vessels!T634), "", Vessels!T634), ""))</f>
        <v/>
      </c>
      <c r="R634" s="51" t="str">
        <f>IF($N$1="Piping", IF(ISBLANK(Piping!U634), "", Piping!U634), IF($N$1="Vessels", IF(ISBLANK(Vessels!U634), "", Vessels!U634), ""))</f>
        <v/>
      </c>
      <c r="S634" s="118" t="str">
        <f>IF(B634&lt;&gt;"",IF($N$1="Piping", IF(ISBLANK(Piping!$J$3), "", Piping!$J$3), IF($N$1="Vessels", IF(ISBLANK(Vessels!$J$3), "", Vessels!$J$3), "")),"")</f>
        <v/>
      </c>
      <c r="T634" s="37"/>
      <c r="U634" s="37"/>
      <c r="V634" s="37"/>
      <c r="W634" s="37"/>
      <c r="X634" s="37"/>
      <c r="Y634" s="37"/>
      <c r="Z634" s="37"/>
    </row>
    <row r="635" spans="1:26" ht="15.75" customHeight="1" x14ac:dyDescent="0.3">
      <c r="A635" s="22">
        <f>IF($N$1="Piping", IF(ISBLANK(Piping!A635), "", Piping!A635), IF($N$1="Vessels", IF(ISBLANK(Vessels!A635), "", Vessels!A635), ""))</f>
        <v>158.19999999999999</v>
      </c>
      <c r="B635" s="21" t="str">
        <f>IF($N$1="Piping", IF(ISBLANK(Piping!B635), "", Piping!B635), IF($N$1="Vessels", IF(ISBLANK(Vessels!B635), "", Vessels!B635), ""))</f>
        <v/>
      </c>
      <c r="C635" s="21" t="str">
        <f>IF($N$1="Piping", IF(ISBLANK(Piping!C635), "", Piping!C635), IF($N$1="Vessels", IF(ISBLANK(Vessels!C635), "", Vessels!C635), ""))</f>
        <v>Piping</v>
      </c>
      <c r="D635" s="21" t="str">
        <f>IF($N$1="Piping", IF(ISBLANK(Piping!D635), "", Piping!D635), IF($N$1="Vessels", IF(ISBLANK(Vessels!D635), "", Vessels!D635), ""))</f>
        <v/>
      </c>
      <c r="E635" s="21" t="str">
        <f>IF($N$1="Piping", IF(ISBLANK(Piping!E635), "", Piping!E635), IF($N$1="Vessels", IF(ISBLANK(Vessels!E635), "", Vessels!E635), ""))</f>
        <v/>
      </c>
      <c r="F635" s="21" t="str">
        <f>IF($N$1="Piping", IF(ISBLANK(Piping!F635), "", Piping!F635), IF($N$1="Vessels", IF(ISBLANK(Vessels!F635), "", Vessels!F635), ""))</f>
        <v/>
      </c>
      <c r="G635" s="21">
        <f>IF($N$1="Piping", IF(ISBLANK(Piping!G635), "", Piping!G635), IF($N$1="Vessels", IF(ISBLANK(Vessels!G635), "", Vessels!G635), ""))</f>
        <v>0</v>
      </c>
      <c r="H635" s="21" t="str">
        <f>IF($N$1="Piping", IF(ISBLANK(Piping!H635), "", Piping!H635), IF($N$1="Vessels", IF(ISBLANK(Vessels!H635), "", Vessels!H635), ""))</f>
        <v/>
      </c>
      <c r="I635" s="21" t="str">
        <f>IF($N$1="Piping", IF(ISBLANK(Piping!I635), "", Piping!I635), IF($N$1="Vessels", IF(ISBLANK(Vessels!I635), "", Vessels!I635), ""))</f>
        <v/>
      </c>
      <c r="J635" s="21" t="str">
        <f>IF($N$1="Piping", IF(ISBLANK(Piping!J635), "", Piping!J635), IF($N$1="Vessels", IF(ISBLANK(Vessels!J635), "", Vessels!J635), ""))</f>
        <v/>
      </c>
      <c r="K635" s="21" t="str">
        <f>IF($N$1="Piping", IF(ISBLANK(Piping!K635), "", Piping!K635), IF($N$1="Vessels", IF(ISBLANK(Vessels!K635), "", Vessels!K635), ""))</f>
        <v/>
      </c>
      <c r="L635" s="21" t="str">
        <f>IF($N$1="Piping", IF(ISBLANK(Piping!L635), "", Piping!L635), IF($N$1="Vessels", IF(ISBLANK(Vessels!L635), "", Vessels!L635), ""))</f>
        <v/>
      </c>
      <c r="M635" s="21"/>
      <c r="N635" s="21"/>
      <c r="O635" s="21"/>
      <c r="P635" s="21"/>
      <c r="Q635" s="21" t="str">
        <f>IF($N$1="Piping", IF(ISBLANK(Piping!T635), "", Piping!T635), IF($N$1="Vessels", IF(ISBLANK(Vessels!T635), "", Vessels!T635), ""))</f>
        <v/>
      </c>
      <c r="R635" s="51" t="str">
        <f>IF($N$1="Piping", IF(ISBLANK(Piping!U635), "", Piping!U635), IF($N$1="Vessels", IF(ISBLANK(Vessels!U635), "", Vessels!U635), ""))</f>
        <v/>
      </c>
      <c r="S635" s="118" t="str">
        <f>IF(B635&lt;&gt;"",IF($N$1="Piping", IF(ISBLANK(Piping!$J$3), "", Piping!$J$3), IF($N$1="Vessels", IF(ISBLANK(Vessels!$J$3), "", Vessels!$J$3), "")),"")</f>
        <v/>
      </c>
      <c r="T635" s="37"/>
      <c r="U635" s="37"/>
      <c r="V635" s="37"/>
      <c r="W635" s="37"/>
      <c r="X635" s="37"/>
      <c r="Y635" s="37"/>
      <c r="Z635" s="37"/>
    </row>
    <row r="636" spans="1:26" ht="15.75" customHeight="1" x14ac:dyDescent="0.3">
      <c r="A636" s="22">
        <f>IF($N$1="Piping", IF(ISBLANK(Piping!A636), "", Piping!A636), IF($N$1="Vessels", IF(ISBLANK(Vessels!A636), "", Vessels!A636), ""))</f>
        <v>158.30000000000001</v>
      </c>
      <c r="B636" s="21" t="str">
        <f>IF($N$1="Piping", IF(ISBLANK(Piping!B636), "", Piping!B636), IF($N$1="Vessels", IF(ISBLANK(Vessels!B636), "", Vessels!B636), ""))</f>
        <v/>
      </c>
      <c r="C636" s="21" t="str">
        <f>IF($N$1="Piping", IF(ISBLANK(Piping!C636), "", Piping!C636), IF($N$1="Vessels", IF(ISBLANK(Vessels!C636), "", Vessels!C636), ""))</f>
        <v>Piping</v>
      </c>
      <c r="D636" s="21" t="str">
        <f>IF($N$1="Piping", IF(ISBLANK(Piping!D636), "", Piping!D636), IF($N$1="Vessels", IF(ISBLANK(Vessels!D636), "", Vessels!D636), ""))</f>
        <v/>
      </c>
      <c r="E636" s="21" t="str">
        <f>IF($N$1="Piping", IF(ISBLANK(Piping!E636), "", Piping!E636), IF($N$1="Vessels", IF(ISBLANK(Vessels!E636), "", Vessels!E636), ""))</f>
        <v/>
      </c>
      <c r="F636" s="21" t="str">
        <f>IF($N$1="Piping", IF(ISBLANK(Piping!F636), "", Piping!F636), IF($N$1="Vessels", IF(ISBLANK(Vessels!F636), "", Vessels!F636), ""))</f>
        <v/>
      </c>
      <c r="G636" s="21">
        <f>IF($N$1="Piping", IF(ISBLANK(Piping!G636), "", Piping!G636), IF($N$1="Vessels", IF(ISBLANK(Vessels!G636), "", Vessels!G636), ""))</f>
        <v>0</v>
      </c>
      <c r="H636" s="21" t="str">
        <f>IF($N$1="Piping", IF(ISBLANK(Piping!H636), "", Piping!H636), IF($N$1="Vessels", IF(ISBLANK(Vessels!H636), "", Vessels!H636), ""))</f>
        <v/>
      </c>
      <c r="I636" s="21" t="str">
        <f>IF($N$1="Piping", IF(ISBLANK(Piping!I636), "", Piping!I636), IF($N$1="Vessels", IF(ISBLANK(Vessels!I636), "", Vessels!I636), ""))</f>
        <v/>
      </c>
      <c r="J636" s="21" t="str">
        <f>IF($N$1="Piping", IF(ISBLANK(Piping!J636), "", Piping!J636), IF($N$1="Vessels", IF(ISBLANK(Vessels!J636), "", Vessels!J636), ""))</f>
        <v/>
      </c>
      <c r="K636" s="21" t="str">
        <f>IF($N$1="Piping", IF(ISBLANK(Piping!K636), "", Piping!K636), IF($N$1="Vessels", IF(ISBLANK(Vessels!K636), "", Vessels!K636), ""))</f>
        <v/>
      </c>
      <c r="L636" s="21" t="str">
        <f>IF($N$1="Piping", IF(ISBLANK(Piping!L636), "", Piping!L636), IF($N$1="Vessels", IF(ISBLANK(Vessels!L636), "", Vessels!L636), ""))</f>
        <v/>
      </c>
      <c r="M636" s="21"/>
      <c r="N636" s="21"/>
      <c r="O636" s="21"/>
      <c r="P636" s="21"/>
      <c r="Q636" s="21" t="str">
        <f>IF($N$1="Piping", IF(ISBLANK(Piping!T636), "", Piping!T636), IF($N$1="Vessels", IF(ISBLANK(Vessels!T636), "", Vessels!T636), ""))</f>
        <v/>
      </c>
      <c r="R636" s="51" t="str">
        <f>IF($N$1="Piping", IF(ISBLANK(Piping!U636), "", Piping!U636), IF($N$1="Vessels", IF(ISBLANK(Vessels!U636), "", Vessels!U636), ""))</f>
        <v/>
      </c>
      <c r="S636" s="118" t="str">
        <f>IF(B636&lt;&gt;"",IF($N$1="Piping", IF(ISBLANK(Piping!$J$3), "", Piping!$J$3), IF($N$1="Vessels", IF(ISBLANK(Vessels!$J$3), "", Vessels!$J$3), "")),"")</f>
        <v/>
      </c>
      <c r="T636" s="37"/>
      <c r="U636" s="37"/>
      <c r="V636" s="37"/>
      <c r="W636" s="37"/>
      <c r="X636" s="37"/>
      <c r="Y636" s="37"/>
      <c r="Z636" s="37"/>
    </row>
    <row r="637" spans="1:26" ht="15.75" customHeight="1" x14ac:dyDescent="0.3">
      <c r="A637" s="22">
        <f>IF($N$1="Piping", IF(ISBLANK(Piping!A637), "", Piping!A637), IF($N$1="Vessels", IF(ISBLANK(Vessels!A637), "", Vessels!A637), ""))</f>
        <v>158.4</v>
      </c>
      <c r="B637" s="21" t="str">
        <f>IF($N$1="Piping", IF(ISBLANK(Piping!B637), "", Piping!B637), IF($N$1="Vessels", IF(ISBLANK(Vessels!B637), "", Vessels!B637), ""))</f>
        <v/>
      </c>
      <c r="C637" s="21" t="str">
        <f>IF($N$1="Piping", IF(ISBLANK(Piping!C637), "", Piping!C637), IF($N$1="Vessels", IF(ISBLANK(Vessels!C637), "", Vessels!C637), ""))</f>
        <v>Piping</v>
      </c>
      <c r="D637" s="21" t="str">
        <f>IF($N$1="Piping", IF(ISBLANK(Piping!D637), "", Piping!D637), IF($N$1="Vessels", IF(ISBLANK(Vessels!D637), "", Vessels!D637), ""))</f>
        <v/>
      </c>
      <c r="E637" s="21" t="str">
        <f>IF($N$1="Piping", IF(ISBLANK(Piping!E637), "", Piping!E637), IF($N$1="Vessels", IF(ISBLANK(Vessels!E637), "", Vessels!E637), ""))</f>
        <v/>
      </c>
      <c r="F637" s="21" t="str">
        <f>IF($N$1="Piping", IF(ISBLANK(Piping!F637), "", Piping!F637), IF($N$1="Vessels", IF(ISBLANK(Vessels!F637), "", Vessels!F637), ""))</f>
        <v/>
      </c>
      <c r="G637" s="21">
        <f>IF($N$1="Piping", IF(ISBLANK(Piping!G637), "", Piping!G637), IF($N$1="Vessels", IF(ISBLANK(Vessels!G637), "", Vessels!G637), ""))</f>
        <v>0</v>
      </c>
      <c r="H637" s="21" t="str">
        <f>IF($N$1="Piping", IF(ISBLANK(Piping!H637), "", Piping!H637), IF($N$1="Vessels", IF(ISBLANK(Vessels!H637), "", Vessels!H637), ""))</f>
        <v/>
      </c>
      <c r="I637" s="21" t="str">
        <f>IF($N$1="Piping", IF(ISBLANK(Piping!I637), "", Piping!I637), IF($N$1="Vessels", IF(ISBLANK(Vessels!I637), "", Vessels!I637), ""))</f>
        <v/>
      </c>
      <c r="J637" s="21" t="str">
        <f>IF($N$1="Piping", IF(ISBLANK(Piping!J637), "", Piping!J637), IF($N$1="Vessels", IF(ISBLANK(Vessels!J637), "", Vessels!J637), ""))</f>
        <v/>
      </c>
      <c r="K637" s="21" t="str">
        <f>IF($N$1="Piping", IF(ISBLANK(Piping!K637), "", Piping!K637), IF($N$1="Vessels", IF(ISBLANK(Vessels!K637), "", Vessels!K637), ""))</f>
        <v/>
      </c>
      <c r="L637" s="21" t="str">
        <f>IF($N$1="Piping", IF(ISBLANK(Piping!L637), "", Piping!L637), IF($N$1="Vessels", IF(ISBLANK(Vessels!L637), "", Vessels!L637), ""))</f>
        <v/>
      </c>
      <c r="M637" s="21"/>
      <c r="N637" s="21"/>
      <c r="O637" s="21"/>
      <c r="P637" s="21"/>
      <c r="Q637" s="21" t="str">
        <f>IF($N$1="Piping", IF(ISBLANK(Piping!T637), "", Piping!T637), IF($N$1="Vessels", IF(ISBLANK(Vessels!T637), "", Vessels!T637), ""))</f>
        <v/>
      </c>
      <c r="R637" s="51" t="str">
        <f>IF($N$1="Piping", IF(ISBLANK(Piping!U637), "", Piping!U637), IF($N$1="Vessels", IF(ISBLANK(Vessels!U637), "", Vessels!U637), ""))</f>
        <v/>
      </c>
      <c r="S637" s="118" t="str">
        <f>IF(B637&lt;&gt;"",IF($N$1="Piping", IF(ISBLANK(Piping!$J$3), "", Piping!$J$3), IF($N$1="Vessels", IF(ISBLANK(Vessels!$J$3), "", Vessels!$J$3), "")),"")</f>
        <v/>
      </c>
      <c r="T637" s="37"/>
      <c r="U637" s="37"/>
      <c r="V637" s="37"/>
      <c r="W637" s="37"/>
      <c r="X637" s="37"/>
      <c r="Y637" s="37"/>
      <c r="Z637" s="37"/>
    </row>
    <row r="638" spans="1:26" ht="15.75" customHeight="1" x14ac:dyDescent="0.3">
      <c r="A638" s="22">
        <f>IF($N$1="Piping", IF(ISBLANK(Piping!A638), "", Piping!A638), IF($N$1="Vessels", IF(ISBLANK(Vessels!A638), "", Vessels!A638), ""))</f>
        <v>159.1</v>
      </c>
      <c r="B638" s="21" t="str">
        <f>IF($N$1="Piping", IF(ISBLANK(Piping!B638), "", Piping!B638), IF($N$1="Vessels", IF(ISBLANK(Vessels!B638), "", Vessels!B638), ""))</f>
        <v/>
      </c>
      <c r="C638" s="21" t="str">
        <f>IF($N$1="Piping", IF(ISBLANK(Piping!C638), "", Piping!C638), IF($N$1="Vessels", IF(ISBLANK(Vessels!C638), "", Vessels!C638), ""))</f>
        <v>Piping</v>
      </c>
      <c r="D638" s="21" t="str">
        <f>IF($N$1="Piping", IF(ISBLANK(Piping!D638), "", Piping!D638), IF($N$1="Vessels", IF(ISBLANK(Vessels!D638), "", Vessels!D638), ""))</f>
        <v/>
      </c>
      <c r="E638" s="21" t="str">
        <f>IF($N$1="Piping", IF(ISBLANK(Piping!E638), "", Piping!E638), IF($N$1="Vessels", IF(ISBLANK(Vessels!E638), "", Vessels!E638), ""))</f>
        <v/>
      </c>
      <c r="F638" s="21" t="str">
        <f>IF($N$1="Piping", IF(ISBLANK(Piping!F638), "", Piping!F638), IF($N$1="Vessels", IF(ISBLANK(Vessels!F638), "", Vessels!F638), ""))</f>
        <v/>
      </c>
      <c r="G638" s="21">
        <f>IF($N$1="Piping", IF(ISBLANK(Piping!G638), "", Piping!G638), IF($N$1="Vessels", IF(ISBLANK(Vessels!G638), "", Vessels!G638), ""))</f>
        <v>0</v>
      </c>
      <c r="H638" s="21" t="str">
        <f>IF($N$1="Piping", IF(ISBLANK(Piping!H638), "", Piping!H638), IF($N$1="Vessels", IF(ISBLANK(Vessels!H638), "", Vessels!H638), ""))</f>
        <v/>
      </c>
      <c r="I638" s="21" t="str">
        <f>IF($N$1="Piping", IF(ISBLANK(Piping!I638), "", Piping!I638), IF($N$1="Vessels", IF(ISBLANK(Vessels!I638), "", Vessels!I638), ""))</f>
        <v/>
      </c>
      <c r="J638" s="21" t="str">
        <f>IF($N$1="Piping", IF(ISBLANK(Piping!J638), "", Piping!J638), IF($N$1="Vessels", IF(ISBLANK(Vessels!J638), "", Vessels!J638), ""))</f>
        <v/>
      </c>
      <c r="K638" s="21" t="str">
        <f>IF($N$1="Piping", IF(ISBLANK(Piping!K638), "", Piping!K638), IF($N$1="Vessels", IF(ISBLANK(Vessels!K638), "", Vessels!K638), ""))</f>
        <v/>
      </c>
      <c r="L638" s="21" t="str">
        <f>IF($N$1="Piping", IF(ISBLANK(Piping!L638), "", Piping!L638), IF($N$1="Vessels", IF(ISBLANK(Vessels!L638), "", Vessels!L638), ""))</f>
        <v/>
      </c>
      <c r="M638" s="21"/>
      <c r="N638" s="21"/>
      <c r="O638" s="21"/>
      <c r="P638" s="21"/>
      <c r="Q638" s="21" t="str">
        <f>IF($N$1="Piping", IF(ISBLANK(Piping!T638), "", Piping!T638), IF($N$1="Vessels", IF(ISBLANK(Vessels!T638), "", Vessels!T638), ""))</f>
        <v/>
      </c>
      <c r="R638" s="51" t="str">
        <f>IF($N$1="Piping", IF(ISBLANK(Piping!U638), "", Piping!U638), IF($N$1="Vessels", IF(ISBLANK(Vessels!U638), "", Vessels!U638), ""))</f>
        <v/>
      </c>
      <c r="S638" s="118" t="str">
        <f>IF(B638&lt;&gt;"",IF($N$1="Piping", IF(ISBLANK(Piping!$J$3), "", Piping!$J$3), IF($N$1="Vessels", IF(ISBLANK(Vessels!$J$3), "", Vessels!$J$3), "")),"")</f>
        <v/>
      </c>
      <c r="T638" s="37"/>
      <c r="U638" s="37"/>
      <c r="V638" s="37"/>
      <c r="W638" s="37"/>
      <c r="X638" s="37"/>
      <c r="Y638" s="37"/>
      <c r="Z638" s="37"/>
    </row>
    <row r="639" spans="1:26" ht="15.75" customHeight="1" x14ac:dyDescent="0.3">
      <c r="A639" s="22">
        <f>IF($N$1="Piping", IF(ISBLANK(Piping!A639), "", Piping!A639), IF($N$1="Vessels", IF(ISBLANK(Vessels!A639), "", Vessels!A639), ""))</f>
        <v>159.19999999999999</v>
      </c>
      <c r="B639" s="21" t="str">
        <f>IF($N$1="Piping", IF(ISBLANK(Piping!B639), "", Piping!B639), IF($N$1="Vessels", IF(ISBLANK(Vessels!B639), "", Vessels!B639), ""))</f>
        <v/>
      </c>
      <c r="C639" s="21" t="str">
        <f>IF($N$1="Piping", IF(ISBLANK(Piping!C639), "", Piping!C639), IF($N$1="Vessels", IF(ISBLANK(Vessels!C639), "", Vessels!C639), ""))</f>
        <v>Piping</v>
      </c>
      <c r="D639" s="21" t="str">
        <f>IF($N$1="Piping", IF(ISBLANK(Piping!D639), "", Piping!D639), IF($N$1="Vessels", IF(ISBLANK(Vessels!D639), "", Vessels!D639), ""))</f>
        <v/>
      </c>
      <c r="E639" s="21" t="str">
        <f>IF($N$1="Piping", IF(ISBLANK(Piping!E639), "", Piping!E639), IF($N$1="Vessels", IF(ISBLANK(Vessels!E639), "", Vessels!E639), ""))</f>
        <v/>
      </c>
      <c r="F639" s="21" t="str">
        <f>IF($N$1="Piping", IF(ISBLANK(Piping!F639), "", Piping!F639), IF($N$1="Vessels", IF(ISBLANK(Vessels!F639), "", Vessels!F639), ""))</f>
        <v/>
      </c>
      <c r="G639" s="21">
        <f>IF($N$1="Piping", IF(ISBLANK(Piping!G639), "", Piping!G639), IF($N$1="Vessels", IF(ISBLANK(Vessels!G639), "", Vessels!G639), ""))</f>
        <v>0</v>
      </c>
      <c r="H639" s="21" t="str">
        <f>IF($N$1="Piping", IF(ISBLANK(Piping!H639), "", Piping!H639), IF($N$1="Vessels", IF(ISBLANK(Vessels!H639), "", Vessels!H639), ""))</f>
        <v/>
      </c>
      <c r="I639" s="21" t="str">
        <f>IF($N$1="Piping", IF(ISBLANK(Piping!I639), "", Piping!I639), IF($N$1="Vessels", IF(ISBLANK(Vessels!I639), "", Vessels!I639), ""))</f>
        <v/>
      </c>
      <c r="J639" s="21" t="str">
        <f>IF($N$1="Piping", IF(ISBLANK(Piping!J639), "", Piping!J639), IF($N$1="Vessels", IF(ISBLANK(Vessels!J639), "", Vessels!J639), ""))</f>
        <v/>
      </c>
      <c r="K639" s="21" t="str">
        <f>IF($N$1="Piping", IF(ISBLANK(Piping!K639), "", Piping!K639), IF($N$1="Vessels", IF(ISBLANK(Vessels!K639), "", Vessels!K639), ""))</f>
        <v/>
      </c>
      <c r="L639" s="21" t="str">
        <f>IF($N$1="Piping", IF(ISBLANK(Piping!L639), "", Piping!L639), IF($N$1="Vessels", IF(ISBLANK(Vessels!L639), "", Vessels!L639), ""))</f>
        <v/>
      </c>
      <c r="M639" s="21"/>
      <c r="N639" s="21"/>
      <c r="O639" s="21"/>
      <c r="P639" s="21"/>
      <c r="Q639" s="21" t="str">
        <f>IF($N$1="Piping", IF(ISBLANK(Piping!T639), "", Piping!T639), IF($N$1="Vessels", IF(ISBLANK(Vessels!T639), "", Vessels!T639), ""))</f>
        <v/>
      </c>
      <c r="R639" s="51" t="str">
        <f>IF($N$1="Piping", IF(ISBLANK(Piping!U639), "", Piping!U639), IF($N$1="Vessels", IF(ISBLANK(Vessels!U639), "", Vessels!U639), ""))</f>
        <v/>
      </c>
      <c r="S639" s="118" t="str">
        <f>IF(B639&lt;&gt;"",IF($N$1="Piping", IF(ISBLANK(Piping!$J$3), "", Piping!$J$3), IF($N$1="Vessels", IF(ISBLANK(Vessels!$J$3), "", Vessels!$J$3), "")),"")</f>
        <v/>
      </c>
      <c r="T639" s="37"/>
      <c r="U639" s="37"/>
      <c r="V639" s="37"/>
      <c r="W639" s="37"/>
      <c r="X639" s="37"/>
      <c r="Y639" s="37"/>
      <c r="Z639" s="37"/>
    </row>
    <row r="640" spans="1:26" ht="15.75" customHeight="1" x14ac:dyDescent="0.3">
      <c r="A640" s="22">
        <f>IF($N$1="Piping", IF(ISBLANK(Piping!A640), "", Piping!A640), IF($N$1="Vessels", IF(ISBLANK(Vessels!A640), "", Vessels!A640), ""))</f>
        <v>159.30000000000001</v>
      </c>
      <c r="B640" s="21" t="str">
        <f>IF($N$1="Piping", IF(ISBLANK(Piping!B640), "", Piping!B640), IF($N$1="Vessels", IF(ISBLANK(Vessels!B640), "", Vessels!B640), ""))</f>
        <v/>
      </c>
      <c r="C640" s="21" t="str">
        <f>IF($N$1="Piping", IF(ISBLANK(Piping!C640), "", Piping!C640), IF($N$1="Vessels", IF(ISBLANK(Vessels!C640), "", Vessels!C640), ""))</f>
        <v>Piping</v>
      </c>
      <c r="D640" s="21" t="str">
        <f>IF($N$1="Piping", IF(ISBLANK(Piping!D640), "", Piping!D640), IF($N$1="Vessels", IF(ISBLANK(Vessels!D640), "", Vessels!D640), ""))</f>
        <v/>
      </c>
      <c r="E640" s="21" t="str">
        <f>IF($N$1="Piping", IF(ISBLANK(Piping!E640), "", Piping!E640), IF($N$1="Vessels", IF(ISBLANK(Vessels!E640), "", Vessels!E640), ""))</f>
        <v/>
      </c>
      <c r="F640" s="21" t="str">
        <f>IF($N$1="Piping", IF(ISBLANK(Piping!F640), "", Piping!F640), IF($N$1="Vessels", IF(ISBLANK(Vessels!F640), "", Vessels!F640), ""))</f>
        <v/>
      </c>
      <c r="G640" s="21">
        <f>IF($N$1="Piping", IF(ISBLANK(Piping!G640), "", Piping!G640), IF($N$1="Vessels", IF(ISBLANK(Vessels!G640), "", Vessels!G640), ""))</f>
        <v>0</v>
      </c>
      <c r="H640" s="21" t="str">
        <f>IF($N$1="Piping", IF(ISBLANK(Piping!H640), "", Piping!H640), IF($N$1="Vessels", IF(ISBLANK(Vessels!H640), "", Vessels!H640), ""))</f>
        <v/>
      </c>
      <c r="I640" s="21" t="str">
        <f>IF($N$1="Piping", IF(ISBLANK(Piping!I640), "", Piping!I640), IF($N$1="Vessels", IF(ISBLANK(Vessels!I640), "", Vessels!I640), ""))</f>
        <v/>
      </c>
      <c r="J640" s="21" t="str">
        <f>IF($N$1="Piping", IF(ISBLANK(Piping!J640), "", Piping!J640), IF($N$1="Vessels", IF(ISBLANK(Vessels!J640), "", Vessels!J640), ""))</f>
        <v/>
      </c>
      <c r="K640" s="21" t="str">
        <f>IF($N$1="Piping", IF(ISBLANK(Piping!K640), "", Piping!K640), IF($N$1="Vessels", IF(ISBLANK(Vessels!K640), "", Vessels!K640), ""))</f>
        <v/>
      </c>
      <c r="L640" s="21" t="str">
        <f>IF($N$1="Piping", IF(ISBLANK(Piping!L640), "", Piping!L640), IF($N$1="Vessels", IF(ISBLANK(Vessels!L640), "", Vessels!L640), ""))</f>
        <v/>
      </c>
      <c r="M640" s="21"/>
      <c r="N640" s="21"/>
      <c r="O640" s="21"/>
      <c r="P640" s="21"/>
      <c r="Q640" s="21" t="str">
        <f>IF($N$1="Piping", IF(ISBLANK(Piping!T640), "", Piping!T640), IF($N$1="Vessels", IF(ISBLANK(Vessels!T640), "", Vessels!T640), ""))</f>
        <v/>
      </c>
      <c r="R640" s="51" t="str">
        <f>IF($N$1="Piping", IF(ISBLANK(Piping!U640), "", Piping!U640), IF($N$1="Vessels", IF(ISBLANK(Vessels!U640), "", Vessels!U640), ""))</f>
        <v/>
      </c>
      <c r="S640" s="118" t="str">
        <f>IF(B640&lt;&gt;"",IF($N$1="Piping", IF(ISBLANK(Piping!$J$3), "", Piping!$J$3), IF($N$1="Vessels", IF(ISBLANK(Vessels!$J$3), "", Vessels!$J$3), "")),"")</f>
        <v/>
      </c>
      <c r="T640" s="37"/>
      <c r="U640" s="37"/>
      <c r="V640" s="37"/>
      <c r="W640" s="37"/>
      <c r="X640" s="37"/>
      <c r="Y640" s="37"/>
      <c r="Z640" s="37"/>
    </row>
    <row r="641" spans="1:26" ht="15.75" customHeight="1" x14ac:dyDescent="0.3">
      <c r="A641" s="22">
        <f>IF($N$1="Piping", IF(ISBLANK(Piping!A641), "", Piping!A641), IF($N$1="Vessels", IF(ISBLANK(Vessels!A641), "", Vessels!A641), ""))</f>
        <v>159.4</v>
      </c>
      <c r="B641" s="21" t="str">
        <f>IF($N$1="Piping", IF(ISBLANK(Piping!B641), "", Piping!B641), IF($N$1="Vessels", IF(ISBLANK(Vessels!B641), "", Vessels!B641), ""))</f>
        <v/>
      </c>
      <c r="C641" s="21" t="str">
        <f>IF($N$1="Piping", IF(ISBLANK(Piping!C641), "", Piping!C641), IF($N$1="Vessels", IF(ISBLANK(Vessels!C641), "", Vessels!C641), ""))</f>
        <v>Piping</v>
      </c>
      <c r="D641" s="21" t="str">
        <f>IF($N$1="Piping", IF(ISBLANK(Piping!D641), "", Piping!D641), IF($N$1="Vessels", IF(ISBLANK(Vessels!D641), "", Vessels!D641), ""))</f>
        <v/>
      </c>
      <c r="E641" s="21" t="str">
        <f>IF($N$1="Piping", IF(ISBLANK(Piping!E641), "", Piping!E641), IF($N$1="Vessels", IF(ISBLANK(Vessels!E641), "", Vessels!E641), ""))</f>
        <v/>
      </c>
      <c r="F641" s="21" t="str">
        <f>IF($N$1="Piping", IF(ISBLANK(Piping!F641), "", Piping!F641), IF($N$1="Vessels", IF(ISBLANK(Vessels!F641), "", Vessels!F641), ""))</f>
        <v/>
      </c>
      <c r="G641" s="21">
        <f>IF($N$1="Piping", IF(ISBLANK(Piping!G641), "", Piping!G641), IF($N$1="Vessels", IF(ISBLANK(Vessels!G641), "", Vessels!G641), ""))</f>
        <v>0</v>
      </c>
      <c r="H641" s="21" t="str">
        <f>IF($N$1="Piping", IF(ISBLANK(Piping!H641), "", Piping!H641), IF($N$1="Vessels", IF(ISBLANK(Vessels!H641), "", Vessels!H641), ""))</f>
        <v/>
      </c>
      <c r="I641" s="21" t="str">
        <f>IF($N$1="Piping", IF(ISBLANK(Piping!I641), "", Piping!I641), IF($N$1="Vessels", IF(ISBLANK(Vessels!I641), "", Vessels!I641), ""))</f>
        <v/>
      </c>
      <c r="J641" s="21" t="str">
        <f>IF($N$1="Piping", IF(ISBLANK(Piping!J641), "", Piping!J641), IF($N$1="Vessels", IF(ISBLANK(Vessels!J641), "", Vessels!J641), ""))</f>
        <v/>
      </c>
      <c r="K641" s="21" t="str">
        <f>IF($N$1="Piping", IF(ISBLANK(Piping!K641), "", Piping!K641), IF($N$1="Vessels", IF(ISBLANK(Vessels!K641), "", Vessels!K641), ""))</f>
        <v/>
      </c>
      <c r="L641" s="21" t="str">
        <f>IF($N$1="Piping", IF(ISBLANK(Piping!L641), "", Piping!L641), IF($N$1="Vessels", IF(ISBLANK(Vessels!L641), "", Vessels!L641), ""))</f>
        <v/>
      </c>
      <c r="M641" s="21"/>
      <c r="N641" s="21"/>
      <c r="O641" s="21"/>
      <c r="P641" s="21"/>
      <c r="Q641" s="21" t="str">
        <f>IF($N$1="Piping", IF(ISBLANK(Piping!T641), "", Piping!T641), IF($N$1="Vessels", IF(ISBLANK(Vessels!T641), "", Vessels!T641), ""))</f>
        <v/>
      </c>
      <c r="R641" s="51" t="str">
        <f>IF($N$1="Piping", IF(ISBLANK(Piping!U641), "", Piping!U641), IF($N$1="Vessels", IF(ISBLANK(Vessels!U641), "", Vessels!U641), ""))</f>
        <v/>
      </c>
      <c r="S641" s="118" t="str">
        <f>IF(B641&lt;&gt;"",IF($N$1="Piping", IF(ISBLANK(Piping!$J$3), "", Piping!$J$3), IF($N$1="Vessels", IF(ISBLANK(Vessels!$J$3), "", Vessels!$J$3), "")),"")</f>
        <v/>
      </c>
      <c r="T641" s="37"/>
      <c r="U641" s="37"/>
      <c r="V641" s="37"/>
      <c r="W641" s="37"/>
      <c r="X641" s="37"/>
      <c r="Y641" s="37"/>
      <c r="Z641" s="37"/>
    </row>
    <row r="642" spans="1:26" ht="15.75" customHeight="1" x14ac:dyDescent="0.3">
      <c r="A642" s="22">
        <f>IF($N$1="Piping", IF(ISBLANK(Piping!A642), "", Piping!A642), IF($N$1="Vessels", IF(ISBLANK(Vessels!A642), "", Vessels!A642), ""))</f>
        <v>160.1</v>
      </c>
      <c r="B642" s="21" t="str">
        <f>IF($N$1="Piping", IF(ISBLANK(Piping!B642), "", Piping!B642), IF($N$1="Vessels", IF(ISBLANK(Vessels!B642), "", Vessels!B642), ""))</f>
        <v/>
      </c>
      <c r="C642" s="21" t="str">
        <f>IF($N$1="Piping", IF(ISBLANK(Piping!C642), "", Piping!C642), IF($N$1="Vessels", IF(ISBLANK(Vessels!C642), "", Vessels!C642), ""))</f>
        <v>Piping</v>
      </c>
      <c r="D642" s="21" t="str">
        <f>IF($N$1="Piping", IF(ISBLANK(Piping!D642), "", Piping!D642), IF($N$1="Vessels", IF(ISBLANK(Vessels!D642), "", Vessels!D642), ""))</f>
        <v/>
      </c>
      <c r="E642" s="21" t="str">
        <f>IF($N$1="Piping", IF(ISBLANK(Piping!E642), "", Piping!E642), IF($N$1="Vessels", IF(ISBLANK(Vessels!E642), "", Vessels!E642), ""))</f>
        <v/>
      </c>
      <c r="F642" s="21" t="str">
        <f>IF($N$1="Piping", IF(ISBLANK(Piping!F642), "", Piping!F642), IF($N$1="Vessels", IF(ISBLANK(Vessels!F642), "", Vessels!F642), ""))</f>
        <v/>
      </c>
      <c r="G642" s="21">
        <f>IF($N$1="Piping", IF(ISBLANK(Piping!G642), "", Piping!G642), IF($N$1="Vessels", IF(ISBLANK(Vessels!G642), "", Vessels!G642), ""))</f>
        <v>0</v>
      </c>
      <c r="H642" s="21" t="str">
        <f>IF($N$1="Piping", IF(ISBLANK(Piping!H642), "", Piping!H642), IF($N$1="Vessels", IF(ISBLANK(Vessels!H642), "", Vessels!H642), ""))</f>
        <v/>
      </c>
      <c r="I642" s="21" t="str">
        <f>IF($N$1="Piping", IF(ISBLANK(Piping!I642), "", Piping!I642), IF($N$1="Vessels", IF(ISBLANK(Vessels!I642), "", Vessels!I642), ""))</f>
        <v/>
      </c>
      <c r="J642" s="21" t="str">
        <f>IF($N$1="Piping", IF(ISBLANK(Piping!J642), "", Piping!J642), IF($N$1="Vessels", IF(ISBLANK(Vessels!J642), "", Vessels!J642), ""))</f>
        <v/>
      </c>
      <c r="K642" s="21" t="str">
        <f>IF($N$1="Piping", IF(ISBLANK(Piping!K642), "", Piping!K642), IF($N$1="Vessels", IF(ISBLANK(Vessels!K642), "", Vessels!K642), ""))</f>
        <v/>
      </c>
      <c r="L642" s="21" t="str">
        <f>IF($N$1="Piping", IF(ISBLANK(Piping!L642), "", Piping!L642), IF($N$1="Vessels", IF(ISBLANK(Vessels!L642), "", Vessels!L642), ""))</f>
        <v/>
      </c>
      <c r="M642" s="21"/>
      <c r="N642" s="21"/>
      <c r="O642" s="21"/>
      <c r="P642" s="21"/>
      <c r="Q642" s="21" t="str">
        <f>IF($N$1="Piping", IF(ISBLANK(Piping!T642), "", Piping!T642), IF($N$1="Vessels", IF(ISBLANK(Vessels!T642), "", Vessels!T642), ""))</f>
        <v/>
      </c>
      <c r="R642" s="51" t="str">
        <f>IF($N$1="Piping", IF(ISBLANK(Piping!U642), "", Piping!U642), IF($N$1="Vessels", IF(ISBLANK(Vessels!U642), "", Vessels!U642), ""))</f>
        <v/>
      </c>
      <c r="S642" s="118" t="str">
        <f>IF(B642&lt;&gt;"",IF($N$1="Piping", IF(ISBLANK(Piping!$J$3), "", Piping!$J$3), IF($N$1="Vessels", IF(ISBLANK(Vessels!$J$3), "", Vessels!$J$3), "")),"")</f>
        <v/>
      </c>
      <c r="T642" s="37"/>
      <c r="U642" s="37"/>
      <c r="V642" s="37"/>
      <c r="W642" s="37"/>
      <c r="X642" s="37"/>
      <c r="Y642" s="37"/>
      <c r="Z642" s="37"/>
    </row>
    <row r="643" spans="1:26" ht="15.75" customHeight="1" x14ac:dyDescent="0.3">
      <c r="A643" s="22">
        <f>IF($N$1="Piping", IF(ISBLANK(Piping!A643), "", Piping!A643), IF($N$1="Vessels", IF(ISBLANK(Vessels!A643), "", Vessels!A643), ""))</f>
        <v>160.19999999999999</v>
      </c>
      <c r="B643" s="21" t="str">
        <f>IF($N$1="Piping", IF(ISBLANK(Piping!B643), "", Piping!B643), IF($N$1="Vessels", IF(ISBLANK(Vessels!B643), "", Vessels!B643), ""))</f>
        <v/>
      </c>
      <c r="C643" s="21" t="str">
        <f>IF($N$1="Piping", IF(ISBLANK(Piping!C643), "", Piping!C643), IF($N$1="Vessels", IF(ISBLANK(Vessels!C643), "", Vessels!C643), ""))</f>
        <v>Piping</v>
      </c>
      <c r="D643" s="21" t="str">
        <f>IF($N$1="Piping", IF(ISBLANK(Piping!D643), "", Piping!D643), IF($N$1="Vessels", IF(ISBLANK(Vessels!D643), "", Vessels!D643), ""))</f>
        <v/>
      </c>
      <c r="E643" s="21" t="str">
        <f>IF($N$1="Piping", IF(ISBLANK(Piping!E643), "", Piping!E643), IF($N$1="Vessels", IF(ISBLANK(Vessels!E643), "", Vessels!E643), ""))</f>
        <v/>
      </c>
      <c r="F643" s="21" t="str">
        <f>IF($N$1="Piping", IF(ISBLANK(Piping!F643), "", Piping!F643), IF($N$1="Vessels", IF(ISBLANK(Vessels!F643), "", Vessels!F643), ""))</f>
        <v/>
      </c>
      <c r="G643" s="21">
        <f>IF($N$1="Piping", IF(ISBLANK(Piping!G643), "", Piping!G643), IF($N$1="Vessels", IF(ISBLANK(Vessels!G643), "", Vessels!G643), ""))</f>
        <v>0</v>
      </c>
      <c r="H643" s="21" t="str">
        <f>IF($N$1="Piping", IF(ISBLANK(Piping!H643), "", Piping!H643), IF($N$1="Vessels", IF(ISBLANK(Vessels!H643), "", Vessels!H643), ""))</f>
        <v/>
      </c>
      <c r="I643" s="21" t="str">
        <f>IF($N$1="Piping", IF(ISBLANK(Piping!I643), "", Piping!I643), IF($N$1="Vessels", IF(ISBLANK(Vessels!I643), "", Vessels!I643), ""))</f>
        <v/>
      </c>
      <c r="J643" s="21" t="str">
        <f>IF($N$1="Piping", IF(ISBLANK(Piping!J643), "", Piping!J643), IF($N$1="Vessels", IF(ISBLANK(Vessels!J643), "", Vessels!J643), ""))</f>
        <v/>
      </c>
      <c r="K643" s="21" t="str">
        <f>IF($N$1="Piping", IF(ISBLANK(Piping!K643), "", Piping!K643), IF($N$1="Vessels", IF(ISBLANK(Vessels!K643), "", Vessels!K643), ""))</f>
        <v/>
      </c>
      <c r="L643" s="21" t="str">
        <f>IF($N$1="Piping", IF(ISBLANK(Piping!L643), "", Piping!L643), IF($N$1="Vessels", IF(ISBLANK(Vessels!L643), "", Vessels!L643), ""))</f>
        <v/>
      </c>
      <c r="M643" s="21"/>
      <c r="N643" s="21"/>
      <c r="O643" s="21"/>
      <c r="P643" s="21"/>
      <c r="Q643" s="21" t="str">
        <f>IF($N$1="Piping", IF(ISBLANK(Piping!T643), "", Piping!T643), IF($N$1="Vessels", IF(ISBLANK(Vessels!T643), "", Vessels!T643), ""))</f>
        <v/>
      </c>
      <c r="R643" s="51" t="str">
        <f>IF($N$1="Piping", IF(ISBLANK(Piping!U643), "", Piping!U643), IF($N$1="Vessels", IF(ISBLANK(Vessels!U643), "", Vessels!U643), ""))</f>
        <v/>
      </c>
      <c r="S643" s="118" t="str">
        <f>IF(B643&lt;&gt;"",IF($N$1="Piping", IF(ISBLANK(Piping!$J$3), "", Piping!$J$3), IF($N$1="Vessels", IF(ISBLANK(Vessels!$J$3), "", Vessels!$J$3), "")),"")</f>
        <v/>
      </c>
      <c r="T643" s="37"/>
      <c r="U643" s="37"/>
      <c r="V643" s="37"/>
      <c r="W643" s="37"/>
      <c r="X643" s="37"/>
      <c r="Y643" s="37"/>
      <c r="Z643" s="37"/>
    </row>
    <row r="644" spans="1:26" ht="15.75" customHeight="1" x14ac:dyDescent="0.3">
      <c r="A644" s="22">
        <f>IF($N$1="Piping", IF(ISBLANK(Piping!A644), "", Piping!A644), IF($N$1="Vessels", IF(ISBLANK(Vessels!A644), "", Vessels!A644), ""))</f>
        <v>160.30000000000001</v>
      </c>
      <c r="B644" s="21" t="str">
        <f>IF($N$1="Piping", IF(ISBLANK(Piping!B644), "", Piping!B644), IF($N$1="Vessels", IF(ISBLANK(Vessels!B644), "", Vessels!B644), ""))</f>
        <v/>
      </c>
      <c r="C644" s="21" t="str">
        <f>IF($N$1="Piping", IF(ISBLANK(Piping!C644), "", Piping!C644), IF($N$1="Vessels", IF(ISBLANK(Vessels!C644), "", Vessels!C644), ""))</f>
        <v>Piping</v>
      </c>
      <c r="D644" s="21" t="str">
        <f>IF($N$1="Piping", IF(ISBLANK(Piping!D644), "", Piping!D644), IF($N$1="Vessels", IF(ISBLANK(Vessels!D644), "", Vessels!D644), ""))</f>
        <v/>
      </c>
      <c r="E644" s="21" t="str">
        <f>IF($N$1="Piping", IF(ISBLANK(Piping!E644), "", Piping!E644), IF($N$1="Vessels", IF(ISBLANK(Vessels!E644), "", Vessels!E644), ""))</f>
        <v/>
      </c>
      <c r="F644" s="21" t="str">
        <f>IF($N$1="Piping", IF(ISBLANK(Piping!F644), "", Piping!F644), IF($N$1="Vessels", IF(ISBLANK(Vessels!F644), "", Vessels!F644), ""))</f>
        <v/>
      </c>
      <c r="G644" s="21">
        <f>IF($N$1="Piping", IF(ISBLANK(Piping!G644), "", Piping!G644), IF($N$1="Vessels", IF(ISBLANK(Vessels!G644), "", Vessels!G644), ""))</f>
        <v>0</v>
      </c>
      <c r="H644" s="21" t="str">
        <f>IF($N$1="Piping", IF(ISBLANK(Piping!H644), "", Piping!H644), IF($N$1="Vessels", IF(ISBLANK(Vessels!H644), "", Vessels!H644), ""))</f>
        <v/>
      </c>
      <c r="I644" s="21" t="str">
        <f>IF($N$1="Piping", IF(ISBLANK(Piping!I644), "", Piping!I644), IF($N$1="Vessels", IF(ISBLANK(Vessels!I644), "", Vessels!I644), ""))</f>
        <v/>
      </c>
      <c r="J644" s="21" t="str">
        <f>IF($N$1="Piping", IF(ISBLANK(Piping!J644), "", Piping!J644), IF($N$1="Vessels", IF(ISBLANK(Vessels!J644), "", Vessels!J644), ""))</f>
        <v/>
      </c>
      <c r="K644" s="21" t="str">
        <f>IF($N$1="Piping", IF(ISBLANK(Piping!K644), "", Piping!K644), IF($N$1="Vessels", IF(ISBLANK(Vessels!K644), "", Vessels!K644), ""))</f>
        <v/>
      </c>
      <c r="L644" s="21" t="str">
        <f>IF($N$1="Piping", IF(ISBLANK(Piping!L644), "", Piping!L644), IF($N$1="Vessels", IF(ISBLANK(Vessels!L644), "", Vessels!L644), ""))</f>
        <v/>
      </c>
      <c r="M644" s="21"/>
      <c r="N644" s="21"/>
      <c r="O644" s="21"/>
      <c r="P644" s="21"/>
      <c r="Q644" s="21" t="str">
        <f>IF($N$1="Piping", IF(ISBLANK(Piping!T644), "", Piping!T644), IF($N$1="Vessels", IF(ISBLANK(Vessels!T644), "", Vessels!T644), ""))</f>
        <v/>
      </c>
      <c r="R644" s="51" t="str">
        <f>IF($N$1="Piping", IF(ISBLANK(Piping!U644), "", Piping!U644), IF($N$1="Vessels", IF(ISBLANK(Vessels!U644), "", Vessels!U644), ""))</f>
        <v/>
      </c>
      <c r="S644" s="118" t="str">
        <f>IF(B644&lt;&gt;"",IF($N$1="Piping", IF(ISBLANK(Piping!$J$3), "", Piping!$J$3), IF($N$1="Vessels", IF(ISBLANK(Vessels!$J$3), "", Vessels!$J$3), "")),"")</f>
        <v/>
      </c>
      <c r="T644" s="37"/>
      <c r="U644" s="37"/>
      <c r="V644" s="37"/>
      <c r="W644" s="37"/>
      <c r="X644" s="37"/>
      <c r="Y644" s="37"/>
      <c r="Z644" s="37"/>
    </row>
    <row r="645" spans="1:26" ht="15.75" customHeight="1" x14ac:dyDescent="0.3">
      <c r="A645" s="22">
        <f>IF($N$1="Piping", IF(ISBLANK(Piping!A645), "", Piping!A645), IF($N$1="Vessels", IF(ISBLANK(Vessels!A645), "", Vessels!A645), ""))</f>
        <v>160.4</v>
      </c>
      <c r="B645" s="21" t="str">
        <f>IF($N$1="Piping", IF(ISBLANK(Piping!B645), "", Piping!B645), IF($N$1="Vessels", IF(ISBLANK(Vessels!B645), "", Vessels!B645), ""))</f>
        <v/>
      </c>
      <c r="C645" s="21" t="str">
        <f>IF($N$1="Piping", IF(ISBLANK(Piping!C645), "", Piping!C645), IF($N$1="Vessels", IF(ISBLANK(Vessels!C645), "", Vessels!C645), ""))</f>
        <v>Piping</v>
      </c>
      <c r="D645" s="21" t="str">
        <f>IF($N$1="Piping", IF(ISBLANK(Piping!D645), "", Piping!D645), IF($N$1="Vessels", IF(ISBLANK(Vessels!D645), "", Vessels!D645), ""))</f>
        <v/>
      </c>
      <c r="E645" s="21" t="str">
        <f>IF($N$1="Piping", IF(ISBLANK(Piping!E645), "", Piping!E645), IF($N$1="Vessels", IF(ISBLANK(Vessels!E645), "", Vessels!E645), ""))</f>
        <v/>
      </c>
      <c r="F645" s="21" t="str">
        <f>IF($N$1="Piping", IF(ISBLANK(Piping!F645), "", Piping!F645), IF($N$1="Vessels", IF(ISBLANK(Vessels!F645), "", Vessels!F645), ""))</f>
        <v/>
      </c>
      <c r="G645" s="21">
        <f>IF($N$1="Piping", IF(ISBLANK(Piping!G645), "", Piping!G645), IF($N$1="Vessels", IF(ISBLANK(Vessels!G645), "", Vessels!G645), ""))</f>
        <v>0</v>
      </c>
      <c r="H645" s="21" t="str">
        <f>IF($N$1="Piping", IF(ISBLANK(Piping!H645), "", Piping!H645), IF($N$1="Vessels", IF(ISBLANK(Vessels!H645), "", Vessels!H645), ""))</f>
        <v/>
      </c>
      <c r="I645" s="21" t="str">
        <f>IF($N$1="Piping", IF(ISBLANK(Piping!I645), "", Piping!I645), IF($N$1="Vessels", IF(ISBLANK(Vessels!I645), "", Vessels!I645), ""))</f>
        <v/>
      </c>
      <c r="J645" s="21" t="str">
        <f>IF($N$1="Piping", IF(ISBLANK(Piping!J645), "", Piping!J645), IF($N$1="Vessels", IF(ISBLANK(Vessels!J645), "", Vessels!J645), ""))</f>
        <v/>
      </c>
      <c r="K645" s="21" t="str">
        <f>IF($N$1="Piping", IF(ISBLANK(Piping!K645), "", Piping!K645), IF($N$1="Vessels", IF(ISBLANK(Vessels!K645), "", Vessels!K645), ""))</f>
        <v/>
      </c>
      <c r="L645" s="21" t="str">
        <f>IF($N$1="Piping", IF(ISBLANK(Piping!L645), "", Piping!L645), IF($N$1="Vessels", IF(ISBLANK(Vessels!L645), "", Vessels!L645), ""))</f>
        <v/>
      </c>
      <c r="M645" s="21"/>
      <c r="N645" s="21"/>
      <c r="O645" s="21"/>
      <c r="P645" s="21"/>
      <c r="Q645" s="21" t="str">
        <f>IF($N$1="Piping", IF(ISBLANK(Piping!T645), "", Piping!T645), IF($N$1="Vessels", IF(ISBLANK(Vessels!T645), "", Vessels!T645), ""))</f>
        <v/>
      </c>
      <c r="R645" s="51" t="str">
        <f>IF($N$1="Piping", IF(ISBLANK(Piping!U645), "", Piping!U645), IF($N$1="Vessels", IF(ISBLANK(Vessels!U645), "", Vessels!U645), ""))</f>
        <v/>
      </c>
      <c r="S645" s="118" t="str">
        <f>IF(B645&lt;&gt;"",IF($N$1="Piping", IF(ISBLANK(Piping!$J$3), "", Piping!$J$3), IF($N$1="Vessels", IF(ISBLANK(Vessels!$J$3), "", Vessels!$J$3), "")),"")</f>
        <v/>
      </c>
      <c r="T645" s="37"/>
      <c r="U645" s="37"/>
      <c r="V645" s="37"/>
      <c r="W645" s="37"/>
      <c r="X645" s="37"/>
      <c r="Y645" s="37"/>
      <c r="Z645" s="37"/>
    </row>
    <row r="646" spans="1:26" ht="15.75" customHeight="1" x14ac:dyDescent="0.3">
      <c r="A646" s="22">
        <f>IF($N$1="Piping", IF(ISBLANK(Piping!A646), "", Piping!A646), IF($N$1="Vessels", IF(ISBLANK(Vessels!A646), "", Vessels!A646), ""))</f>
        <v>161.1</v>
      </c>
      <c r="B646" s="21" t="str">
        <f>IF($N$1="Piping", IF(ISBLANK(Piping!B646), "", Piping!B646), IF($N$1="Vessels", IF(ISBLANK(Vessels!B646), "", Vessels!B646), ""))</f>
        <v/>
      </c>
      <c r="C646" s="21" t="str">
        <f>IF($N$1="Piping", IF(ISBLANK(Piping!C646), "", Piping!C646), IF($N$1="Vessels", IF(ISBLANK(Vessels!C646), "", Vessels!C646), ""))</f>
        <v>Piping</v>
      </c>
      <c r="D646" s="21" t="str">
        <f>IF($N$1="Piping", IF(ISBLANK(Piping!D646), "", Piping!D646), IF($N$1="Vessels", IF(ISBLANK(Vessels!D646), "", Vessels!D646), ""))</f>
        <v/>
      </c>
      <c r="E646" s="21" t="str">
        <f>IF($N$1="Piping", IF(ISBLANK(Piping!E646), "", Piping!E646), IF($N$1="Vessels", IF(ISBLANK(Vessels!E646), "", Vessels!E646), ""))</f>
        <v/>
      </c>
      <c r="F646" s="21" t="str">
        <f>IF($N$1="Piping", IF(ISBLANK(Piping!F646), "", Piping!F646), IF($N$1="Vessels", IF(ISBLANK(Vessels!F646), "", Vessels!F646), ""))</f>
        <v/>
      </c>
      <c r="G646" s="21">
        <f>IF($N$1="Piping", IF(ISBLANK(Piping!G646), "", Piping!G646), IF($N$1="Vessels", IF(ISBLANK(Vessels!G646), "", Vessels!G646), ""))</f>
        <v>0</v>
      </c>
      <c r="H646" s="21" t="str">
        <f>IF($N$1="Piping", IF(ISBLANK(Piping!H646), "", Piping!H646), IF($N$1="Vessels", IF(ISBLANK(Vessels!H646), "", Vessels!H646), ""))</f>
        <v/>
      </c>
      <c r="I646" s="21" t="str">
        <f>IF($N$1="Piping", IF(ISBLANK(Piping!I646), "", Piping!I646), IF($N$1="Vessels", IF(ISBLANK(Vessels!I646), "", Vessels!I646), ""))</f>
        <v/>
      </c>
      <c r="J646" s="21" t="str">
        <f>IF($N$1="Piping", IF(ISBLANK(Piping!J646), "", Piping!J646), IF($N$1="Vessels", IF(ISBLANK(Vessels!J646), "", Vessels!J646), ""))</f>
        <v/>
      </c>
      <c r="K646" s="21" t="str">
        <f>IF($N$1="Piping", IF(ISBLANK(Piping!K646), "", Piping!K646), IF($N$1="Vessels", IF(ISBLANK(Vessels!K646), "", Vessels!K646), ""))</f>
        <v/>
      </c>
      <c r="L646" s="21" t="str">
        <f>IF($N$1="Piping", IF(ISBLANK(Piping!L646), "", Piping!L646), IF($N$1="Vessels", IF(ISBLANK(Vessels!L646), "", Vessels!L646), ""))</f>
        <v/>
      </c>
      <c r="M646" s="21"/>
      <c r="N646" s="21"/>
      <c r="O646" s="21"/>
      <c r="P646" s="21"/>
      <c r="Q646" s="21" t="str">
        <f>IF($N$1="Piping", IF(ISBLANK(Piping!T646), "", Piping!T646), IF($N$1="Vessels", IF(ISBLANK(Vessels!T646), "", Vessels!T646), ""))</f>
        <v/>
      </c>
      <c r="R646" s="51" t="str">
        <f>IF($N$1="Piping", IF(ISBLANK(Piping!U646), "", Piping!U646), IF($N$1="Vessels", IF(ISBLANK(Vessels!U646), "", Vessels!U646), ""))</f>
        <v/>
      </c>
      <c r="S646" s="118" t="str">
        <f>IF(B646&lt;&gt;"",IF($N$1="Piping", IF(ISBLANK(Piping!$J$3), "", Piping!$J$3), IF($N$1="Vessels", IF(ISBLANK(Vessels!$J$3), "", Vessels!$J$3), "")),"")</f>
        <v/>
      </c>
      <c r="T646" s="37"/>
      <c r="U646" s="37"/>
      <c r="V646" s="37"/>
      <c r="W646" s="37"/>
      <c r="X646" s="37"/>
      <c r="Y646" s="37"/>
      <c r="Z646" s="37"/>
    </row>
    <row r="647" spans="1:26" ht="15.75" customHeight="1" x14ac:dyDescent="0.3">
      <c r="A647" s="22">
        <f>IF($N$1="Piping", IF(ISBLANK(Piping!A647), "", Piping!A647), IF($N$1="Vessels", IF(ISBLANK(Vessels!A647), "", Vessels!A647), ""))</f>
        <v>161.19999999999999</v>
      </c>
      <c r="B647" s="21" t="str">
        <f>IF($N$1="Piping", IF(ISBLANK(Piping!B647), "", Piping!B647), IF($N$1="Vessels", IF(ISBLANK(Vessels!B647), "", Vessels!B647), ""))</f>
        <v/>
      </c>
      <c r="C647" s="21" t="str">
        <f>IF($N$1="Piping", IF(ISBLANK(Piping!C647), "", Piping!C647), IF($N$1="Vessels", IF(ISBLANK(Vessels!C647), "", Vessels!C647), ""))</f>
        <v>Piping</v>
      </c>
      <c r="D647" s="21" t="str">
        <f>IF($N$1="Piping", IF(ISBLANK(Piping!D647), "", Piping!D647), IF($N$1="Vessels", IF(ISBLANK(Vessels!D647), "", Vessels!D647), ""))</f>
        <v/>
      </c>
      <c r="E647" s="21" t="str">
        <f>IF($N$1="Piping", IF(ISBLANK(Piping!E647), "", Piping!E647), IF($N$1="Vessels", IF(ISBLANK(Vessels!E647), "", Vessels!E647), ""))</f>
        <v/>
      </c>
      <c r="F647" s="21" t="str">
        <f>IF($N$1="Piping", IF(ISBLANK(Piping!F647), "", Piping!F647), IF($N$1="Vessels", IF(ISBLANK(Vessels!F647), "", Vessels!F647), ""))</f>
        <v/>
      </c>
      <c r="G647" s="21">
        <f>IF($N$1="Piping", IF(ISBLANK(Piping!G647), "", Piping!G647), IF($N$1="Vessels", IF(ISBLANK(Vessels!G647), "", Vessels!G647), ""))</f>
        <v>0</v>
      </c>
      <c r="H647" s="21" t="str">
        <f>IF($N$1="Piping", IF(ISBLANK(Piping!H647), "", Piping!H647), IF($N$1="Vessels", IF(ISBLANK(Vessels!H647), "", Vessels!H647), ""))</f>
        <v/>
      </c>
      <c r="I647" s="21" t="str">
        <f>IF($N$1="Piping", IF(ISBLANK(Piping!I647), "", Piping!I647), IF($N$1="Vessels", IF(ISBLANK(Vessels!I647), "", Vessels!I647), ""))</f>
        <v/>
      </c>
      <c r="J647" s="21" t="str">
        <f>IF($N$1="Piping", IF(ISBLANK(Piping!J647), "", Piping!J647), IF($N$1="Vessels", IF(ISBLANK(Vessels!J647), "", Vessels!J647), ""))</f>
        <v/>
      </c>
      <c r="K647" s="21" t="str">
        <f>IF($N$1="Piping", IF(ISBLANK(Piping!K647), "", Piping!K647), IF($N$1="Vessels", IF(ISBLANK(Vessels!K647), "", Vessels!K647), ""))</f>
        <v/>
      </c>
      <c r="L647" s="21" t="str">
        <f>IF($N$1="Piping", IF(ISBLANK(Piping!L647), "", Piping!L647), IF($N$1="Vessels", IF(ISBLANK(Vessels!L647), "", Vessels!L647), ""))</f>
        <v/>
      </c>
      <c r="M647" s="21"/>
      <c r="N647" s="21"/>
      <c r="O647" s="21"/>
      <c r="P647" s="21"/>
      <c r="Q647" s="21" t="str">
        <f>IF($N$1="Piping", IF(ISBLANK(Piping!T647), "", Piping!T647), IF($N$1="Vessels", IF(ISBLANK(Vessels!T647), "", Vessels!T647), ""))</f>
        <v/>
      </c>
      <c r="R647" s="51" t="str">
        <f>IF($N$1="Piping", IF(ISBLANK(Piping!U647), "", Piping!U647), IF($N$1="Vessels", IF(ISBLANK(Vessels!U647), "", Vessels!U647), ""))</f>
        <v/>
      </c>
      <c r="S647" s="118" t="str">
        <f>IF(B647&lt;&gt;"",IF($N$1="Piping", IF(ISBLANK(Piping!$J$3), "", Piping!$J$3), IF($N$1="Vessels", IF(ISBLANK(Vessels!$J$3), "", Vessels!$J$3), "")),"")</f>
        <v/>
      </c>
      <c r="T647" s="37"/>
      <c r="U647" s="37"/>
      <c r="V647" s="37"/>
      <c r="W647" s="37"/>
      <c r="X647" s="37"/>
      <c r="Y647" s="37"/>
      <c r="Z647" s="37"/>
    </row>
    <row r="648" spans="1:26" ht="15.75" customHeight="1" x14ac:dyDescent="0.3">
      <c r="A648" s="22">
        <f>IF($N$1="Piping", IF(ISBLANK(Piping!A648), "", Piping!A648), IF($N$1="Vessels", IF(ISBLANK(Vessels!A648), "", Vessels!A648), ""))</f>
        <v>161.30000000000001</v>
      </c>
      <c r="B648" s="21" t="str">
        <f>IF($N$1="Piping", IF(ISBLANK(Piping!B648), "", Piping!B648), IF($N$1="Vessels", IF(ISBLANK(Vessels!B648), "", Vessels!B648), ""))</f>
        <v/>
      </c>
      <c r="C648" s="21" t="str">
        <f>IF($N$1="Piping", IF(ISBLANK(Piping!C648), "", Piping!C648), IF($N$1="Vessels", IF(ISBLANK(Vessels!C648), "", Vessels!C648), ""))</f>
        <v>Piping</v>
      </c>
      <c r="D648" s="21" t="str">
        <f>IF($N$1="Piping", IF(ISBLANK(Piping!D648), "", Piping!D648), IF($N$1="Vessels", IF(ISBLANK(Vessels!D648), "", Vessels!D648), ""))</f>
        <v/>
      </c>
      <c r="E648" s="21" t="str">
        <f>IF($N$1="Piping", IF(ISBLANK(Piping!E648), "", Piping!E648), IF($N$1="Vessels", IF(ISBLANK(Vessels!E648), "", Vessels!E648), ""))</f>
        <v/>
      </c>
      <c r="F648" s="21" t="str">
        <f>IF($N$1="Piping", IF(ISBLANK(Piping!F648), "", Piping!F648), IF($N$1="Vessels", IF(ISBLANK(Vessels!F648), "", Vessels!F648), ""))</f>
        <v/>
      </c>
      <c r="G648" s="21">
        <f>IF($N$1="Piping", IF(ISBLANK(Piping!G648), "", Piping!G648), IF($N$1="Vessels", IF(ISBLANK(Vessels!G648), "", Vessels!G648), ""))</f>
        <v>0</v>
      </c>
      <c r="H648" s="21" t="str">
        <f>IF($N$1="Piping", IF(ISBLANK(Piping!H648), "", Piping!H648), IF($N$1="Vessels", IF(ISBLANK(Vessels!H648), "", Vessels!H648), ""))</f>
        <v/>
      </c>
      <c r="I648" s="21" t="str">
        <f>IF($N$1="Piping", IF(ISBLANK(Piping!I648), "", Piping!I648), IF($N$1="Vessels", IF(ISBLANK(Vessels!I648), "", Vessels!I648), ""))</f>
        <v/>
      </c>
      <c r="J648" s="21" t="str">
        <f>IF($N$1="Piping", IF(ISBLANK(Piping!J648), "", Piping!J648), IF($N$1="Vessels", IF(ISBLANK(Vessels!J648), "", Vessels!J648), ""))</f>
        <v/>
      </c>
      <c r="K648" s="21" t="str">
        <f>IF($N$1="Piping", IF(ISBLANK(Piping!K648), "", Piping!K648), IF($N$1="Vessels", IF(ISBLANK(Vessels!K648), "", Vessels!K648), ""))</f>
        <v/>
      </c>
      <c r="L648" s="21" t="str">
        <f>IF($N$1="Piping", IF(ISBLANK(Piping!L648), "", Piping!L648), IF($N$1="Vessels", IF(ISBLANK(Vessels!L648), "", Vessels!L648), ""))</f>
        <v/>
      </c>
      <c r="M648" s="21"/>
      <c r="N648" s="21"/>
      <c r="O648" s="21"/>
      <c r="P648" s="21"/>
      <c r="Q648" s="21" t="str">
        <f>IF($N$1="Piping", IF(ISBLANK(Piping!T648), "", Piping!T648), IF($N$1="Vessels", IF(ISBLANK(Vessels!T648), "", Vessels!T648), ""))</f>
        <v/>
      </c>
      <c r="R648" s="51" t="str">
        <f>IF($N$1="Piping", IF(ISBLANK(Piping!U648), "", Piping!U648), IF($N$1="Vessels", IF(ISBLANK(Vessels!U648), "", Vessels!U648), ""))</f>
        <v/>
      </c>
      <c r="S648" s="118" t="str">
        <f>IF(B648&lt;&gt;"",IF($N$1="Piping", IF(ISBLANK(Piping!$J$3), "", Piping!$J$3), IF($N$1="Vessels", IF(ISBLANK(Vessels!$J$3), "", Vessels!$J$3), "")),"")</f>
        <v/>
      </c>
      <c r="T648" s="37"/>
      <c r="U648" s="37"/>
      <c r="V648" s="37"/>
      <c r="W648" s="37"/>
      <c r="X648" s="37"/>
      <c r="Y648" s="37"/>
      <c r="Z648" s="37"/>
    </row>
    <row r="649" spans="1:26" ht="15.75" customHeight="1" x14ac:dyDescent="0.3">
      <c r="A649" s="22">
        <f>IF($N$1="Piping", IF(ISBLANK(Piping!A649), "", Piping!A649), IF($N$1="Vessels", IF(ISBLANK(Vessels!A649), "", Vessels!A649), ""))</f>
        <v>161.4</v>
      </c>
      <c r="B649" s="21" t="str">
        <f>IF($N$1="Piping", IF(ISBLANK(Piping!B649), "", Piping!B649), IF($N$1="Vessels", IF(ISBLANK(Vessels!B649), "", Vessels!B649), ""))</f>
        <v/>
      </c>
      <c r="C649" s="21" t="str">
        <f>IF($N$1="Piping", IF(ISBLANK(Piping!C649), "", Piping!C649), IF($N$1="Vessels", IF(ISBLANK(Vessels!C649), "", Vessels!C649), ""))</f>
        <v>Piping</v>
      </c>
      <c r="D649" s="21" t="str">
        <f>IF($N$1="Piping", IF(ISBLANK(Piping!D649), "", Piping!D649), IF($N$1="Vessels", IF(ISBLANK(Vessels!D649), "", Vessels!D649), ""))</f>
        <v/>
      </c>
      <c r="E649" s="21" t="str">
        <f>IF($N$1="Piping", IF(ISBLANK(Piping!E649), "", Piping!E649), IF($N$1="Vessels", IF(ISBLANK(Vessels!E649), "", Vessels!E649), ""))</f>
        <v/>
      </c>
      <c r="F649" s="21" t="str">
        <f>IF($N$1="Piping", IF(ISBLANK(Piping!F649), "", Piping!F649), IF($N$1="Vessels", IF(ISBLANK(Vessels!F649), "", Vessels!F649), ""))</f>
        <v/>
      </c>
      <c r="G649" s="21">
        <f>IF($N$1="Piping", IF(ISBLANK(Piping!G649), "", Piping!G649), IF($N$1="Vessels", IF(ISBLANK(Vessels!G649), "", Vessels!G649), ""))</f>
        <v>0</v>
      </c>
      <c r="H649" s="21" t="str">
        <f>IF($N$1="Piping", IF(ISBLANK(Piping!H649), "", Piping!H649), IF($N$1="Vessels", IF(ISBLANK(Vessels!H649), "", Vessels!H649), ""))</f>
        <v/>
      </c>
      <c r="I649" s="21" t="str">
        <f>IF($N$1="Piping", IF(ISBLANK(Piping!I649), "", Piping!I649), IF($N$1="Vessels", IF(ISBLANK(Vessels!I649), "", Vessels!I649), ""))</f>
        <v/>
      </c>
      <c r="J649" s="21" t="str">
        <f>IF($N$1="Piping", IF(ISBLANK(Piping!J649), "", Piping!J649), IF($N$1="Vessels", IF(ISBLANK(Vessels!J649), "", Vessels!J649), ""))</f>
        <v/>
      </c>
      <c r="K649" s="21" t="str">
        <f>IF($N$1="Piping", IF(ISBLANK(Piping!K649), "", Piping!K649), IF($N$1="Vessels", IF(ISBLANK(Vessels!K649), "", Vessels!K649), ""))</f>
        <v/>
      </c>
      <c r="L649" s="21" t="str">
        <f>IF($N$1="Piping", IF(ISBLANK(Piping!L649), "", Piping!L649), IF($N$1="Vessels", IF(ISBLANK(Vessels!L649), "", Vessels!L649), ""))</f>
        <v/>
      </c>
      <c r="M649" s="21"/>
      <c r="N649" s="21"/>
      <c r="O649" s="21"/>
      <c r="P649" s="21"/>
      <c r="Q649" s="21" t="str">
        <f>IF($N$1="Piping", IF(ISBLANK(Piping!T649), "", Piping!T649), IF($N$1="Vessels", IF(ISBLANK(Vessels!T649), "", Vessels!T649), ""))</f>
        <v/>
      </c>
      <c r="R649" s="51" t="str">
        <f>IF($N$1="Piping", IF(ISBLANK(Piping!U649), "", Piping!U649), IF($N$1="Vessels", IF(ISBLANK(Vessels!U649), "", Vessels!U649), ""))</f>
        <v/>
      </c>
      <c r="S649" s="118" t="str">
        <f>IF(B649&lt;&gt;"",IF($N$1="Piping", IF(ISBLANK(Piping!$J$3), "", Piping!$J$3), IF($N$1="Vessels", IF(ISBLANK(Vessels!$J$3), "", Vessels!$J$3), "")),"")</f>
        <v/>
      </c>
      <c r="T649" s="37"/>
      <c r="U649" s="37"/>
      <c r="V649" s="37"/>
      <c r="W649" s="37"/>
      <c r="X649" s="37"/>
      <c r="Y649" s="37"/>
      <c r="Z649" s="37"/>
    </row>
    <row r="650" spans="1:26" ht="15.75" customHeight="1" x14ac:dyDescent="0.3">
      <c r="A650" s="22">
        <f>IF($N$1="Piping", IF(ISBLANK(Piping!A650), "", Piping!A650), IF($N$1="Vessels", IF(ISBLANK(Vessels!A650), "", Vessels!A650), ""))</f>
        <v>162.1</v>
      </c>
      <c r="B650" s="21" t="str">
        <f>IF($N$1="Piping", IF(ISBLANK(Piping!B650), "", Piping!B650), IF($N$1="Vessels", IF(ISBLANK(Vessels!B650), "", Vessels!B650), ""))</f>
        <v/>
      </c>
      <c r="C650" s="21" t="str">
        <f>IF($N$1="Piping", IF(ISBLANK(Piping!C650), "", Piping!C650), IF($N$1="Vessels", IF(ISBLANK(Vessels!C650), "", Vessels!C650), ""))</f>
        <v>Piping</v>
      </c>
      <c r="D650" s="21" t="str">
        <f>IF($N$1="Piping", IF(ISBLANK(Piping!D650), "", Piping!D650), IF($N$1="Vessels", IF(ISBLANK(Vessels!D650), "", Vessels!D650), ""))</f>
        <v/>
      </c>
      <c r="E650" s="21" t="str">
        <f>IF($N$1="Piping", IF(ISBLANK(Piping!E650), "", Piping!E650), IF($N$1="Vessels", IF(ISBLANK(Vessels!E650), "", Vessels!E650), ""))</f>
        <v/>
      </c>
      <c r="F650" s="21" t="str">
        <f>IF($N$1="Piping", IF(ISBLANK(Piping!F650), "", Piping!F650), IF($N$1="Vessels", IF(ISBLANK(Vessels!F650), "", Vessels!F650), ""))</f>
        <v/>
      </c>
      <c r="G650" s="21">
        <f>IF($N$1="Piping", IF(ISBLANK(Piping!G650), "", Piping!G650), IF($N$1="Vessels", IF(ISBLANK(Vessels!G650), "", Vessels!G650), ""))</f>
        <v>0</v>
      </c>
      <c r="H650" s="21" t="str">
        <f>IF($N$1="Piping", IF(ISBLANK(Piping!H650), "", Piping!H650), IF($N$1="Vessels", IF(ISBLANK(Vessels!H650), "", Vessels!H650), ""))</f>
        <v/>
      </c>
      <c r="I650" s="21" t="str">
        <f>IF($N$1="Piping", IF(ISBLANK(Piping!I650), "", Piping!I650), IF($N$1="Vessels", IF(ISBLANK(Vessels!I650), "", Vessels!I650), ""))</f>
        <v/>
      </c>
      <c r="J650" s="21" t="str">
        <f>IF($N$1="Piping", IF(ISBLANK(Piping!J650), "", Piping!J650), IF($N$1="Vessels", IF(ISBLANK(Vessels!J650), "", Vessels!J650), ""))</f>
        <v/>
      </c>
      <c r="K650" s="21" t="str">
        <f>IF($N$1="Piping", IF(ISBLANK(Piping!K650), "", Piping!K650), IF($N$1="Vessels", IF(ISBLANK(Vessels!K650), "", Vessels!K650), ""))</f>
        <v/>
      </c>
      <c r="L650" s="21" t="str">
        <f>IF($N$1="Piping", IF(ISBLANK(Piping!L650), "", Piping!L650), IF($N$1="Vessels", IF(ISBLANK(Vessels!L650), "", Vessels!L650), ""))</f>
        <v/>
      </c>
      <c r="M650" s="21"/>
      <c r="N650" s="21"/>
      <c r="O650" s="21"/>
      <c r="P650" s="21"/>
      <c r="Q650" s="21" t="str">
        <f>IF($N$1="Piping", IF(ISBLANK(Piping!T650), "", Piping!T650), IF($N$1="Vessels", IF(ISBLANK(Vessels!T650), "", Vessels!T650), ""))</f>
        <v/>
      </c>
      <c r="R650" s="51" t="str">
        <f>IF($N$1="Piping", IF(ISBLANK(Piping!U650), "", Piping!U650), IF($N$1="Vessels", IF(ISBLANK(Vessels!U650), "", Vessels!U650), ""))</f>
        <v/>
      </c>
      <c r="S650" s="118" t="str">
        <f>IF(B650&lt;&gt;"",IF($N$1="Piping", IF(ISBLANK(Piping!$J$3), "", Piping!$J$3), IF($N$1="Vessels", IF(ISBLANK(Vessels!$J$3), "", Vessels!$J$3), "")),"")</f>
        <v/>
      </c>
      <c r="T650" s="37"/>
      <c r="U650" s="37"/>
      <c r="V650" s="37"/>
      <c r="W650" s="37"/>
      <c r="X650" s="37"/>
      <c r="Y650" s="37"/>
      <c r="Z650" s="37"/>
    </row>
    <row r="651" spans="1:26" ht="15.75" customHeight="1" x14ac:dyDescent="0.3">
      <c r="A651" s="22">
        <f>IF($N$1="Piping", IF(ISBLANK(Piping!A651), "", Piping!A651), IF($N$1="Vessels", IF(ISBLANK(Vessels!A651), "", Vessels!A651), ""))</f>
        <v>162.19999999999999</v>
      </c>
      <c r="B651" s="21" t="str">
        <f>IF($N$1="Piping", IF(ISBLANK(Piping!B651), "", Piping!B651), IF($N$1="Vessels", IF(ISBLANK(Vessels!B651), "", Vessels!B651), ""))</f>
        <v/>
      </c>
      <c r="C651" s="21" t="str">
        <f>IF($N$1="Piping", IF(ISBLANK(Piping!C651), "", Piping!C651), IF($N$1="Vessels", IF(ISBLANK(Vessels!C651), "", Vessels!C651), ""))</f>
        <v>Piping</v>
      </c>
      <c r="D651" s="21" t="str">
        <f>IF($N$1="Piping", IF(ISBLANK(Piping!D651), "", Piping!D651), IF($N$1="Vessels", IF(ISBLANK(Vessels!D651), "", Vessels!D651), ""))</f>
        <v/>
      </c>
      <c r="E651" s="21" t="str">
        <f>IF($N$1="Piping", IF(ISBLANK(Piping!E651), "", Piping!E651), IF($N$1="Vessels", IF(ISBLANK(Vessels!E651), "", Vessels!E651), ""))</f>
        <v/>
      </c>
      <c r="F651" s="21" t="str">
        <f>IF($N$1="Piping", IF(ISBLANK(Piping!F651), "", Piping!F651), IF($N$1="Vessels", IF(ISBLANK(Vessels!F651), "", Vessels!F651), ""))</f>
        <v/>
      </c>
      <c r="G651" s="21">
        <f>IF($N$1="Piping", IF(ISBLANK(Piping!G651), "", Piping!G651), IF($N$1="Vessels", IF(ISBLANK(Vessels!G651), "", Vessels!G651), ""))</f>
        <v>0</v>
      </c>
      <c r="H651" s="21" t="str">
        <f>IF($N$1="Piping", IF(ISBLANK(Piping!H651), "", Piping!H651), IF($N$1="Vessels", IF(ISBLANK(Vessels!H651), "", Vessels!H651), ""))</f>
        <v/>
      </c>
      <c r="I651" s="21" t="str">
        <f>IF($N$1="Piping", IF(ISBLANK(Piping!I651), "", Piping!I651), IF($N$1="Vessels", IF(ISBLANK(Vessels!I651), "", Vessels!I651), ""))</f>
        <v/>
      </c>
      <c r="J651" s="21" t="str">
        <f>IF($N$1="Piping", IF(ISBLANK(Piping!J651), "", Piping!J651), IF($N$1="Vessels", IF(ISBLANK(Vessels!J651), "", Vessels!J651), ""))</f>
        <v/>
      </c>
      <c r="K651" s="21" t="str">
        <f>IF($N$1="Piping", IF(ISBLANK(Piping!K651), "", Piping!K651), IF($N$1="Vessels", IF(ISBLANK(Vessels!K651), "", Vessels!K651), ""))</f>
        <v/>
      </c>
      <c r="L651" s="21" t="str">
        <f>IF($N$1="Piping", IF(ISBLANK(Piping!L651), "", Piping!L651), IF($N$1="Vessels", IF(ISBLANK(Vessels!L651), "", Vessels!L651), ""))</f>
        <v/>
      </c>
      <c r="M651" s="21"/>
      <c r="N651" s="21"/>
      <c r="O651" s="21"/>
      <c r="P651" s="21"/>
      <c r="Q651" s="21" t="str">
        <f>IF($N$1="Piping", IF(ISBLANK(Piping!T651), "", Piping!T651), IF($N$1="Vessels", IF(ISBLANK(Vessels!T651), "", Vessels!T651), ""))</f>
        <v/>
      </c>
      <c r="R651" s="51" t="str">
        <f>IF($N$1="Piping", IF(ISBLANK(Piping!U651), "", Piping!U651), IF($N$1="Vessels", IF(ISBLANK(Vessels!U651), "", Vessels!U651), ""))</f>
        <v/>
      </c>
      <c r="S651" s="118" t="str">
        <f>IF(B651&lt;&gt;"",IF($N$1="Piping", IF(ISBLANK(Piping!$J$3), "", Piping!$J$3), IF($N$1="Vessels", IF(ISBLANK(Vessels!$J$3), "", Vessels!$J$3), "")),"")</f>
        <v/>
      </c>
      <c r="T651" s="37"/>
      <c r="U651" s="37"/>
      <c r="V651" s="37"/>
      <c r="W651" s="37"/>
      <c r="X651" s="37"/>
      <c r="Y651" s="37"/>
      <c r="Z651" s="37"/>
    </row>
    <row r="652" spans="1:26" ht="15.75" customHeight="1" x14ac:dyDescent="0.3">
      <c r="A652" s="22">
        <f>IF($N$1="Piping", IF(ISBLANK(Piping!A652), "", Piping!A652), IF($N$1="Vessels", IF(ISBLANK(Vessels!A652), "", Vessels!A652), ""))</f>
        <v>162.30000000000001</v>
      </c>
      <c r="B652" s="21" t="str">
        <f>IF($N$1="Piping", IF(ISBLANK(Piping!B652), "", Piping!B652), IF($N$1="Vessels", IF(ISBLANK(Vessels!B652), "", Vessels!B652), ""))</f>
        <v/>
      </c>
      <c r="C652" s="21" t="str">
        <f>IF($N$1="Piping", IF(ISBLANK(Piping!C652), "", Piping!C652), IF($N$1="Vessels", IF(ISBLANK(Vessels!C652), "", Vessels!C652), ""))</f>
        <v>Piping</v>
      </c>
      <c r="D652" s="21" t="str">
        <f>IF($N$1="Piping", IF(ISBLANK(Piping!D652), "", Piping!D652), IF($N$1="Vessels", IF(ISBLANK(Vessels!D652), "", Vessels!D652), ""))</f>
        <v/>
      </c>
      <c r="E652" s="21" t="str">
        <f>IF($N$1="Piping", IF(ISBLANK(Piping!E652), "", Piping!E652), IF($N$1="Vessels", IF(ISBLANK(Vessels!E652), "", Vessels!E652), ""))</f>
        <v/>
      </c>
      <c r="F652" s="21" t="str">
        <f>IF($N$1="Piping", IF(ISBLANK(Piping!F652), "", Piping!F652), IF($N$1="Vessels", IF(ISBLANK(Vessels!F652), "", Vessels!F652), ""))</f>
        <v/>
      </c>
      <c r="G652" s="21">
        <f>IF($N$1="Piping", IF(ISBLANK(Piping!G652), "", Piping!G652), IF($N$1="Vessels", IF(ISBLANK(Vessels!G652), "", Vessels!G652), ""))</f>
        <v>0</v>
      </c>
      <c r="H652" s="21" t="str">
        <f>IF($N$1="Piping", IF(ISBLANK(Piping!H652), "", Piping!H652), IF($N$1="Vessels", IF(ISBLANK(Vessels!H652), "", Vessels!H652), ""))</f>
        <v/>
      </c>
      <c r="I652" s="21" t="str">
        <f>IF($N$1="Piping", IF(ISBLANK(Piping!I652), "", Piping!I652), IF($N$1="Vessels", IF(ISBLANK(Vessels!I652), "", Vessels!I652), ""))</f>
        <v/>
      </c>
      <c r="J652" s="21" t="str">
        <f>IF($N$1="Piping", IF(ISBLANK(Piping!J652), "", Piping!J652), IF($N$1="Vessels", IF(ISBLANK(Vessels!J652), "", Vessels!J652), ""))</f>
        <v/>
      </c>
      <c r="K652" s="21" t="str">
        <f>IF($N$1="Piping", IF(ISBLANK(Piping!K652), "", Piping!K652), IF($N$1="Vessels", IF(ISBLANK(Vessels!K652), "", Vessels!K652), ""))</f>
        <v/>
      </c>
      <c r="L652" s="21" t="str">
        <f>IF($N$1="Piping", IF(ISBLANK(Piping!L652), "", Piping!L652), IF($N$1="Vessels", IF(ISBLANK(Vessels!L652), "", Vessels!L652), ""))</f>
        <v/>
      </c>
      <c r="M652" s="21"/>
      <c r="N652" s="21"/>
      <c r="O652" s="21"/>
      <c r="P652" s="21"/>
      <c r="Q652" s="21" t="str">
        <f>IF($N$1="Piping", IF(ISBLANK(Piping!T652), "", Piping!T652), IF($N$1="Vessels", IF(ISBLANK(Vessels!T652), "", Vessels!T652), ""))</f>
        <v/>
      </c>
      <c r="R652" s="51" t="str">
        <f>IF($N$1="Piping", IF(ISBLANK(Piping!U652), "", Piping!U652), IF($N$1="Vessels", IF(ISBLANK(Vessels!U652), "", Vessels!U652), ""))</f>
        <v/>
      </c>
      <c r="S652" s="118" t="str">
        <f>IF(B652&lt;&gt;"",IF($N$1="Piping", IF(ISBLANK(Piping!$J$3), "", Piping!$J$3), IF($N$1="Vessels", IF(ISBLANK(Vessels!$J$3), "", Vessels!$J$3), "")),"")</f>
        <v/>
      </c>
      <c r="T652" s="37"/>
      <c r="U652" s="37"/>
      <c r="V652" s="37"/>
      <c r="W652" s="37"/>
      <c r="X652" s="37"/>
      <c r="Y652" s="37"/>
      <c r="Z652" s="37"/>
    </row>
    <row r="653" spans="1:26" ht="15.75" customHeight="1" x14ac:dyDescent="0.3">
      <c r="A653" s="22">
        <f>IF($N$1="Piping", IF(ISBLANK(Piping!A653), "", Piping!A653), IF($N$1="Vessels", IF(ISBLANK(Vessels!A653), "", Vessels!A653), ""))</f>
        <v>162.4</v>
      </c>
      <c r="B653" s="21" t="str">
        <f>IF($N$1="Piping", IF(ISBLANK(Piping!B653), "", Piping!B653), IF($N$1="Vessels", IF(ISBLANK(Vessels!B653), "", Vessels!B653), ""))</f>
        <v/>
      </c>
      <c r="C653" s="21" t="str">
        <f>IF($N$1="Piping", IF(ISBLANK(Piping!C653), "", Piping!C653), IF($N$1="Vessels", IF(ISBLANK(Vessels!C653), "", Vessels!C653), ""))</f>
        <v>Piping</v>
      </c>
      <c r="D653" s="21" t="str">
        <f>IF($N$1="Piping", IF(ISBLANK(Piping!D653), "", Piping!D653), IF($N$1="Vessels", IF(ISBLANK(Vessels!D653), "", Vessels!D653), ""))</f>
        <v/>
      </c>
      <c r="E653" s="21" t="str">
        <f>IF($N$1="Piping", IF(ISBLANK(Piping!E653), "", Piping!E653), IF($N$1="Vessels", IF(ISBLANK(Vessels!E653), "", Vessels!E653), ""))</f>
        <v/>
      </c>
      <c r="F653" s="21" t="str">
        <f>IF($N$1="Piping", IF(ISBLANK(Piping!F653), "", Piping!F653), IF($N$1="Vessels", IF(ISBLANK(Vessels!F653), "", Vessels!F653), ""))</f>
        <v/>
      </c>
      <c r="G653" s="21">
        <f>IF($N$1="Piping", IF(ISBLANK(Piping!G653), "", Piping!G653), IF($N$1="Vessels", IF(ISBLANK(Vessels!G653), "", Vessels!G653), ""))</f>
        <v>0</v>
      </c>
      <c r="H653" s="21" t="str">
        <f>IF($N$1="Piping", IF(ISBLANK(Piping!H653), "", Piping!H653), IF($N$1="Vessels", IF(ISBLANK(Vessels!H653), "", Vessels!H653), ""))</f>
        <v/>
      </c>
      <c r="I653" s="21" t="str">
        <f>IF($N$1="Piping", IF(ISBLANK(Piping!I653), "", Piping!I653), IF($N$1="Vessels", IF(ISBLANK(Vessels!I653), "", Vessels!I653), ""))</f>
        <v/>
      </c>
      <c r="J653" s="21" t="str">
        <f>IF($N$1="Piping", IF(ISBLANK(Piping!J653), "", Piping!J653), IF($N$1="Vessels", IF(ISBLANK(Vessels!J653), "", Vessels!J653), ""))</f>
        <v/>
      </c>
      <c r="K653" s="21" t="str">
        <f>IF($N$1="Piping", IF(ISBLANK(Piping!K653), "", Piping!K653), IF($N$1="Vessels", IF(ISBLANK(Vessels!K653), "", Vessels!K653), ""))</f>
        <v/>
      </c>
      <c r="L653" s="21" t="str">
        <f>IF($N$1="Piping", IF(ISBLANK(Piping!L653), "", Piping!L653), IF($N$1="Vessels", IF(ISBLANK(Vessels!L653), "", Vessels!L653), ""))</f>
        <v/>
      </c>
      <c r="M653" s="21"/>
      <c r="N653" s="21"/>
      <c r="O653" s="21"/>
      <c r="P653" s="21"/>
      <c r="Q653" s="21" t="str">
        <f>IF($N$1="Piping", IF(ISBLANK(Piping!T653), "", Piping!T653), IF($N$1="Vessels", IF(ISBLANK(Vessels!T653), "", Vessels!T653), ""))</f>
        <v/>
      </c>
      <c r="R653" s="51" t="str">
        <f>IF($N$1="Piping", IF(ISBLANK(Piping!U653), "", Piping!U653), IF($N$1="Vessels", IF(ISBLANK(Vessels!U653), "", Vessels!U653), ""))</f>
        <v/>
      </c>
      <c r="S653" s="118" t="str">
        <f>IF(B653&lt;&gt;"",IF($N$1="Piping", IF(ISBLANK(Piping!$J$3), "", Piping!$J$3), IF($N$1="Vessels", IF(ISBLANK(Vessels!$J$3), "", Vessels!$J$3), "")),"")</f>
        <v/>
      </c>
      <c r="T653" s="37"/>
      <c r="U653" s="37"/>
      <c r="V653" s="37"/>
      <c r="W653" s="37"/>
      <c r="X653" s="37"/>
      <c r="Y653" s="37"/>
      <c r="Z653" s="37"/>
    </row>
    <row r="654" spans="1:26" ht="15.75" customHeight="1" x14ac:dyDescent="0.3">
      <c r="A654" s="22">
        <f>IF($N$1="Piping", IF(ISBLANK(Piping!A654), "", Piping!A654), IF($N$1="Vessels", IF(ISBLANK(Vessels!A654), "", Vessels!A654), ""))</f>
        <v>163.1</v>
      </c>
      <c r="B654" s="21" t="str">
        <f>IF($N$1="Piping", IF(ISBLANK(Piping!B654), "", Piping!B654), IF($N$1="Vessels", IF(ISBLANK(Vessels!B654), "", Vessels!B654), ""))</f>
        <v/>
      </c>
      <c r="C654" s="21" t="str">
        <f>IF($N$1="Piping", IF(ISBLANK(Piping!C654), "", Piping!C654), IF($N$1="Vessels", IF(ISBLANK(Vessels!C654), "", Vessels!C654), ""))</f>
        <v>Piping</v>
      </c>
      <c r="D654" s="21" t="str">
        <f>IF($N$1="Piping", IF(ISBLANK(Piping!D654), "", Piping!D654), IF($N$1="Vessels", IF(ISBLANK(Vessels!D654), "", Vessels!D654), ""))</f>
        <v/>
      </c>
      <c r="E654" s="21" t="str">
        <f>IF($N$1="Piping", IF(ISBLANK(Piping!E654), "", Piping!E654), IF($N$1="Vessels", IF(ISBLANK(Vessels!E654), "", Vessels!E654), ""))</f>
        <v/>
      </c>
      <c r="F654" s="21" t="str">
        <f>IF($N$1="Piping", IF(ISBLANK(Piping!F654), "", Piping!F654), IF($N$1="Vessels", IF(ISBLANK(Vessels!F654), "", Vessels!F654), ""))</f>
        <v/>
      </c>
      <c r="G654" s="21">
        <f>IF($N$1="Piping", IF(ISBLANK(Piping!G654), "", Piping!G654), IF($N$1="Vessels", IF(ISBLANK(Vessels!G654), "", Vessels!G654), ""))</f>
        <v>0</v>
      </c>
      <c r="H654" s="21" t="str">
        <f>IF($N$1="Piping", IF(ISBLANK(Piping!H654), "", Piping!H654), IF($N$1="Vessels", IF(ISBLANK(Vessels!H654), "", Vessels!H654), ""))</f>
        <v/>
      </c>
      <c r="I654" s="21" t="str">
        <f>IF($N$1="Piping", IF(ISBLANK(Piping!I654), "", Piping!I654), IF($N$1="Vessels", IF(ISBLANK(Vessels!I654), "", Vessels!I654), ""))</f>
        <v/>
      </c>
      <c r="J654" s="21" t="str">
        <f>IF($N$1="Piping", IF(ISBLANK(Piping!J654), "", Piping!J654), IF($N$1="Vessels", IF(ISBLANK(Vessels!J654), "", Vessels!J654), ""))</f>
        <v/>
      </c>
      <c r="K654" s="21" t="str">
        <f>IF($N$1="Piping", IF(ISBLANK(Piping!K654), "", Piping!K654), IF($N$1="Vessels", IF(ISBLANK(Vessels!K654), "", Vessels!K654), ""))</f>
        <v/>
      </c>
      <c r="L654" s="21" t="str">
        <f>IF($N$1="Piping", IF(ISBLANK(Piping!L654), "", Piping!L654), IF($N$1="Vessels", IF(ISBLANK(Vessels!L654), "", Vessels!L654), ""))</f>
        <v/>
      </c>
      <c r="M654" s="21"/>
      <c r="N654" s="21"/>
      <c r="O654" s="21"/>
      <c r="P654" s="21"/>
      <c r="Q654" s="21" t="str">
        <f>IF($N$1="Piping", IF(ISBLANK(Piping!T654), "", Piping!T654), IF($N$1="Vessels", IF(ISBLANK(Vessels!T654), "", Vessels!T654), ""))</f>
        <v/>
      </c>
      <c r="R654" s="51" t="str">
        <f>IF($N$1="Piping", IF(ISBLANK(Piping!U654), "", Piping!U654), IF($N$1="Vessels", IF(ISBLANK(Vessels!U654), "", Vessels!U654), ""))</f>
        <v/>
      </c>
      <c r="S654" s="118" t="str">
        <f>IF(B654&lt;&gt;"",IF($N$1="Piping", IF(ISBLANK(Piping!$J$3), "", Piping!$J$3), IF($N$1="Vessels", IF(ISBLANK(Vessels!$J$3), "", Vessels!$J$3), "")),"")</f>
        <v/>
      </c>
      <c r="T654" s="37"/>
      <c r="U654" s="37"/>
      <c r="V654" s="37"/>
      <c r="W654" s="37"/>
      <c r="X654" s="37"/>
      <c r="Y654" s="37"/>
      <c r="Z654" s="37"/>
    </row>
    <row r="655" spans="1:26" ht="15.75" customHeight="1" x14ac:dyDescent="0.3">
      <c r="A655" s="22">
        <f>IF($N$1="Piping", IF(ISBLANK(Piping!A655), "", Piping!A655), IF($N$1="Vessels", IF(ISBLANK(Vessels!A655), "", Vessels!A655), ""))</f>
        <v>163.19999999999999</v>
      </c>
      <c r="B655" s="21" t="str">
        <f>IF($N$1="Piping", IF(ISBLANK(Piping!B655), "", Piping!B655), IF($N$1="Vessels", IF(ISBLANK(Vessels!B655), "", Vessels!B655), ""))</f>
        <v/>
      </c>
      <c r="C655" s="21" t="str">
        <f>IF($N$1="Piping", IF(ISBLANK(Piping!C655), "", Piping!C655), IF($N$1="Vessels", IF(ISBLANK(Vessels!C655), "", Vessels!C655), ""))</f>
        <v>Piping</v>
      </c>
      <c r="D655" s="21" t="str">
        <f>IF($N$1="Piping", IF(ISBLANK(Piping!D655), "", Piping!D655), IF($N$1="Vessels", IF(ISBLANK(Vessels!D655), "", Vessels!D655), ""))</f>
        <v/>
      </c>
      <c r="E655" s="21" t="str">
        <f>IF($N$1="Piping", IF(ISBLANK(Piping!E655), "", Piping!E655), IF($N$1="Vessels", IF(ISBLANK(Vessels!E655), "", Vessels!E655), ""))</f>
        <v/>
      </c>
      <c r="F655" s="21" t="str">
        <f>IF($N$1="Piping", IF(ISBLANK(Piping!F655), "", Piping!F655), IF($N$1="Vessels", IF(ISBLANK(Vessels!F655), "", Vessels!F655), ""))</f>
        <v/>
      </c>
      <c r="G655" s="21">
        <f>IF($N$1="Piping", IF(ISBLANK(Piping!G655), "", Piping!G655), IF($N$1="Vessels", IF(ISBLANK(Vessels!G655), "", Vessels!G655), ""))</f>
        <v>0</v>
      </c>
      <c r="H655" s="21" t="str">
        <f>IF($N$1="Piping", IF(ISBLANK(Piping!H655), "", Piping!H655), IF($N$1="Vessels", IF(ISBLANK(Vessels!H655), "", Vessels!H655), ""))</f>
        <v/>
      </c>
      <c r="I655" s="21" t="str">
        <f>IF($N$1="Piping", IF(ISBLANK(Piping!I655), "", Piping!I655), IF($N$1="Vessels", IF(ISBLANK(Vessels!I655), "", Vessels!I655), ""))</f>
        <v/>
      </c>
      <c r="J655" s="21" t="str">
        <f>IF($N$1="Piping", IF(ISBLANK(Piping!J655), "", Piping!J655), IF($N$1="Vessels", IF(ISBLANK(Vessels!J655), "", Vessels!J655), ""))</f>
        <v/>
      </c>
      <c r="K655" s="21" t="str">
        <f>IF($N$1="Piping", IF(ISBLANK(Piping!K655), "", Piping!K655), IF($N$1="Vessels", IF(ISBLANK(Vessels!K655), "", Vessels!K655), ""))</f>
        <v/>
      </c>
      <c r="L655" s="21" t="str">
        <f>IF($N$1="Piping", IF(ISBLANK(Piping!L655), "", Piping!L655), IF($N$1="Vessels", IF(ISBLANK(Vessels!L655), "", Vessels!L655), ""))</f>
        <v/>
      </c>
      <c r="M655" s="21"/>
      <c r="N655" s="21"/>
      <c r="O655" s="21"/>
      <c r="P655" s="21"/>
      <c r="Q655" s="21" t="str">
        <f>IF($N$1="Piping", IF(ISBLANK(Piping!T655), "", Piping!T655), IF($N$1="Vessels", IF(ISBLANK(Vessels!T655), "", Vessels!T655), ""))</f>
        <v/>
      </c>
      <c r="R655" s="51" t="str">
        <f>IF($N$1="Piping", IF(ISBLANK(Piping!U655), "", Piping!U655), IF($N$1="Vessels", IF(ISBLANK(Vessels!U655), "", Vessels!U655), ""))</f>
        <v/>
      </c>
      <c r="S655" s="118" t="str">
        <f>IF(B655&lt;&gt;"",IF($N$1="Piping", IF(ISBLANK(Piping!$J$3), "", Piping!$J$3), IF($N$1="Vessels", IF(ISBLANK(Vessels!$J$3), "", Vessels!$J$3), "")),"")</f>
        <v/>
      </c>
      <c r="T655" s="37"/>
      <c r="U655" s="37"/>
      <c r="V655" s="37"/>
      <c r="W655" s="37"/>
      <c r="X655" s="37"/>
      <c r="Y655" s="37"/>
      <c r="Z655" s="37"/>
    </row>
    <row r="656" spans="1:26" ht="15.75" customHeight="1" x14ac:dyDescent="0.3">
      <c r="A656" s="22">
        <f>IF($N$1="Piping", IF(ISBLANK(Piping!A656), "", Piping!A656), IF($N$1="Vessels", IF(ISBLANK(Vessels!A656), "", Vessels!A656), ""))</f>
        <v>163.30000000000001</v>
      </c>
      <c r="B656" s="21" t="str">
        <f>IF($N$1="Piping", IF(ISBLANK(Piping!B656), "", Piping!B656), IF($N$1="Vessels", IF(ISBLANK(Vessels!B656), "", Vessels!B656), ""))</f>
        <v/>
      </c>
      <c r="C656" s="21" t="str">
        <f>IF($N$1="Piping", IF(ISBLANK(Piping!C656), "", Piping!C656), IF($N$1="Vessels", IF(ISBLANK(Vessels!C656), "", Vessels!C656), ""))</f>
        <v>Piping</v>
      </c>
      <c r="D656" s="21" t="str">
        <f>IF($N$1="Piping", IF(ISBLANK(Piping!D656), "", Piping!D656), IF($N$1="Vessels", IF(ISBLANK(Vessels!D656), "", Vessels!D656), ""))</f>
        <v/>
      </c>
      <c r="E656" s="21" t="str">
        <f>IF($N$1="Piping", IF(ISBLANK(Piping!E656), "", Piping!E656), IF($N$1="Vessels", IF(ISBLANK(Vessels!E656), "", Vessels!E656), ""))</f>
        <v/>
      </c>
      <c r="F656" s="21" t="str">
        <f>IF($N$1="Piping", IF(ISBLANK(Piping!F656), "", Piping!F656), IF($N$1="Vessels", IF(ISBLANK(Vessels!F656), "", Vessels!F656), ""))</f>
        <v/>
      </c>
      <c r="G656" s="21">
        <f>IF($N$1="Piping", IF(ISBLANK(Piping!G656), "", Piping!G656), IF($N$1="Vessels", IF(ISBLANK(Vessels!G656), "", Vessels!G656), ""))</f>
        <v>0</v>
      </c>
      <c r="H656" s="21" t="str">
        <f>IF($N$1="Piping", IF(ISBLANK(Piping!H656), "", Piping!H656), IF($N$1="Vessels", IF(ISBLANK(Vessels!H656), "", Vessels!H656), ""))</f>
        <v/>
      </c>
      <c r="I656" s="21" t="str">
        <f>IF($N$1="Piping", IF(ISBLANK(Piping!I656), "", Piping!I656), IF($N$1="Vessels", IF(ISBLANK(Vessels!I656), "", Vessels!I656), ""))</f>
        <v/>
      </c>
      <c r="J656" s="21" t="str">
        <f>IF($N$1="Piping", IF(ISBLANK(Piping!J656), "", Piping!J656), IF($N$1="Vessels", IF(ISBLANK(Vessels!J656), "", Vessels!J656), ""))</f>
        <v/>
      </c>
      <c r="K656" s="21" t="str">
        <f>IF($N$1="Piping", IF(ISBLANK(Piping!K656), "", Piping!K656), IF($N$1="Vessels", IF(ISBLANK(Vessels!K656), "", Vessels!K656), ""))</f>
        <v/>
      </c>
      <c r="L656" s="21" t="str">
        <f>IF($N$1="Piping", IF(ISBLANK(Piping!L656), "", Piping!L656), IF($N$1="Vessels", IF(ISBLANK(Vessels!L656), "", Vessels!L656), ""))</f>
        <v/>
      </c>
      <c r="M656" s="21"/>
      <c r="N656" s="21"/>
      <c r="O656" s="21"/>
      <c r="P656" s="21"/>
      <c r="Q656" s="21" t="str">
        <f>IF($N$1="Piping", IF(ISBLANK(Piping!T656), "", Piping!T656), IF($N$1="Vessels", IF(ISBLANK(Vessels!T656), "", Vessels!T656), ""))</f>
        <v/>
      </c>
      <c r="R656" s="51" t="str">
        <f>IF($N$1="Piping", IF(ISBLANK(Piping!U656), "", Piping!U656), IF($N$1="Vessels", IF(ISBLANK(Vessels!U656), "", Vessels!U656), ""))</f>
        <v/>
      </c>
      <c r="S656" s="118" t="str">
        <f>IF(B656&lt;&gt;"",IF($N$1="Piping", IF(ISBLANK(Piping!$J$3), "", Piping!$J$3), IF($N$1="Vessels", IF(ISBLANK(Vessels!$J$3), "", Vessels!$J$3), "")),"")</f>
        <v/>
      </c>
      <c r="T656" s="37"/>
      <c r="U656" s="37"/>
      <c r="V656" s="37"/>
      <c r="W656" s="37"/>
      <c r="X656" s="37"/>
      <c r="Y656" s="37"/>
      <c r="Z656" s="37"/>
    </row>
    <row r="657" spans="1:26" ht="15.75" customHeight="1" x14ac:dyDescent="0.3">
      <c r="A657" s="22">
        <f>IF($N$1="Piping", IF(ISBLANK(Piping!A657), "", Piping!A657), IF($N$1="Vessels", IF(ISBLANK(Vessels!A657), "", Vessels!A657), ""))</f>
        <v>163.4</v>
      </c>
      <c r="B657" s="21" t="str">
        <f>IF($N$1="Piping", IF(ISBLANK(Piping!B657), "", Piping!B657), IF($N$1="Vessels", IF(ISBLANK(Vessels!B657), "", Vessels!B657), ""))</f>
        <v/>
      </c>
      <c r="C657" s="21" t="str">
        <f>IF($N$1="Piping", IF(ISBLANK(Piping!C657), "", Piping!C657), IF($N$1="Vessels", IF(ISBLANK(Vessels!C657), "", Vessels!C657), ""))</f>
        <v>Piping</v>
      </c>
      <c r="D657" s="21" t="str">
        <f>IF($N$1="Piping", IF(ISBLANK(Piping!D657), "", Piping!D657), IF($N$1="Vessels", IF(ISBLANK(Vessels!D657), "", Vessels!D657), ""))</f>
        <v/>
      </c>
      <c r="E657" s="21" t="str">
        <f>IF($N$1="Piping", IF(ISBLANK(Piping!E657), "", Piping!E657), IF($N$1="Vessels", IF(ISBLANK(Vessels!E657), "", Vessels!E657), ""))</f>
        <v/>
      </c>
      <c r="F657" s="21" t="str">
        <f>IF($N$1="Piping", IF(ISBLANK(Piping!F657), "", Piping!F657), IF($N$1="Vessels", IF(ISBLANK(Vessels!F657), "", Vessels!F657), ""))</f>
        <v/>
      </c>
      <c r="G657" s="21">
        <f>IF($N$1="Piping", IF(ISBLANK(Piping!G657), "", Piping!G657), IF($N$1="Vessels", IF(ISBLANK(Vessels!G657), "", Vessels!G657), ""))</f>
        <v>0</v>
      </c>
      <c r="H657" s="21" t="str">
        <f>IF($N$1="Piping", IF(ISBLANK(Piping!H657), "", Piping!H657), IF($N$1="Vessels", IF(ISBLANK(Vessels!H657), "", Vessels!H657), ""))</f>
        <v/>
      </c>
      <c r="I657" s="21" t="str">
        <f>IF($N$1="Piping", IF(ISBLANK(Piping!I657), "", Piping!I657), IF($N$1="Vessels", IF(ISBLANK(Vessels!I657), "", Vessels!I657), ""))</f>
        <v/>
      </c>
      <c r="J657" s="21" t="str">
        <f>IF($N$1="Piping", IF(ISBLANK(Piping!J657), "", Piping!J657), IF($N$1="Vessels", IF(ISBLANK(Vessels!J657), "", Vessels!J657), ""))</f>
        <v/>
      </c>
      <c r="K657" s="21" t="str">
        <f>IF($N$1="Piping", IF(ISBLANK(Piping!K657), "", Piping!K657), IF($N$1="Vessels", IF(ISBLANK(Vessels!K657), "", Vessels!K657), ""))</f>
        <v/>
      </c>
      <c r="L657" s="21" t="str">
        <f>IF($N$1="Piping", IF(ISBLANK(Piping!L657), "", Piping!L657), IF($N$1="Vessels", IF(ISBLANK(Vessels!L657), "", Vessels!L657), ""))</f>
        <v/>
      </c>
      <c r="M657" s="21"/>
      <c r="N657" s="21"/>
      <c r="O657" s="21"/>
      <c r="P657" s="21"/>
      <c r="Q657" s="21" t="str">
        <f>IF($N$1="Piping", IF(ISBLANK(Piping!T657), "", Piping!T657), IF($N$1="Vessels", IF(ISBLANK(Vessels!T657), "", Vessels!T657), ""))</f>
        <v/>
      </c>
      <c r="R657" s="51" t="str">
        <f>IF($N$1="Piping", IF(ISBLANK(Piping!U657), "", Piping!U657), IF($N$1="Vessels", IF(ISBLANK(Vessels!U657), "", Vessels!U657), ""))</f>
        <v/>
      </c>
      <c r="S657" s="118" t="str">
        <f>IF(B657&lt;&gt;"",IF($N$1="Piping", IF(ISBLANK(Piping!$J$3), "", Piping!$J$3), IF($N$1="Vessels", IF(ISBLANK(Vessels!$J$3), "", Vessels!$J$3), "")),"")</f>
        <v/>
      </c>
      <c r="T657" s="37"/>
      <c r="U657" s="37"/>
      <c r="V657" s="37"/>
      <c r="W657" s="37"/>
      <c r="X657" s="37"/>
      <c r="Y657" s="37"/>
      <c r="Z657" s="37"/>
    </row>
    <row r="658" spans="1:26" ht="15.75" customHeight="1" x14ac:dyDescent="0.3">
      <c r="A658" s="22">
        <f>IF($N$1="Piping", IF(ISBLANK(Piping!A658), "", Piping!A658), IF($N$1="Vessels", IF(ISBLANK(Vessels!A658), "", Vessels!A658), ""))</f>
        <v>164.1</v>
      </c>
      <c r="B658" s="21" t="str">
        <f>IF($N$1="Piping", IF(ISBLANK(Piping!B658), "", Piping!B658), IF($N$1="Vessels", IF(ISBLANK(Vessels!B658), "", Vessels!B658), ""))</f>
        <v/>
      </c>
      <c r="C658" s="21" t="str">
        <f>IF($N$1="Piping", IF(ISBLANK(Piping!C658), "", Piping!C658), IF($N$1="Vessels", IF(ISBLANK(Vessels!C658), "", Vessels!C658), ""))</f>
        <v>Piping</v>
      </c>
      <c r="D658" s="21" t="str">
        <f>IF($N$1="Piping", IF(ISBLANK(Piping!D658), "", Piping!D658), IF($N$1="Vessels", IF(ISBLANK(Vessels!D658), "", Vessels!D658), ""))</f>
        <v/>
      </c>
      <c r="E658" s="21" t="str">
        <f>IF($N$1="Piping", IF(ISBLANK(Piping!E658), "", Piping!E658), IF($N$1="Vessels", IF(ISBLANK(Vessels!E658), "", Vessels!E658), ""))</f>
        <v/>
      </c>
      <c r="F658" s="21" t="str">
        <f>IF($N$1="Piping", IF(ISBLANK(Piping!F658), "", Piping!F658), IF($N$1="Vessels", IF(ISBLANK(Vessels!F658), "", Vessels!F658), ""))</f>
        <v/>
      </c>
      <c r="G658" s="21">
        <f>IF($N$1="Piping", IF(ISBLANK(Piping!G658), "", Piping!G658), IF($N$1="Vessels", IF(ISBLANK(Vessels!G658), "", Vessels!G658), ""))</f>
        <v>0</v>
      </c>
      <c r="H658" s="21" t="str">
        <f>IF($N$1="Piping", IF(ISBLANK(Piping!H658), "", Piping!H658), IF($N$1="Vessels", IF(ISBLANK(Vessels!H658), "", Vessels!H658), ""))</f>
        <v/>
      </c>
      <c r="I658" s="21" t="str">
        <f>IF($N$1="Piping", IF(ISBLANK(Piping!I658), "", Piping!I658), IF($N$1="Vessels", IF(ISBLANK(Vessels!I658), "", Vessels!I658), ""))</f>
        <v/>
      </c>
      <c r="J658" s="21" t="str">
        <f>IF($N$1="Piping", IF(ISBLANK(Piping!J658), "", Piping!J658), IF($N$1="Vessels", IF(ISBLANK(Vessels!J658), "", Vessels!J658), ""))</f>
        <v/>
      </c>
      <c r="K658" s="21" t="str">
        <f>IF($N$1="Piping", IF(ISBLANK(Piping!K658), "", Piping!K658), IF($N$1="Vessels", IF(ISBLANK(Vessels!K658), "", Vessels!K658), ""))</f>
        <v/>
      </c>
      <c r="L658" s="21" t="str">
        <f>IF($N$1="Piping", IF(ISBLANK(Piping!L658), "", Piping!L658), IF($N$1="Vessels", IF(ISBLANK(Vessels!L658), "", Vessels!L658), ""))</f>
        <v/>
      </c>
      <c r="M658" s="21"/>
      <c r="N658" s="21"/>
      <c r="O658" s="21"/>
      <c r="P658" s="21"/>
      <c r="Q658" s="21" t="str">
        <f>IF($N$1="Piping", IF(ISBLANK(Piping!T658), "", Piping!T658), IF($N$1="Vessels", IF(ISBLANK(Vessels!T658), "", Vessels!T658), ""))</f>
        <v/>
      </c>
      <c r="R658" s="51" t="str">
        <f>IF($N$1="Piping", IF(ISBLANK(Piping!U658), "", Piping!U658), IF($N$1="Vessels", IF(ISBLANK(Vessels!U658), "", Vessels!U658), ""))</f>
        <v/>
      </c>
      <c r="S658" s="118" t="str">
        <f>IF(B658&lt;&gt;"",IF($N$1="Piping", IF(ISBLANK(Piping!$J$3), "", Piping!$J$3), IF($N$1="Vessels", IF(ISBLANK(Vessels!$J$3), "", Vessels!$J$3), "")),"")</f>
        <v/>
      </c>
      <c r="T658" s="37"/>
      <c r="U658" s="37"/>
      <c r="V658" s="37"/>
      <c r="W658" s="37"/>
      <c r="X658" s="37"/>
      <c r="Y658" s="37"/>
      <c r="Z658" s="37"/>
    </row>
    <row r="659" spans="1:26" ht="15.75" customHeight="1" x14ac:dyDescent="0.3">
      <c r="A659" s="22">
        <f>IF($N$1="Piping", IF(ISBLANK(Piping!A659), "", Piping!A659), IF($N$1="Vessels", IF(ISBLANK(Vessels!A659), "", Vessels!A659), ""))</f>
        <v>164.2</v>
      </c>
      <c r="B659" s="21" t="str">
        <f>IF($N$1="Piping", IF(ISBLANK(Piping!B659), "", Piping!B659), IF($N$1="Vessels", IF(ISBLANK(Vessels!B659), "", Vessels!B659), ""))</f>
        <v/>
      </c>
      <c r="C659" s="21" t="str">
        <f>IF($N$1="Piping", IF(ISBLANK(Piping!C659), "", Piping!C659), IF($N$1="Vessels", IF(ISBLANK(Vessels!C659), "", Vessels!C659), ""))</f>
        <v>Piping</v>
      </c>
      <c r="D659" s="21" t="str">
        <f>IF($N$1="Piping", IF(ISBLANK(Piping!D659), "", Piping!D659), IF($N$1="Vessels", IF(ISBLANK(Vessels!D659), "", Vessels!D659), ""))</f>
        <v/>
      </c>
      <c r="E659" s="21" t="str">
        <f>IF($N$1="Piping", IF(ISBLANK(Piping!E659), "", Piping!E659), IF($N$1="Vessels", IF(ISBLANK(Vessels!E659), "", Vessels!E659), ""))</f>
        <v/>
      </c>
      <c r="F659" s="21" t="str">
        <f>IF($N$1="Piping", IF(ISBLANK(Piping!F659), "", Piping!F659), IF($N$1="Vessels", IF(ISBLANK(Vessels!F659), "", Vessels!F659), ""))</f>
        <v/>
      </c>
      <c r="G659" s="21">
        <f>IF($N$1="Piping", IF(ISBLANK(Piping!G659), "", Piping!G659), IF($N$1="Vessels", IF(ISBLANK(Vessels!G659), "", Vessels!G659), ""))</f>
        <v>0</v>
      </c>
      <c r="H659" s="21" t="str">
        <f>IF($N$1="Piping", IF(ISBLANK(Piping!H659), "", Piping!H659), IF($N$1="Vessels", IF(ISBLANK(Vessels!H659), "", Vessels!H659), ""))</f>
        <v/>
      </c>
      <c r="I659" s="21" t="str">
        <f>IF($N$1="Piping", IF(ISBLANK(Piping!I659), "", Piping!I659), IF($N$1="Vessels", IF(ISBLANK(Vessels!I659), "", Vessels!I659), ""))</f>
        <v/>
      </c>
      <c r="J659" s="21" t="str">
        <f>IF($N$1="Piping", IF(ISBLANK(Piping!J659), "", Piping!J659), IF($N$1="Vessels", IF(ISBLANK(Vessels!J659), "", Vessels!J659), ""))</f>
        <v/>
      </c>
      <c r="K659" s="21" t="str">
        <f>IF($N$1="Piping", IF(ISBLANK(Piping!K659), "", Piping!K659), IF($N$1="Vessels", IF(ISBLANK(Vessels!K659), "", Vessels!K659), ""))</f>
        <v/>
      </c>
      <c r="L659" s="21" t="str">
        <f>IF($N$1="Piping", IF(ISBLANK(Piping!L659), "", Piping!L659), IF($N$1="Vessels", IF(ISBLANK(Vessels!L659), "", Vessels!L659), ""))</f>
        <v/>
      </c>
      <c r="M659" s="21"/>
      <c r="N659" s="21"/>
      <c r="O659" s="21"/>
      <c r="P659" s="21"/>
      <c r="Q659" s="21" t="str">
        <f>IF($N$1="Piping", IF(ISBLANK(Piping!T659), "", Piping!T659), IF($N$1="Vessels", IF(ISBLANK(Vessels!T659), "", Vessels!T659), ""))</f>
        <v/>
      </c>
      <c r="R659" s="51" t="str">
        <f>IF($N$1="Piping", IF(ISBLANK(Piping!U659), "", Piping!U659), IF($N$1="Vessels", IF(ISBLANK(Vessels!U659), "", Vessels!U659), ""))</f>
        <v/>
      </c>
      <c r="S659" s="118" t="str">
        <f>IF(B659&lt;&gt;"",IF($N$1="Piping", IF(ISBLANK(Piping!$J$3), "", Piping!$J$3), IF($N$1="Vessels", IF(ISBLANK(Vessels!$J$3), "", Vessels!$J$3), "")),"")</f>
        <v/>
      </c>
      <c r="T659" s="37"/>
      <c r="U659" s="37"/>
      <c r="V659" s="37"/>
      <c r="W659" s="37"/>
      <c r="X659" s="37"/>
      <c r="Y659" s="37"/>
      <c r="Z659" s="37"/>
    </row>
    <row r="660" spans="1:26" ht="15.75" customHeight="1" x14ac:dyDescent="0.3">
      <c r="A660" s="22">
        <f>IF($N$1="Piping", IF(ISBLANK(Piping!A660), "", Piping!A660), IF($N$1="Vessels", IF(ISBLANK(Vessels!A660), "", Vessels!A660), ""))</f>
        <v>164.3</v>
      </c>
      <c r="B660" s="21" t="str">
        <f>IF($N$1="Piping", IF(ISBLANK(Piping!B660), "", Piping!B660), IF($N$1="Vessels", IF(ISBLANK(Vessels!B660), "", Vessels!B660), ""))</f>
        <v/>
      </c>
      <c r="C660" s="21" t="str">
        <f>IF($N$1="Piping", IF(ISBLANK(Piping!C660), "", Piping!C660), IF($N$1="Vessels", IF(ISBLANK(Vessels!C660), "", Vessels!C660), ""))</f>
        <v>Piping</v>
      </c>
      <c r="D660" s="21" t="str">
        <f>IF($N$1="Piping", IF(ISBLANK(Piping!D660), "", Piping!D660), IF($N$1="Vessels", IF(ISBLANK(Vessels!D660), "", Vessels!D660), ""))</f>
        <v/>
      </c>
      <c r="E660" s="21" t="str">
        <f>IF($N$1="Piping", IF(ISBLANK(Piping!E660), "", Piping!E660), IF($N$1="Vessels", IF(ISBLANK(Vessels!E660), "", Vessels!E660), ""))</f>
        <v/>
      </c>
      <c r="F660" s="21" t="str">
        <f>IF($N$1="Piping", IF(ISBLANK(Piping!F660), "", Piping!F660), IF($N$1="Vessels", IF(ISBLANK(Vessels!F660), "", Vessels!F660), ""))</f>
        <v/>
      </c>
      <c r="G660" s="21">
        <f>IF($N$1="Piping", IF(ISBLANK(Piping!G660), "", Piping!G660), IF($N$1="Vessels", IF(ISBLANK(Vessels!G660), "", Vessels!G660), ""))</f>
        <v>0</v>
      </c>
      <c r="H660" s="21" t="str">
        <f>IF($N$1="Piping", IF(ISBLANK(Piping!H660), "", Piping!H660), IF($N$1="Vessels", IF(ISBLANK(Vessels!H660), "", Vessels!H660), ""))</f>
        <v/>
      </c>
      <c r="I660" s="21" t="str">
        <f>IF($N$1="Piping", IF(ISBLANK(Piping!I660), "", Piping!I660), IF($N$1="Vessels", IF(ISBLANK(Vessels!I660), "", Vessels!I660), ""))</f>
        <v/>
      </c>
      <c r="J660" s="21" t="str">
        <f>IF($N$1="Piping", IF(ISBLANK(Piping!J660), "", Piping!J660), IF($N$1="Vessels", IF(ISBLANK(Vessels!J660), "", Vessels!J660), ""))</f>
        <v/>
      </c>
      <c r="K660" s="21" t="str">
        <f>IF($N$1="Piping", IF(ISBLANK(Piping!K660), "", Piping!K660), IF($N$1="Vessels", IF(ISBLANK(Vessels!K660), "", Vessels!K660), ""))</f>
        <v/>
      </c>
      <c r="L660" s="21" t="str">
        <f>IF($N$1="Piping", IF(ISBLANK(Piping!L660), "", Piping!L660), IF($N$1="Vessels", IF(ISBLANK(Vessels!L660), "", Vessels!L660), ""))</f>
        <v/>
      </c>
      <c r="M660" s="21"/>
      <c r="N660" s="21"/>
      <c r="O660" s="21"/>
      <c r="P660" s="21"/>
      <c r="Q660" s="21" t="str">
        <f>IF($N$1="Piping", IF(ISBLANK(Piping!T660), "", Piping!T660), IF($N$1="Vessels", IF(ISBLANK(Vessels!T660), "", Vessels!T660), ""))</f>
        <v/>
      </c>
      <c r="R660" s="51" t="str">
        <f>IF($N$1="Piping", IF(ISBLANK(Piping!U660), "", Piping!U660), IF($N$1="Vessels", IF(ISBLANK(Vessels!U660), "", Vessels!U660), ""))</f>
        <v/>
      </c>
      <c r="S660" s="118" t="str">
        <f>IF(B660&lt;&gt;"",IF($N$1="Piping", IF(ISBLANK(Piping!$J$3), "", Piping!$J$3), IF($N$1="Vessels", IF(ISBLANK(Vessels!$J$3), "", Vessels!$J$3), "")),"")</f>
        <v/>
      </c>
      <c r="T660" s="37"/>
      <c r="U660" s="37"/>
      <c r="V660" s="37"/>
      <c r="W660" s="37"/>
      <c r="X660" s="37"/>
      <c r="Y660" s="37"/>
      <c r="Z660" s="37"/>
    </row>
    <row r="661" spans="1:26" ht="15.75" customHeight="1" x14ac:dyDescent="0.3">
      <c r="A661" s="22">
        <f>IF($N$1="Piping", IF(ISBLANK(Piping!A661), "", Piping!A661), IF($N$1="Vessels", IF(ISBLANK(Vessels!A661), "", Vessels!A661), ""))</f>
        <v>164.4</v>
      </c>
      <c r="B661" s="21" t="str">
        <f>IF($N$1="Piping", IF(ISBLANK(Piping!B661), "", Piping!B661), IF($N$1="Vessels", IF(ISBLANK(Vessels!B661), "", Vessels!B661), ""))</f>
        <v/>
      </c>
      <c r="C661" s="21" t="str">
        <f>IF($N$1="Piping", IF(ISBLANK(Piping!C661), "", Piping!C661), IF($N$1="Vessels", IF(ISBLANK(Vessels!C661), "", Vessels!C661), ""))</f>
        <v>Piping</v>
      </c>
      <c r="D661" s="21" t="str">
        <f>IF($N$1="Piping", IF(ISBLANK(Piping!D661), "", Piping!D661), IF($N$1="Vessels", IF(ISBLANK(Vessels!D661), "", Vessels!D661), ""))</f>
        <v/>
      </c>
      <c r="E661" s="21" t="str">
        <f>IF($N$1="Piping", IF(ISBLANK(Piping!E661), "", Piping!E661), IF($N$1="Vessels", IF(ISBLANK(Vessels!E661), "", Vessels!E661), ""))</f>
        <v/>
      </c>
      <c r="F661" s="21" t="str">
        <f>IF($N$1="Piping", IF(ISBLANK(Piping!F661), "", Piping!F661), IF($N$1="Vessels", IF(ISBLANK(Vessels!F661), "", Vessels!F661), ""))</f>
        <v/>
      </c>
      <c r="G661" s="21">
        <f>IF($N$1="Piping", IF(ISBLANK(Piping!G661), "", Piping!G661), IF($N$1="Vessels", IF(ISBLANK(Vessels!G661), "", Vessels!G661), ""))</f>
        <v>0</v>
      </c>
      <c r="H661" s="21" t="str">
        <f>IF($N$1="Piping", IF(ISBLANK(Piping!H661), "", Piping!H661), IF($N$1="Vessels", IF(ISBLANK(Vessels!H661), "", Vessels!H661), ""))</f>
        <v/>
      </c>
      <c r="I661" s="21" t="str">
        <f>IF($N$1="Piping", IF(ISBLANK(Piping!I661), "", Piping!I661), IF($N$1="Vessels", IF(ISBLANK(Vessels!I661), "", Vessels!I661), ""))</f>
        <v/>
      </c>
      <c r="J661" s="21" t="str">
        <f>IF($N$1="Piping", IF(ISBLANK(Piping!J661), "", Piping!J661), IF($N$1="Vessels", IF(ISBLANK(Vessels!J661), "", Vessels!J661), ""))</f>
        <v/>
      </c>
      <c r="K661" s="21" t="str">
        <f>IF($N$1="Piping", IF(ISBLANK(Piping!K661), "", Piping!K661), IF($N$1="Vessels", IF(ISBLANK(Vessels!K661), "", Vessels!K661), ""))</f>
        <v/>
      </c>
      <c r="L661" s="21" t="str">
        <f>IF($N$1="Piping", IF(ISBLANK(Piping!L661), "", Piping!L661), IF($N$1="Vessels", IF(ISBLANK(Vessels!L661), "", Vessels!L661), ""))</f>
        <v/>
      </c>
      <c r="M661" s="21"/>
      <c r="N661" s="21"/>
      <c r="O661" s="21"/>
      <c r="P661" s="21"/>
      <c r="Q661" s="21" t="str">
        <f>IF($N$1="Piping", IF(ISBLANK(Piping!T661), "", Piping!T661), IF($N$1="Vessels", IF(ISBLANK(Vessels!T661), "", Vessels!T661), ""))</f>
        <v/>
      </c>
      <c r="R661" s="51" t="str">
        <f>IF($N$1="Piping", IF(ISBLANK(Piping!U661), "", Piping!U661), IF($N$1="Vessels", IF(ISBLANK(Vessels!U661), "", Vessels!U661), ""))</f>
        <v/>
      </c>
      <c r="S661" s="118" t="str">
        <f>IF(B661&lt;&gt;"",IF($N$1="Piping", IF(ISBLANK(Piping!$J$3), "", Piping!$J$3), IF($N$1="Vessels", IF(ISBLANK(Vessels!$J$3), "", Vessels!$J$3), "")),"")</f>
        <v/>
      </c>
      <c r="T661" s="37"/>
      <c r="U661" s="37"/>
      <c r="V661" s="37"/>
      <c r="W661" s="37"/>
      <c r="X661" s="37"/>
      <c r="Y661" s="37"/>
      <c r="Z661" s="37"/>
    </row>
    <row r="662" spans="1:26" ht="15.75" customHeight="1" x14ac:dyDescent="0.3">
      <c r="A662" s="22">
        <f>IF($N$1="Piping", IF(ISBLANK(Piping!A662), "", Piping!A662), IF($N$1="Vessels", IF(ISBLANK(Vessels!A662), "", Vessels!A662), ""))</f>
        <v>165.1</v>
      </c>
      <c r="B662" s="21" t="str">
        <f>IF($N$1="Piping", IF(ISBLANK(Piping!B662), "", Piping!B662), IF($N$1="Vessels", IF(ISBLANK(Vessels!B662), "", Vessels!B662), ""))</f>
        <v/>
      </c>
      <c r="C662" s="21" t="str">
        <f>IF($N$1="Piping", IF(ISBLANK(Piping!C662), "", Piping!C662), IF($N$1="Vessels", IF(ISBLANK(Vessels!C662), "", Vessels!C662), ""))</f>
        <v>Piping</v>
      </c>
      <c r="D662" s="21" t="str">
        <f>IF($N$1="Piping", IF(ISBLANK(Piping!D662), "", Piping!D662), IF($N$1="Vessels", IF(ISBLANK(Vessels!D662), "", Vessels!D662), ""))</f>
        <v/>
      </c>
      <c r="E662" s="21" t="str">
        <f>IF($N$1="Piping", IF(ISBLANK(Piping!E662), "", Piping!E662), IF($N$1="Vessels", IF(ISBLANK(Vessels!E662), "", Vessels!E662), ""))</f>
        <v/>
      </c>
      <c r="F662" s="21" t="str">
        <f>IF($N$1="Piping", IF(ISBLANK(Piping!F662), "", Piping!F662), IF($N$1="Vessels", IF(ISBLANK(Vessels!F662), "", Vessels!F662), ""))</f>
        <v/>
      </c>
      <c r="G662" s="21">
        <f>IF($N$1="Piping", IF(ISBLANK(Piping!G662), "", Piping!G662), IF($N$1="Vessels", IF(ISBLANK(Vessels!G662), "", Vessels!G662), ""))</f>
        <v>0</v>
      </c>
      <c r="H662" s="21" t="str">
        <f>IF($N$1="Piping", IF(ISBLANK(Piping!H662), "", Piping!H662), IF($N$1="Vessels", IF(ISBLANK(Vessels!H662), "", Vessels!H662), ""))</f>
        <v/>
      </c>
      <c r="I662" s="21" t="str">
        <f>IF($N$1="Piping", IF(ISBLANK(Piping!I662), "", Piping!I662), IF($N$1="Vessels", IF(ISBLANK(Vessels!I662), "", Vessels!I662), ""))</f>
        <v/>
      </c>
      <c r="J662" s="21" t="str">
        <f>IF($N$1="Piping", IF(ISBLANK(Piping!J662), "", Piping!J662), IF($N$1="Vessels", IF(ISBLANK(Vessels!J662), "", Vessels!J662), ""))</f>
        <v/>
      </c>
      <c r="K662" s="21" t="str">
        <f>IF($N$1="Piping", IF(ISBLANK(Piping!K662), "", Piping!K662), IF($N$1="Vessels", IF(ISBLANK(Vessels!K662), "", Vessels!K662), ""))</f>
        <v/>
      </c>
      <c r="L662" s="21" t="str">
        <f>IF($N$1="Piping", IF(ISBLANK(Piping!L662), "", Piping!L662), IF($N$1="Vessels", IF(ISBLANK(Vessels!L662), "", Vessels!L662), ""))</f>
        <v/>
      </c>
      <c r="M662" s="21"/>
      <c r="N662" s="21"/>
      <c r="O662" s="21"/>
      <c r="P662" s="21"/>
      <c r="Q662" s="21" t="str">
        <f>IF($N$1="Piping", IF(ISBLANK(Piping!T662), "", Piping!T662), IF($N$1="Vessels", IF(ISBLANK(Vessels!T662), "", Vessels!T662), ""))</f>
        <v/>
      </c>
      <c r="R662" s="51" t="str">
        <f>IF($N$1="Piping", IF(ISBLANK(Piping!U662), "", Piping!U662), IF($N$1="Vessels", IF(ISBLANK(Vessels!U662), "", Vessels!U662), ""))</f>
        <v/>
      </c>
      <c r="S662" s="118" t="str">
        <f>IF(B662&lt;&gt;"",IF($N$1="Piping", IF(ISBLANK(Piping!$J$3), "", Piping!$J$3), IF($N$1="Vessels", IF(ISBLANK(Vessels!$J$3), "", Vessels!$J$3), "")),"")</f>
        <v/>
      </c>
      <c r="T662" s="37"/>
      <c r="U662" s="37"/>
      <c r="V662" s="37"/>
      <c r="W662" s="37"/>
      <c r="X662" s="37"/>
      <c r="Y662" s="37"/>
      <c r="Z662" s="37"/>
    </row>
    <row r="663" spans="1:26" ht="15.75" customHeight="1" x14ac:dyDescent="0.3">
      <c r="A663" s="22">
        <f>IF($N$1="Piping", IF(ISBLANK(Piping!A663), "", Piping!A663), IF($N$1="Vessels", IF(ISBLANK(Vessels!A663), "", Vessels!A663), ""))</f>
        <v>165.2</v>
      </c>
      <c r="B663" s="21" t="str">
        <f>IF($N$1="Piping", IF(ISBLANK(Piping!B663), "", Piping!B663), IF($N$1="Vessels", IF(ISBLANK(Vessels!B663), "", Vessels!B663), ""))</f>
        <v/>
      </c>
      <c r="C663" s="21" t="str">
        <f>IF($N$1="Piping", IF(ISBLANK(Piping!C663), "", Piping!C663), IF($N$1="Vessels", IF(ISBLANK(Vessels!C663), "", Vessels!C663), ""))</f>
        <v>Piping</v>
      </c>
      <c r="D663" s="21" t="str">
        <f>IF($N$1="Piping", IF(ISBLANK(Piping!D663), "", Piping!D663), IF($N$1="Vessels", IF(ISBLANK(Vessels!D663), "", Vessels!D663), ""))</f>
        <v/>
      </c>
      <c r="E663" s="21" t="str">
        <f>IF($N$1="Piping", IF(ISBLANK(Piping!E663), "", Piping!E663), IF($N$1="Vessels", IF(ISBLANK(Vessels!E663), "", Vessels!E663), ""))</f>
        <v/>
      </c>
      <c r="F663" s="21" t="str">
        <f>IF($N$1="Piping", IF(ISBLANK(Piping!F663), "", Piping!F663), IF($N$1="Vessels", IF(ISBLANK(Vessels!F663), "", Vessels!F663), ""))</f>
        <v/>
      </c>
      <c r="G663" s="21">
        <f>IF($N$1="Piping", IF(ISBLANK(Piping!G663), "", Piping!G663), IF($N$1="Vessels", IF(ISBLANK(Vessels!G663), "", Vessels!G663), ""))</f>
        <v>0</v>
      </c>
      <c r="H663" s="21" t="str">
        <f>IF($N$1="Piping", IF(ISBLANK(Piping!H663), "", Piping!H663), IF($N$1="Vessels", IF(ISBLANK(Vessels!H663), "", Vessels!H663), ""))</f>
        <v/>
      </c>
      <c r="I663" s="21" t="str">
        <f>IF($N$1="Piping", IF(ISBLANK(Piping!I663), "", Piping!I663), IF($N$1="Vessels", IF(ISBLANK(Vessels!I663), "", Vessels!I663), ""))</f>
        <v/>
      </c>
      <c r="J663" s="21" t="str">
        <f>IF($N$1="Piping", IF(ISBLANK(Piping!J663), "", Piping!J663), IF($N$1="Vessels", IF(ISBLANK(Vessels!J663), "", Vessels!J663), ""))</f>
        <v/>
      </c>
      <c r="K663" s="21" t="str">
        <f>IF($N$1="Piping", IF(ISBLANK(Piping!K663), "", Piping!K663), IF($N$1="Vessels", IF(ISBLANK(Vessels!K663), "", Vessels!K663), ""))</f>
        <v/>
      </c>
      <c r="L663" s="21" t="str">
        <f>IF($N$1="Piping", IF(ISBLANK(Piping!L663), "", Piping!L663), IF($N$1="Vessels", IF(ISBLANK(Vessels!L663), "", Vessels!L663), ""))</f>
        <v/>
      </c>
      <c r="M663" s="21"/>
      <c r="N663" s="21"/>
      <c r="O663" s="21"/>
      <c r="P663" s="21"/>
      <c r="Q663" s="21" t="str">
        <f>IF($N$1="Piping", IF(ISBLANK(Piping!T663), "", Piping!T663), IF($N$1="Vessels", IF(ISBLANK(Vessels!T663), "", Vessels!T663), ""))</f>
        <v/>
      </c>
      <c r="R663" s="51" t="str">
        <f>IF($N$1="Piping", IF(ISBLANK(Piping!U663), "", Piping!U663), IF($N$1="Vessels", IF(ISBLANK(Vessels!U663), "", Vessels!U663), ""))</f>
        <v/>
      </c>
      <c r="S663" s="118" t="str">
        <f>IF(B663&lt;&gt;"",IF($N$1="Piping", IF(ISBLANK(Piping!$J$3), "", Piping!$J$3), IF($N$1="Vessels", IF(ISBLANK(Vessels!$J$3), "", Vessels!$J$3), "")),"")</f>
        <v/>
      </c>
      <c r="T663" s="37"/>
      <c r="U663" s="37"/>
      <c r="V663" s="37"/>
      <c r="W663" s="37"/>
      <c r="X663" s="37"/>
      <c r="Y663" s="37"/>
      <c r="Z663" s="37"/>
    </row>
    <row r="664" spans="1:26" ht="15.75" customHeight="1" x14ac:dyDescent="0.3">
      <c r="A664" s="22">
        <f>IF($N$1="Piping", IF(ISBLANK(Piping!A664), "", Piping!A664), IF($N$1="Vessels", IF(ISBLANK(Vessels!A664), "", Vessels!A664), ""))</f>
        <v>165.3</v>
      </c>
      <c r="B664" s="21" t="str">
        <f>IF($N$1="Piping", IF(ISBLANK(Piping!B664), "", Piping!B664), IF($N$1="Vessels", IF(ISBLANK(Vessels!B664), "", Vessels!B664), ""))</f>
        <v/>
      </c>
      <c r="C664" s="21" t="str">
        <f>IF($N$1="Piping", IF(ISBLANK(Piping!C664), "", Piping!C664), IF($N$1="Vessels", IF(ISBLANK(Vessels!C664), "", Vessels!C664), ""))</f>
        <v>Piping</v>
      </c>
      <c r="D664" s="21" t="str">
        <f>IF($N$1="Piping", IF(ISBLANK(Piping!D664), "", Piping!D664), IF($N$1="Vessels", IF(ISBLANK(Vessels!D664), "", Vessels!D664), ""))</f>
        <v/>
      </c>
      <c r="E664" s="21" t="str">
        <f>IF($N$1="Piping", IF(ISBLANK(Piping!E664), "", Piping!E664), IF($N$1="Vessels", IF(ISBLANK(Vessels!E664), "", Vessels!E664), ""))</f>
        <v/>
      </c>
      <c r="F664" s="21" t="str">
        <f>IF($N$1="Piping", IF(ISBLANK(Piping!F664), "", Piping!F664), IF($N$1="Vessels", IF(ISBLANK(Vessels!F664), "", Vessels!F664), ""))</f>
        <v/>
      </c>
      <c r="G664" s="21">
        <f>IF($N$1="Piping", IF(ISBLANK(Piping!G664), "", Piping!G664), IF($N$1="Vessels", IF(ISBLANK(Vessels!G664), "", Vessels!G664), ""))</f>
        <v>0</v>
      </c>
      <c r="H664" s="21" t="str">
        <f>IF($N$1="Piping", IF(ISBLANK(Piping!H664), "", Piping!H664), IF($N$1="Vessels", IF(ISBLANK(Vessels!H664), "", Vessels!H664), ""))</f>
        <v/>
      </c>
      <c r="I664" s="21" t="str">
        <f>IF($N$1="Piping", IF(ISBLANK(Piping!I664), "", Piping!I664), IF($N$1="Vessels", IF(ISBLANK(Vessels!I664), "", Vessels!I664), ""))</f>
        <v/>
      </c>
      <c r="J664" s="21" t="str">
        <f>IF($N$1="Piping", IF(ISBLANK(Piping!J664), "", Piping!J664), IF($N$1="Vessels", IF(ISBLANK(Vessels!J664), "", Vessels!J664), ""))</f>
        <v/>
      </c>
      <c r="K664" s="21" t="str">
        <f>IF($N$1="Piping", IF(ISBLANK(Piping!K664), "", Piping!K664), IF($N$1="Vessels", IF(ISBLANK(Vessels!K664), "", Vessels!K664), ""))</f>
        <v/>
      </c>
      <c r="L664" s="21" t="str">
        <f>IF($N$1="Piping", IF(ISBLANK(Piping!L664), "", Piping!L664), IF($N$1="Vessels", IF(ISBLANK(Vessels!L664), "", Vessels!L664), ""))</f>
        <v/>
      </c>
      <c r="M664" s="21"/>
      <c r="N664" s="21"/>
      <c r="O664" s="21"/>
      <c r="P664" s="21"/>
      <c r="Q664" s="21" t="str">
        <f>IF($N$1="Piping", IF(ISBLANK(Piping!T664), "", Piping!T664), IF($N$1="Vessels", IF(ISBLANK(Vessels!T664), "", Vessels!T664), ""))</f>
        <v/>
      </c>
      <c r="R664" s="51" t="str">
        <f>IF($N$1="Piping", IF(ISBLANK(Piping!U664), "", Piping!U664), IF($N$1="Vessels", IF(ISBLANK(Vessels!U664), "", Vessels!U664), ""))</f>
        <v/>
      </c>
      <c r="S664" s="118" t="str">
        <f>IF(B664&lt;&gt;"",IF($N$1="Piping", IF(ISBLANK(Piping!$J$3), "", Piping!$J$3), IF($N$1="Vessels", IF(ISBLANK(Vessels!$J$3), "", Vessels!$J$3), "")),"")</f>
        <v/>
      </c>
      <c r="T664" s="37"/>
      <c r="U664" s="37"/>
      <c r="V664" s="37"/>
      <c r="W664" s="37"/>
      <c r="X664" s="37"/>
      <c r="Y664" s="37"/>
      <c r="Z664" s="37"/>
    </row>
    <row r="665" spans="1:26" ht="15.75" customHeight="1" x14ac:dyDescent="0.3">
      <c r="A665" s="22">
        <f>IF($N$1="Piping", IF(ISBLANK(Piping!A665), "", Piping!A665), IF($N$1="Vessels", IF(ISBLANK(Vessels!A665), "", Vessels!A665), ""))</f>
        <v>165.4</v>
      </c>
      <c r="B665" s="21" t="str">
        <f>IF($N$1="Piping", IF(ISBLANK(Piping!B665), "", Piping!B665), IF($N$1="Vessels", IF(ISBLANK(Vessels!B665), "", Vessels!B665), ""))</f>
        <v/>
      </c>
      <c r="C665" s="21" t="str">
        <f>IF($N$1="Piping", IF(ISBLANK(Piping!C665), "", Piping!C665), IF($N$1="Vessels", IF(ISBLANK(Vessels!C665), "", Vessels!C665), ""))</f>
        <v>Piping</v>
      </c>
      <c r="D665" s="21" t="str">
        <f>IF($N$1="Piping", IF(ISBLANK(Piping!D665), "", Piping!D665), IF($N$1="Vessels", IF(ISBLANK(Vessels!D665), "", Vessels!D665), ""))</f>
        <v/>
      </c>
      <c r="E665" s="21" t="str">
        <f>IF($N$1="Piping", IF(ISBLANK(Piping!E665), "", Piping!E665), IF($N$1="Vessels", IF(ISBLANK(Vessels!E665), "", Vessels!E665), ""))</f>
        <v/>
      </c>
      <c r="F665" s="21" t="str">
        <f>IF($N$1="Piping", IF(ISBLANK(Piping!F665), "", Piping!F665), IF($N$1="Vessels", IF(ISBLANK(Vessels!F665), "", Vessels!F665), ""))</f>
        <v/>
      </c>
      <c r="G665" s="21">
        <f>IF($N$1="Piping", IF(ISBLANK(Piping!G665), "", Piping!G665), IF($N$1="Vessels", IF(ISBLANK(Vessels!G665), "", Vessels!G665), ""))</f>
        <v>0</v>
      </c>
      <c r="H665" s="21" t="str">
        <f>IF($N$1="Piping", IF(ISBLANK(Piping!H665), "", Piping!H665), IF($N$1="Vessels", IF(ISBLANK(Vessels!H665), "", Vessels!H665), ""))</f>
        <v/>
      </c>
      <c r="I665" s="21" t="str">
        <f>IF($N$1="Piping", IF(ISBLANK(Piping!I665), "", Piping!I665), IF($N$1="Vessels", IF(ISBLANK(Vessels!I665), "", Vessels!I665), ""))</f>
        <v/>
      </c>
      <c r="J665" s="21" t="str">
        <f>IF($N$1="Piping", IF(ISBLANK(Piping!J665), "", Piping!J665), IF($N$1="Vessels", IF(ISBLANK(Vessels!J665), "", Vessels!J665), ""))</f>
        <v/>
      </c>
      <c r="K665" s="21" t="str">
        <f>IF($N$1="Piping", IF(ISBLANK(Piping!K665), "", Piping!K665), IF($N$1="Vessels", IF(ISBLANK(Vessels!K665), "", Vessels!K665), ""))</f>
        <v/>
      </c>
      <c r="L665" s="21" t="str">
        <f>IF($N$1="Piping", IF(ISBLANK(Piping!L665), "", Piping!L665), IF($N$1="Vessels", IF(ISBLANK(Vessels!L665), "", Vessels!L665), ""))</f>
        <v/>
      </c>
      <c r="M665" s="21"/>
      <c r="N665" s="21"/>
      <c r="O665" s="21"/>
      <c r="P665" s="21"/>
      <c r="Q665" s="21" t="str">
        <f>IF($N$1="Piping", IF(ISBLANK(Piping!T665), "", Piping!T665), IF($N$1="Vessels", IF(ISBLANK(Vessels!T665), "", Vessels!T665), ""))</f>
        <v/>
      </c>
      <c r="R665" s="51" t="str">
        <f>IF($N$1="Piping", IF(ISBLANK(Piping!U665), "", Piping!U665), IF($N$1="Vessels", IF(ISBLANK(Vessels!U665), "", Vessels!U665), ""))</f>
        <v/>
      </c>
      <c r="S665" s="118" t="str">
        <f>IF(B665&lt;&gt;"",IF($N$1="Piping", IF(ISBLANK(Piping!$J$3), "", Piping!$J$3), IF($N$1="Vessels", IF(ISBLANK(Vessels!$J$3), "", Vessels!$J$3), "")),"")</f>
        <v/>
      </c>
      <c r="T665" s="37"/>
      <c r="U665" s="37"/>
      <c r="V665" s="37"/>
      <c r="W665" s="37"/>
      <c r="X665" s="37"/>
      <c r="Y665" s="37"/>
      <c r="Z665" s="37"/>
    </row>
    <row r="666" spans="1:26" ht="15.75" customHeight="1" x14ac:dyDescent="0.3">
      <c r="A666" s="22">
        <f>IF($N$1="Piping", IF(ISBLANK(Piping!A666), "", Piping!A666), IF($N$1="Vessels", IF(ISBLANK(Vessels!A666), "", Vessels!A666), ""))</f>
        <v>166.1</v>
      </c>
      <c r="B666" s="21" t="str">
        <f>IF($N$1="Piping", IF(ISBLANK(Piping!B666), "", Piping!B666), IF($N$1="Vessels", IF(ISBLANK(Vessels!B666), "", Vessels!B666), ""))</f>
        <v/>
      </c>
      <c r="C666" s="21" t="str">
        <f>IF($N$1="Piping", IF(ISBLANK(Piping!C666), "", Piping!C666), IF($N$1="Vessels", IF(ISBLANK(Vessels!C666), "", Vessels!C666), ""))</f>
        <v>Piping</v>
      </c>
      <c r="D666" s="21" t="str">
        <f>IF($N$1="Piping", IF(ISBLANK(Piping!D666), "", Piping!D666), IF($N$1="Vessels", IF(ISBLANK(Vessels!D666), "", Vessels!D666), ""))</f>
        <v/>
      </c>
      <c r="E666" s="21" t="str">
        <f>IF($N$1="Piping", IF(ISBLANK(Piping!E666), "", Piping!E666), IF($N$1="Vessels", IF(ISBLANK(Vessels!E666), "", Vessels!E666), ""))</f>
        <v/>
      </c>
      <c r="F666" s="21" t="str">
        <f>IF($N$1="Piping", IF(ISBLANK(Piping!F666), "", Piping!F666), IF($N$1="Vessels", IF(ISBLANK(Vessels!F666), "", Vessels!F666), ""))</f>
        <v/>
      </c>
      <c r="G666" s="21">
        <f>IF($N$1="Piping", IF(ISBLANK(Piping!G666), "", Piping!G666), IF($N$1="Vessels", IF(ISBLANK(Vessels!G666), "", Vessels!G666), ""))</f>
        <v>0</v>
      </c>
      <c r="H666" s="21" t="str">
        <f>IF($N$1="Piping", IF(ISBLANK(Piping!H666), "", Piping!H666), IF($N$1="Vessels", IF(ISBLANK(Vessels!H666), "", Vessels!H666), ""))</f>
        <v/>
      </c>
      <c r="I666" s="21" t="str">
        <f>IF($N$1="Piping", IF(ISBLANK(Piping!I666), "", Piping!I666), IF($N$1="Vessels", IF(ISBLANK(Vessels!I666), "", Vessels!I666), ""))</f>
        <v/>
      </c>
      <c r="J666" s="21" t="str">
        <f>IF($N$1="Piping", IF(ISBLANK(Piping!J666), "", Piping!J666), IF($N$1="Vessels", IF(ISBLANK(Vessels!J666), "", Vessels!J666), ""))</f>
        <v/>
      </c>
      <c r="K666" s="21" t="str">
        <f>IF($N$1="Piping", IF(ISBLANK(Piping!K666), "", Piping!K666), IF($N$1="Vessels", IF(ISBLANK(Vessels!K666), "", Vessels!K666), ""))</f>
        <v/>
      </c>
      <c r="L666" s="21" t="str">
        <f>IF($N$1="Piping", IF(ISBLANK(Piping!L666), "", Piping!L666), IF($N$1="Vessels", IF(ISBLANK(Vessels!L666), "", Vessels!L666), ""))</f>
        <v/>
      </c>
      <c r="M666" s="21"/>
      <c r="N666" s="21"/>
      <c r="O666" s="21"/>
      <c r="P666" s="21"/>
      <c r="Q666" s="21" t="str">
        <f>IF($N$1="Piping", IF(ISBLANK(Piping!T666), "", Piping!T666), IF($N$1="Vessels", IF(ISBLANK(Vessels!T666), "", Vessels!T666), ""))</f>
        <v/>
      </c>
      <c r="R666" s="51" t="str">
        <f>IF($N$1="Piping", IF(ISBLANK(Piping!U666), "", Piping!U666), IF($N$1="Vessels", IF(ISBLANK(Vessels!U666), "", Vessels!U666), ""))</f>
        <v/>
      </c>
      <c r="S666" s="118" t="str">
        <f>IF(B666&lt;&gt;"",IF($N$1="Piping", IF(ISBLANK(Piping!$J$3), "", Piping!$J$3), IF($N$1="Vessels", IF(ISBLANK(Vessels!$J$3), "", Vessels!$J$3), "")),"")</f>
        <v/>
      </c>
      <c r="T666" s="37"/>
      <c r="U666" s="37"/>
      <c r="V666" s="37"/>
      <c r="W666" s="37"/>
      <c r="X666" s="37"/>
      <c r="Y666" s="37"/>
      <c r="Z666" s="37"/>
    </row>
    <row r="667" spans="1:26" ht="15.75" customHeight="1" x14ac:dyDescent="0.3">
      <c r="A667" s="22">
        <f>IF($N$1="Piping", IF(ISBLANK(Piping!A667), "", Piping!A667), IF($N$1="Vessels", IF(ISBLANK(Vessels!A667), "", Vessels!A667), ""))</f>
        <v>166.2</v>
      </c>
      <c r="B667" s="21" t="str">
        <f>IF($N$1="Piping", IF(ISBLANK(Piping!B667), "", Piping!B667), IF($N$1="Vessels", IF(ISBLANK(Vessels!B667), "", Vessels!B667), ""))</f>
        <v/>
      </c>
      <c r="C667" s="21" t="str">
        <f>IF($N$1="Piping", IF(ISBLANK(Piping!C667), "", Piping!C667), IF($N$1="Vessels", IF(ISBLANK(Vessels!C667), "", Vessels!C667), ""))</f>
        <v>Piping</v>
      </c>
      <c r="D667" s="21" t="str">
        <f>IF($N$1="Piping", IF(ISBLANK(Piping!D667), "", Piping!D667), IF($N$1="Vessels", IF(ISBLANK(Vessels!D667), "", Vessels!D667), ""))</f>
        <v/>
      </c>
      <c r="E667" s="21" t="str">
        <f>IF($N$1="Piping", IF(ISBLANK(Piping!E667), "", Piping!E667), IF($N$1="Vessels", IF(ISBLANK(Vessels!E667), "", Vessels!E667), ""))</f>
        <v/>
      </c>
      <c r="F667" s="21" t="str">
        <f>IF($N$1="Piping", IF(ISBLANK(Piping!F667), "", Piping!F667), IF($N$1="Vessels", IF(ISBLANK(Vessels!F667), "", Vessels!F667), ""))</f>
        <v/>
      </c>
      <c r="G667" s="21">
        <f>IF($N$1="Piping", IF(ISBLANK(Piping!G667), "", Piping!G667), IF($N$1="Vessels", IF(ISBLANK(Vessels!G667), "", Vessels!G667), ""))</f>
        <v>0</v>
      </c>
      <c r="H667" s="21" t="str">
        <f>IF($N$1="Piping", IF(ISBLANK(Piping!H667), "", Piping!H667), IF($N$1="Vessels", IF(ISBLANK(Vessels!H667), "", Vessels!H667), ""))</f>
        <v/>
      </c>
      <c r="I667" s="21" t="str">
        <f>IF($N$1="Piping", IF(ISBLANK(Piping!I667), "", Piping!I667), IF($N$1="Vessels", IF(ISBLANK(Vessels!I667), "", Vessels!I667), ""))</f>
        <v/>
      </c>
      <c r="J667" s="21" t="str">
        <f>IF($N$1="Piping", IF(ISBLANK(Piping!J667), "", Piping!J667), IF($N$1="Vessels", IF(ISBLANK(Vessels!J667), "", Vessels!J667), ""))</f>
        <v/>
      </c>
      <c r="K667" s="21" t="str">
        <f>IF($N$1="Piping", IF(ISBLANK(Piping!K667), "", Piping!K667), IF($N$1="Vessels", IF(ISBLANK(Vessels!K667), "", Vessels!K667), ""))</f>
        <v/>
      </c>
      <c r="L667" s="21" t="str">
        <f>IF($N$1="Piping", IF(ISBLANK(Piping!L667), "", Piping!L667), IF($N$1="Vessels", IF(ISBLANK(Vessels!L667), "", Vessels!L667), ""))</f>
        <v/>
      </c>
      <c r="M667" s="21"/>
      <c r="N667" s="21"/>
      <c r="O667" s="21"/>
      <c r="P667" s="21"/>
      <c r="Q667" s="21" t="str">
        <f>IF($N$1="Piping", IF(ISBLANK(Piping!T667), "", Piping!T667), IF($N$1="Vessels", IF(ISBLANK(Vessels!T667), "", Vessels!T667), ""))</f>
        <v/>
      </c>
      <c r="R667" s="51" t="str">
        <f>IF($N$1="Piping", IF(ISBLANK(Piping!U667), "", Piping!U667), IF($N$1="Vessels", IF(ISBLANK(Vessels!U667), "", Vessels!U667), ""))</f>
        <v/>
      </c>
      <c r="S667" s="118" t="str">
        <f>IF(B667&lt;&gt;"",IF($N$1="Piping", IF(ISBLANK(Piping!$J$3), "", Piping!$J$3), IF($N$1="Vessels", IF(ISBLANK(Vessels!$J$3), "", Vessels!$J$3), "")),"")</f>
        <v/>
      </c>
      <c r="T667" s="37"/>
      <c r="U667" s="37"/>
      <c r="V667" s="37"/>
      <c r="W667" s="37"/>
      <c r="X667" s="37"/>
      <c r="Y667" s="37"/>
      <c r="Z667" s="37"/>
    </row>
    <row r="668" spans="1:26" ht="15.75" customHeight="1" x14ac:dyDescent="0.3">
      <c r="A668" s="22">
        <f>IF($N$1="Piping", IF(ISBLANK(Piping!A668), "", Piping!A668), IF($N$1="Vessels", IF(ISBLANK(Vessels!A668), "", Vessels!A668), ""))</f>
        <v>166.3</v>
      </c>
      <c r="B668" s="21" t="str">
        <f>IF($N$1="Piping", IF(ISBLANK(Piping!B668), "", Piping!B668), IF($N$1="Vessels", IF(ISBLANK(Vessels!B668), "", Vessels!B668), ""))</f>
        <v/>
      </c>
      <c r="C668" s="21" t="str">
        <f>IF($N$1="Piping", IF(ISBLANK(Piping!C668), "", Piping!C668), IF($N$1="Vessels", IF(ISBLANK(Vessels!C668), "", Vessels!C668), ""))</f>
        <v>Piping</v>
      </c>
      <c r="D668" s="21" t="str">
        <f>IF($N$1="Piping", IF(ISBLANK(Piping!D668), "", Piping!D668), IF($N$1="Vessels", IF(ISBLANK(Vessels!D668), "", Vessels!D668), ""))</f>
        <v/>
      </c>
      <c r="E668" s="21" t="str">
        <f>IF($N$1="Piping", IF(ISBLANK(Piping!E668), "", Piping!E668), IF($N$1="Vessels", IF(ISBLANK(Vessels!E668), "", Vessels!E668), ""))</f>
        <v/>
      </c>
      <c r="F668" s="21" t="str">
        <f>IF($N$1="Piping", IF(ISBLANK(Piping!F668), "", Piping!F668), IF($N$1="Vessels", IF(ISBLANK(Vessels!F668), "", Vessels!F668), ""))</f>
        <v/>
      </c>
      <c r="G668" s="21">
        <f>IF($N$1="Piping", IF(ISBLANK(Piping!G668), "", Piping!G668), IF($N$1="Vessels", IF(ISBLANK(Vessels!G668), "", Vessels!G668), ""))</f>
        <v>0</v>
      </c>
      <c r="H668" s="21" t="str">
        <f>IF($N$1="Piping", IF(ISBLANK(Piping!H668), "", Piping!H668), IF($N$1="Vessels", IF(ISBLANK(Vessels!H668), "", Vessels!H668), ""))</f>
        <v/>
      </c>
      <c r="I668" s="21" t="str">
        <f>IF($N$1="Piping", IF(ISBLANK(Piping!I668), "", Piping!I668), IF($N$1="Vessels", IF(ISBLANK(Vessels!I668), "", Vessels!I668), ""))</f>
        <v/>
      </c>
      <c r="J668" s="21" t="str">
        <f>IF($N$1="Piping", IF(ISBLANK(Piping!J668), "", Piping!J668), IF($N$1="Vessels", IF(ISBLANK(Vessels!J668), "", Vessels!J668), ""))</f>
        <v/>
      </c>
      <c r="K668" s="21" t="str">
        <f>IF($N$1="Piping", IF(ISBLANK(Piping!K668), "", Piping!K668), IF($N$1="Vessels", IF(ISBLANK(Vessels!K668), "", Vessels!K668), ""))</f>
        <v/>
      </c>
      <c r="L668" s="21" t="str">
        <f>IF($N$1="Piping", IF(ISBLANK(Piping!L668), "", Piping!L668), IF($N$1="Vessels", IF(ISBLANK(Vessels!L668), "", Vessels!L668), ""))</f>
        <v/>
      </c>
      <c r="M668" s="21"/>
      <c r="N668" s="21"/>
      <c r="O668" s="21"/>
      <c r="P668" s="21"/>
      <c r="Q668" s="21" t="str">
        <f>IF($N$1="Piping", IF(ISBLANK(Piping!T668), "", Piping!T668), IF($N$1="Vessels", IF(ISBLANK(Vessels!T668), "", Vessels!T668), ""))</f>
        <v/>
      </c>
      <c r="R668" s="51" t="str">
        <f>IF($N$1="Piping", IF(ISBLANK(Piping!U668), "", Piping!U668), IF($N$1="Vessels", IF(ISBLANK(Vessels!U668), "", Vessels!U668), ""))</f>
        <v/>
      </c>
      <c r="S668" s="118" t="str">
        <f>IF(B668&lt;&gt;"",IF($N$1="Piping", IF(ISBLANK(Piping!$J$3), "", Piping!$J$3), IF($N$1="Vessels", IF(ISBLANK(Vessels!$J$3), "", Vessels!$J$3), "")),"")</f>
        <v/>
      </c>
      <c r="T668" s="37"/>
      <c r="U668" s="37"/>
      <c r="V668" s="37"/>
      <c r="W668" s="37"/>
      <c r="X668" s="37"/>
      <c r="Y668" s="37"/>
      <c r="Z668" s="37"/>
    </row>
    <row r="669" spans="1:26" ht="15.75" customHeight="1" x14ac:dyDescent="0.3">
      <c r="A669" s="22">
        <f>IF($N$1="Piping", IF(ISBLANK(Piping!A669), "", Piping!A669), IF($N$1="Vessels", IF(ISBLANK(Vessels!A669), "", Vessels!A669), ""))</f>
        <v>166.4</v>
      </c>
      <c r="B669" s="21" t="str">
        <f>IF($N$1="Piping", IF(ISBLANK(Piping!B669), "", Piping!B669), IF($N$1="Vessels", IF(ISBLANK(Vessels!B669), "", Vessels!B669), ""))</f>
        <v/>
      </c>
      <c r="C669" s="21" t="str">
        <f>IF($N$1="Piping", IF(ISBLANK(Piping!C669), "", Piping!C669), IF($N$1="Vessels", IF(ISBLANK(Vessels!C669), "", Vessels!C669), ""))</f>
        <v>Piping</v>
      </c>
      <c r="D669" s="21" t="str">
        <f>IF($N$1="Piping", IF(ISBLANK(Piping!D669), "", Piping!D669), IF($N$1="Vessels", IF(ISBLANK(Vessels!D669), "", Vessels!D669), ""))</f>
        <v/>
      </c>
      <c r="E669" s="21" t="str">
        <f>IF($N$1="Piping", IF(ISBLANK(Piping!E669), "", Piping!E669), IF($N$1="Vessels", IF(ISBLANK(Vessels!E669), "", Vessels!E669), ""))</f>
        <v/>
      </c>
      <c r="F669" s="21" t="str">
        <f>IF($N$1="Piping", IF(ISBLANK(Piping!F669), "", Piping!F669), IF($N$1="Vessels", IF(ISBLANK(Vessels!F669), "", Vessels!F669), ""))</f>
        <v/>
      </c>
      <c r="G669" s="21">
        <f>IF($N$1="Piping", IF(ISBLANK(Piping!G669), "", Piping!G669), IF($N$1="Vessels", IF(ISBLANK(Vessels!G669), "", Vessels!G669), ""))</f>
        <v>0</v>
      </c>
      <c r="H669" s="21" t="str">
        <f>IF($N$1="Piping", IF(ISBLANK(Piping!H669), "", Piping!H669), IF($N$1="Vessels", IF(ISBLANK(Vessels!H669), "", Vessels!H669), ""))</f>
        <v/>
      </c>
      <c r="I669" s="21" t="str">
        <f>IF($N$1="Piping", IF(ISBLANK(Piping!I669), "", Piping!I669), IF($N$1="Vessels", IF(ISBLANK(Vessels!I669), "", Vessels!I669), ""))</f>
        <v/>
      </c>
      <c r="J669" s="21" t="str">
        <f>IF($N$1="Piping", IF(ISBLANK(Piping!J669), "", Piping!J669), IF($N$1="Vessels", IF(ISBLANK(Vessels!J669), "", Vessels!J669), ""))</f>
        <v/>
      </c>
      <c r="K669" s="21" t="str">
        <f>IF($N$1="Piping", IF(ISBLANK(Piping!K669), "", Piping!K669), IF($N$1="Vessels", IF(ISBLANK(Vessels!K669), "", Vessels!K669), ""))</f>
        <v/>
      </c>
      <c r="L669" s="21" t="str">
        <f>IF($N$1="Piping", IF(ISBLANK(Piping!L669), "", Piping!L669), IF($N$1="Vessels", IF(ISBLANK(Vessels!L669), "", Vessels!L669), ""))</f>
        <v/>
      </c>
      <c r="M669" s="21"/>
      <c r="N669" s="21"/>
      <c r="O669" s="21"/>
      <c r="P669" s="21"/>
      <c r="Q669" s="21" t="str">
        <f>IF($N$1="Piping", IF(ISBLANK(Piping!T669), "", Piping!T669), IF($N$1="Vessels", IF(ISBLANK(Vessels!T669), "", Vessels!T669), ""))</f>
        <v/>
      </c>
      <c r="R669" s="51" t="str">
        <f>IF($N$1="Piping", IF(ISBLANK(Piping!U669), "", Piping!U669), IF($N$1="Vessels", IF(ISBLANK(Vessels!U669), "", Vessels!U669), ""))</f>
        <v/>
      </c>
      <c r="S669" s="118" t="str">
        <f>IF(B669&lt;&gt;"",IF($N$1="Piping", IF(ISBLANK(Piping!$J$3), "", Piping!$J$3), IF($N$1="Vessels", IF(ISBLANK(Vessels!$J$3), "", Vessels!$J$3), "")),"")</f>
        <v/>
      </c>
      <c r="T669" s="37"/>
      <c r="U669" s="37"/>
      <c r="V669" s="37"/>
      <c r="W669" s="37"/>
      <c r="X669" s="37"/>
      <c r="Y669" s="37"/>
      <c r="Z669" s="37"/>
    </row>
    <row r="670" spans="1:26" ht="15.75" customHeight="1" x14ac:dyDescent="0.3">
      <c r="A670" s="22">
        <f>IF($N$1="Piping", IF(ISBLANK(Piping!A670), "", Piping!A670), IF($N$1="Vessels", IF(ISBLANK(Vessels!A670), "", Vessels!A670), ""))</f>
        <v>167.1</v>
      </c>
      <c r="B670" s="21" t="str">
        <f>IF($N$1="Piping", IF(ISBLANK(Piping!B670), "", Piping!B670), IF($N$1="Vessels", IF(ISBLANK(Vessels!B670), "", Vessels!B670), ""))</f>
        <v/>
      </c>
      <c r="C670" s="21" t="str">
        <f>IF($N$1="Piping", IF(ISBLANK(Piping!C670), "", Piping!C670), IF($N$1="Vessels", IF(ISBLANK(Vessels!C670), "", Vessels!C670), ""))</f>
        <v>Piping</v>
      </c>
      <c r="D670" s="21" t="str">
        <f>IF($N$1="Piping", IF(ISBLANK(Piping!D670), "", Piping!D670), IF($N$1="Vessels", IF(ISBLANK(Vessels!D670), "", Vessels!D670), ""))</f>
        <v/>
      </c>
      <c r="E670" s="21" t="str">
        <f>IF($N$1="Piping", IF(ISBLANK(Piping!E670), "", Piping!E670), IF($N$1="Vessels", IF(ISBLANK(Vessels!E670), "", Vessels!E670), ""))</f>
        <v/>
      </c>
      <c r="F670" s="21" t="str">
        <f>IF($N$1="Piping", IF(ISBLANK(Piping!F670), "", Piping!F670), IF($N$1="Vessels", IF(ISBLANK(Vessels!F670), "", Vessels!F670), ""))</f>
        <v/>
      </c>
      <c r="G670" s="21">
        <f>IF($N$1="Piping", IF(ISBLANK(Piping!G670), "", Piping!G670), IF($N$1="Vessels", IF(ISBLANK(Vessels!G670), "", Vessels!G670), ""))</f>
        <v>0</v>
      </c>
      <c r="H670" s="21" t="str">
        <f>IF($N$1="Piping", IF(ISBLANK(Piping!H670), "", Piping!H670), IF($N$1="Vessels", IF(ISBLANK(Vessels!H670), "", Vessels!H670), ""))</f>
        <v/>
      </c>
      <c r="I670" s="21" t="str">
        <f>IF($N$1="Piping", IF(ISBLANK(Piping!I670), "", Piping!I670), IF($N$1="Vessels", IF(ISBLANK(Vessels!I670), "", Vessels!I670), ""))</f>
        <v/>
      </c>
      <c r="J670" s="21" t="str">
        <f>IF($N$1="Piping", IF(ISBLANK(Piping!J670), "", Piping!J670), IF($N$1="Vessels", IF(ISBLANK(Vessels!J670), "", Vessels!J670), ""))</f>
        <v/>
      </c>
      <c r="K670" s="21" t="str">
        <f>IF($N$1="Piping", IF(ISBLANK(Piping!K670), "", Piping!K670), IF($N$1="Vessels", IF(ISBLANK(Vessels!K670), "", Vessels!K670), ""))</f>
        <v/>
      </c>
      <c r="L670" s="21" t="str">
        <f>IF($N$1="Piping", IF(ISBLANK(Piping!L670), "", Piping!L670), IF($N$1="Vessels", IF(ISBLANK(Vessels!L670), "", Vessels!L670), ""))</f>
        <v/>
      </c>
      <c r="M670" s="21"/>
      <c r="N670" s="21"/>
      <c r="O670" s="21"/>
      <c r="P670" s="21"/>
      <c r="Q670" s="21" t="str">
        <f>IF($N$1="Piping", IF(ISBLANK(Piping!T670), "", Piping!T670), IF($N$1="Vessels", IF(ISBLANK(Vessels!T670), "", Vessels!T670), ""))</f>
        <v/>
      </c>
      <c r="R670" s="51" t="str">
        <f>IF($N$1="Piping", IF(ISBLANK(Piping!U670), "", Piping!U670), IF($N$1="Vessels", IF(ISBLANK(Vessels!U670), "", Vessels!U670), ""))</f>
        <v/>
      </c>
      <c r="S670" s="118" t="str">
        <f>IF(B670&lt;&gt;"",IF($N$1="Piping", IF(ISBLANK(Piping!$J$3), "", Piping!$J$3), IF($N$1="Vessels", IF(ISBLANK(Vessels!$J$3), "", Vessels!$J$3), "")),"")</f>
        <v/>
      </c>
      <c r="T670" s="37"/>
      <c r="U670" s="37"/>
      <c r="V670" s="37"/>
      <c r="W670" s="37"/>
      <c r="X670" s="37"/>
      <c r="Y670" s="37"/>
      <c r="Z670" s="37"/>
    </row>
    <row r="671" spans="1:26" ht="15.75" customHeight="1" x14ac:dyDescent="0.3">
      <c r="A671" s="22">
        <f>IF($N$1="Piping", IF(ISBLANK(Piping!A671), "", Piping!A671), IF($N$1="Vessels", IF(ISBLANK(Vessels!A671), "", Vessels!A671), ""))</f>
        <v>167.2</v>
      </c>
      <c r="B671" s="21" t="str">
        <f>IF($N$1="Piping", IF(ISBLANK(Piping!B671), "", Piping!B671), IF($N$1="Vessels", IF(ISBLANK(Vessels!B671), "", Vessels!B671), ""))</f>
        <v/>
      </c>
      <c r="C671" s="21" t="str">
        <f>IF($N$1="Piping", IF(ISBLANK(Piping!C671), "", Piping!C671), IF($N$1="Vessels", IF(ISBLANK(Vessels!C671), "", Vessels!C671), ""))</f>
        <v>Piping</v>
      </c>
      <c r="D671" s="21" t="str">
        <f>IF($N$1="Piping", IF(ISBLANK(Piping!D671), "", Piping!D671), IF($N$1="Vessels", IF(ISBLANK(Vessels!D671), "", Vessels!D671), ""))</f>
        <v/>
      </c>
      <c r="E671" s="21" t="str">
        <f>IF($N$1="Piping", IF(ISBLANK(Piping!E671), "", Piping!E671), IF($N$1="Vessels", IF(ISBLANK(Vessels!E671), "", Vessels!E671), ""))</f>
        <v/>
      </c>
      <c r="F671" s="21" t="str">
        <f>IF($N$1="Piping", IF(ISBLANK(Piping!F671), "", Piping!F671), IF($N$1="Vessels", IF(ISBLANK(Vessels!F671), "", Vessels!F671), ""))</f>
        <v/>
      </c>
      <c r="G671" s="21">
        <f>IF($N$1="Piping", IF(ISBLANK(Piping!G671), "", Piping!G671), IF($N$1="Vessels", IF(ISBLANK(Vessels!G671), "", Vessels!G671), ""))</f>
        <v>0</v>
      </c>
      <c r="H671" s="21" t="str">
        <f>IF($N$1="Piping", IF(ISBLANK(Piping!H671), "", Piping!H671), IF($N$1="Vessels", IF(ISBLANK(Vessels!H671), "", Vessels!H671), ""))</f>
        <v/>
      </c>
      <c r="I671" s="21" t="str">
        <f>IF($N$1="Piping", IF(ISBLANK(Piping!I671), "", Piping!I671), IF($N$1="Vessels", IF(ISBLANK(Vessels!I671), "", Vessels!I671), ""))</f>
        <v/>
      </c>
      <c r="J671" s="21" t="str">
        <f>IF($N$1="Piping", IF(ISBLANK(Piping!J671), "", Piping!J671), IF($N$1="Vessels", IF(ISBLANK(Vessels!J671), "", Vessels!J671), ""))</f>
        <v/>
      </c>
      <c r="K671" s="21" t="str">
        <f>IF($N$1="Piping", IF(ISBLANK(Piping!K671), "", Piping!K671), IF($N$1="Vessels", IF(ISBLANK(Vessels!K671), "", Vessels!K671), ""))</f>
        <v/>
      </c>
      <c r="L671" s="21" t="str">
        <f>IF($N$1="Piping", IF(ISBLANK(Piping!L671), "", Piping!L671), IF($N$1="Vessels", IF(ISBLANK(Vessels!L671), "", Vessels!L671), ""))</f>
        <v/>
      </c>
      <c r="M671" s="21"/>
      <c r="N671" s="21"/>
      <c r="O671" s="21"/>
      <c r="P671" s="21"/>
      <c r="Q671" s="21" t="str">
        <f>IF($N$1="Piping", IF(ISBLANK(Piping!T671), "", Piping!T671), IF($N$1="Vessels", IF(ISBLANK(Vessels!T671), "", Vessels!T671), ""))</f>
        <v/>
      </c>
      <c r="R671" s="51" t="str">
        <f>IF($N$1="Piping", IF(ISBLANK(Piping!U671), "", Piping!U671), IF($N$1="Vessels", IF(ISBLANK(Vessels!U671), "", Vessels!U671), ""))</f>
        <v/>
      </c>
      <c r="S671" s="118" t="str">
        <f>IF(B671&lt;&gt;"",IF($N$1="Piping", IF(ISBLANK(Piping!$J$3), "", Piping!$J$3), IF($N$1="Vessels", IF(ISBLANK(Vessels!$J$3), "", Vessels!$J$3), "")),"")</f>
        <v/>
      </c>
      <c r="T671" s="37"/>
      <c r="U671" s="37"/>
      <c r="V671" s="37"/>
      <c r="W671" s="37"/>
      <c r="X671" s="37"/>
      <c r="Y671" s="37"/>
      <c r="Z671" s="37"/>
    </row>
    <row r="672" spans="1:26" ht="15.75" customHeight="1" x14ac:dyDescent="0.3">
      <c r="A672" s="22">
        <f>IF($N$1="Piping", IF(ISBLANK(Piping!A672), "", Piping!A672), IF($N$1="Vessels", IF(ISBLANK(Vessels!A672), "", Vessels!A672), ""))</f>
        <v>167.3</v>
      </c>
      <c r="B672" s="21" t="str">
        <f>IF($N$1="Piping", IF(ISBLANK(Piping!B672), "", Piping!B672), IF($N$1="Vessels", IF(ISBLANK(Vessels!B672), "", Vessels!B672), ""))</f>
        <v/>
      </c>
      <c r="C672" s="21" t="str">
        <f>IF($N$1="Piping", IF(ISBLANK(Piping!C672), "", Piping!C672), IF($N$1="Vessels", IF(ISBLANK(Vessels!C672), "", Vessels!C672), ""))</f>
        <v>Piping</v>
      </c>
      <c r="D672" s="21" t="str">
        <f>IF($N$1="Piping", IF(ISBLANK(Piping!D672), "", Piping!D672), IF($N$1="Vessels", IF(ISBLANK(Vessels!D672), "", Vessels!D672), ""))</f>
        <v/>
      </c>
      <c r="E672" s="21" t="str">
        <f>IF($N$1="Piping", IF(ISBLANK(Piping!E672), "", Piping!E672), IF($N$1="Vessels", IF(ISBLANK(Vessels!E672), "", Vessels!E672), ""))</f>
        <v/>
      </c>
      <c r="F672" s="21" t="str">
        <f>IF($N$1="Piping", IF(ISBLANK(Piping!F672), "", Piping!F672), IF($N$1="Vessels", IF(ISBLANK(Vessels!F672), "", Vessels!F672), ""))</f>
        <v/>
      </c>
      <c r="G672" s="21">
        <f>IF($N$1="Piping", IF(ISBLANK(Piping!G672), "", Piping!G672), IF($N$1="Vessels", IF(ISBLANK(Vessels!G672), "", Vessels!G672), ""))</f>
        <v>0</v>
      </c>
      <c r="H672" s="21" t="str">
        <f>IF($N$1="Piping", IF(ISBLANK(Piping!H672), "", Piping!H672), IF($N$1="Vessels", IF(ISBLANK(Vessels!H672), "", Vessels!H672), ""))</f>
        <v/>
      </c>
      <c r="I672" s="21" t="str">
        <f>IF($N$1="Piping", IF(ISBLANK(Piping!I672), "", Piping!I672), IF($N$1="Vessels", IF(ISBLANK(Vessels!I672), "", Vessels!I672), ""))</f>
        <v/>
      </c>
      <c r="J672" s="21" t="str">
        <f>IF($N$1="Piping", IF(ISBLANK(Piping!J672), "", Piping!J672), IF($N$1="Vessels", IF(ISBLANK(Vessels!J672), "", Vessels!J672), ""))</f>
        <v/>
      </c>
      <c r="K672" s="21" t="str">
        <f>IF($N$1="Piping", IF(ISBLANK(Piping!K672), "", Piping!K672), IF($N$1="Vessels", IF(ISBLANK(Vessels!K672), "", Vessels!K672), ""))</f>
        <v/>
      </c>
      <c r="L672" s="21" t="str">
        <f>IF($N$1="Piping", IF(ISBLANK(Piping!L672), "", Piping!L672), IF($N$1="Vessels", IF(ISBLANK(Vessels!L672), "", Vessels!L672), ""))</f>
        <v/>
      </c>
      <c r="M672" s="21"/>
      <c r="N672" s="21"/>
      <c r="O672" s="21"/>
      <c r="P672" s="21"/>
      <c r="Q672" s="21" t="str">
        <f>IF($N$1="Piping", IF(ISBLANK(Piping!T672), "", Piping!T672), IF($N$1="Vessels", IF(ISBLANK(Vessels!T672), "", Vessels!T672), ""))</f>
        <v/>
      </c>
      <c r="R672" s="51" t="str">
        <f>IF($N$1="Piping", IF(ISBLANK(Piping!U672), "", Piping!U672), IF($N$1="Vessels", IF(ISBLANK(Vessels!U672), "", Vessels!U672), ""))</f>
        <v/>
      </c>
      <c r="S672" s="118" t="str">
        <f>IF(B672&lt;&gt;"",IF($N$1="Piping", IF(ISBLANK(Piping!$J$3), "", Piping!$J$3), IF($N$1="Vessels", IF(ISBLANK(Vessels!$J$3), "", Vessels!$J$3), "")),"")</f>
        <v/>
      </c>
      <c r="T672" s="37"/>
      <c r="U672" s="37"/>
      <c r="V672" s="37"/>
      <c r="W672" s="37"/>
      <c r="X672" s="37"/>
      <c r="Y672" s="37"/>
      <c r="Z672" s="37"/>
    </row>
    <row r="673" spans="1:26" ht="15.75" customHeight="1" x14ac:dyDescent="0.3">
      <c r="A673" s="22">
        <f>IF($N$1="Piping", IF(ISBLANK(Piping!A673), "", Piping!A673), IF($N$1="Vessels", IF(ISBLANK(Vessels!A673), "", Vessels!A673), ""))</f>
        <v>167.4</v>
      </c>
      <c r="B673" s="21" t="str">
        <f>IF($N$1="Piping", IF(ISBLANK(Piping!B673), "", Piping!B673), IF($N$1="Vessels", IF(ISBLANK(Vessels!B673), "", Vessels!B673), ""))</f>
        <v/>
      </c>
      <c r="C673" s="21" t="str">
        <f>IF($N$1="Piping", IF(ISBLANK(Piping!C673), "", Piping!C673), IF($N$1="Vessels", IF(ISBLANK(Vessels!C673), "", Vessels!C673), ""))</f>
        <v>Piping</v>
      </c>
      <c r="D673" s="21" t="str">
        <f>IF($N$1="Piping", IF(ISBLANK(Piping!D673), "", Piping!D673), IF($N$1="Vessels", IF(ISBLANK(Vessels!D673), "", Vessels!D673), ""))</f>
        <v/>
      </c>
      <c r="E673" s="21" t="str">
        <f>IF($N$1="Piping", IF(ISBLANK(Piping!E673), "", Piping!E673), IF($N$1="Vessels", IF(ISBLANK(Vessels!E673), "", Vessels!E673), ""))</f>
        <v/>
      </c>
      <c r="F673" s="21" t="str">
        <f>IF($N$1="Piping", IF(ISBLANK(Piping!F673), "", Piping!F673), IF($N$1="Vessels", IF(ISBLANK(Vessels!F673), "", Vessels!F673), ""))</f>
        <v/>
      </c>
      <c r="G673" s="21">
        <f>IF($N$1="Piping", IF(ISBLANK(Piping!G673), "", Piping!G673), IF($N$1="Vessels", IF(ISBLANK(Vessels!G673), "", Vessels!G673), ""))</f>
        <v>0</v>
      </c>
      <c r="H673" s="21" t="str">
        <f>IF($N$1="Piping", IF(ISBLANK(Piping!H673), "", Piping!H673), IF($N$1="Vessels", IF(ISBLANK(Vessels!H673), "", Vessels!H673), ""))</f>
        <v/>
      </c>
      <c r="I673" s="21" t="str">
        <f>IF($N$1="Piping", IF(ISBLANK(Piping!I673), "", Piping!I673), IF($N$1="Vessels", IF(ISBLANK(Vessels!I673), "", Vessels!I673), ""))</f>
        <v/>
      </c>
      <c r="J673" s="21" t="str">
        <f>IF($N$1="Piping", IF(ISBLANK(Piping!J673), "", Piping!J673), IF($N$1="Vessels", IF(ISBLANK(Vessels!J673), "", Vessels!J673), ""))</f>
        <v/>
      </c>
      <c r="K673" s="21" t="str">
        <f>IF($N$1="Piping", IF(ISBLANK(Piping!K673), "", Piping!K673), IF($N$1="Vessels", IF(ISBLANK(Vessels!K673), "", Vessels!K673), ""))</f>
        <v/>
      </c>
      <c r="L673" s="21" t="str">
        <f>IF($N$1="Piping", IF(ISBLANK(Piping!L673), "", Piping!L673), IF($N$1="Vessels", IF(ISBLANK(Vessels!L673), "", Vessels!L673), ""))</f>
        <v/>
      </c>
      <c r="M673" s="21"/>
      <c r="N673" s="21"/>
      <c r="O673" s="21"/>
      <c r="P673" s="21"/>
      <c r="Q673" s="21" t="str">
        <f>IF($N$1="Piping", IF(ISBLANK(Piping!T673), "", Piping!T673), IF($N$1="Vessels", IF(ISBLANK(Vessels!T673), "", Vessels!T673), ""))</f>
        <v/>
      </c>
      <c r="R673" s="51" t="str">
        <f>IF($N$1="Piping", IF(ISBLANK(Piping!U673), "", Piping!U673), IF($N$1="Vessels", IF(ISBLANK(Vessels!U673), "", Vessels!U673), ""))</f>
        <v/>
      </c>
      <c r="S673" s="118" t="str">
        <f>IF(B673&lt;&gt;"",IF($N$1="Piping", IF(ISBLANK(Piping!$J$3), "", Piping!$J$3), IF($N$1="Vessels", IF(ISBLANK(Vessels!$J$3), "", Vessels!$J$3), "")),"")</f>
        <v/>
      </c>
      <c r="T673" s="37"/>
      <c r="U673" s="37"/>
      <c r="V673" s="37"/>
      <c r="W673" s="37"/>
      <c r="X673" s="37"/>
      <c r="Y673" s="37"/>
      <c r="Z673" s="37"/>
    </row>
    <row r="674" spans="1:26" ht="15.75" customHeight="1" x14ac:dyDescent="0.3">
      <c r="A674" s="22">
        <f>IF($N$1="Piping", IF(ISBLANK(Piping!A674), "", Piping!A674), IF($N$1="Vessels", IF(ISBLANK(Vessels!A674), "", Vessels!A674), ""))</f>
        <v>168.1</v>
      </c>
      <c r="B674" s="21" t="str">
        <f>IF($N$1="Piping", IF(ISBLANK(Piping!B674), "", Piping!B674), IF($N$1="Vessels", IF(ISBLANK(Vessels!B674), "", Vessels!B674), ""))</f>
        <v/>
      </c>
      <c r="C674" s="21" t="str">
        <f>IF($N$1="Piping", IF(ISBLANK(Piping!C674), "", Piping!C674), IF($N$1="Vessels", IF(ISBLANK(Vessels!C674), "", Vessels!C674), ""))</f>
        <v>Piping</v>
      </c>
      <c r="D674" s="21" t="str">
        <f>IF($N$1="Piping", IF(ISBLANK(Piping!D674), "", Piping!D674), IF($N$1="Vessels", IF(ISBLANK(Vessels!D674), "", Vessels!D674), ""))</f>
        <v/>
      </c>
      <c r="E674" s="21" t="str">
        <f>IF($N$1="Piping", IF(ISBLANK(Piping!E674), "", Piping!E674), IF($N$1="Vessels", IF(ISBLANK(Vessels!E674), "", Vessels!E674), ""))</f>
        <v/>
      </c>
      <c r="F674" s="21" t="str">
        <f>IF($N$1="Piping", IF(ISBLANK(Piping!F674), "", Piping!F674), IF($N$1="Vessels", IF(ISBLANK(Vessels!F674), "", Vessels!F674), ""))</f>
        <v/>
      </c>
      <c r="G674" s="21">
        <f>IF($N$1="Piping", IF(ISBLANK(Piping!G674), "", Piping!G674), IF($N$1="Vessels", IF(ISBLANK(Vessels!G674), "", Vessels!G674), ""))</f>
        <v>0</v>
      </c>
      <c r="H674" s="21" t="str">
        <f>IF($N$1="Piping", IF(ISBLANK(Piping!H674), "", Piping!H674), IF($N$1="Vessels", IF(ISBLANK(Vessels!H674), "", Vessels!H674), ""))</f>
        <v/>
      </c>
      <c r="I674" s="21" t="str">
        <f>IF($N$1="Piping", IF(ISBLANK(Piping!I674), "", Piping!I674), IF($N$1="Vessels", IF(ISBLANK(Vessels!I674), "", Vessels!I674), ""))</f>
        <v/>
      </c>
      <c r="J674" s="21" t="str">
        <f>IF($N$1="Piping", IF(ISBLANK(Piping!J674), "", Piping!J674), IF($N$1="Vessels", IF(ISBLANK(Vessels!J674), "", Vessels!J674), ""))</f>
        <v/>
      </c>
      <c r="K674" s="21" t="str">
        <f>IF($N$1="Piping", IF(ISBLANK(Piping!K674), "", Piping!K674), IF($N$1="Vessels", IF(ISBLANK(Vessels!K674), "", Vessels!K674), ""))</f>
        <v/>
      </c>
      <c r="L674" s="21" t="str">
        <f>IF($N$1="Piping", IF(ISBLANK(Piping!L674), "", Piping!L674), IF($N$1="Vessels", IF(ISBLANK(Vessels!L674), "", Vessels!L674), ""))</f>
        <v/>
      </c>
      <c r="M674" s="21"/>
      <c r="N674" s="21"/>
      <c r="O674" s="21"/>
      <c r="P674" s="21"/>
      <c r="Q674" s="21" t="str">
        <f>IF($N$1="Piping", IF(ISBLANK(Piping!T674), "", Piping!T674), IF($N$1="Vessels", IF(ISBLANK(Vessels!T674), "", Vessels!T674), ""))</f>
        <v/>
      </c>
      <c r="R674" s="51" t="str">
        <f>IF($N$1="Piping", IF(ISBLANK(Piping!U674), "", Piping!U674), IF($N$1="Vessels", IF(ISBLANK(Vessels!U674), "", Vessels!U674), ""))</f>
        <v/>
      </c>
      <c r="S674" s="118" t="str">
        <f>IF(B674&lt;&gt;"",IF($N$1="Piping", IF(ISBLANK(Piping!$J$3), "", Piping!$J$3), IF($N$1="Vessels", IF(ISBLANK(Vessels!$J$3), "", Vessels!$J$3), "")),"")</f>
        <v/>
      </c>
      <c r="T674" s="37"/>
      <c r="U674" s="37"/>
      <c r="V674" s="37"/>
      <c r="W674" s="37"/>
      <c r="X674" s="37"/>
      <c r="Y674" s="37"/>
      <c r="Z674" s="37"/>
    </row>
    <row r="675" spans="1:26" ht="15.75" customHeight="1" x14ac:dyDescent="0.3">
      <c r="A675" s="22">
        <f>IF($N$1="Piping", IF(ISBLANK(Piping!A675), "", Piping!A675), IF($N$1="Vessels", IF(ISBLANK(Vessels!A675), "", Vessels!A675), ""))</f>
        <v>168.2</v>
      </c>
      <c r="B675" s="21" t="str">
        <f>IF($N$1="Piping", IF(ISBLANK(Piping!B675), "", Piping!B675), IF($N$1="Vessels", IF(ISBLANK(Vessels!B675), "", Vessels!B675), ""))</f>
        <v/>
      </c>
      <c r="C675" s="21" t="str">
        <f>IF($N$1="Piping", IF(ISBLANK(Piping!C675), "", Piping!C675), IF($N$1="Vessels", IF(ISBLANK(Vessels!C675), "", Vessels!C675), ""))</f>
        <v>Piping</v>
      </c>
      <c r="D675" s="21" t="str">
        <f>IF($N$1="Piping", IF(ISBLANK(Piping!D675), "", Piping!D675), IF($N$1="Vessels", IF(ISBLANK(Vessels!D675), "", Vessels!D675), ""))</f>
        <v/>
      </c>
      <c r="E675" s="21" t="str">
        <f>IF($N$1="Piping", IF(ISBLANK(Piping!E675), "", Piping!E675), IF($N$1="Vessels", IF(ISBLANK(Vessels!E675), "", Vessels!E675), ""))</f>
        <v/>
      </c>
      <c r="F675" s="21" t="str">
        <f>IF($N$1="Piping", IF(ISBLANK(Piping!F675), "", Piping!F675), IF($N$1="Vessels", IF(ISBLANK(Vessels!F675), "", Vessels!F675), ""))</f>
        <v/>
      </c>
      <c r="G675" s="21">
        <f>IF($N$1="Piping", IF(ISBLANK(Piping!G675), "", Piping!G675), IF($N$1="Vessels", IF(ISBLANK(Vessels!G675), "", Vessels!G675), ""))</f>
        <v>0</v>
      </c>
      <c r="H675" s="21" t="str">
        <f>IF($N$1="Piping", IF(ISBLANK(Piping!H675), "", Piping!H675), IF($N$1="Vessels", IF(ISBLANK(Vessels!H675), "", Vessels!H675), ""))</f>
        <v/>
      </c>
      <c r="I675" s="21" t="str">
        <f>IF($N$1="Piping", IF(ISBLANK(Piping!I675), "", Piping!I675), IF($N$1="Vessels", IF(ISBLANK(Vessels!I675), "", Vessels!I675), ""))</f>
        <v/>
      </c>
      <c r="J675" s="21" t="str">
        <f>IF($N$1="Piping", IF(ISBLANK(Piping!J675), "", Piping!J675), IF($N$1="Vessels", IF(ISBLANK(Vessels!J675), "", Vessels!J675), ""))</f>
        <v/>
      </c>
      <c r="K675" s="21" t="str">
        <f>IF($N$1="Piping", IF(ISBLANK(Piping!K675), "", Piping!K675), IF($N$1="Vessels", IF(ISBLANK(Vessels!K675), "", Vessels!K675), ""))</f>
        <v/>
      </c>
      <c r="L675" s="21" t="str">
        <f>IF($N$1="Piping", IF(ISBLANK(Piping!L675), "", Piping!L675), IF($N$1="Vessels", IF(ISBLANK(Vessels!L675), "", Vessels!L675), ""))</f>
        <v/>
      </c>
      <c r="M675" s="21"/>
      <c r="N675" s="21"/>
      <c r="O675" s="21"/>
      <c r="P675" s="21"/>
      <c r="Q675" s="21" t="str">
        <f>IF($N$1="Piping", IF(ISBLANK(Piping!T675), "", Piping!T675), IF($N$1="Vessels", IF(ISBLANK(Vessels!T675), "", Vessels!T675), ""))</f>
        <v/>
      </c>
      <c r="R675" s="51" t="str">
        <f>IF($N$1="Piping", IF(ISBLANK(Piping!U675), "", Piping!U675), IF($N$1="Vessels", IF(ISBLANK(Vessels!U675), "", Vessels!U675), ""))</f>
        <v/>
      </c>
      <c r="S675" s="118" t="str">
        <f>IF(B675&lt;&gt;"",IF($N$1="Piping", IF(ISBLANK(Piping!$J$3), "", Piping!$J$3), IF($N$1="Vessels", IF(ISBLANK(Vessels!$J$3), "", Vessels!$J$3), "")),"")</f>
        <v/>
      </c>
      <c r="T675" s="37"/>
      <c r="U675" s="37"/>
      <c r="V675" s="37"/>
      <c r="W675" s="37"/>
      <c r="X675" s="37"/>
      <c r="Y675" s="37"/>
      <c r="Z675" s="37"/>
    </row>
    <row r="676" spans="1:26" ht="15.75" customHeight="1" x14ac:dyDescent="0.3">
      <c r="A676" s="22">
        <f>IF($N$1="Piping", IF(ISBLANK(Piping!A676), "", Piping!A676), IF($N$1="Vessels", IF(ISBLANK(Vessels!A676), "", Vessels!A676), ""))</f>
        <v>168.3</v>
      </c>
      <c r="B676" s="21" t="str">
        <f>IF($N$1="Piping", IF(ISBLANK(Piping!B676), "", Piping!B676), IF($N$1="Vessels", IF(ISBLANK(Vessels!B676), "", Vessels!B676), ""))</f>
        <v/>
      </c>
      <c r="C676" s="21" t="str">
        <f>IF($N$1="Piping", IF(ISBLANK(Piping!C676), "", Piping!C676), IF($N$1="Vessels", IF(ISBLANK(Vessels!C676), "", Vessels!C676), ""))</f>
        <v>Piping</v>
      </c>
      <c r="D676" s="21" t="str">
        <f>IF($N$1="Piping", IF(ISBLANK(Piping!D676), "", Piping!D676), IF($N$1="Vessels", IF(ISBLANK(Vessels!D676), "", Vessels!D676), ""))</f>
        <v/>
      </c>
      <c r="E676" s="21" t="str">
        <f>IF($N$1="Piping", IF(ISBLANK(Piping!E676), "", Piping!E676), IF($N$1="Vessels", IF(ISBLANK(Vessels!E676), "", Vessels!E676), ""))</f>
        <v/>
      </c>
      <c r="F676" s="21" t="str">
        <f>IF($N$1="Piping", IF(ISBLANK(Piping!F676), "", Piping!F676), IF($N$1="Vessels", IF(ISBLANK(Vessels!F676), "", Vessels!F676), ""))</f>
        <v/>
      </c>
      <c r="G676" s="21">
        <f>IF($N$1="Piping", IF(ISBLANK(Piping!G676), "", Piping!G676), IF($N$1="Vessels", IF(ISBLANK(Vessels!G676), "", Vessels!G676), ""))</f>
        <v>0</v>
      </c>
      <c r="H676" s="21" t="str">
        <f>IF($N$1="Piping", IF(ISBLANK(Piping!H676), "", Piping!H676), IF($N$1="Vessels", IF(ISBLANK(Vessels!H676), "", Vessels!H676), ""))</f>
        <v/>
      </c>
      <c r="I676" s="21" t="str">
        <f>IF($N$1="Piping", IF(ISBLANK(Piping!I676), "", Piping!I676), IF($N$1="Vessels", IF(ISBLANK(Vessels!I676), "", Vessels!I676), ""))</f>
        <v/>
      </c>
      <c r="J676" s="21" t="str">
        <f>IF($N$1="Piping", IF(ISBLANK(Piping!J676), "", Piping!J676), IF($N$1="Vessels", IF(ISBLANK(Vessels!J676), "", Vessels!J676), ""))</f>
        <v/>
      </c>
      <c r="K676" s="21" t="str">
        <f>IF($N$1="Piping", IF(ISBLANK(Piping!K676), "", Piping!K676), IF($N$1="Vessels", IF(ISBLANK(Vessels!K676), "", Vessels!K676), ""))</f>
        <v/>
      </c>
      <c r="L676" s="21" t="str">
        <f>IF($N$1="Piping", IF(ISBLANK(Piping!L676), "", Piping!L676), IF($N$1="Vessels", IF(ISBLANK(Vessels!L676), "", Vessels!L676), ""))</f>
        <v/>
      </c>
      <c r="M676" s="21"/>
      <c r="N676" s="21"/>
      <c r="O676" s="21"/>
      <c r="P676" s="21"/>
      <c r="Q676" s="21" t="str">
        <f>IF($N$1="Piping", IF(ISBLANK(Piping!T676), "", Piping!T676), IF($N$1="Vessels", IF(ISBLANK(Vessels!T676), "", Vessels!T676), ""))</f>
        <v/>
      </c>
      <c r="R676" s="51" t="str">
        <f>IF($N$1="Piping", IF(ISBLANK(Piping!U676), "", Piping!U676), IF($N$1="Vessels", IF(ISBLANK(Vessels!U676), "", Vessels!U676), ""))</f>
        <v/>
      </c>
      <c r="S676" s="118" t="str">
        <f>IF(B676&lt;&gt;"",IF($N$1="Piping", IF(ISBLANK(Piping!$J$3), "", Piping!$J$3), IF($N$1="Vessels", IF(ISBLANK(Vessels!$J$3), "", Vessels!$J$3), "")),"")</f>
        <v/>
      </c>
      <c r="T676" s="37"/>
      <c r="U676" s="37"/>
      <c r="V676" s="37"/>
      <c r="W676" s="37"/>
      <c r="X676" s="37"/>
      <c r="Y676" s="37"/>
      <c r="Z676" s="37"/>
    </row>
    <row r="677" spans="1:26" ht="15.75" customHeight="1" x14ac:dyDescent="0.3">
      <c r="A677" s="22">
        <f>IF($N$1="Piping", IF(ISBLANK(Piping!A677), "", Piping!A677), IF($N$1="Vessels", IF(ISBLANK(Vessels!A677), "", Vessels!A677), ""))</f>
        <v>168.4</v>
      </c>
      <c r="B677" s="21" t="str">
        <f>IF($N$1="Piping", IF(ISBLANK(Piping!B677), "", Piping!B677), IF($N$1="Vessels", IF(ISBLANK(Vessels!B677), "", Vessels!B677), ""))</f>
        <v/>
      </c>
      <c r="C677" s="21" t="str">
        <f>IF($N$1="Piping", IF(ISBLANK(Piping!C677), "", Piping!C677), IF($N$1="Vessels", IF(ISBLANK(Vessels!C677), "", Vessels!C677), ""))</f>
        <v>Piping</v>
      </c>
      <c r="D677" s="21" t="str">
        <f>IF($N$1="Piping", IF(ISBLANK(Piping!D677), "", Piping!D677), IF($N$1="Vessels", IF(ISBLANK(Vessels!D677), "", Vessels!D677), ""))</f>
        <v/>
      </c>
      <c r="E677" s="21" t="str">
        <f>IF($N$1="Piping", IF(ISBLANK(Piping!E677), "", Piping!E677), IF($N$1="Vessels", IF(ISBLANK(Vessels!E677), "", Vessels!E677), ""))</f>
        <v/>
      </c>
      <c r="F677" s="21" t="str">
        <f>IF($N$1="Piping", IF(ISBLANK(Piping!F677), "", Piping!F677), IF($N$1="Vessels", IF(ISBLANK(Vessels!F677), "", Vessels!F677), ""))</f>
        <v/>
      </c>
      <c r="G677" s="21">
        <f>IF($N$1="Piping", IF(ISBLANK(Piping!G677), "", Piping!G677), IF($N$1="Vessels", IF(ISBLANK(Vessels!G677), "", Vessels!G677), ""))</f>
        <v>0</v>
      </c>
      <c r="H677" s="21" t="str">
        <f>IF($N$1="Piping", IF(ISBLANK(Piping!H677), "", Piping!H677), IF($N$1="Vessels", IF(ISBLANK(Vessels!H677), "", Vessels!H677), ""))</f>
        <v/>
      </c>
      <c r="I677" s="21" t="str">
        <f>IF($N$1="Piping", IF(ISBLANK(Piping!I677), "", Piping!I677), IF($N$1="Vessels", IF(ISBLANK(Vessels!I677), "", Vessels!I677), ""))</f>
        <v/>
      </c>
      <c r="J677" s="21" t="str">
        <f>IF($N$1="Piping", IF(ISBLANK(Piping!J677), "", Piping!J677), IF($N$1="Vessels", IF(ISBLANK(Vessels!J677), "", Vessels!J677), ""))</f>
        <v/>
      </c>
      <c r="K677" s="21" t="str">
        <f>IF($N$1="Piping", IF(ISBLANK(Piping!K677), "", Piping!K677), IF($N$1="Vessels", IF(ISBLANK(Vessels!K677), "", Vessels!K677), ""))</f>
        <v/>
      </c>
      <c r="L677" s="21" t="str">
        <f>IF($N$1="Piping", IF(ISBLANK(Piping!L677), "", Piping!L677), IF($N$1="Vessels", IF(ISBLANK(Vessels!L677), "", Vessels!L677), ""))</f>
        <v/>
      </c>
      <c r="M677" s="21"/>
      <c r="N677" s="21"/>
      <c r="O677" s="21"/>
      <c r="P677" s="21"/>
      <c r="Q677" s="21" t="str">
        <f>IF($N$1="Piping", IF(ISBLANK(Piping!T677), "", Piping!T677), IF($N$1="Vessels", IF(ISBLANK(Vessels!T677), "", Vessels!T677), ""))</f>
        <v/>
      </c>
      <c r="R677" s="51" t="str">
        <f>IF($N$1="Piping", IF(ISBLANK(Piping!U677), "", Piping!U677), IF($N$1="Vessels", IF(ISBLANK(Vessels!U677), "", Vessels!U677), ""))</f>
        <v/>
      </c>
      <c r="S677" s="118" t="str">
        <f>IF(B677&lt;&gt;"",IF($N$1="Piping", IF(ISBLANK(Piping!$J$3), "", Piping!$J$3), IF($N$1="Vessels", IF(ISBLANK(Vessels!$J$3), "", Vessels!$J$3), "")),"")</f>
        <v/>
      </c>
      <c r="T677" s="37"/>
      <c r="U677" s="37"/>
      <c r="V677" s="37"/>
      <c r="W677" s="37"/>
      <c r="X677" s="37"/>
      <c r="Y677" s="37"/>
      <c r="Z677" s="37"/>
    </row>
    <row r="678" spans="1:26" ht="15.75" customHeight="1" x14ac:dyDescent="0.3">
      <c r="A678" s="22">
        <f>IF($N$1="Piping", IF(ISBLANK(Piping!A678), "", Piping!A678), IF($N$1="Vessels", IF(ISBLANK(Vessels!A678), "", Vessels!A678), ""))</f>
        <v>169.1</v>
      </c>
      <c r="B678" s="21" t="str">
        <f>IF($N$1="Piping", IF(ISBLANK(Piping!B678), "", Piping!B678), IF($N$1="Vessels", IF(ISBLANK(Vessels!B678), "", Vessels!B678), ""))</f>
        <v/>
      </c>
      <c r="C678" s="21" t="str">
        <f>IF($N$1="Piping", IF(ISBLANK(Piping!C678), "", Piping!C678), IF($N$1="Vessels", IF(ISBLANK(Vessels!C678), "", Vessels!C678), ""))</f>
        <v>Piping</v>
      </c>
      <c r="D678" s="21" t="str">
        <f>IF($N$1="Piping", IF(ISBLANK(Piping!D678), "", Piping!D678), IF($N$1="Vessels", IF(ISBLANK(Vessels!D678), "", Vessels!D678), ""))</f>
        <v/>
      </c>
      <c r="E678" s="21" t="str">
        <f>IF($N$1="Piping", IF(ISBLANK(Piping!E678), "", Piping!E678), IF($N$1="Vessels", IF(ISBLANK(Vessels!E678), "", Vessels!E678), ""))</f>
        <v/>
      </c>
      <c r="F678" s="21" t="str">
        <f>IF($N$1="Piping", IF(ISBLANK(Piping!F678), "", Piping!F678), IF($N$1="Vessels", IF(ISBLANK(Vessels!F678), "", Vessels!F678), ""))</f>
        <v/>
      </c>
      <c r="G678" s="21">
        <f>IF($N$1="Piping", IF(ISBLANK(Piping!G678), "", Piping!G678), IF($N$1="Vessels", IF(ISBLANK(Vessels!G678), "", Vessels!G678), ""))</f>
        <v>0</v>
      </c>
      <c r="H678" s="21" t="str">
        <f>IF($N$1="Piping", IF(ISBLANK(Piping!H678), "", Piping!H678), IF($N$1="Vessels", IF(ISBLANK(Vessels!H678), "", Vessels!H678), ""))</f>
        <v/>
      </c>
      <c r="I678" s="21" t="str">
        <f>IF($N$1="Piping", IF(ISBLANK(Piping!I678), "", Piping!I678), IF($N$1="Vessels", IF(ISBLANK(Vessels!I678), "", Vessels!I678), ""))</f>
        <v/>
      </c>
      <c r="J678" s="21" t="str">
        <f>IF($N$1="Piping", IF(ISBLANK(Piping!J678), "", Piping!J678), IF($N$1="Vessels", IF(ISBLANK(Vessels!J678), "", Vessels!J678), ""))</f>
        <v/>
      </c>
      <c r="K678" s="21" t="str">
        <f>IF($N$1="Piping", IF(ISBLANK(Piping!K678), "", Piping!K678), IF($N$1="Vessels", IF(ISBLANK(Vessels!K678), "", Vessels!K678), ""))</f>
        <v/>
      </c>
      <c r="L678" s="21" t="str">
        <f>IF($N$1="Piping", IF(ISBLANK(Piping!L678), "", Piping!L678), IF($N$1="Vessels", IF(ISBLANK(Vessels!L678), "", Vessels!L678), ""))</f>
        <v/>
      </c>
      <c r="M678" s="21"/>
      <c r="N678" s="21"/>
      <c r="O678" s="21"/>
      <c r="P678" s="21"/>
      <c r="Q678" s="21" t="str">
        <f>IF($N$1="Piping", IF(ISBLANK(Piping!T678), "", Piping!T678), IF($N$1="Vessels", IF(ISBLANK(Vessels!T678), "", Vessels!T678), ""))</f>
        <v/>
      </c>
      <c r="R678" s="51" t="str">
        <f>IF($N$1="Piping", IF(ISBLANK(Piping!U678), "", Piping!U678), IF($N$1="Vessels", IF(ISBLANK(Vessels!U678), "", Vessels!U678), ""))</f>
        <v/>
      </c>
      <c r="S678" s="118" t="str">
        <f>IF(B678&lt;&gt;"",IF($N$1="Piping", IF(ISBLANK(Piping!$J$3), "", Piping!$J$3), IF($N$1="Vessels", IF(ISBLANK(Vessels!$J$3), "", Vessels!$J$3), "")),"")</f>
        <v/>
      </c>
      <c r="T678" s="37"/>
      <c r="U678" s="37"/>
      <c r="V678" s="37"/>
      <c r="W678" s="37"/>
      <c r="X678" s="37"/>
      <c r="Y678" s="37"/>
      <c r="Z678" s="37"/>
    </row>
    <row r="679" spans="1:26" ht="15.75" customHeight="1" x14ac:dyDescent="0.3">
      <c r="A679" s="22">
        <f>IF($N$1="Piping", IF(ISBLANK(Piping!A679), "", Piping!A679), IF($N$1="Vessels", IF(ISBLANK(Vessels!A679), "", Vessels!A679), ""))</f>
        <v>169.2</v>
      </c>
      <c r="B679" s="21" t="str">
        <f>IF($N$1="Piping", IF(ISBLANK(Piping!B679), "", Piping!B679), IF($N$1="Vessels", IF(ISBLANK(Vessels!B679), "", Vessels!B679), ""))</f>
        <v/>
      </c>
      <c r="C679" s="21" t="str">
        <f>IF($N$1="Piping", IF(ISBLANK(Piping!C679), "", Piping!C679), IF($N$1="Vessels", IF(ISBLANK(Vessels!C679), "", Vessels!C679), ""))</f>
        <v>Piping</v>
      </c>
      <c r="D679" s="21" t="str">
        <f>IF($N$1="Piping", IF(ISBLANK(Piping!D679), "", Piping!D679), IF($N$1="Vessels", IF(ISBLANK(Vessels!D679), "", Vessels!D679), ""))</f>
        <v/>
      </c>
      <c r="E679" s="21" t="str">
        <f>IF($N$1="Piping", IF(ISBLANK(Piping!E679), "", Piping!E679), IF($N$1="Vessels", IF(ISBLANK(Vessels!E679), "", Vessels!E679), ""))</f>
        <v/>
      </c>
      <c r="F679" s="21" t="str">
        <f>IF($N$1="Piping", IF(ISBLANK(Piping!F679), "", Piping!F679), IF($N$1="Vessels", IF(ISBLANK(Vessels!F679), "", Vessels!F679), ""))</f>
        <v/>
      </c>
      <c r="G679" s="21">
        <f>IF($N$1="Piping", IF(ISBLANK(Piping!G679), "", Piping!G679), IF($N$1="Vessels", IF(ISBLANK(Vessels!G679), "", Vessels!G679), ""))</f>
        <v>0</v>
      </c>
      <c r="H679" s="21" t="str">
        <f>IF($N$1="Piping", IF(ISBLANK(Piping!H679), "", Piping!H679), IF($N$1="Vessels", IF(ISBLANK(Vessels!H679), "", Vessels!H679), ""))</f>
        <v/>
      </c>
      <c r="I679" s="21" t="str">
        <f>IF($N$1="Piping", IF(ISBLANK(Piping!I679), "", Piping!I679), IF($N$1="Vessels", IF(ISBLANK(Vessels!I679), "", Vessels!I679), ""))</f>
        <v/>
      </c>
      <c r="J679" s="21" t="str">
        <f>IF($N$1="Piping", IF(ISBLANK(Piping!J679), "", Piping!J679), IF($N$1="Vessels", IF(ISBLANK(Vessels!J679), "", Vessels!J679), ""))</f>
        <v/>
      </c>
      <c r="K679" s="21" t="str">
        <f>IF($N$1="Piping", IF(ISBLANK(Piping!K679), "", Piping!K679), IF($N$1="Vessels", IF(ISBLANK(Vessels!K679), "", Vessels!K679), ""))</f>
        <v/>
      </c>
      <c r="L679" s="21" t="str">
        <f>IF($N$1="Piping", IF(ISBLANK(Piping!L679), "", Piping!L679), IF($N$1="Vessels", IF(ISBLANK(Vessels!L679), "", Vessels!L679), ""))</f>
        <v/>
      </c>
      <c r="M679" s="21"/>
      <c r="N679" s="21"/>
      <c r="O679" s="21"/>
      <c r="P679" s="21"/>
      <c r="Q679" s="21" t="str">
        <f>IF($N$1="Piping", IF(ISBLANK(Piping!T679), "", Piping!T679), IF($N$1="Vessels", IF(ISBLANK(Vessels!T679), "", Vessels!T679), ""))</f>
        <v/>
      </c>
      <c r="R679" s="51" t="str">
        <f>IF($N$1="Piping", IF(ISBLANK(Piping!U679), "", Piping!U679), IF($N$1="Vessels", IF(ISBLANK(Vessels!U679), "", Vessels!U679), ""))</f>
        <v/>
      </c>
      <c r="S679" s="118" t="str">
        <f>IF(B679&lt;&gt;"",IF($N$1="Piping", IF(ISBLANK(Piping!$J$3), "", Piping!$J$3), IF($N$1="Vessels", IF(ISBLANK(Vessels!$J$3), "", Vessels!$J$3), "")),"")</f>
        <v/>
      </c>
      <c r="T679" s="37"/>
      <c r="U679" s="37"/>
      <c r="V679" s="37"/>
      <c r="W679" s="37"/>
      <c r="X679" s="37"/>
      <c r="Y679" s="37"/>
      <c r="Z679" s="37"/>
    </row>
    <row r="680" spans="1:26" ht="15.75" customHeight="1" x14ac:dyDescent="0.3">
      <c r="A680" s="22">
        <f>IF($N$1="Piping", IF(ISBLANK(Piping!A680), "", Piping!A680), IF($N$1="Vessels", IF(ISBLANK(Vessels!A680), "", Vessels!A680), ""))</f>
        <v>169.3</v>
      </c>
      <c r="B680" s="21" t="str">
        <f>IF($N$1="Piping", IF(ISBLANK(Piping!B680), "", Piping!B680), IF($N$1="Vessels", IF(ISBLANK(Vessels!B680), "", Vessels!B680), ""))</f>
        <v/>
      </c>
      <c r="C680" s="21" t="str">
        <f>IF($N$1="Piping", IF(ISBLANK(Piping!C680), "", Piping!C680), IF($N$1="Vessels", IF(ISBLANK(Vessels!C680), "", Vessels!C680), ""))</f>
        <v>Piping</v>
      </c>
      <c r="D680" s="21" t="str">
        <f>IF($N$1="Piping", IF(ISBLANK(Piping!D680), "", Piping!D680), IF($N$1="Vessels", IF(ISBLANK(Vessels!D680), "", Vessels!D680), ""))</f>
        <v/>
      </c>
      <c r="E680" s="21" t="str">
        <f>IF($N$1="Piping", IF(ISBLANK(Piping!E680), "", Piping!E680), IF($N$1="Vessels", IF(ISBLANK(Vessels!E680), "", Vessels!E680), ""))</f>
        <v/>
      </c>
      <c r="F680" s="21" t="str">
        <f>IF($N$1="Piping", IF(ISBLANK(Piping!F680), "", Piping!F680), IF($N$1="Vessels", IF(ISBLANK(Vessels!F680), "", Vessels!F680), ""))</f>
        <v/>
      </c>
      <c r="G680" s="21">
        <f>IF($N$1="Piping", IF(ISBLANK(Piping!G680), "", Piping!G680), IF($N$1="Vessels", IF(ISBLANK(Vessels!G680), "", Vessels!G680), ""))</f>
        <v>0</v>
      </c>
      <c r="H680" s="21" t="str">
        <f>IF($N$1="Piping", IF(ISBLANK(Piping!H680), "", Piping!H680), IF($N$1="Vessels", IF(ISBLANK(Vessels!H680), "", Vessels!H680), ""))</f>
        <v/>
      </c>
      <c r="I680" s="21" t="str">
        <f>IF($N$1="Piping", IF(ISBLANK(Piping!I680), "", Piping!I680), IF($N$1="Vessels", IF(ISBLANK(Vessels!I680), "", Vessels!I680), ""))</f>
        <v/>
      </c>
      <c r="J680" s="21" t="str">
        <f>IF($N$1="Piping", IF(ISBLANK(Piping!J680), "", Piping!J680), IF($N$1="Vessels", IF(ISBLANK(Vessels!J680), "", Vessels!J680), ""))</f>
        <v/>
      </c>
      <c r="K680" s="21" t="str">
        <f>IF($N$1="Piping", IF(ISBLANK(Piping!K680), "", Piping!K680), IF($N$1="Vessels", IF(ISBLANK(Vessels!K680), "", Vessels!K680), ""))</f>
        <v/>
      </c>
      <c r="L680" s="21" t="str">
        <f>IF($N$1="Piping", IF(ISBLANK(Piping!L680), "", Piping!L680), IF($N$1="Vessels", IF(ISBLANK(Vessels!L680), "", Vessels!L680), ""))</f>
        <v/>
      </c>
      <c r="M680" s="21"/>
      <c r="N680" s="21"/>
      <c r="O680" s="21"/>
      <c r="P680" s="21"/>
      <c r="Q680" s="21" t="str">
        <f>IF($N$1="Piping", IF(ISBLANK(Piping!T680), "", Piping!T680), IF($N$1="Vessels", IF(ISBLANK(Vessels!T680), "", Vessels!T680), ""))</f>
        <v/>
      </c>
      <c r="R680" s="51" t="str">
        <f>IF($N$1="Piping", IF(ISBLANK(Piping!U680), "", Piping!U680), IF($N$1="Vessels", IF(ISBLANK(Vessels!U680), "", Vessels!U680), ""))</f>
        <v/>
      </c>
      <c r="S680" s="118" t="str">
        <f>IF(B680&lt;&gt;"",IF($N$1="Piping", IF(ISBLANK(Piping!$J$3), "", Piping!$J$3), IF($N$1="Vessels", IF(ISBLANK(Vessels!$J$3), "", Vessels!$J$3), "")),"")</f>
        <v/>
      </c>
      <c r="T680" s="37"/>
      <c r="U680" s="37"/>
      <c r="V680" s="37"/>
      <c r="W680" s="37"/>
      <c r="X680" s="37"/>
      <c r="Y680" s="37"/>
      <c r="Z680" s="37"/>
    </row>
    <row r="681" spans="1:26" ht="15.75" customHeight="1" x14ac:dyDescent="0.3">
      <c r="A681" s="22">
        <f>IF($N$1="Piping", IF(ISBLANK(Piping!A681), "", Piping!A681), IF($N$1="Vessels", IF(ISBLANK(Vessels!A681), "", Vessels!A681), ""))</f>
        <v>169.4</v>
      </c>
      <c r="B681" s="21" t="str">
        <f>IF($N$1="Piping", IF(ISBLANK(Piping!B681), "", Piping!B681), IF($N$1="Vessels", IF(ISBLANK(Vessels!B681), "", Vessels!B681), ""))</f>
        <v/>
      </c>
      <c r="C681" s="21" t="str">
        <f>IF($N$1="Piping", IF(ISBLANK(Piping!C681), "", Piping!C681), IF($N$1="Vessels", IF(ISBLANK(Vessels!C681), "", Vessels!C681), ""))</f>
        <v>Piping</v>
      </c>
      <c r="D681" s="21" t="str">
        <f>IF($N$1="Piping", IF(ISBLANK(Piping!D681), "", Piping!D681), IF($N$1="Vessels", IF(ISBLANK(Vessels!D681), "", Vessels!D681), ""))</f>
        <v/>
      </c>
      <c r="E681" s="21" t="str">
        <f>IF($N$1="Piping", IF(ISBLANK(Piping!E681), "", Piping!E681), IF($N$1="Vessels", IF(ISBLANK(Vessels!E681), "", Vessels!E681), ""))</f>
        <v/>
      </c>
      <c r="F681" s="21" t="str">
        <f>IF($N$1="Piping", IF(ISBLANK(Piping!F681), "", Piping!F681), IF($N$1="Vessels", IF(ISBLANK(Vessels!F681), "", Vessels!F681), ""))</f>
        <v/>
      </c>
      <c r="G681" s="21">
        <f>IF($N$1="Piping", IF(ISBLANK(Piping!G681), "", Piping!G681), IF($N$1="Vessels", IF(ISBLANK(Vessels!G681), "", Vessels!G681), ""))</f>
        <v>0</v>
      </c>
      <c r="H681" s="21" t="str">
        <f>IF($N$1="Piping", IF(ISBLANK(Piping!H681), "", Piping!H681), IF($N$1="Vessels", IF(ISBLANK(Vessels!H681), "", Vessels!H681), ""))</f>
        <v/>
      </c>
      <c r="I681" s="21" t="str">
        <f>IF($N$1="Piping", IF(ISBLANK(Piping!I681), "", Piping!I681), IF($N$1="Vessels", IF(ISBLANK(Vessels!I681), "", Vessels!I681), ""))</f>
        <v/>
      </c>
      <c r="J681" s="21" t="str">
        <f>IF($N$1="Piping", IF(ISBLANK(Piping!J681), "", Piping!J681), IF($N$1="Vessels", IF(ISBLANK(Vessels!J681), "", Vessels!J681), ""))</f>
        <v/>
      </c>
      <c r="K681" s="21" t="str">
        <f>IF($N$1="Piping", IF(ISBLANK(Piping!K681), "", Piping!K681), IF($N$1="Vessels", IF(ISBLANK(Vessels!K681), "", Vessels!K681), ""))</f>
        <v/>
      </c>
      <c r="L681" s="21" t="str">
        <f>IF($N$1="Piping", IF(ISBLANK(Piping!L681), "", Piping!L681), IF($N$1="Vessels", IF(ISBLANK(Vessels!L681), "", Vessels!L681), ""))</f>
        <v/>
      </c>
      <c r="M681" s="21"/>
      <c r="N681" s="21"/>
      <c r="O681" s="21"/>
      <c r="P681" s="21"/>
      <c r="Q681" s="21" t="str">
        <f>IF($N$1="Piping", IF(ISBLANK(Piping!T681), "", Piping!T681), IF($N$1="Vessels", IF(ISBLANK(Vessels!T681), "", Vessels!T681), ""))</f>
        <v/>
      </c>
      <c r="R681" s="51" t="str">
        <f>IF($N$1="Piping", IF(ISBLANK(Piping!U681), "", Piping!U681), IF($N$1="Vessels", IF(ISBLANK(Vessels!U681), "", Vessels!U681), ""))</f>
        <v/>
      </c>
      <c r="S681" s="118" t="str">
        <f>IF(B681&lt;&gt;"",IF($N$1="Piping", IF(ISBLANK(Piping!$J$3), "", Piping!$J$3), IF($N$1="Vessels", IF(ISBLANK(Vessels!$J$3), "", Vessels!$J$3), "")),"")</f>
        <v/>
      </c>
      <c r="T681" s="37"/>
      <c r="U681" s="37"/>
      <c r="V681" s="37"/>
      <c r="W681" s="37"/>
      <c r="X681" s="37"/>
      <c r="Y681" s="37"/>
      <c r="Z681" s="37"/>
    </row>
    <row r="682" spans="1:26" ht="15.75" customHeight="1" x14ac:dyDescent="0.3">
      <c r="A682" s="22">
        <f>IF($N$1="Piping", IF(ISBLANK(Piping!A682), "", Piping!A682), IF($N$1="Vessels", IF(ISBLANK(Vessels!A682), "", Vessels!A682), ""))</f>
        <v>170.1</v>
      </c>
      <c r="B682" s="21" t="str">
        <f>IF($N$1="Piping", IF(ISBLANK(Piping!B682), "", Piping!B682), IF($N$1="Vessels", IF(ISBLANK(Vessels!B682), "", Vessels!B682), ""))</f>
        <v/>
      </c>
      <c r="C682" s="21" t="str">
        <f>IF($N$1="Piping", IF(ISBLANK(Piping!C682), "", Piping!C682), IF($N$1="Vessels", IF(ISBLANK(Vessels!C682), "", Vessels!C682), ""))</f>
        <v>Piping</v>
      </c>
      <c r="D682" s="21" t="str">
        <f>IF($N$1="Piping", IF(ISBLANK(Piping!D682), "", Piping!D682), IF($N$1="Vessels", IF(ISBLANK(Vessels!D682), "", Vessels!D682), ""))</f>
        <v/>
      </c>
      <c r="E682" s="21" t="str">
        <f>IF($N$1="Piping", IF(ISBLANK(Piping!E682), "", Piping!E682), IF($N$1="Vessels", IF(ISBLANK(Vessels!E682), "", Vessels!E682), ""))</f>
        <v/>
      </c>
      <c r="F682" s="21" t="str">
        <f>IF($N$1="Piping", IF(ISBLANK(Piping!F682), "", Piping!F682), IF($N$1="Vessels", IF(ISBLANK(Vessels!F682), "", Vessels!F682), ""))</f>
        <v/>
      </c>
      <c r="G682" s="21">
        <f>IF($N$1="Piping", IF(ISBLANK(Piping!G682), "", Piping!G682), IF($N$1="Vessels", IF(ISBLANK(Vessels!G682), "", Vessels!G682), ""))</f>
        <v>0</v>
      </c>
      <c r="H682" s="21" t="str">
        <f>IF($N$1="Piping", IF(ISBLANK(Piping!H682), "", Piping!H682), IF($N$1="Vessels", IF(ISBLANK(Vessels!H682), "", Vessels!H682), ""))</f>
        <v/>
      </c>
      <c r="I682" s="21" t="str">
        <f>IF($N$1="Piping", IF(ISBLANK(Piping!I682), "", Piping!I682), IF($N$1="Vessels", IF(ISBLANK(Vessels!I682), "", Vessels!I682), ""))</f>
        <v/>
      </c>
      <c r="J682" s="21" t="str">
        <f>IF($N$1="Piping", IF(ISBLANK(Piping!J682), "", Piping!J682), IF($N$1="Vessels", IF(ISBLANK(Vessels!J682), "", Vessels!J682), ""))</f>
        <v/>
      </c>
      <c r="K682" s="21" t="str">
        <f>IF($N$1="Piping", IF(ISBLANK(Piping!K682), "", Piping!K682), IF($N$1="Vessels", IF(ISBLANK(Vessels!K682), "", Vessels!K682), ""))</f>
        <v/>
      </c>
      <c r="L682" s="21" t="str">
        <f>IF($N$1="Piping", IF(ISBLANK(Piping!L682), "", Piping!L682), IF($N$1="Vessels", IF(ISBLANK(Vessels!L682), "", Vessels!L682), ""))</f>
        <v/>
      </c>
      <c r="M682" s="21"/>
      <c r="N682" s="21"/>
      <c r="O682" s="21"/>
      <c r="P682" s="21"/>
      <c r="Q682" s="21" t="str">
        <f>IF($N$1="Piping", IF(ISBLANK(Piping!T682), "", Piping!T682), IF($N$1="Vessels", IF(ISBLANK(Vessels!T682), "", Vessels!T682), ""))</f>
        <v/>
      </c>
      <c r="R682" s="51" t="str">
        <f>IF($N$1="Piping", IF(ISBLANK(Piping!U682), "", Piping!U682), IF($N$1="Vessels", IF(ISBLANK(Vessels!U682), "", Vessels!U682), ""))</f>
        <v/>
      </c>
      <c r="S682" s="118" t="str">
        <f>IF(B682&lt;&gt;"",IF($N$1="Piping", IF(ISBLANK(Piping!$J$3), "", Piping!$J$3), IF($N$1="Vessels", IF(ISBLANK(Vessels!$J$3), "", Vessels!$J$3), "")),"")</f>
        <v/>
      </c>
      <c r="T682" s="37"/>
      <c r="U682" s="37"/>
      <c r="V682" s="37"/>
      <c r="W682" s="37"/>
      <c r="X682" s="37"/>
      <c r="Y682" s="37"/>
      <c r="Z682" s="37"/>
    </row>
    <row r="683" spans="1:26" ht="15.75" customHeight="1" x14ac:dyDescent="0.3">
      <c r="A683" s="22">
        <f>IF($N$1="Piping", IF(ISBLANK(Piping!A683), "", Piping!A683), IF($N$1="Vessels", IF(ISBLANK(Vessels!A683), "", Vessels!A683), ""))</f>
        <v>170.2</v>
      </c>
      <c r="B683" s="21" t="str">
        <f>IF($N$1="Piping", IF(ISBLANK(Piping!B683), "", Piping!B683), IF($N$1="Vessels", IF(ISBLANK(Vessels!B683), "", Vessels!B683), ""))</f>
        <v/>
      </c>
      <c r="C683" s="21" t="str">
        <f>IF($N$1="Piping", IF(ISBLANK(Piping!C683), "", Piping!C683), IF($N$1="Vessels", IF(ISBLANK(Vessels!C683), "", Vessels!C683), ""))</f>
        <v>Piping</v>
      </c>
      <c r="D683" s="21" t="str">
        <f>IF($N$1="Piping", IF(ISBLANK(Piping!D683), "", Piping!D683), IF($N$1="Vessels", IF(ISBLANK(Vessels!D683), "", Vessels!D683), ""))</f>
        <v/>
      </c>
      <c r="E683" s="21" t="str">
        <f>IF($N$1="Piping", IF(ISBLANK(Piping!E683), "", Piping!E683), IF($N$1="Vessels", IF(ISBLANK(Vessels!E683), "", Vessels!E683), ""))</f>
        <v/>
      </c>
      <c r="F683" s="21" t="str">
        <f>IF($N$1="Piping", IF(ISBLANK(Piping!F683), "", Piping!F683), IF($N$1="Vessels", IF(ISBLANK(Vessels!F683), "", Vessels!F683), ""))</f>
        <v/>
      </c>
      <c r="G683" s="21">
        <f>IF($N$1="Piping", IF(ISBLANK(Piping!G683), "", Piping!G683), IF($N$1="Vessels", IF(ISBLANK(Vessels!G683), "", Vessels!G683), ""))</f>
        <v>0</v>
      </c>
      <c r="H683" s="21" t="str">
        <f>IF($N$1="Piping", IF(ISBLANK(Piping!H683), "", Piping!H683), IF($N$1="Vessels", IF(ISBLANK(Vessels!H683), "", Vessels!H683), ""))</f>
        <v/>
      </c>
      <c r="I683" s="21" t="str">
        <f>IF($N$1="Piping", IF(ISBLANK(Piping!I683), "", Piping!I683), IF($N$1="Vessels", IF(ISBLANK(Vessels!I683), "", Vessels!I683), ""))</f>
        <v/>
      </c>
      <c r="J683" s="21" t="str">
        <f>IF($N$1="Piping", IF(ISBLANK(Piping!J683), "", Piping!J683), IF($N$1="Vessels", IF(ISBLANK(Vessels!J683), "", Vessels!J683), ""))</f>
        <v/>
      </c>
      <c r="K683" s="21" t="str">
        <f>IF($N$1="Piping", IF(ISBLANK(Piping!K683), "", Piping!K683), IF($N$1="Vessels", IF(ISBLANK(Vessels!K683), "", Vessels!K683), ""))</f>
        <v/>
      </c>
      <c r="L683" s="21" t="str">
        <f>IF($N$1="Piping", IF(ISBLANK(Piping!L683), "", Piping!L683), IF($N$1="Vessels", IF(ISBLANK(Vessels!L683), "", Vessels!L683), ""))</f>
        <v/>
      </c>
      <c r="M683" s="21"/>
      <c r="N683" s="21"/>
      <c r="O683" s="21"/>
      <c r="P683" s="21"/>
      <c r="Q683" s="21" t="str">
        <f>IF($N$1="Piping", IF(ISBLANK(Piping!T683), "", Piping!T683), IF($N$1="Vessels", IF(ISBLANK(Vessels!T683), "", Vessels!T683), ""))</f>
        <v/>
      </c>
      <c r="R683" s="51" t="str">
        <f>IF($N$1="Piping", IF(ISBLANK(Piping!U683), "", Piping!U683), IF($N$1="Vessels", IF(ISBLANK(Vessels!U683), "", Vessels!U683), ""))</f>
        <v/>
      </c>
      <c r="S683" s="118" t="str">
        <f>IF(B683&lt;&gt;"",IF($N$1="Piping", IF(ISBLANK(Piping!$J$3), "", Piping!$J$3), IF($N$1="Vessels", IF(ISBLANK(Vessels!$J$3), "", Vessels!$J$3), "")),"")</f>
        <v/>
      </c>
      <c r="T683" s="37"/>
      <c r="U683" s="37"/>
      <c r="V683" s="37"/>
      <c r="W683" s="37"/>
      <c r="X683" s="37"/>
      <c r="Y683" s="37"/>
      <c r="Z683" s="37"/>
    </row>
    <row r="684" spans="1:26" ht="15.75" customHeight="1" x14ac:dyDescent="0.3">
      <c r="A684" s="22">
        <f>IF($N$1="Piping", IF(ISBLANK(Piping!A684), "", Piping!A684), IF($N$1="Vessels", IF(ISBLANK(Vessels!A684), "", Vessels!A684), ""))</f>
        <v>170.3</v>
      </c>
      <c r="B684" s="21" t="str">
        <f>IF($N$1="Piping", IF(ISBLANK(Piping!B684), "", Piping!B684), IF($N$1="Vessels", IF(ISBLANK(Vessels!B684), "", Vessels!B684), ""))</f>
        <v/>
      </c>
      <c r="C684" s="21" t="str">
        <f>IF($N$1="Piping", IF(ISBLANK(Piping!C684), "", Piping!C684), IF($N$1="Vessels", IF(ISBLANK(Vessels!C684), "", Vessels!C684), ""))</f>
        <v>Piping</v>
      </c>
      <c r="D684" s="21" t="str">
        <f>IF($N$1="Piping", IF(ISBLANK(Piping!D684), "", Piping!D684), IF($N$1="Vessels", IF(ISBLANK(Vessels!D684), "", Vessels!D684), ""))</f>
        <v/>
      </c>
      <c r="E684" s="21" t="str">
        <f>IF($N$1="Piping", IF(ISBLANK(Piping!E684), "", Piping!E684), IF($N$1="Vessels", IF(ISBLANK(Vessels!E684), "", Vessels!E684), ""))</f>
        <v/>
      </c>
      <c r="F684" s="21" t="str">
        <f>IF($N$1="Piping", IF(ISBLANK(Piping!F684), "", Piping!F684), IF($N$1="Vessels", IF(ISBLANK(Vessels!F684), "", Vessels!F684), ""))</f>
        <v/>
      </c>
      <c r="G684" s="21">
        <f>IF($N$1="Piping", IF(ISBLANK(Piping!G684), "", Piping!G684), IF($N$1="Vessels", IF(ISBLANK(Vessels!G684), "", Vessels!G684), ""))</f>
        <v>0</v>
      </c>
      <c r="H684" s="21" t="str">
        <f>IF($N$1="Piping", IF(ISBLANK(Piping!H684), "", Piping!H684), IF($N$1="Vessels", IF(ISBLANK(Vessels!H684), "", Vessels!H684), ""))</f>
        <v/>
      </c>
      <c r="I684" s="21" t="str">
        <f>IF($N$1="Piping", IF(ISBLANK(Piping!I684), "", Piping!I684), IF($N$1="Vessels", IF(ISBLANK(Vessels!I684), "", Vessels!I684), ""))</f>
        <v/>
      </c>
      <c r="J684" s="21" t="str">
        <f>IF($N$1="Piping", IF(ISBLANK(Piping!J684), "", Piping!J684), IF($N$1="Vessels", IF(ISBLANK(Vessels!J684), "", Vessels!J684), ""))</f>
        <v/>
      </c>
      <c r="K684" s="21" t="str">
        <f>IF($N$1="Piping", IF(ISBLANK(Piping!K684), "", Piping!K684), IF($N$1="Vessels", IF(ISBLANK(Vessels!K684), "", Vessels!K684), ""))</f>
        <v/>
      </c>
      <c r="L684" s="21" t="str">
        <f>IF($N$1="Piping", IF(ISBLANK(Piping!L684), "", Piping!L684), IF($N$1="Vessels", IF(ISBLANK(Vessels!L684), "", Vessels!L684), ""))</f>
        <v/>
      </c>
      <c r="M684" s="21"/>
      <c r="N684" s="21"/>
      <c r="O684" s="21"/>
      <c r="P684" s="21"/>
      <c r="Q684" s="21" t="str">
        <f>IF($N$1="Piping", IF(ISBLANK(Piping!T684), "", Piping!T684), IF($N$1="Vessels", IF(ISBLANK(Vessels!T684), "", Vessels!T684), ""))</f>
        <v/>
      </c>
      <c r="R684" s="51" t="str">
        <f>IF($N$1="Piping", IF(ISBLANK(Piping!U684), "", Piping!U684), IF($N$1="Vessels", IF(ISBLANK(Vessels!U684), "", Vessels!U684), ""))</f>
        <v/>
      </c>
      <c r="S684" s="118" t="str">
        <f>IF(B684&lt;&gt;"",IF($N$1="Piping", IF(ISBLANK(Piping!$J$3), "", Piping!$J$3), IF($N$1="Vessels", IF(ISBLANK(Vessels!$J$3), "", Vessels!$J$3), "")),"")</f>
        <v/>
      </c>
      <c r="T684" s="37"/>
      <c r="U684" s="37"/>
      <c r="V684" s="37"/>
      <c r="W684" s="37"/>
      <c r="X684" s="37"/>
      <c r="Y684" s="37"/>
      <c r="Z684" s="37"/>
    </row>
    <row r="685" spans="1:26" ht="15.75" customHeight="1" x14ac:dyDescent="0.3">
      <c r="A685" s="22">
        <f>IF($N$1="Piping", IF(ISBLANK(Piping!A685), "", Piping!A685), IF($N$1="Vessels", IF(ISBLANK(Vessels!A685), "", Vessels!A685), ""))</f>
        <v>170.4</v>
      </c>
      <c r="B685" s="21" t="str">
        <f>IF($N$1="Piping", IF(ISBLANK(Piping!B685), "", Piping!B685), IF($N$1="Vessels", IF(ISBLANK(Vessels!B685), "", Vessels!B685), ""))</f>
        <v/>
      </c>
      <c r="C685" s="21" t="str">
        <f>IF($N$1="Piping", IF(ISBLANK(Piping!C685), "", Piping!C685), IF($N$1="Vessels", IF(ISBLANK(Vessels!C685), "", Vessels!C685), ""))</f>
        <v>Piping</v>
      </c>
      <c r="D685" s="21" t="str">
        <f>IF($N$1="Piping", IF(ISBLANK(Piping!D685), "", Piping!D685), IF($N$1="Vessels", IF(ISBLANK(Vessels!D685), "", Vessels!D685), ""))</f>
        <v/>
      </c>
      <c r="E685" s="21" t="str">
        <f>IF($N$1="Piping", IF(ISBLANK(Piping!E685), "", Piping!E685), IF($N$1="Vessels", IF(ISBLANK(Vessels!E685), "", Vessels!E685), ""))</f>
        <v/>
      </c>
      <c r="F685" s="21" t="str">
        <f>IF($N$1="Piping", IF(ISBLANK(Piping!F685), "", Piping!F685), IF($N$1="Vessels", IF(ISBLANK(Vessels!F685), "", Vessels!F685), ""))</f>
        <v/>
      </c>
      <c r="G685" s="21">
        <f>IF($N$1="Piping", IF(ISBLANK(Piping!G685), "", Piping!G685), IF($N$1="Vessels", IF(ISBLANK(Vessels!G685), "", Vessels!G685), ""))</f>
        <v>0</v>
      </c>
      <c r="H685" s="21" t="str">
        <f>IF($N$1="Piping", IF(ISBLANK(Piping!H685), "", Piping!H685), IF($N$1="Vessels", IF(ISBLANK(Vessels!H685), "", Vessels!H685), ""))</f>
        <v/>
      </c>
      <c r="I685" s="21" t="str">
        <f>IF($N$1="Piping", IF(ISBLANK(Piping!I685), "", Piping!I685), IF($N$1="Vessels", IF(ISBLANK(Vessels!I685), "", Vessels!I685), ""))</f>
        <v/>
      </c>
      <c r="J685" s="21" t="str">
        <f>IF($N$1="Piping", IF(ISBLANK(Piping!J685), "", Piping!J685), IF($N$1="Vessels", IF(ISBLANK(Vessels!J685), "", Vessels!J685), ""))</f>
        <v/>
      </c>
      <c r="K685" s="21" t="str">
        <f>IF($N$1="Piping", IF(ISBLANK(Piping!K685), "", Piping!K685), IF($N$1="Vessels", IF(ISBLANK(Vessels!K685), "", Vessels!K685), ""))</f>
        <v/>
      </c>
      <c r="L685" s="21" t="str">
        <f>IF($N$1="Piping", IF(ISBLANK(Piping!L685), "", Piping!L685), IF($N$1="Vessels", IF(ISBLANK(Vessels!L685), "", Vessels!L685), ""))</f>
        <v/>
      </c>
      <c r="M685" s="21"/>
      <c r="N685" s="21"/>
      <c r="O685" s="21"/>
      <c r="P685" s="21"/>
      <c r="Q685" s="21" t="str">
        <f>IF($N$1="Piping", IF(ISBLANK(Piping!T685), "", Piping!T685), IF($N$1="Vessels", IF(ISBLANK(Vessels!T685), "", Vessels!T685), ""))</f>
        <v/>
      </c>
      <c r="R685" s="51" t="str">
        <f>IF($N$1="Piping", IF(ISBLANK(Piping!U685), "", Piping!U685), IF($N$1="Vessels", IF(ISBLANK(Vessels!U685), "", Vessels!U685), ""))</f>
        <v/>
      </c>
      <c r="S685" s="118" t="str">
        <f>IF(B685&lt;&gt;"",IF($N$1="Piping", IF(ISBLANK(Piping!$J$3), "", Piping!$J$3), IF($N$1="Vessels", IF(ISBLANK(Vessels!$J$3), "", Vessels!$J$3), "")),"")</f>
        <v/>
      </c>
      <c r="T685" s="37"/>
      <c r="U685" s="37"/>
      <c r="V685" s="37"/>
      <c r="W685" s="37"/>
      <c r="X685" s="37"/>
      <c r="Y685" s="37"/>
      <c r="Z685" s="37"/>
    </row>
    <row r="686" spans="1:26" ht="15.75" customHeight="1" x14ac:dyDescent="0.3">
      <c r="A686" s="22">
        <f>IF($N$1="Piping", IF(ISBLANK(Piping!A686), "", Piping!A686), IF($N$1="Vessels", IF(ISBLANK(Vessels!A686), "", Vessels!A686), ""))</f>
        <v>171.1</v>
      </c>
      <c r="B686" s="21" t="str">
        <f>IF($N$1="Piping", IF(ISBLANK(Piping!B686), "", Piping!B686), IF($N$1="Vessels", IF(ISBLANK(Vessels!B686), "", Vessels!B686), ""))</f>
        <v/>
      </c>
      <c r="C686" s="21" t="str">
        <f>IF($N$1="Piping", IF(ISBLANK(Piping!C686), "", Piping!C686), IF($N$1="Vessels", IF(ISBLANK(Vessels!C686), "", Vessels!C686), ""))</f>
        <v>Piping</v>
      </c>
      <c r="D686" s="21" t="str">
        <f>IF($N$1="Piping", IF(ISBLANK(Piping!D686), "", Piping!D686), IF($N$1="Vessels", IF(ISBLANK(Vessels!D686), "", Vessels!D686), ""))</f>
        <v/>
      </c>
      <c r="E686" s="21" t="str">
        <f>IF($N$1="Piping", IF(ISBLANK(Piping!E686), "", Piping!E686), IF($N$1="Vessels", IF(ISBLANK(Vessels!E686), "", Vessels!E686), ""))</f>
        <v/>
      </c>
      <c r="F686" s="21" t="str">
        <f>IF($N$1="Piping", IF(ISBLANK(Piping!F686), "", Piping!F686), IF($N$1="Vessels", IF(ISBLANK(Vessels!F686), "", Vessels!F686), ""))</f>
        <v/>
      </c>
      <c r="G686" s="21">
        <f>IF($N$1="Piping", IF(ISBLANK(Piping!G686), "", Piping!G686), IF($N$1="Vessels", IF(ISBLANK(Vessels!G686), "", Vessels!G686), ""))</f>
        <v>0</v>
      </c>
      <c r="H686" s="21" t="str">
        <f>IF($N$1="Piping", IF(ISBLANK(Piping!H686), "", Piping!H686), IF($N$1="Vessels", IF(ISBLANK(Vessels!H686), "", Vessels!H686), ""))</f>
        <v/>
      </c>
      <c r="I686" s="21" t="str">
        <f>IF($N$1="Piping", IF(ISBLANK(Piping!I686), "", Piping!I686), IF($N$1="Vessels", IF(ISBLANK(Vessels!I686), "", Vessels!I686), ""))</f>
        <v/>
      </c>
      <c r="J686" s="21" t="str">
        <f>IF($N$1="Piping", IF(ISBLANK(Piping!J686), "", Piping!J686), IF($N$1="Vessels", IF(ISBLANK(Vessels!J686), "", Vessels!J686), ""))</f>
        <v/>
      </c>
      <c r="K686" s="21" t="str">
        <f>IF($N$1="Piping", IF(ISBLANK(Piping!K686), "", Piping!K686), IF($N$1="Vessels", IF(ISBLANK(Vessels!K686), "", Vessels!K686), ""))</f>
        <v/>
      </c>
      <c r="L686" s="21" t="str">
        <f>IF($N$1="Piping", IF(ISBLANK(Piping!L686), "", Piping!L686), IF($N$1="Vessels", IF(ISBLANK(Vessels!L686), "", Vessels!L686), ""))</f>
        <v/>
      </c>
      <c r="M686" s="21"/>
      <c r="N686" s="21"/>
      <c r="O686" s="21"/>
      <c r="P686" s="21"/>
      <c r="Q686" s="21" t="str">
        <f>IF($N$1="Piping", IF(ISBLANK(Piping!T686), "", Piping!T686), IF($N$1="Vessels", IF(ISBLANK(Vessels!T686), "", Vessels!T686), ""))</f>
        <v/>
      </c>
      <c r="R686" s="51" t="str">
        <f>IF($N$1="Piping", IF(ISBLANK(Piping!U686), "", Piping!U686), IF($N$1="Vessels", IF(ISBLANK(Vessels!U686), "", Vessels!U686), ""))</f>
        <v/>
      </c>
      <c r="S686" s="118" t="str">
        <f>IF(B686&lt;&gt;"",IF($N$1="Piping", IF(ISBLANK(Piping!$J$3), "", Piping!$J$3), IF($N$1="Vessels", IF(ISBLANK(Vessels!$J$3), "", Vessels!$J$3), "")),"")</f>
        <v/>
      </c>
      <c r="T686" s="37"/>
      <c r="U686" s="37"/>
      <c r="V686" s="37"/>
      <c r="W686" s="37"/>
      <c r="X686" s="37"/>
      <c r="Y686" s="37"/>
      <c r="Z686" s="37"/>
    </row>
    <row r="687" spans="1:26" ht="15.75" customHeight="1" x14ac:dyDescent="0.3">
      <c r="A687" s="22">
        <f>IF($N$1="Piping", IF(ISBLANK(Piping!A687), "", Piping!A687), IF($N$1="Vessels", IF(ISBLANK(Vessels!A687), "", Vessels!A687), ""))</f>
        <v>171.2</v>
      </c>
      <c r="B687" s="21" t="str">
        <f>IF($N$1="Piping", IF(ISBLANK(Piping!B687), "", Piping!B687), IF($N$1="Vessels", IF(ISBLANK(Vessels!B687), "", Vessels!B687), ""))</f>
        <v/>
      </c>
      <c r="C687" s="21" t="str">
        <f>IF($N$1="Piping", IF(ISBLANK(Piping!C687), "", Piping!C687), IF($N$1="Vessels", IF(ISBLANK(Vessels!C687), "", Vessels!C687), ""))</f>
        <v>Piping</v>
      </c>
      <c r="D687" s="21" t="str">
        <f>IF($N$1="Piping", IF(ISBLANK(Piping!D687), "", Piping!D687), IF($N$1="Vessels", IF(ISBLANK(Vessels!D687), "", Vessels!D687), ""))</f>
        <v/>
      </c>
      <c r="E687" s="21" t="str">
        <f>IF($N$1="Piping", IF(ISBLANK(Piping!E687), "", Piping!E687), IF($N$1="Vessels", IF(ISBLANK(Vessels!E687), "", Vessels!E687), ""))</f>
        <v/>
      </c>
      <c r="F687" s="21" t="str">
        <f>IF($N$1="Piping", IF(ISBLANK(Piping!F687), "", Piping!F687), IF($N$1="Vessels", IF(ISBLANK(Vessels!F687), "", Vessels!F687), ""))</f>
        <v/>
      </c>
      <c r="G687" s="21">
        <f>IF($N$1="Piping", IF(ISBLANK(Piping!G687), "", Piping!G687), IF($N$1="Vessels", IF(ISBLANK(Vessels!G687), "", Vessels!G687), ""))</f>
        <v>0</v>
      </c>
      <c r="H687" s="21" t="str">
        <f>IF($N$1="Piping", IF(ISBLANK(Piping!H687), "", Piping!H687), IF($N$1="Vessels", IF(ISBLANK(Vessels!H687), "", Vessels!H687), ""))</f>
        <v/>
      </c>
      <c r="I687" s="21" t="str">
        <f>IF($N$1="Piping", IF(ISBLANK(Piping!I687), "", Piping!I687), IF($N$1="Vessels", IF(ISBLANK(Vessels!I687), "", Vessels!I687), ""))</f>
        <v/>
      </c>
      <c r="J687" s="21" t="str">
        <f>IF($N$1="Piping", IF(ISBLANK(Piping!J687), "", Piping!J687), IF($N$1="Vessels", IF(ISBLANK(Vessels!J687), "", Vessels!J687), ""))</f>
        <v/>
      </c>
      <c r="K687" s="21" t="str">
        <f>IF($N$1="Piping", IF(ISBLANK(Piping!K687), "", Piping!K687), IF($N$1="Vessels", IF(ISBLANK(Vessels!K687), "", Vessels!K687), ""))</f>
        <v/>
      </c>
      <c r="L687" s="21" t="str">
        <f>IF($N$1="Piping", IF(ISBLANK(Piping!L687), "", Piping!L687), IF($N$1="Vessels", IF(ISBLANK(Vessels!L687), "", Vessels!L687), ""))</f>
        <v/>
      </c>
      <c r="M687" s="21"/>
      <c r="N687" s="21"/>
      <c r="O687" s="21"/>
      <c r="P687" s="21"/>
      <c r="Q687" s="21" t="str">
        <f>IF($N$1="Piping", IF(ISBLANK(Piping!T687), "", Piping!T687), IF($N$1="Vessels", IF(ISBLANK(Vessels!T687), "", Vessels!T687), ""))</f>
        <v/>
      </c>
      <c r="R687" s="51" t="str">
        <f>IF($N$1="Piping", IF(ISBLANK(Piping!U687), "", Piping!U687), IF($N$1="Vessels", IF(ISBLANK(Vessels!U687), "", Vessels!U687), ""))</f>
        <v/>
      </c>
      <c r="S687" s="118" t="str">
        <f>IF(B687&lt;&gt;"",IF($N$1="Piping", IF(ISBLANK(Piping!$J$3), "", Piping!$J$3), IF($N$1="Vessels", IF(ISBLANK(Vessels!$J$3), "", Vessels!$J$3), "")),"")</f>
        <v/>
      </c>
      <c r="T687" s="37"/>
      <c r="U687" s="37"/>
      <c r="V687" s="37"/>
      <c r="W687" s="37"/>
      <c r="X687" s="37"/>
      <c r="Y687" s="37"/>
      <c r="Z687" s="37"/>
    </row>
    <row r="688" spans="1:26" ht="15.75" customHeight="1" x14ac:dyDescent="0.3">
      <c r="A688" s="22">
        <f>IF($N$1="Piping", IF(ISBLANK(Piping!A688), "", Piping!A688), IF($N$1="Vessels", IF(ISBLANK(Vessels!A688), "", Vessels!A688), ""))</f>
        <v>171.3</v>
      </c>
      <c r="B688" s="21" t="str">
        <f>IF($N$1="Piping", IF(ISBLANK(Piping!B688), "", Piping!B688), IF($N$1="Vessels", IF(ISBLANK(Vessels!B688), "", Vessels!B688), ""))</f>
        <v/>
      </c>
      <c r="C688" s="21" t="str">
        <f>IF($N$1="Piping", IF(ISBLANK(Piping!C688), "", Piping!C688), IF($N$1="Vessels", IF(ISBLANK(Vessels!C688), "", Vessels!C688), ""))</f>
        <v>Piping</v>
      </c>
      <c r="D688" s="21" t="str">
        <f>IF($N$1="Piping", IF(ISBLANK(Piping!D688), "", Piping!D688), IF($N$1="Vessels", IF(ISBLANK(Vessels!D688), "", Vessels!D688), ""))</f>
        <v/>
      </c>
      <c r="E688" s="21" t="str">
        <f>IF($N$1="Piping", IF(ISBLANK(Piping!E688), "", Piping!E688), IF($N$1="Vessels", IF(ISBLANK(Vessels!E688), "", Vessels!E688), ""))</f>
        <v/>
      </c>
      <c r="F688" s="21" t="str">
        <f>IF($N$1="Piping", IF(ISBLANK(Piping!F688), "", Piping!F688), IF($N$1="Vessels", IF(ISBLANK(Vessels!F688), "", Vessels!F688), ""))</f>
        <v/>
      </c>
      <c r="G688" s="21">
        <f>IF($N$1="Piping", IF(ISBLANK(Piping!G688), "", Piping!G688), IF($N$1="Vessels", IF(ISBLANK(Vessels!G688), "", Vessels!G688), ""))</f>
        <v>0</v>
      </c>
      <c r="H688" s="21" t="str">
        <f>IF($N$1="Piping", IF(ISBLANK(Piping!H688), "", Piping!H688), IF($N$1="Vessels", IF(ISBLANK(Vessels!H688), "", Vessels!H688), ""))</f>
        <v/>
      </c>
      <c r="I688" s="21" t="str">
        <f>IF($N$1="Piping", IF(ISBLANK(Piping!I688), "", Piping!I688), IF($N$1="Vessels", IF(ISBLANK(Vessels!I688), "", Vessels!I688), ""))</f>
        <v/>
      </c>
      <c r="J688" s="21" t="str">
        <f>IF($N$1="Piping", IF(ISBLANK(Piping!J688), "", Piping!J688), IF($N$1="Vessels", IF(ISBLANK(Vessels!J688), "", Vessels!J688), ""))</f>
        <v/>
      </c>
      <c r="K688" s="21" t="str">
        <f>IF($N$1="Piping", IF(ISBLANK(Piping!K688), "", Piping!K688), IF($N$1="Vessels", IF(ISBLANK(Vessels!K688), "", Vessels!K688), ""))</f>
        <v/>
      </c>
      <c r="L688" s="21" t="str">
        <f>IF($N$1="Piping", IF(ISBLANK(Piping!L688), "", Piping!L688), IF($N$1="Vessels", IF(ISBLANK(Vessels!L688), "", Vessels!L688), ""))</f>
        <v/>
      </c>
      <c r="M688" s="21"/>
      <c r="N688" s="21"/>
      <c r="O688" s="21"/>
      <c r="P688" s="21"/>
      <c r="Q688" s="21" t="str">
        <f>IF($N$1="Piping", IF(ISBLANK(Piping!T688), "", Piping!T688), IF($N$1="Vessels", IF(ISBLANK(Vessels!T688), "", Vessels!T688), ""))</f>
        <v/>
      </c>
      <c r="R688" s="51" t="str">
        <f>IF($N$1="Piping", IF(ISBLANK(Piping!U688), "", Piping!U688), IF($N$1="Vessels", IF(ISBLANK(Vessels!U688), "", Vessels!U688), ""))</f>
        <v/>
      </c>
      <c r="S688" s="118" t="str">
        <f>IF(B688&lt;&gt;"",IF($N$1="Piping", IF(ISBLANK(Piping!$J$3), "", Piping!$J$3), IF($N$1="Vessels", IF(ISBLANK(Vessels!$J$3), "", Vessels!$J$3), "")),"")</f>
        <v/>
      </c>
      <c r="T688" s="37"/>
      <c r="U688" s="37"/>
      <c r="V688" s="37"/>
      <c r="W688" s="37"/>
      <c r="X688" s="37"/>
      <c r="Y688" s="37"/>
      <c r="Z688" s="37"/>
    </row>
    <row r="689" spans="1:26" ht="15.75" customHeight="1" x14ac:dyDescent="0.3">
      <c r="A689" s="22">
        <f>IF($N$1="Piping", IF(ISBLANK(Piping!A689), "", Piping!A689), IF($N$1="Vessels", IF(ISBLANK(Vessels!A689), "", Vessels!A689), ""))</f>
        <v>171.4</v>
      </c>
      <c r="B689" s="21" t="str">
        <f>IF($N$1="Piping", IF(ISBLANK(Piping!B689), "", Piping!B689), IF($N$1="Vessels", IF(ISBLANK(Vessels!B689), "", Vessels!B689), ""))</f>
        <v/>
      </c>
      <c r="C689" s="21" t="str">
        <f>IF($N$1="Piping", IF(ISBLANK(Piping!C689), "", Piping!C689), IF($N$1="Vessels", IF(ISBLANK(Vessels!C689), "", Vessels!C689), ""))</f>
        <v>Piping</v>
      </c>
      <c r="D689" s="21" t="str">
        <f>IF($N$1="Piping", IF(ISBLANK(Piping!D689), "", Piping!D689), IF($N$1="Vessels", IF(ISBLANK(Vessels!D689), "", Vessels!D689), ""))</f>
        <v/>
      </c>
      <c r="E689" s="21" t="str">
        <f>IF($N$1="Piping", IF(ISBLANK(Piping!E689), "", Piping!E689), IF($N$1="Vessels", IF(ISBLANK(Vessels!E689), "", Vessels!E689), ""))</f>
        <v/>
      </c>
      <c r="F689" s="21" t="str">
        <f>IF($N$1="Piping", IF(ISBLANK(Piping!F689), "", Piping!F689), IF($N$1="Vessels", IF(ISBLANK(Vessels!F689), "", Vessels!F689), ""))</f>
        <v/>
      </c>
      <c r="G689" s="21">
        <f>IF($N$1="Piping", IF(ISBLANK(Piping!G689), "", Piping!G689), IF($N$1="Vessels", IF(ISBLANK(Vessels!G689), "", Vessels!G689), ""))</f>
        <v>0</v>
      </c>
      <c r="H689" s="21" t="str">
        <f>IF($N$1="Piping", IF(ISBLANK(Piping!H689), "", Piping!H689), IF($N$1="Vessels", IF(ISBLANK(Vessels!H689), "", Vessels!H689), ""))</f>
        <v/>
      </c>
      <c r="I689" s="21" t="str">
        <f>IF($N$1="Piping", IF(ISBLANK(Piping!I689), "", Piping!I689), IF($N$1="Vessels", IF(ISBLANK(Vessels!I689), "", Vessels!I689), ""))</f>
        <v/>
      </c>
      <c r="J689" s="21" t="str">
        <f>IF($N$1="Piping", IF(ISBLANK(Piping!J689), "", Piping!J689), IF($N$1="Vessels", IF(ISBLANK(Vessels!J689), "", Vessels!J689), ""))</f>
        <v/>
      </c>
      <c r="K689" s="21" t="str">
        <f>IF($N$1="Piping", IF(ISBLANK(Piping!K689), "", Piping!K689), IF($N$1="Vessels", IF(ISBLANK(Vessels!K689), "", Vessels!K689), ""))</f>
        <v/>
      </c>
      <c r="L689" s="21" t="str">
        <f>IF($N$1="Piping", IF(ISBLANK(Piping!L689), "", Piping!L689), IF($N$1="Vessels", IF(ISBLANK(Vessels!L689), "", Vessels!L689), ""))</f>
        <v/>
      </c>
      <c r="M689" s="21"/>
      <c r="N689" s="21"/>
      <c r="O689" s="21"/>
      <c r="P689" s="21"/>
      <c r="Q689" s="21" t="str">
        <f>IF($N$1="Piping", IF(ISBLANK(Piping!T689), "", Piping!T689), IF($N$1="Vessels", IF(ISBLANK(Vessels!T689), "", Vessels!T689), ""))</f>
        <v/>
      </c>
      <c r="R689" s="51" t="str">
        <f>IF($N$1="Piping", IF(ISBLANK(Piping!U689), "", Piping!U689), IF($N$1="Vessels", IF(ISBLANK(Vessels!U689), "", Vessels!U689), ""))</f>
        <v/>
      </c>
      <c r="S689" s="118" t="str">
        <f>IF(B689&lt;&gt;"",IF($N$1="Piping", IF(ISBLANK(Piping!$J$3), "", Piping!$J$3), IF($N$1="Vessels", IF(ISBLANK(Vessels!$J$3), "", Vessels!$J$3), "")),"")</f>
        <v/>
      </c>
      <c r="T689" s="37"/>
      <c r="U689" s="37"/>
      <c r="V689" s="37"/>
      <c r="W689" s="37"/>
      <c r="X689" s="37"/>
      <c r="Y689" s="37"/>
      <c r="Z689" s="37"/>
    </row>
    <row r="690" spans="1:26" ht="15.75" customHeight="1" x14ac:dyDescent="0.3">
      <c r="A690" s="22">
        <f>IF($N$1="Piping", IF(ISBLANK(Piping!A690), "", Piping!A690), IF($N$1="Vessels", IF(ISBLANK(Vessels!A690), "", Vessels!A690), ""))</f>
        <v>172.1</v>
      </c>
      <c r="B690" s="21" t="str">
        <f>IF($N$1="Piping", IF(ISBLANK(Piping!B690), "", Piping!B690), IF($N$1="Vessels", IF(ISBLANK(Vessels!B690), "", Vessels!B690), ""))</f>
        <v/>
      </c>
      <c r="C690" s="21" t="str">
        <f>IF($N$1="Piping", IF(ISBLANK(Piping!C690), "", Piping!C690), IF($N$1="Vessels", IF(ISBLANK(Vessels!C690), "", Vessels!C690), ""))</f>
        <v>Piping</v>
      </c>
      <c r="D690" s="21" t="str">
        <f>IF($N$1="Piping", IF(ISBLANK(Piping!D690), "", Piping!D690), IF($N$1="Vessels", IF(ISBLANK(Vessels!D690), "", Vessels!D690), ""))</f>
        <v/>
      </c>
      <c r="E690" s="21" t="str">
        <f>IF($N$1="Piping", IF(ISBLANK(Piping!E690), "", Piping!E690), IF($N$1="Vessels", IF(ISBLANK(Vessels!E690), "", Vessels!E690), ""))</f>
        <v/>
      </c>
      <c r="F690" s="21" t="str">
        <f>IF($N$1="Piping", IF(ISBLANK(Piping!F690), "", Piping!F690), IF($N$1="Vessels", IF(ISBLANK(Vessels!F690), "", Vessels!F690), ""))</f>
        <v/>
      </c>
      <c r="G690" s="21">
        <f>IF($N$1="Piping", IF(ISBLANK(Piping!G690), "", Piping!G690), IF($N$1="Vessels", IF(ISBLANK(Vessels!G690), "", Vessels!G690), ""))</f>
        <v>0</v>
      </c>
      <c r="H690" s="21" t="str">
        <f>IF($N$1="Piping", IF(ISBLANK(Piping!H690), "", Piping!H690), IF($N$1="Vessels", IF(ISBLANK(Vessels!H690), "", Vessels!H690), ""))</f>
        <v/>
      </c>
      <c r="I690" s="21" t="str">
        <f>IF($N$1="Piping", IF(ISBLANK(Piping!I690), "", Piping!I690), IF($N$1="Vessels", IF(ISBLANK(Vessels!I690), "", Vessels!I690), ""))</f>
        <v/>
      </c>
      <c r="J690" s="21" t="str">
        <f>IF($N$1="Piping", IF(ISBLANK(Piping!J690), "", Piping!J690), IF($N$1="Vessels", IF(ISBLANK(Vessels!J690), "", Vessels!J690), ""))</f>
        <v/>
      </c>
      <c r="K690" s="21" t="str">
        <f>IF($N$1="Piping", IF(ISBLANK(Piping!K690), "", Piping!K690), IF($N$1="Vessels", IF(ISBLANK(Vessels!K690), "", Vessels!K690), ""))</f>
        <v/>
      </c>
      <c r="L690" s="21" t="str">
        <f>IF($N$1="Piping", IF(ISBLANK(Piping!L690), "", Piping!L690), IF($N$1="Vessels", IF(ISBLANK(Vessels!L690), "", Vessels!L690), ""))</f>
        <v/>
      </c>
      <c r="M690" s="21"/>
      <c r="N690" s="21"/>
      <c r="O690" s="21"/>
      <c r="P690" s="21"/>
      <c r="Q690" s="21" t="str">
        <f>IF($N$1="Piping", IF(ISBLANK(Piping!T690), "", Piping!T690), IF($N$1="Vessels", IF(ISBLANK(Vessels!T690), "", Vessels!T690), ""))</f>
        <v/>
      </c>
      <c r="R690" s="51" t="str">
        <f>IF($N$1="Piping", IF(ISBLANK(Piping!U690), "", Piping!U690), IF($N$1="Vessels", IF(ISBLANK(Vessels!U690), "", Vessels!U690), ""))</f>
        <v/>
      </c>
      <c r="S690" s="118" t="str">
        <f>IF(B690&lt;&gt;"",IF($N$1="Piping", IF(ISBLANK(Piping!$J$3), "", Piping!$J$3), IF($N$1="Vessels", IF(ISBLANK(Vessels!$J$3), "", Vessels!$J$3), "")),"")</f>
        <v/>
      </c>
      <c r="T690" s="37"/>
      <c r="U690" s="37"/>
      <c r="V690" s="37"/>
      <c r="W690" s="37"/>
      <c r="X690" s="37"/>
      <c r="Y690" s="37"/>
      <c r="Z690" s="37"/>
    </row>
    <row r="691" spans="1:26" ht="15.75" customHeight="1" x14ac:dyDescent="0.3">
      <c r="A691" s="22">
        <f>IF($N$1="Piping", IF(ISBLANK(Piping!A691), "", Piping!A691), IF($N$1="Vessels", IF(ISBLANK(Vessels!A691), "", Vessels!A691), ""))</f>
        <v>172.2</v>
      </c>
      <c r="B691" s="21" t="str">
        <f>IF($N$1="Piping", IF(ISBLANK(Piping!B691), "", Piping!B691), IF($N$1="Vessels", IF(ISBLANK(Vessels!B691), "", Vessels!B691), ""))</f>
        <v/>
      </c>
      <c r="C691" s="21" t="str">
        <f>IF($N$1="Piping", IF(ISBLANK(Piping!C691), "", Piping!C691), IF($N$1="Vessels", IF(ISBLANK(Vessels!C691), "", Vessels!C691), ""))</f>
        <v>Piping</v>
      </c>
      <c r="D691" s="21" t="str">
        <f>IF($N$1="Piping", IF(ISBLANK(Piping!D691), "", Piping!D691), IF($N$1="Vessels", IF(ISBLANK(Vessels!D691), "", Vessels!D691), ""))</f>
        <v/>
      </c>
      <c r="E691" s="21" t="str">
        <f>IF($N$1="Piping", IF(ISBLANK(Piping!E691), "", Piping!E691), IF($N$1="Vessels", IF(ISBLANK(Vessels!E691), "", Vessels!E691), ""))</f>
        <v/>
      </c>
      <c r="F691" s="21" t="str">
        <f>IF($N$1="Piping", IF(ISBLANK(Piping!F691), "", Piping!F691), IF($N$1="Vessels", IF(ISBLANK(Vessels!F691), "", Vessels!F691), ""))</f>
        <v/>
      </c>
      <c r="G691" s="21">
        <f>IF($N$1="Piping", IF(ISBLANK(Piping!G691), "", Piping!G691), IF($N$1="Vessels", IF(ISBLANK(Vessels!G691), "", Vessels!G691), ""))</f>
        <v>0</v>
      </c>
      <c r="H691" s="21" t="str">
        <f>IF($N$1="Piping", IF(ISBLANK(Piping!H691), "", Piping!H691), IF($N$1="Vessels", IF(ISBLANK(Vessels!H691), "", Vessels!H691), ""))</f>
        <v/>
      </c>
      <c r="I691" s="21" t="str">
        <f>IF($N$1="Piping", IF(ISBLANK(Piping!I691), "", Piping!I691), IF($N$1="Vessels", IF(ISBLANK(Vessels!I691), "", Vessels!I691), ""))</f>
        <v/>
      </c>
      <c r="J691" s="21" t="str">
        <f>IF($N$1="Piping", IF(ISBLANK(Piping!J691), "", Piping!J691), IF($N$1="Vessels", IF(ISBLANK(Vessels!J691), "", Vessels!J691), ""))</f>
        <v/>
      </c>
      <c r="K691" s="21" t="str">
        <f>IF($N$1="Piping", IF(ISBLANK(Piping!K691), "", Piping!K691), IF($N$1="Vessels", IF(ISBLANK(Vessels!K691), "", Vessels!K691), ""))</f>
        <v/>
      </c>
      <c r="L691" s="21" t="str">
        <f>IF($N$1="Piping", IF(ISBLANK(Piping!L691), "", Piping!L691), IF($N$1="Vessels", IF(ISBLANK(Vessels!L691), "", Vessels!L691), ""))</f>
        <v/>
      </c>
      <c r="M691" s="21"/>
      <c r="N691" s="21"/>
      <c r="O691" s="21"/>
      <c r="P691" s="21"/>
      <c r="Q691" s="21" t="str">
        <f>IF($N$1="Piping", IF(ISBLANK(Piping!T691), "", Piping!T691), IF($N$1="Vessels", IF(ISBLANK(Vessels!T691), "", Vessels!T691), ""))</f>
        <v/>
      </c>
      <c r="R691" s="51" t="str">
        <f>IF($N$1="Piping", IF(ISBLANK(Piping!U691), "", Piping!U691), IF($N$1="Vessels", IF(ISBLANK(Vessels!U691), "", Vessels!U691), ""))</f>
        <v/>
      </c>
      <c r="S691" s="118" t="str">
        <f>IF(B691&lt;&gt;"",IF($N$1="Piping", IF(ISBLANK(Piping!$J$3), "", Piping!$J$3), IF($N$1="Vessels", IF(ISBLANK(Vessels!$J$3), "", Vessels!$J$3), "")),"")</f>
        <v/>
      </c>
      <c r="T691" s="37"/>
      <c r="U691" s="37"/>
      <c r="V691" s="37"/>
      <c r="W691" s="37"/>
      <c r="X691" s="37"/>
      <c r="Y691" s="37"/>
      <c r="Z691" s="37"/>
    </row>
    <row r="692" spans="1:26" ht="15.75" customHeight="1" x14ac:dyDescent="0.3">
      <c r="A692" s="22">
        <f>IF($N$1="Piping", IF(ISBLANK(Piping!A692), "", Piping!A692), IF($N$1="Vessels", IF(ISBLANK(Vessels!A692), "", Vessels!A692), ""))</f>
        <v>172.3</v>
      </c>
      <c r="B692" s="21" t="str">
        <f>IF($N$1="Piping", IF(ISBLANK(Piping!B692), "", Piping!B692), IF($N$1="Vessels", IF(ISBLANK(Vessels!B692), "", Vessels!B692), ""))</f>
        <v/>
      </c>
      <c r="C692" s="21" t="str">
        <f>IF($N$1="Piping", IF(ISBLANK(Piping!C692), "", Piping!C692), IF($N$1="Vessels", IF(ISBLANK(Vessels!C692), "", Vessels!C692), ""))</f>
        <v>Piping</v>
      </c>
      <c r="D692" s="21" t="str">
        <f>IF($N$1="Piping", IF(ISBLANK(Piping!D692), "", Piping!D692), IF($N$1="Vessels", IF(ISBLANK(Vessels!D692), "", Vessels!D692), ""))</f>
        <v/>
      </c>
      <c r="E692" s="21" t="str">
        <f>IF($N$1="Piping", IF(ISBLANK(Piping!E692), "", Piping!E692), IF($N$1="Vessels", IF(ISBLANK(Vessels!E692), "", Vessels!E692), ""))</f>
        <v/>
      </c>
      <c r="F692" s="21" t="str">
        <f>IF($N$1="Piping", IF(ISBLANK(Piping!F692), "", Piping!F692), IF($N$1="Vessels", IF(ISBLANK(Vessels!F692), "", Vessels!F692), ""))</f>
        <v/>
      </c>
      <c r="G692" s="21">
        <f>IF($N$1="Piping", IF(ISBLANK(Piping!G692), "", Piping!G692), IF($N$1="Vessels", IF(ISBLANK(Vessels!G692), "", Vessels!G692), ""))</f>
        <v>0</v>
      </c>
      <c r="H692" s="21" t="str">
        <f>IF($N$1="Piping", IF(ISBLANK(Piping!H692), "", Piping!H692), IF($N$1="Vessels", IF(ISBLANK(Vessels!H692), "", Vessels!H692), ""))</f>
        <v/>
      </c>
      <c r="I692" s="21" t="str">
        <f>IF($N$1="Piping", IF(ISBLANK(Piping!I692), "", Piping!I692), IF($N$1="Vessels", IF(ISBLANK(Vessels!I692), "", Vessels!I692), ""))</f>
        <v/>
      </c>
      <c r="J692" s="21" t="str">
        <f>IF($N$1="Piping", IF(ISBLANK(Piping!J692), "", Piping!J692), IF($N$1="Vessels", IF(ISBLANK(Vessels!J692), "", Vessels!J692), ""))</f>
        <v/>
      </c>
      <c r="K692" s="21" t="str">
        <f>IF($N$1="Piping", IF(ISBLANK(Piping!K692), "", Piping!K692), IF($N$1="Vessels", IF(ISBLANK(Vessels!K692), "", Vessels!K692), ""))</f>
        <v/>
      </c>
      <c r="L692" s="21" t="str">
        <f>IF($N$1="Piping", IF(ISBLANK(Piping!L692), "", Piping!L692), IF($N$1="Vessels", IF(ISBLANK(Vessels!L692), "", Vessels!L692), ""))</f>
        <v/>
      </c>
      <c r="M692" s="21"/>
      <c r="N692" s="21"/>
      <c r="O692" s="21"/>
      <c r="P692" s="21"/>
      <c r="Q692" s="21" t="str">
        <f>IF($N$1="Piping", IF(ISBLANK(Piping!T692), "", Piping!T692), IF($N$1="Vessels", IF(ISBLANK(Vessels!T692), "", Vessels!T692), ""))</f>
        <v/>
      </c>
      <c r="R692" s="51" t="str">
        <f>IF($N$1="Piping", IF(ISBLANK(Piping!U692), "", Piping!U692), IF($N$1="Vessels", IF(ISBLANK(Vessels!U692), "", Vessels!U692), ""))</f>
        <v/>
      </c>
      <c r="S692" s="118" t="str">
        <f>IF(B692&lt;&gt;"",IF($N$1="Piping", IF(ISBLANK(Piping!$J$3), "", Piping!$J$3), IF($N$1="Vessels", IF(ISBLANK(Vessels!$J$3), "", Vessels!$J$3), "")),"")</f>
        <v/>
      </c>
      <c r="T692" s="37"/>
      <c r="U692" s="37"/>
      <c r="V692" s="37"/>
      <c r="W692" s="37"/>
      <c r="X692" s="37"/>
      <c r="Y692" s="37"/>
      <c r="Z692" s="37"/>
    </row>
    <row r="693" spans="1:26" ht="15.75" customHeight="1" x14ac:dyDescent="0.3">
      <c r="A693" s="22">
        <f>IF($N$1="Piping", IF(ISBLANK(Piping!A693), "", Piping!A693), IF($N$1="Vessels", IF(ISBLANK(Vessels!A693), "", Vessels!A693), ""))</f>
        <v>172.4</v>
      </c>
      <c r="B693" s="21" t="str">
        <f>IF($N$1="Piping", IF(ISBLANK(Piping!B693), "", Piping!B693), IF($N$1="Vessels", IF(ISBLANK(Vessels!B693), "", Vessels!B693), ""))</f>
        <v/>
      </c>
      <c r="C693" s="21" t="str">
        <f>IF($N$1="Piping", IF(ISBLANK(Piping!C693), "", Piping!C693), IF($N$1="Vessels", IF(ISBLANK(Vessels!C693), "", Vessels!C693), ""))</f>
        <v>Piping</v>
      </c>
      <c r="D693" s="21" t="str">
        <f>IF($N$1="Piping", IF(ISBLANK(Piping!D693), "", Piping!D693), IF($N$1="Vessels", IF(ISBLANK(Vessels!D693), "", Vessels!D693), ""))</f>
        <v/>
      </c>
      <c r="E693" s="21" t="str">
        <f>IF($N$1="Piping", IF(ISBLANK(Piping!E693), "", Piping!E693), IF($N$1="Vessels", IF(ISBLANK(Vessels!E693), "", Vessels!E693), ""))</f>
        <v/>
      </c>
      <c r="F693" s="21" t="str">
        <f>IF($N$1="Piping", IF(ISBLANK(Piping!F693), "", Piping!F693), IF($N$1="Vessels", IF(ISBLANK(Vessels!F693), "", Vessels!F693), ""))</f>
        <v/>
      </c>
      <c r="G693" s="21">
        <f>IF($N$1="Piping", IF(ISBLANK(Piping!G693), "", Piping!G693), IF($N$1="Vessels", IF(ISBLANK(Vessels!G693), "", Vessels!G693), ""))</f>
        <v>0</v>
      </c>
      <c r="H693" s="21" t="str">
        <f>IF($N$1="Piping", IF(ISBLANK(Piping!H693), "", Piping!H693), IF($N$1="Vessels", IF(ISBLANK(Vessels!H693), "", Vessels!H693), ""))</f>
        <v/>
      </c>
      <c r="I693" s="21" t="str">
        <f>IF($N$1="Piping", IF(ISBLANK(Piping!I693), "", Piping!I693), IF($N$1="Vessels", IF(ISBLANK(Vessels!I693), "", Vessels!I693), ""))</f>
        <v/>
      </c>
      <c r="J693" s="21" t="str">
        <f>IF($N$1="Piping", IF(ISBLANK(Piping!J693), "", Piping!J693), IF($N$1="Vessels", IF(ISBLANK(Vessels!J693), "", Vessels!J693), ""))</f>
        <v/>
      </c>
      <c r="K693" s="21" t="str">
        <f>IF($N$1="Piping", IF(ISBLANK(Piping!K693), "", Piping!K693), IF($N$1="Vessels", IF(ISBLANK(Vessels!K693), "", Vessels!K693), ""))</f>
        <v/>
      </c>
      <c r="L693" s="21" t="str">
        <f>IF($N$1="Piping", IF(ISBLANK(Piping!L693), "", Piping!L693), IF($N$1="Vessels", IF(ISBLANK(Vessels!L693), "", Vessels!L693), ""))</f>
        <v/>
      </c>
      <c r="M693" s="21"/>
      <c r="N693" s="21"/>
      <c r="O693" s="21"/>
      <c r="P693" s="21"/>
      <c r="Q693" s="21" t="str">
        <f>IF($N$1="Piping", IF(ISBLANK(Piping!T693), "", Piping!T693), IF($N$1="Vessels", IF(ISBLANK(Vessels!T693), "", Vessels!T693), ""))</f>
        <v/>
      </c>
      <c r="R693" s="51" t="str">
        <f>IF($N$1="Piping", IF(ISBLANK(Piping!U693), "", Piping!U693), IF($N$1="Vessels", IF(ISBLANK(Vessels!U693), "", Vessels!U693), ""))</f>
        <v/>
      </c>
      <c r="S693" s="118" t="str">
        <f>IF(B693&lt;&gt;"",IF($N$1="Piping", IF(ISBLANK(Piping!$J$3), "", Piping!$J$3), IF($N$1="Vessels", IF(ISBLANK(Vessels!$J$3), "", Vessels!$J$3), "")),"")</f>
        <v/>
      </c>
      <c r="T693" s="37"/>
      <c r="U693" s="37"/>
      <c r="V693" s="37"/>
      <c r="W693" s="37"/>
      <c r="X693" s="37"/>
      <c r="Y693" s="37"/>
      <c r="Z693" s="37"/>
    </row>
    <row r="694" spans="1:26" ht="15.75" customHeight="1" x14ac:dyDescent="0.3">
      <c r="A694" s="22">
        <f>IF($N$1="Piping", IF(ISBLANK(Piping!A694), "", Piping!A694), IF($N$1="Vessels", IF(ISBLANK(Vessels!A694), "", Vessels!A694), ""))</f>
        <v>173.1</v>
      </c>
      <c r="B694" s="21" t="str">
        <f>IF($N$1="Piping", IF(ISBLANK(Piping!B694), "", Piping!B694), IF($N$1="Vessels", IF(ISBLANK(Vessels!B694), "", Vessels!B694), ""))</f>
        <v/>
      </c>
      <c r="C694" s="21" t="str">
        <f>IF($N$1="Piping", IF(ISBLANK(Piping!C694), "", Piping!C694), IF($N$1="Vessels", IF(ISBLANK(Vessels!C694), "", Vessels!C694), ""))</f>
        <v>Piping</v>
      </c>
      <c r="D694" s="21" t="str">
        <f>IF($N$1="Piping", IF(ISBLANK(Piping!D694), "", Piping!D694), IF($N$1="Vessels", IF(ISBLANK(Vessels!D694), "", Vessels!D694), ""))</f>
        <v/>
      </c>
      <c r="E694" s="21" t="str">
        <f>IF($N$1="Piping", IF(ISBLANK(Piping!E694), "", Piping!E694), IF($N$1="Vessels", IF(ISBLANK(Vessels!E694), "", Vessels!E694), ""))</f>
        <v/>
      </c>
      <c r="F694" s="21" t="str">
        <f>IF($N$1="Piping", IF(ISBLANK(Piping!F694), "", Piping!F694), IF($N$1="Vessels", IF(ISBLANK(Vessels!F694), "", Vessels!F694), ""))</f>
        <v/>
      </c>
      <c r="G694" s="21">
        <f>IF($N$1="Piping", IF(ISBLANK(Piping!G694), "", Piping!G694), IF($N$1="Vessels", IF(ISBLANK(Vessels!G694), "", Vessels!G694), ""))</f>
        <v>0</v>
      </c>
      <c r="H694" s="21" t="str">
        <f>IF($N$1="Piping", IF(ISBLANK(Piping!H694), "", Piping!H694), IF($N$1="Vessels", IF(ISBLANK(Vessels!H694), "", Vessels!H694), ""))</f>
        <v/>
      </c>
      <c r="I694" s="21" t="str">
        <f>IF($N$1="Piping", IF(ISBLANK(Piping!I694), "", Piping!I694), IF($N$1="Vessels", IF(ISBLANK(Vessels!I694), "", Vessels!I694), ""))</f>
        <v/>
      </c>
      <c r="J694" s="21" t="str">
        <f>IF($N$1="Piping", IF(ISBLANK(Piping!J694), "", Piping!J694), IF($N$1="Vessels", IF(ISBLANK(Vessels!J694), "", Vessels!J694), ""))</f>
        <v/>
      </c>
      <c r="K694" s="21" t="str">
        <f>IF($N$1="Piping", IF(ISBLANK(Piping!K694), "", Piping!K694), IF($N$1="Vessels", IF(ISBLANK(Vessels!K694), "", Vessels!K694), ""))</f>
        <v/>
      </c>
      <c r="L694" s="21" t="str">
        <f>IF($N$1="Piping", IF(ISBLANK(Piping!L694), "", Piping!L694), IF($N$1="Vessels", IF(ISBLANK(Vessels!L694), "", Vessels!L694), ""))</f>
        <v/>
      </c>
      <c r="M694" s="21"/>
      <c r="N694" s="21"/>
      <c r="O694" s="21"/>
      <c r="P694" s="21"/>
      <c r="Q694" s="21" t="str">
        <f>IF($N$1="Piping", IF(ISBLANK(Piping!T694), "", Piping!T694), IF($N$1="Vessels", IF(ISBLANK(Vessels!T694), "", Vessels!T694), ""))</f>
        <v/>
      </c>
      <c r="R694" s="51" t="str">
        <f>IF($N$1="Piping", IF(ISBLANK(Piping!U694), "", Piping!U694), IF($N$1="Vessels", IF(ISBLANK(Vessels!U694), "", Vessels!U694), ""))</f>
        <v/>
      </c>
      <c r="S694" s="118" t="str">
        <f>IF(B694&lt;&gt;"",IF($N$1="Piping", IF(ISBLANK(Piping!$J$3), "", Piping!$J$3), IF($N$1="Vessels", IF(ISBLANK(Vessels!$J$3), "", Vessels!$J$3), "")),"")</f>
        <v/>
      </c>
      <c r="T694" s="37"/>
      <c r="U694" s="37"/>
      <c r="V694" s="37"/>
      <c r="W694" s="37"/>
      <c r="X694" s="37"/>
      <c r="Y694" s="37"/>
      <c r="Z694" s="37"/>
    </row>
    <row r="695" spans="1:26" ht="15.75" customHeight="1" x14ac:dyDescent="0.3">
      <c r="A695" s="22">
        <f>IF($N$1="Piping", IF(ISBLANK(Piping!A695), "", Piping!A695), IF($N$1="Vessels", IF(ISBLANK(Vessels!A695), "", Vessels!A695), ""))</f>
        <v>173.2</v>
      </c>
      <c r="B695" s="21" t="str">
        <f>IF($N$1="Piping", IF(ISBLANK(Piping!B695), "", Piping!B695), IF($N$1="Vessels", IF(ISBLANK(Vessels!B695), "", Vessels!B695), ""))</f>
        <v/>
      </c>
      <c r="C695" s="21" t="str">
        <f>IF($N$1="Piping", IF(ISBLANK(Piping!C695), "", Piping!C695), IF($N$1="Vessels", IF(ISBLANK(Vessels!C695), "", Vessels!C695), ""))</f>
        <v>Piping</v>
      </c>
      <c r="D695" s="21" t="str">
        <f>IF($N$1="Piping", IF(ISBLANK(Piping!D695), "", Piping!D695), IF($N$1="Vessels", IF(ISBLANK(Vessels!D695), "", Vessels!D695), ""))</f>
        <v/>
      </c>
      <c r="E695" s="21" t="str">
        <f>IF($N$1="Piping", IF(ISBLANK(Piping!E695), "", Piping!E695), IF($N$1="Vessels", IF(ISBLANK(Vessels!E695), "", Vessels!E695), ""))</f>
        <v/>
      </c>
      <c r="F695" s="21" t="str">
        <f>IF($N$1="Piping", IF(ISBLANK(Piping!F695), "", Piping!F695), IF($N$1="Vessels", IF(ISBLANK(Vessels!F695), "", Vessels!F695), ""))</f>
        <v/>
      </c>
      <c r="G695" s="21">
        <f>IF($N$1="Piping", IF(ISBLANK(Piping!G695), "", Piping!G695), IF($N$1="Vessels", IF(ISBLANK(Vessels!G695), "", Vessels!G695), ""))</f>
        <v>0</v>
      </c>
      <c r="H695" s="21" t="str">
        <f>IF($N$1="Piping", IF(ISBLANK(Piping!H695), "", Piping!H695), IF($N$1="Vessels", IF(ISBLANK(Vessels!H695), "", Vessels!H695), ""))</f>
        <v/>
      </c>
      <c r="I695" s="21" t="str">
        <f>IF($N$1="Piping", IF(ISBLANK(Piping!I695), "", Piping!I695), IF($N$1="Vessels", IF(ISBLANK(Vessels!I695), "", Vessels!I695), ""))</f>
        <v/>
      </c>
      <c r="J695" s="21" t="str">
        <f>IF($N$1="Piping", IF(ISBLANK(Piping!J695), "", Piping!J695), IF($N$1="Vessels", IF(ISBLANK(Vessels!J695), "", Vessels!J695), ""))</f>
        <v/>
      </c>
      <c r="K695" s="21" t="str">
        <f>IF($N$1="Piping", IF(ISBLANK(Piping!K695), "", Piping!K695), IF($N$1="Vessels", IF(ISBLANK(Vessels!K695), "", Vessels!K695), ""))</f>
        <v/>
      </c>
      <c r="L695" s="21" t="str">
        <f>IF($N$1="Piping", IF(ISBLANK(Piping!L695), "", Piping!L695), IF($N$1="Vessels", IF(ISBLANK(Vessels!L695), "", Vessels!L695), ""))</f>
        <v/>
      </c>
      <c r="M695" s="21"/>
      <c r="N695" s="21"/>
      <c r="O695" s="21"/>
      <c r="P695" s="21"/>
      <c r="Q695" s="21" t="str">
        <f>IF($N$1="Piping", IF(ISBLANK(Piping!T695), "", Piping!T695), IF($N$1="Vessels", IF(ISBLANK(Vessels!T695), "", Vessels!T695), ""))</f>
        <v/>
      </c>
      <c r="R695" s="51" t="str">
        <f>IF($N$1="Piping", IF(ISBLANK(Piping!U695), "", Piping!U695), IF($N$1="Vessels", IF(ISBLANK(Vessels!U695), "", Vessels!U695), ""))</f>
        <v/>
      </c>
      <c r="S695" s="118" t="str">
        <f>IF(B695&lt;&gt;"",IF($N$1="Piping", IF(ISBLANK(Piping!$J$3), "", Piping!$J$3), IF($N$1="Vessels", IF(ISBLANK(Vessels!$J$3), "", Vessels!$J$3), "")),"")</f>
        <v/>
      </c>
      <c r="T695" s="37"/>
      <c r="U695" s="37"/>
      <c r="V695" s="37"/>
      <c r="W695" s="37"/>
      <c r="X695" s="37"/>
      <c r="Y695" s="37"/>
      <c r="Z695" s="37"/>
    </row>
    <row r="696" spans="1:26" ht="15.75" customHeight="1" x14ac:dyDescent="0.3">
      <c r="A696" s="22">
        <f>IF($N$1="Piping", IF(ISBLANK(Piping!A696), "", Piping!A696), IF($N$1="Vessels", IF(ISBLANK(Vessels!A696), "", Vessels!A696), ""))</f>
        <v>173.3</v>
      </c>
      <c r="B696" s="21" t="str">
        <f>IF($N$1="Piping", IF(ISBLANK(Piping!B696), "", Piping!B696), IF($N$1="Vessels", IF(ISBLANK(Vessels!B696), "", Vessels!B696), ""))</f>
        <v/>
      </c>
      <c r="C696" s="21" t="str">
        <f>IF($N$1="Piping", IF(ISBLANK(Piping!C696), "", Piping!C696), IF($N$1="Vessels", IF(ISBLANK(Vessels!C696), "", Vessels!C696), ""))</f>
        <v>Piping</v>
      </c>
      <c r="D696" s="21" t="str">
        <f>IF($N$1="Piping", IF(ISBLANK(Piping!D696), "", Piping!D696), IF($N$1="Vessels", IF(ISBLANK(Vessels!D696), "", Vessels!D696), ""))</f>
        <v/>
      </c>
      <c r="E696" s="21" t="str">
        <f>IF($N$1="Piping", IF(ISBLANK(Piping!E696), "", Piping!E696), IF($N$1="Vessels", IF(ISBLANK(Vessels!E696), "", Vessels!E696), ""))</f>
        <v/>
      </c>
      <c r="F696" s="21" t="str">
        <f>IF($N$1="Piping", IF(ISBLANK(Piping!F696), "", Piping!F696), IF($N$1="Vessels", IF(ISBLANK(Vessels!F696), "", Vessels!F696), ""))</f>
        <v/>
      </c>
      <c r="G696" s="21">
        <f>IF($N$1="Piping", IF(ISBLANK(Piping!G696), "", Piping!G696), IF($N$1="Vessels", IF(ISBLANK(Vessels!G696), "", Vessels!G696), ""))</f>
        <v>0</v>
      </c>
      <c r="H696" s="21" t="str">
        <f>IF($N$1="Piping", IF(ISBLANK(Piping!H696), "", Piping!H696), IF($N$1="Vessels", IF(ISBLANK(Vessels!H696), "", Vessels!H696), ""))</f>
        <v/>
      </c>
      <c r="I696" s="21" t="str">
        <f>IF($N$1="Piping", IF(ISBLANK(Piping!I696), "", Piping!I696), IF($N$1="Vessels", IF(ISBLANK(Vessels!I696), "", Vessels!I696), ""))</f>
        <v/>
      </c>
      <c r="J696" s="21" t="str">
        <f>IF($N$1="Piping", IF(ISBLANK(Piping!J696), "", Piping!J696), IF($N$1="Vessels", IF(ISBLANK(Vessels!J696), "", Vessels!J696), ""))</f>
        <v/>
      </c>
      <c r="K696" s="21" t="str">
        <f>IF($N$1="Piping", IF(ISBLANK(Piping!K696), "", Piping!K696), IF($N$1="Vessels", IF(ISBLANK(Vessels!K696), "", Vessels!K696), ""))</f>
        <v/>
      </c>
      <c r="L696" s="21" t="str">
        <f>IF($N$1="Piping", IF(ISBLANK(Piping!L696), "", Piping!L696), IF($N$1="Vessels", IF(ISBLANK(Vessels!L696), "", Vessels!L696), ""))</f>
        <v/>
      </c>
      <c r="M696" s="21"/>
      <c r="N696" s="21"/>
      <c r="O696" s="21"/>
      <c r="P696" s="21"/>
      <c r="Q696" s="21" t="str">
        <f>IF($N$1="Piping", IF(ISBLANK(Piping!T696), "", Piping!T696), IF($N$1="Vessels", IF(ISBLANK(Vessels!T696), "", Vessels!T696), ""))</f>
        <v/>
      </c>
      <c r="R696" s="51" t="str">
        <f>IF($N$1="Piping", IF(ISBLANK(Piping!U696), "", Piping!U696), IF($N$1="Vessels", IF(ISBLANK(Vessels!U696), "", Vessels!U696), ""))</f>
        <v/>
      </c>
      <c r="S696" s="118" t="str">
        <f>IF(B696&lt;&gt;"",IF($N$1="Piping", IF(ISBLANK(Piping!$J$3), "", Piping!$J$3), IF($N$1="Vessels", IF(ISBLANK(Vessels!$J$3), "", Vessels!$J$3), "")),"")</f>
        <v/>
      </c>
      <c r="T696" s="37"/>
      <c r="U696" s="37"/>
      <c r="V696" s="37"/>
      <c r="W696" s="37"/>
      <c r="X696" s="37"/>
      <c r="Y696" s="37"/>
      <c r="Z696" s="37"/>
    </row>
    <row r="697" spans="1:26" ht="15.75" customHeight="1" x14ac:dyDescent="0.3">
      <c r="A697" s="22">
        <f>IF($N$1="Piping", IF(ISBLANK(Piping!A697), "", Piping!A697), IF($N$1="Vessels", IF(ISBLANK(Vessels!A697), "", Vessels!A697), ""))</f>
        <v>173.4</v>
      </c>
      <c r="B697" s="21" t="str">
        <f>IF($N$1="Piping", IF(ISBLANK(Piping!B697), "", Piping!B697), IF($N$1="Vessels", IF(ISBLANK(Vessels!B697), "", Vessels!B697), ""))</f>
        <v/>
      </c>
      <c r="C697" s="21" t="str">
        <f>IF($N$1="Piping", IF(ISBLANK(Piping!C697), "", Piping!C697), IF($N$1="Vessels", IF(ISBLANK(Vessels!C697), "", Vessels!C697), ""))</f>
        <v>Piping</v>
      </c>
      <c r="D697" s="21" t="str">
        <f>IF($N$1="Piping", IF(ISBLANK(Piping!D697), "", Piping!D697), IF($N$1="Vessels", IF(ISBLANK(Vessels!D697), "", Vessels!D697), ""))</f>
        <v/>
      </c>
      <c r="E697" s="21" t="str">
        <f>IF($N$1="Piping", IF(ISBLANK(Piping!E697), "", Piping!E697), IF($N$1="Vessels", IF(ISBLANK(Vessels!E697), "", Vessels!E697), ""))</f>
        <v/>
      </c>
      <c r="F697" s="21" t="str">
        <f>IF($N$1="Piping", IF(ISBLANK(Piping!F697), "", Piping!F697), IF($N$1="Vessels", IF(ISBLANK(Vessels!F697), "", Vessels!F697), ""))</f>
        <v/>
      </c>
      <c r="G697" s="21">
        <f>IF($N$1="Piping", IF(ISBLANK(Piping!G697), "", Piping!G697), IF($N$1="Vessels", IF(ISBLANK(Vessels!G697), "", Vessels!G697), ""))</f>
        <v>0</v>
      </c>
      <c r="H697" s="21" t="str">
        <f>IF($N$1="Piping", IF(ISBLANK(Piping!H697), "", Piping!H697), IF($N$1="Vessels", IF(ISBLANK(Vessels!H697), "", Vessels!H697), ""))</f>
        <v/>
      </c>
      <c r="I697" s="21" t="str">
        <f>IF($N$1="Piping", IF(ISBLANK(Piping!I697), "", Piping!I697), IF($N$1="Vessels", IF(ISBLANK(Vessels!I697), "", Vessels!I697), ""))</f>
        <v/>
      </c>
      <c r="J697" s="21" t="str">
        <f>IF($N$1="Piping", IF(ISBLANK(Piping!J697), "", Piping!J697), IF($N$1="Vessels", IF(ISBLANK(Vessels!J697), "", Vessels!J697), ""))</f>
        <v/>
      </c>
      <c r="K697" s="21" t="str">
        <f>IF($N$1="Piping", IF(ISBLANK(Piping!K697), "", Piping!K697), IF($N$1="Vessels", IF(ISBLANK(Vessels!K697), "", Vessels!K697), ""))</f>
        <v/>
      </c>
      <c r="L697" s="21" t="str">
        <f>IF($N$1="Piping", IF(ISBLANK(Piping!L697), "", Piping!L697), IF($N$1="Vessels", IF(ISBLANK(Vessels!L697), "", Vessels!L697), ""))</f>
        <v/>
      </c>
      <c r="M697" s="21"/>
      <c r="N697" s="21"/>
      <c r="O697" s="21"/>
      <c r="P697" s="21"/>
      <c r="Q697" s="21" t="str">
        <f>IF($N$1="Piping", IF(ISBLANK(Piping!T697), "", Piping!T697), IF($N$1="Vessels", IF(ISBLANK(Vessels!T697), "", Vessels!T697), ""))</f>
        <v/>
      </c>
      <c r="R697" s="51" t="str">
        <f>IF($N$1="Piping", IF(ISBLANK(Piping!U697), "", Piping!U697), IF($N$1="Vessels", IF(ISBLANK(Vessels!U697), "", Vessels!U697), ""))</f>
        <v/>
      </c>
      <c r="S697" s="118" t="str">
        <f>IF(B697&lt;&gt;"",IF($N$1="Piping", IF(ISBLANK(Piping!$J$3), "", Piping!$J$3), IF($N$1="Vessels", IF(ISBLANK(Vessels!$J$3), "", Vessels!$J$3), "")),"")</f>
        <v/>
      </c>
      <c r="T697" s="37"/>
      <c r="U697" s="37"/>
      <c r="V697" s="37"/>
      <c r="W697" s="37"/>
      <c r="X697" s="37"/>
      <c r="Y697" s="37"/>
      <c r="Z697" s="37"/>
    </row>
    <row r="698" spans="1:26" ht="15.75" customHeight="1" x14ac:dyDescent="0.3">
      <c r="A698" s="22">
        <f>IF($N$1="Piping", IF(ISBLANK(Piping!A698), "", Piping!A698), IF($N$1="Vessels", IF(ISBLANK(Vessels!A698), "", Vessels!A698), ""))</f>
        <v>174.1</v>
      </c>
      <c r="B698" s="21" t="str">
        <f>IF($N$1="Piping", IF(ISBLANK(Piping!B698), "", Piping!B698), IF($N$1="Vessels", IF(ISBLANK(Vessels!B698), "", Vessels!B698), ""))</f>
        <v/>
      </c>
      <c r="C698" s="21" t="str">
        <f>IF($N$1="Piping", IF(ISBLANK(Piping!C698), "", Piping!C698), IF($N$1="Vessels", IF(ISBLANK(Vessels!C698), "", Vessels!C698), ""))</f>
        <v>Piping</v>
      </c>
      <c r="D698" s="21" t="str">
        <f>IF($N$1="Piping", IF(ISBLANK(Piping!D698), "", Piping!D698), IF($N$1="Vessels", IF(ISBLANK(Vessels!D698), "", Vessels!D698), ""))</f>
        <v/>
      </c>
      <c r="E698" s="21" t="str">
        <f>IF($N$1="Piping", IF(ISBLANK(Piping!E698), "", Piping!E698), IF($N$1="Vessels", IF(ISBLANK(Vessels!E698), "", Vessels!E698), ""))</f>
        <v/>
      </c>
      <c r="F698" s="21" t="str">
        <f>IF($N$1="Piping", IF(ISBLANK(Piping!F698), "", Piping!F698), IF($N$1="Vessels", IF(ISBLANK(Vessels!F698), "", Vessels!F698), ""))</f>
        <v/>
      </c>
      <c r="G698" s="21">
        <f>IF($N$1="Piping", IF(ISBLANK(Piping!G698), "", Piping!G698), IF($N$1="Vessels", IF(ISBLANK(Vessels!G698), "", Vessels!G698), ""))</f>
        <v>0</v>
      </c>
      <c r="H698" s="21" t="str">
        <f>IF($N$1="Piping", IF(ISBLANK(Piping!H698), "", Piping!H698), IF($N$1="Vessels", IF(ISBLANK(Vessels!H698), "", Vessels!H698), ""))</f>
        <v/>
      </c>
      <c r="I698" s="21" t="str">
        <f>IF($N$1="Piping", IF(ISBLANK(Piping!I698), "", Piping!I698), IF($N$1="Vessels", IF(ISBLANK(Vessels!I698), "", Vessels!I698), ""))</f>
        <v/>
      </c>
      <c r="J698" s="21" t="str">
        <f>IF($N$1="Piping", IF(ISBLANK(Piping!J698), "", Piping!J698), IF($N$1="Vessels", IF(ISBLANK(Vessels!J698), "", Vessels!J698), ""))</f>
        <v/>
      </c>
      <c r="K698" s="21" t="str">
        <f>IF($N$1="Piping", IF(ISBLANK(Piping!K698), "", Piping!K698), IF($N$1="Vessels", IF(ISBLANK(Vessels!K698), "", Vessels!K698), ""))</f>
        <v/>
      </c>
      <c r="L698" s="21" t="str">
        <f>IF($N$1="Piping", IF(ISBLANK(Piping!L698), "", Piping!L698), IF($N$1="Vessels", IF(ISBLANK(Vessels!L698), "", Vessels!L698), ""))</f>
        <v/>
      </c>
      <c r="M698" s="21"/>
      <c r="N698" s="21"/>
      <c r="O698" s="21"/>
      <c r="P698" s="21"/>
      <c r="Q698" s="21" t="str">
        <f>IF($N$1="Piping", IF(ISBLANK(Piping!T698), "", Piping!T698), IF($N$1="Vessels", IF(ISBLANK(Vessels!T698), "", Vessels!T698), ""))</f>
        <v/>
      </c>
      <c r="R698" s="51" t="str">
        <f>IF($N$1="Piping", IF(ISBLANK(Piping!U698), "", Piping!U698), IF($N$1="Vessels", IF(ISBLANK(Vessels!U698), "", Vessels!U698), ""))</f>
        <v/>
      </c>
      <c r="S698" s="118" t="str">
        <f>IF(B698&lt;&gt;"",IF($N$1="Piping", IF(ISBLANK(Piping!$J$3), "", Piping!$J$3), IF($N$1="Vessels", IF(ISBLANK(Vessels!$J$3), "", Vessels!$J$3), "")),"")</f>
        <v/>
      </c>
      <c r="T698" s="37"/>
      <c r="U698" s="37"/>
      <c r="V698" s="37"/>
      <c r="W698" s="37"/>
      <c r="X698" s="37"/>
      <c r="Y698" s="37"/>
      <c r="Z698" s="37"/>
    </row>
    <row r="699" spans="1:26" ht="15.75" customHeight="1" x14ac:dyDescent="0.3">
      <c r="A699" s="22">
        <f>IF($N$1="Piping", IF(ISBLANK(Piping!A699), "", Piping!A699), IF($N$1="Vessels", IF(ISBLANK(Vessels!A699), "", Vessels!A699), ""))</f>
        <v>174.2</v>
      </c>
      <c r="B699" s="21" t="str">
        <f>IF($N$1="Piping", IF(ISBLANK(Piping!B699), "", Piping!B699), IF($N$1="Vessels", IF(ISBLANK(Vessels!B699), "", Vessels!B699), ""))</f>
        <v/>
      </c>
      <c r="C699" s="21" t="str">
        <f>IF($N$1="Piping", IF(ISBLANK(Piping!C699), "", Piping!C699), IF($N$1="Vessels", IF(ISBLANK(Vessels!C699), "", Vessels!C699), ""))</f>
        <v>Piping</v>
      </c>
      <c r="D699" s="21" t="str">
        <f>IF($N$1="Piping", IF(ISBLANK(Piping!D699), "", Piping!D699), IF($N$1="Vessels", IF(ISBLANK(Vessels!D699), "", Vessels!D699), ""))</f>
        <v/>
      </c>
      <c r="E699" s="21" t="str">
        <f>IF($N$1="Piping", IF(ISBLANK(Piping!E699), "", Piping!E699), IF($N$1="Vessels", IF(ISBLANK(Vessels!E699), "", Vessels!E699), ""))</f>
        <v/>
      </c>
      <c r="F699" s="21" t="str">
        <f>IF($N$1="Piping", IF(ISBLANK(Piping!F699), "", Piping!F699), IF($N$1="Vessels", IF(ISBLANK(Vessels!F699), "", Vessels!F699), ""))</f>
        <v/>
      </c>
      <c r="G699" s="21">
        <f>IF($N$1="Piping", IF(ISBLANK(Piping!G699), "", Piping!G699), IF($N$1="Vessels", IF(ISBLANK(Vessels!G699), "", Vessels!G699), ""))</f>
        <v>0</v>
      </c>
      <c r="H699" s="21" t="str">
        <f>IF($N$1="Piping", IF(ISBLANK(Piping!H699), "", Piping!H699), IF($N$1="Vessels", IF(ISBLANK(Vessels!H699), "", Vessels!H699), ""))</f>
        <v/>
      </c>
      <c r="I699" s="21" t="str">
        <f>IF($N$1="Piping", IF(ISBLANK(Piping!I699), "", Piping!I699), IF($N$1="Vessels", IF(ISBLANK(Vessels!I699), "", Vessels!I699), ""))</f>
        <v/>
      </c>
      <c r="J699" s="21" t="str">
        <f>IF($N$1="Piping", IF(ISBLANK(Piping!J699), "", Piping!J699), IF($N$1="Vessels", IF(ISBLANK(Vessels!J699), "", Vessels!J699), ""))</f>
        <v/>
      </c>
      <c r="K699" s="21" t="str">
        <f>IF($N$1="Piping", IF(ISBLANK(Piping!K699), "", Piping!K699), IF($N$1="Vessels", IF(ISBLANK(Vessels!K699), "", Vessels!K699), ""))</f>
        <v/>
      </c>
      <c r="L699" s="21" t="str">
        <f>IF($N$1="Piping", IF(ISBLANK(Piping!L699), "", Piping!L699), IF($N$1="Vessels", IF(ISBLANK(Vessels!L699), "", Vessels!L699), ""))</f>
        <v/>
      </c>
      <c r="M699" s="21"/>
      <c r="N699" s="21"/>
      <c r="O699" s="21"/>
      <c r="P699" s="21"/>
      <c r="Q699" s="21" t="str">
        <f>IF($N$1="Piping", IF(ISBLANK(Piping!T699), "", Piping!T699), IF($N$1="Vessels", IF(ISBLANK(Vessels!T699), "", Vessels!T699), ""))</f>
        <v/>
      </c>
      <c r="R699" s="51" t="str">
        <f>IF($N$1="Piping", IF(ISBLANK(Piping!U699), "", Piping!U699), IF($N$1="Vessels", IF(ISBLANK(Vessels!U699), "", Vessels!U699), ""))</f>
        <v/>
      </c>
      <c r="S699" s="118" t="str">
        <f>IF(B699&lt;&gt;"",IF($N$1="Piping", IF(ISBLANK(Piping!$J$3), "", Piping!$J$3), IF($N$1="Vessels", IF(ISBLANK(Vessels!$J$3), "", Vessels!$J$3), "")),"")</f>
        <v/>
      </c>
      <c r="T699" s="37"/>
      <c r="U699" s="37"/>
      <c r="V699" s="37"/>
      <c r="W699" s="37"/>
      <c r="X699" s="37"/>
      <c r="Y699" s="37"/>
      <c r="Z699" s="37"/>
    </row>
    <row r="700" spans="1:26" ht="15.75" customHeight="1" x14ac:dyDescent="0.3">
      <c r="A700" s="22">
        <f>IF($N$1="Piping", IF(ISBLANK(Piping!A700), "", Piping!A700), IF($N$1="Vessels", IF(ISBLANK(Vessels!A700), "", Vessels!A700), ""))</f>
        <v>174.3</v>
      </c>
      <c r="B700" s="21" t="str">
        <f>IF($N$1="Piping", IF(ISBLANK(Piping!B700), "", Piping!B700), IF($N$1="Vessels", IF(ISBLANK(Vessels!B700), "", Vessels!B700), ""))</f>
        <v/>
      </c>
      <c r="C700" s="21" t="str">
        <f>IF($N$1="Piping", IF(ISBLANK(Piping!C700), "", Piping!C700), IF($N$1="Vessels", IF(ISBLANK(Vessels!C700), "", Vessels!C700), ""))</f>
        <v>Piping</v>
      </c>
      <c r="D700" s="21" t="str">
        <f>IF($N$1="Piping", IF(ISBLANK(Piping!D700), "", Piping!D700), IF($N$1="Vessels", IF(ISBLANK(Vessels!D700), "", Vessels!D700), ""))</f>
        <v/>
      </c>
      <c r="E700" s="21" t="str">
        <f>IF($N$1="Piping", IF(ISBLANK(Piping!E700), "", Piping!E700), IF($N$1="Vessels", IF(ISBLANK(Vessels!E700), "", Vessels!E700), ""))</f>
        <v/>
      </c>
      <c r="F700" s="21" t="str">
        <f>IF($N$1="Piping", IF(ISBLANK(Piping!F700), "", Piping!F700), IF($N$1="Vessels", IF(ISBLANK(Vessels!F700), "", Vessels!F700), ""))</f>
        <v/>
      </c>
      <c r="G700" s="21">
        <f>IF($N$1="Piping", IF(ISBLANK(Piping!G700), "", Piping!G700), IF($N$1="Vessels", IF(ISBLANK(Vessels!G700), "", Vessels!G700), ""))</f>
        <v>0</v>
      </c>
      <c r="H700" s="21" t="str">
        <f>IF($N$1="Piping", IF(ISBLANK(Piping!H700), "", Piping!H700), IF($N$1="Vessels", IF(ISBLANK(Vessels!H700), "", Vessels!H700), ""))</f>
        <v/>
      </c>
      <c r="I700" s="21" t="str">
        <f>IF($N$1="Piping", IF(ISBLANK(Piping!I700), "", Piping!I700), IF($N$1="Vessels", IF(ISBLANK(Vessels!I700), "", Vessels!I700), ""))</f>
        <v/>
      </c>
      <c r="J700" s="21" t="str">
        <f>IF($N$1="Piping", IF(ISBLANK(Piping!J700), "", Piping!J700), IF($N$1="Vessels", IF(ISBLANK(Vessels!J700), "", Vessels!J700), ""))</f>
        <v/>
      </c>
      <c r="K700" s="21" t="str">
        <f>IF($N$1="Piping", IF(ISBLANK(Piping!K700), "", Piping!K700), IF($N$1="Vessels", IF(ISBLANK(Vessels!K700), "", Vessels!K700), ""))</f>
        <v/>
      </c>
      <c r="L700" s="21" t="str">
        <f>IF($N$1="Piping", IF(ISBLANK(Piping!L700), "", Piping!L700), IF($N$1="Vessels", IF(ISBLANK(Vessels!L700), "", Vessels!L700), ""))</f>
        <v/>
      </c>
      <c r="M700" s="21"/>
      <c r="N700" s="21"/>
      <c r="O700" s="21"/>
      <c r="P700" s="21"/>
      <c r="Q700" s="21" t="str">
        <f>IF($N$1="Piping", IF(ISBLANK(Piping!T700), "", Piping!T700), IF($N$1="Vessels", IF(ISBLANK(Vessels!T700), "", Vessels!T700), ""))</f>
        <v/>
      </c>
      <c r="R700" s="51" t="str">
        <f>IF($N$1="Piping", IF(ISBLANK(Piping!U700), "", Piping!U700), IF($N$1="Vessels", IF(ISBLANK(Vessels!U700), "", Vessels!U700), ""))</f>
        <v/>
      </c>
      <c r="S700" s="118" t="str">
        <f>IF(B700&lt;&gt;"",IF($N$1="Piping", IF(ISBLANK(Piping!$J$3), "", Piping!$J$3), IF($N$1="Vessels", IF(ISBLANK(Vessels!$J$3), "", Vessels!$J$3), "")),"")</f>
        <v/>
      </c>
      <c r="T700" s="37"/>
      <c r="U700" s="37"/>
      <c r="V700" s="37"/>
      <c r="W700" s="37"/>
      <c r="X700" s="37"/>
      <c r="Y700" s="37"/>
      <c r="Z700" s="37"/>
    </row>
    <row r="701" spans="1:26" ht="15.75" customHeight="1" x14ac:dyDescent="0.3">
      <c r="A701" s="22">
        <f>IF($N$1="Piping", IF(ISBLANK(Piping!A701), "", Piping!A701), IF($N$1="Vessels", IF(ISBLANK(Vessels!A701), "", Vessels!A701), ""))</f>
        <v>174.4</v>
      </c>
      <c r="B701" s="21" t="str">
        <f>IF($N$1="Piping", IF(ISBLANK(Piping!B701), "", Piping!B701), IF($N$1="Vessels", IF(ISBLANK(Vessels!B701), "", Vessels!B701), ""))</f>
        <v/>
      </c>
      <c r="C701" s="21" t="str">
        <f>IF($N$1="Piping", IF(ISBLANK(Piping!C701), "", Piping!C701), IF($N$1="Vessels", IF(ISBLANK(Vessels!C701), "", Vessels!C701), ""))</f>
        <v>Piping</v>
      </c>
      <c r="D701" s="21" t="str">
        <f>IF($N$1="Piping", IF(ISBLANK(Piping!D701), "", Piping!D701), IF($N$1="Vessels", IF(ISBLANK(Vessels!D701), "", Vessels!D701), ""))</f>
        <v/>
      </c>
      <c r="E701" s="21" t="str">
        <f>IF($N$1="Piping", IF(ISBLANK(Piping!E701), "", Piping!E701), IF($N$1="Vessels", IF(ISBLANK(Vessels!E701), "", Vessels!E701), ""))</f>
        <v/>
      </c>
      <c r="F701" s="21" t="str">
        <f>IF($N$1="Piping", IF(ISBLANK(Piping!F701), "", Piping!F701), IF($N$1="Vessels", IF(ISBLANK(Vessels!F701), "", Vessels!F701), ""))</f>
        <v/>
      </c>
      <c r="G701" s="21">
        <f>IF($N$1="Piping", IF(ISBLANK(Piping!G701), "", Piping!G701), IF($N$1="Vessels", IF(ISBLANK(Vessels!G701), "", Vessels!G701), ""))</f>
        <v>0</v>
      </c>
      <c r="H701" s="21" t="str">
        <f>IF($N$1="Piping", IF(ISBLANK(Piping!H701), "", Piping!H701), IF($N$1="Vessels", IF(ISBLANK(Vessels!H701), "", Vessels!H701), ""))</f>
        <v/>
      </c>
      <c r="I701" s="21" t="str">
        <f>IF($N$1="Piping", IF(ISBLANK(Piping!I701), "", Piping!I701), IF($N$1="Vessels", IF(ISBLANK(Vessels!I701), "", Vessels!I701), ""))</f>
        <v/>
      </c>
      <c r="J701" s="21" t="str">
        <f>IF($N$1="Piping", IF(ISBLANK(Piping!J701), "", Piping!J701), IF($N$1="Vessels", IF(ISBLANK(Vessels!J701), "", Vessels!J701), ""))</f>
        <v/>
      </c>
      <c r="K701" s="21" t="str">
        <f>IF($N$1="Piping", IF(ISBLANK(Piping!K701), "", Piping!K701), IF($N$1="Vessels", IF(ISBLANK(Vessels!K701), "", Vessels!K701), ""))</f>
        <v/>
      </c>
      <c r="L701" s="21" t="str">
        <f>IF($N$1="Piping", IF(ISBLANK(Piping!L701), "", Piping!L701), IF($N$1="Vessels", IF(ISBLANK(Vessels!L701), "", Vessels!L701), ""))</f>
        <v/>
      </c>
      <c r="M701" s="21"/>
      <c r="N701" s="21"/>
      <c r="O701" s="21"/>
      <c r="P701" s="21"/>
      <c r="Q701" s="21" t="str">
        <f>IF($N$1="Piping", IF(ISBLANK(Piping!T701), "", Piping!T701), IF($N$1="Vessels", IF(ISBLANK(Vessels!T701), "", Vessels!T701), ""))</f>
        <v/>
      </c>
      <c r="R701" s="51" t="str">
        <f>IF($N$1="Piping", IF(ISBLANK(Piping!U701), "", Piping!U701), IF($N$1="Vessels", IF(ISBLANK(Vessels!U701), "", Vessels!U701), ""))</f>
        <v/>
      </c>
      <c r="S701" s="118" t="str">
        <f>IF(B701&lt;&gt;"",IF($N$1="Piping", IF(ISBLANK(Piping!$J$3), "", Piping!$J$3), IF($N$1="Vessels", IF(ISBLANK(Vessels!$J$3), "", Vessels!$J$3), "")),"")</f>
        <v/>
      </c>
      <c r="T701" s="37"/>
      <c r="U701" s="37"/>
      <c r="V701" s="37"/>
      <c r="W701" s="37"/>
      <c r="X701" s="37"/>
      <c r="Y701" s="37"/>
      <c r="Z701" s="37"/>
    </row>
    <row r="702" spans="1:26" ht="15.75" customHeight="1" x14ac:dyDescent="0.3">
      <c r="A702" s="22">
        <f>IF($N$1="Piping", IF(ISBLANK(Piping!A702), "", Piping!A702), IF($N$1="Vessels", IF(ISBLANK(Vessels!A702), "", Vessels!A702), ""))</f>
        <v>175.1</v>
      </c>
      <c r="B702" s="21" t="str">
        <f>IF($N$1="Piping", IF(ISBLANK(Piping!B702), "", Piping!B702), IF($N$1="Vessels", IF(ISBLANK(Vessels!B702), "", Vessels!B702), ""))</f>
        <v/>
      </c>
      <c r="C702" s="21" t="str">
        <f>IF($N$1="Piping", IF(ISBLANK(Piping!C702), "", Piping!C702), IF($N$1="Vessels", IF(ISBLANK(Vessels!C702), "", Vessels!C702), ""))</f>
        <v>Piping</v>
      </c>
      <c r="D702" s="21" t="str">
        <f>IF($N$1="Piping", IF(ISBLANK(Piping!D702), "", Piping!D702), IF($N$1="Vessels", IF(ISBLANK(Vessels!D702), "", Vessels!D702), ""))</f>
        <v/>
      </c>
      <c r="E702" s="21" t="str">
        <f>IF($N$1="Piping", IF(ISBLANK(Piping!E702), "", Piping!E702), IF($N$1="Vessels", IF(ISBLANK(Vessels!E702), "", Vessels!E702), ""))</f>
        <v/>
      </c>
      <c r="F702" s="21" t="str">
        <f>IF($N$1="Piping", IF(ISBLANK(Piping!F702), "", Piping!F702), IF($N$1="Vessels", IF(ISBLANK(Vessels!F702), "", Vessels!F702), ""))</f>
        <v/>
      </c>
      <c r="G702" s="21">
        <f>IF($N$1="Piping", IF(ISBLANK(Piping!G702), "", Piping!G702), IF($N$1="Vessels", IF(ISBLANK(Vessels!G702), "", Vessels!G702), ""))</f>
        <v>0</v>
      </c>
      <c r="H702" s="21" t="str">
        <f>IF($N$1="Piping", IF(ISBLANK(Piping!H702), "", Piping!H702), IF($N$1="Vessels", IF(ISBLANK(Vessels!H702), "", Vessels!H702), ""))</f>
        <v/>
      </c>
      <c r="I702" s="21" t="str">
        <f>IF($N$1="Piping", IF(ISBLANK(Piping!I702), "", Piping!I702), IF($N$1="Vessels", IF(ISBLANK(Vessels!I702), "", Vessels!I702), ""))</f>
        <v/>
      </c>
      <c r="J702" s="21" t="str">
        <f>IF($N$1="Piping", IF(ISBLANK(Piping!J702), "", Piping!J702), IF($N$1="Vessels", IF(ISBLANK(Vessels!J702), "", Vessels!J702), ""))</f>
        <v/>
      </c>
      <c r="K702" s="21" t="str">
        <f>IF($N$1="Piping", IF(ISBLANK(Piping!K702), "", Piping!K702), IF($N$1="Vessels", IF(ISBLANK(Vessels!K702), "", Vessels!K702), ""))</f>
        <v/>
      </c>
      <c r="L702" s="21" t="str">
        <f>IF($N$1="Piping", IF(ISBLANK(Piping!L702), "", Piping!L702), IF($N$1="Vessels", IF(ISBLANK(Vessels!L702), "", Vessels!L702), ""))</f>
        <v/>
      </c>
      <c r="M702" s="21"/>
      <c r="N702" s="21"/>
      <c r="O702" s="21"/>
      <c r="P702" s="21"/>
      <c r="Q702" s="21" t="str">
        <f>IF($N$1="Piping", IF(ISBLANK(Piping!T702), "", Piping!T702), IF($N$1="Vessels", IF(ISBLANK(Vessels!T702), "", Vessels!T702), ""))</f>
        <v/>
      </c>
      <c r="R702" s="51" t="str">
        <f>IF($N$1="Piping", IF(ISBLANK(Piping!U702), "", Piping!U702), IF($N$1="Vessels", IF(ISBLANK(Vessels!U702), "", Vessels!U702), ""))</f>
        <v/>
      </c>
      <c r="S702" s="118" t="str">
        <f>IF(B702&lt;&gt;"",IF($N$1="Piping", IF(ISBLANK(Piping!$J$3), "", Piping!$J$3), IF($N$1="Vessels", IF(ISBLANK(Vessels!$J$3), "", Vessels!$J$3), "")),"")</f>
        <v/>
      </c>
      <c r="T702" s="37"/>
      <c r="U702" s="37"/>
      <c r="V702" s="37"/>
      <c r="W702" s="37"/>
      <c r="X702" s="37"/>
      <c r="Y702" s="37"/>
      <c r="Z702" s="37"/>
    </row>
    <row r="703" spans="1:26" ht="15.75" customHeight="1" x14ac:dyDescent="0.3">
      <c r="A703" s="22">
        <f>IF($N$1="Piping", IF(ISBLANK(Piping!A703), "", Piping!A703), IF($N$1="Vessels", IF(ISBLANK(Vessels!A703), "", Vessels!A703), ""))</f>
        <v>175.2</v>
      </c>
      <c r="B703" s="21" t="str">
        <f>IF($N$1="Piping", IF(ISBLANK(Piping!B703), "", Piping!B703), IF($N$1="Vessels", IF(ISBLANK(Vessels!B703), "", Vessels!B703), ""))</f>
        <v/>
      </c>
      <c r="C703" s="21" t="str">
        <f>IF($N$1="Piping", IF(ISBLANK(Piping!C703), "", Piping!C703), IF($N$1="Vessels", IF(ISBLANK(Vessels!C703), "", Vessels!C703), ""))</f>
        <v>Piping</v>
      </c>
      <c r="D703" s="21" t="str">
        <f>IF($N$1="Piping", IF(ISBLANK(Piping!D703), "", Piping!D703), IF($N$1="Vessels", IF(ISBLANK(Vessels!D703), "", Vessels!D703), ""))</f>
        <v/>
      </c>
      <c r="E703" s="21" t="str">
        <f>IF($N$1="Piping", IF(ISBLANK(Piping!E703), "", Piping!E703), IF($N$1="Vessels", IF(ISBLANK(Vessels!E703), "", Vessels!E703), ""))</f>
        <v/>
      </c>
      <c r="F703" s="21" t="str">
        <f>IF($N$1="Piping", IF(ISBLANK(Piping!F703), "", Piping!F703), IF($N$1="Vessels", IF(ISBLANK(Vessels!F703), "", Vessels!F703), ""))</f>
        <v/>
      </c>
      <c r="G703" s="21">
        <f>IF($N$1="Piping", IF(ISBLANK(Piping!G703), "", Piping!G703), IF($N$1="Vessels", IF(ISBLANK(Vessels!G703), "", Vessels!G703), ""))</f>
        <v>0</v>
      </c>
      <c r="H703" s="21" t="str">
        <f>IF($N$1="Piping", IF(ISBLANK(Piping!H703), "", Piping!H703), IF($N$1="Vessels", IF(ISBLANK(Vessels!H703), "", Vessels!H703), ""))</f>
        <v/>
      </c>
      <c r="I703" s="21" t="str">
        <f>IF($N$1="Piping", IF(ISBLANK(Piping!I703), "", Piping!I703), IF($N$1="Vessels", IF(ISBLANK(Vessels!I703), "", Vessels!I703), ""))</f>
        <v/>
      </c>
      <c r="J703" s="21" t="str">
        <f>IF($N$1="Piping", IF(ISBLANK(Piping!J703), "", Piping!J703), IF($N$1="Vessels", IF(ISBLANK(Vessels!J703), "", Vessels!J703), ""))</f>
        <v/>
      </c>
      <c r="K703" s="21" t="str">
        <f>IF($N$1="Piping", IF(ISBLANK(Piping!K703), "", Piping!K703), IF($N$1="Vessels", IF(ISBLANK(Vessels!K703), "", Vessels!K703), ""))</f>
        <v/>
      </c>
      <c r="L703" s="21" t="str">
        <f>IF($N$1="Piping", IF(ISBLANK(Piping!L703), "", Piping!L703), IF($N$1="Vessels", IF(ISBLANK(Vessels!L703), "", Vessels!L703), ""))</f>
        <v/>
      </c>
      <c r="M703" s="21"/>
      <c r="N703" s="21"/>
      <c r="O703" s="21"/>
      <c r="P703" s="21"/>
      <c r="Q703" s="21" t="str">
        <f>IF($N$1="Piping", IF(ISBLANK(Piping!T703), "", Piping!T703), IF($N$1="Vessels", IF(ISBLANK(Vessels!T703), "", Vessels!T703), ""))</f>
        <v/>
      </c>
      <c r="R703" s="51" t="str">
        <f>IF($N$1="Piping", IF(ISBLANK(Piping!U703), "", Piping!U703), IF($N$1="Vessels", IF(ISBLANK(Vessels!U703), "", Vessels!U703), ""))</f>
        <v/>
      </c>
      <c r="S703" s="118" t="str">
        <f>IF(B703&lt;&gt;"",IF($N$1="Piping", IF(ISBLANK(Piping!$J$3), "", Piping!$J$3), IF($N$1="Vessels", IF(ISBLANK(Vessels!$J$3), "", Vessels!$J$3), "")),"")</f>
        <v/>
      </c>
      <c r="T703" s="37"/>
      <c r="U703" s="37"/>
      <c r="V703" s="37"/>
      <c r="W703" s="37"/>
      <c r="X703" s="37"/>
      <c r="Y703" s="37"/>
      <c r="Z703" s="37"/>
    </row>
    <row r="704" spans="1:26" ht="15.75" customHeight="1" x14ac:dyDescent="0.3">
      <c r="A704" s="22">
        <f>IF($N$1="Piping", IF(ISBLANK(Piping!A704), "", Piping!A704), IF($N$1="Vessels", IF(ISBLANK(Vessels!A704), "", Vessels!A704), ""))</f>
        <v>175.3</v>
      </c>
      <c r="B704" s="21" t="str">
        <f>IF($N$1="Piping", IF(ISBLANK(Piping!B704), "", Piping!B704), IF($N$1="Vessels", IF(ISBLANK(Vessels!B704), "", Vessels!B704), ""))</f>
        <v/>
      </c>
      <c r="C704" s="21" t="str">
        <f>IF($N$1="Piping", IF(ISBLANK(Piping!C704), "", Piping!C704), IF($N$1="Vessels", IF(ISBLANK(Vessels!C704), "", Vessels!C704), ""))</f>
        <v>Piping</v>
      </c>
      <c r="D704" s="21" t="str">
        <f>IF($N$1="Piping", IF(ISBLANK(Piping!D704), "", Piping!D704), IF($N$1="Vessels", IF(ISBLANK(Vessels!D704), "", Vessels!D704), ""))</f>
        <v/>
      </c>
      <c r="E704" s="21" t="str">
        <f>IF($N$1="Piping", IF(ISBLANK(Piping!E704), "", Piping!E704), IF($N$1="Vessels", IF(ISBLANK(Vessels!E704), "", Vessels!E704), ""))</f>
        <v/>
      </c>
      <c r="F704" s="21" t="str">
        <f>IF($N$1="Piping", IF(ISBLANK(Piping!F704), "", Piping!F704), IF($N$1="Vessels", IF(ISBLANK(Vessels!F704), "", Vessels!F704), ""))</f>
        <v/>
      </c>
      <c r="G704" s="21">
        <f>IF($N$1="Piping", IF(ISBLANK(Piping!G704), "", Piping!G704), IF($N$1="Vessels", IF(ISBLANK(Vessels!G704), "", Vessels!G704), ""))</f>
        <v>0</v>
      </c>
      <c r="H704" s="21" t="str">
        <f>IF($N$1="Piping", IF(ISBLANK(Piping!H704), "", Piping!H704), IF($N$1="Vessels", IF(ISBLANK(Vessels!H704), "", Vessels!H704), ""))</f>
        <v/>
      </c>
      <c r="I704" s="21" t="str">
        <f>IF($N$1="Piping", IF(ISBLANK(Piping!I704), "", Piping!I704), IF($N$1="Vessels", IF(ISBLANK(Vessels!I704), "", Vessels!I704), ""))</f>
        <v/>
      </c>
      <c r="J704" s="21" t="str">
        <f>IF($N$1="Piping", IF(ISBLANK(Piping!J704), "", Piping!J704), IF($N$1="Vessels", IF(ISBLANK(Vessels!J704), "", Vessels!J704), ""))</f>
        <v/>
      </c>
      <c r="K704" s="21" t="str">
        <f>IF($N$1="Piping", IF(ISBLANK(Piping!K704), "", Piping!K704), IF($N$1="Vessels", IF(ISBLANK(Vessels!K704), "", Vessels!K704), ""))</f>
        <v/>
      </c>
      <c r="L704" s="21" t="str">
        <f>IF($N$1="Piping", IF(ISBLANK(Piping!L704), "", Piping!L704), IF($N$1="Vessels", IF(ISBLANK(Vessels!L704), "", Vessels!L704), ""))</f>
        <v/>
      </c>
      <c r="M704" s="21"/>
      <c r="N704" s="21"/>
      <c r="O704" s="21"/>
      <c r="P704" s="21"/>
      <c r="Q704" s="21" t="str">
        <f>IF($N$1="Piping", IF(ISBLANK(Piping!T704), "", Piping!T704), IF($N$1="Vessels", IF(ISBLANK(Vessels!T704), "", Vessels!T704), ""))</f>
        <v/>
      </c>
      <c r="R704" s="51" t="str">
        <f>IF($N$1="Piping", IF(ISBLANK(Piping!U704), "", Piping!U704), IF($N$1="Vessels", IF(ISBLANK(Vessels!U704), "", Vessels!U704), ""))</f>
        <v/>
      </c>
      <c r="S704" s="118" t="str">
        <f>IF(B704&lt;&gt;"",IF($N$1="Piping", IF(ISBLANK(Piping!$J$3), "", Piping!$J$3), IF($N$1="Vessels", IF(ISBLANK(Vessels!$J$3), "", Vessels!$J$3), "")),"")</f>
        <v/>
      </c>
      <c r="T704" s="37"/>
      <c r="U704" s="37"/>
      <c r="V704" s="37"/>
      <c r="W704" s="37"/>
      <c r="X704" s="37"/>
      <c r="Y704" s="37"/>
      <c r="Z704" s="37"/>
    </row>
    <row r="705" spans="1:26" ht="15.75" customHeight="1" x14ac:dyDescent="0.3">
      <c r="A705" s="22">
        <f>IF($N$1="Piping", IF(ISBLANK(Piping!A705), "", Piping!A705), IF($N$1="Vessels", IF(ISBLANK(Vessels!A705), "", Vessels!A705), ""))</f>
        <v>175.4</v>
      </c>
      <c r="B705" s="21" t="str">
        <f>IF($N$1="Piping", IF(ISBLANK(Piping!B705), "", Piping!B705), IF($N$1="Vessels", IF(ISBLANK(Vessels!B705), "", Vessels!B705), ""))</f>
        <v/>
      </c>
      <c r="C705" s="21" t="str">
        <f>IF($N$1="Piping", IF(ISBLANK(Piping!C705), "", Piping!C705), IF($N$1="Vessels", IF(ISBLANK(Vessels!C705), "", Vessels!C705), ""))</f>
        <v>Piping</v>
      </c>
      <c r="D705" s="21" t="str">
        <f>IF($N$1="Piping", IF(ISBLANK(Piping!D705), "", Piping!D705), IF($N$1="Vessels", IF(ISBLANK(Vessels!D705), "", Vessels!D705), ""))</f>
        <v/>
      </c>
      <c r="E705" s="21" t="str">
        <f>IF($N$1="Piping", IF(ISBLANK(Piping!E705), "", Piping!E705), IF($N$1="Vessels", IF(ISBLANK(Vessels!E705), "", Vessels!E705), ""))</f>
        <v/>
      </c>
      <c r="F705" s="21" t="str">
        <f>IF($N$1="Piping", IF(ISBLANK(Piping!F705), "", Piping!F705), IF($N$1="Vessels", IF(ISBLANK(Vessels!F705), "", Vessels!F705), ""))</f>
        <v/>
      </c>
      <c r="G705" s="21">
        <f>IF($N$1="Piping", IF(ISBLANK(Piping!G705), "", Piping!G705), IF($N$1="Vessels", IF(ISBLANK(Vessels!G705), "", Vessels!G705), ""))</f>
        <v>0</v>
      </c>
      <c r="H705" s="21" t="str">
        <f>IF($N$1="Piping", IF(ISBLANK(Piping!H705), "", Piping!H705), IF($N$1="Vessels", IF(ISBLANK(Vessels!H705), "", Vessels!H705), ""))</f>
        <v/>
      </c>
      <c r="I705" s="21" t="str">
        <f>IF($N$1="Piping", IF(ISBLANK(Piping!I705), "", Piping!I705), IF($N$1="Vessels", IF(ISBLANK(Vessels!I705), "", Vessels!I705), ""))</f>
        <v/>
      </c>
      <c r="J705" s="21" t="str">
        <f>IF($N$1="Piping", IF(ISBLANK(Piping!J705), "", Piping!J705), IF($N$1="Vessels", IF(ISBLANK(Vessels!J705), "", Vessels!J705), ""))</f>
        <v/>
      </c>
      <c r="K705" s="21" t="str">
        <f>IF($N$1="Piping", IF(ISBLANK(Piping!K705), "", Piping!K705), IF($N$1="Vessels", IF(ISBLANK(Vessels!K705), "", Vessels!K705), ""))</f>
        <v/>
      </c>
      <c r="L705" s="21" t="str">
        <f>IF($N$1="Piping", IF(ISBLANK(Piping!L705), "", Piping!L705), IF($N$1="Vessels", IF(ISBLANK(Vessels!L705), "", Vessels!L705), ""))</f>
        <v/>
      </c>
      <c r="M705" s="21"/>
      <c r="N705" s="21"/>
      <c r="O705" s="21"/>
      <c r="P705" s="21"/>
      <c r="Q705" s="21" t="str">
        <f>IF($N$1="Piping", IF(ISBLANK(Piping!T705), "", Piping!T705), IF($N$1="Vessels", IF(ISBLANK(Vessels!T705), "", Vessels!T705), ""))</f>
        <v/>
      </c>
      <c r="R705" s="51" t="str">
        <f>IF($N$1="Piping", IF(ISBLANK(Piping!U705), "", Piping!U705), IF($N$1="Vessels", IF(ISBLANK(Vessels!U705), "", Vessels!U705), ""))</f>
        <v/>
      </c>
      <c r="S705" s="118" t="str">
        <f>IF(B705&lt;&gt;"",IF($N$1="Piping", IF(ISBLANK(Piping!$J$3), "", Piping!$J$3), IF($N$1="Vessels", IF(ISBLANK(Vessels!$J$3), "", Vessels!$J$3), "")),"")</f>
        <v/>
      </c>
      <c r="T705" s="37"/>
      <c r="U705" s="37"/>
      <c r="V705" s="37"/>
      <c r="W705" s="37"/>
      <c r="X705" s="37"/>
      <c r="Y705" s="37"/>
      <c r="Z705" s="37"/>
    </row>
    <row r="706" spans="1:26" ht="15.75" customHeight="1" x14ac:dyDescent="0.3">
      <c r="A706" s="22">
        <f>IF($N$1="Piping", IF(ISBLANK(Piping!A706), "", Piping!A706), IF($N$1="Vessels", IF(ISBLANK(Vessels!A706), "", Vessels!A706), ""))</f>
        <v>176.1</v>
      </c>
      <c r="B706" s="21" t="str">
        <f>IF($N$1="Piping", IF(ISBLANK(Piping!B706), "", Piping!B706), IF($N$1="Vessels", IF(ISBLANK(Vessels!B706), "", Vessels!B706), ""))</f>
        <v/>
      </c>
      <c r="C706" s="21" t="str">
        <f>IF($N$1="Piping", IF(ISBLANK(Piping!C706), "", Piping!C706), IF($N$1="Vessels", IF(ISBLANK(Vessels!C706), "", Vessels!C706), ""))</f>
        <v>Piping</v>
      </c>
      <c r="D706" s="21" t="str">
        <f>IF($N$1="Piping", IF(ISBLANK(Piping!D706), "", Piping!D706), IF($N$1="Vessels", IF(ISBLANK(Vessels!D706), "", Vessels!D706), ""))</f>
        <v/>
      </c>
      <c r="E706" s="21" t="str">
        <f>IF($N$1="Piping", IF(ISBLANK(Piping!E706), "", Piping!E706), IF($N$1="Vessels", IF(ISBLANK(Vessels!E706), "", Vessels!E706), ""))</f>
        <v/>
      </c>
      <c r="F706" s="21" t="str">
        <f>IF($N$1="Piping", IF(ISBLANK(Piping!F706), "", Piping!F706), IF($N$1="Vessels", IF(ISBLANK(Vessels!F706), "", Vessels!F706), ""))</f>
        <v/>
      </c>
      <c r="G706" s="21">
        <f>IF($N$1="Piping", IF(ISBLANK(Piping!G706), "", Piping!G706), IF($N$1="Vessels", IF(ISBLANK(Vessels!G706), "", Vessels!G706), ""))</f>
        <v>0</v>
      </c>
      <c r="H706" s="21" t="str">
        <f>IF($N$1="Piping", IF(ISBLANK(Piping!H706), "", Piping!H706), IF($N$1="Vessels", IF(ISBLANK(Vessels!H706), "", Vessels!H706), ""))</f>
        <v/>
      </c>
      <c r="I706" s="21" t="str">
        <f>IF($N$1="Piping", IF(ISBLANK(Piping!I706), "", Piping!I706), IF($N$1="Vessels", IF(ISBLANK(Vessels!I706), "", Vessels!I706), ""))</f>
        <v/>
      </c>
      <c r="J706" s="21" t="str">
        <f>IF($N$1="Piping", IF(ISBLANK(Piping!J706), "", Piping!J706), IF($N$1="Vessels", IF(ISBLANK(Vessels!J706), "", Vessels!J706), ""))</f>
        <v/>
      </c>
      <c r="K706" s="21" t="str">
        <f>IF($N$1="Piping", IF(ISBLANK(Piping!K706), "", Piping!K706), IF($N$1="Vessels", IF(ISBLANK(Vessels!K706), "", Vessels!K706), ""))</f>
        <v/>
      </c>
      <c r="L706" s="21" t="str">
        <f>IF($N$1="Piping", IF(ISBLANK(Piping!L706), "", Piping!L706), IF($N$1="Vessels", IF(ISBLANK(Vessels!L706), "", Vessels!L706), ""))</f>
        <v/>
      </c>
      <c r="M706" s="21"/>
      <c r="N706" s="21"/>
      <c r="O706" s="21"/>
      <c r="P706" s="21"/>
      <c r="Q706" s="21" t="str">
        <f>IF($N$1="Piping", IF(ISBLANK(Piping!T706), "", Piping!T706), IF($N$1="Vessels", IF(ISBLANK(Vessels!T706), "", Vessels!T706), ""))</f>
        <v/>
      </c>
      <c r="R706" s="51" t="str">
        <f>IF($N$1="Piping", IF(ISBLANK(Piping!U706), "", Piping!U706), IF($N$1="Vessels", IF(ISBLANK(Vessels!U706), "", Vessels!U706), ""))</f>
        <v/>
      </c>
      <c r="S706" s="118" t="str">
        <f>IF(B706&lt;&gt;"",IF($N$1="Piping", IF(ISBLANK(Piping!$J$3), "", Piping!$J$3), IF($N$1="Vessels", IF(ISBLANK(Vessels!$J$3), "", Vessels!$J$3), "")),"")</f>
        <v/>
      </c>
      <c r="T706" s="37"/>
      <c r="U706" s="37"/>
      <c r="V706" s="37"/>
      <c r="W706" s="37"/>
      <c r="X706" s="37"/>
      <c r="Y706" s="37"/>
      <c r="Z706" s="37"/>
    </row>
    <row r="707" spans="1:26" ht="15.75" customHeight="1" x14ac:dyDescent="0.3">
      <c r="A707" s="22">
        <f>IF($N$1="Piping", IF(ISBLANK(Piping!A707), "", Piping!A707), IF($N$1="Vessels", IF(ISBLANK(Vessels!A707), "", Vessels!A707), ""))</f>
        <v>176.2</v>
      </c>
      <c r="B707" s="21" t="str">
        <f>IF($N$1="Piping", IF(ISBLANK(Piping!B707), "", Piping!B707), IF($N$1="Vessels", IF(ISBLANK(Vessels!B707), "", Vessels!B707), ""))</f>
        <v/>
      </c>
      <c r="C707" s="21" t="str">
        <f>IF($N$1="Piping", IF(ISBLANK(Piping!C707), "", Piping!C707), IF($N$1="Vessels", IF(ISBLANK(Vessels!C707), "", Vessels!C707), ""))</f>
        <v>Piping</v>
      </c>
      <c r="D707" s="21" t="str">
        <f>IF($N$1="Piping", IF(ISBLANK(Piping!D707), "", Piping!D707), IF($N$1="Vessels", IF(ISBLANK(Vessels!D707), "", Vessels!D707), ""))</f>
        <v/>
      </c>
      <c r="E707" s="21" t="str">
        <f>IF($N$1="Piping", IF(ISBLANK(Piping!E707), "", Piping!E707), IF($N$1="Vessels", IF(ISBLANK(Vessels!E707), "", Vessels!E707), ""))</f>
        <v/>
      </c>
      <c r="F707" s="21" t="str">
        <f>IF($N$1="Piping", IF(ISBLANK(Piping!F707), "", Piping!F707), IF($N$1="Vessels", IF(ISBLANK(Vessels!F707), "", Vessels!F707), ""))</f>
        <v/>
      </c>
      <c r="G707" s="21">
        <f>IF($N$1="Piping", IF(ISBLANK(Piping!G707), "", Piping!G707), IF($N$1="Vessels", IF(ISBLANK(Vessels!G707), "", Vessels!G707), ""))</f>
        <v>0</v>
      </c>
      <c r="H707" s="21" t="str">
        <f>IF($N$1="Piping", IF(ISBLANK(Piping!H707), "", Piping!H707), IF($N$1="Vessels", IF(ISBLANK(Vessels!H707), "", Vessels!H707), ""))</f>
        <v/>
      </c>
      <c r="I707" s="21" t="str">
        <f>IF($N$1="Piping", IF(ISBLANK(Piping!I707), "", Piping!I707), IF($N$1="Vessels", IF(ISBLANK(Vessels!I707), "", Vessels!I707), ""))</f>
        <v/>
      </c>
      <c r="J707" s="21" t="str">
        <f>IF($N$1="Piping", IF(ISBLANK(Piping!J707), "", Piping!J707), IF($N$1="Vessels", IF(ISBLANK(Vessels!J707), "", Vessels!J707), ""))</f>
        <v/>
      </c>
      <c r="K707" s="21" t="str">
        <f>IF($N$1="Piping", IF(ISBLANK(Piping!K707), "", Piping!K707), IF($N$1="Vessels", IF(ISBLANK(Vessels!K707), "", Vessels!K707), ""))</f>
        <v/>
      </c>
      <c r="L707" s="21" t="str">
        <f>IF($N$1="Piping", IF(ISBLANK(Piping!L707), "", Piping!L707), IF($N$1="Vessels", IF(ISBLANK(Vessels!L707), "", Vessels!L707), ""))</f>
        <v/>
      </c>
      <c r="M707" s="21"/>
      <c r="N707" s="21"/>
      <c r="O707" s="21"/>
      <c r="P707" s="21"/>
      <c r="Q707" s="21" t="str">
        <f>IF($N$1="Piping", IF(ISBLANK(Piping!T707), "", Piping!T707), IF($N$1="Vessels", IF(ISBLANK(Vessels!T707), "", Vessels!T707), ""))</f>
        <v/>
      </c>
      <c r="R707" s="51" t="str">
        <f>IF($N$1="Piping", IF(ISBLANK(Piping!U707), "", Piping!U707), IF($N$1="Vessels", IF(ISBLANK(Vessels!U707), "", Vessels!U707), ""))</f>
        <v/>
      </c>
      <c r="S707" s="118" t="str">
        <f>IF(B707&lt;&gt;"",IF($N$1="Piping", IF(ISBLANK(Piping!$J$3), "", Piping!$J$3), IF($N$1="Vessels", IF(ISBLANK(Vessels!$J$3), "", Vessels!$J$3), "")),"")</f>
        <v/>
      </c>
      <c r="T707" s="37"/>
      <c r="U707" s="37"/>
      <c r="V707" s="37"/>
      <c r="W707" s="37"/>
      <c r="X707" s="37"/>
      <c r="Y707" s="37"/>
      <c r="Z707" s="37"/>
    </row>
    <row r="708" spans="1:26" ht="15.75" customHeight="1" x14ac:dyDescent="0.3">
      <c r="A708" s="22">
        <f>IF($N$1="Piping", IF(ISBLANK(Piping!A708), "", Piping!A708), IF($N$1="Vessels", IF(ISBLANK(Vessels!A708), "", Vessels!A708), ""))</f>
        <v>176.3</v>
      </c>
      <c r="B708" s="21" t="str">
        <f>IF($N$1="Piping", IF(ISBLANK(Piping!B708), "", Piping!B708), IF($N$1="Vessels", IF(ISBLANK(Vessels!B708), "", Vessels!B708), ""))</f>
        <v/>
      </c>
      <c r="C708" s="21" t="str">
        <f>IF($N$1="Piping", IF(ISBLANK(Piping!C708), "", Piping!C708), IF($N$1="Vessels", IF(ISBLANK(Vessels!C708), "", Vessels!C708), ""))</f>
        <v>Piping</v>
      </c>
      <c r="D708" s="21" t="str">
        <f>IF($N$1="Piping", IF(ISBLANK(Piping!D708), "", Piping!D708), IF($N$1="Vessels", IF(ISBLANK(Vessels!D708), "", Vessels!D708), ""))</f>
        <v/>
      </c>
      <c r="E708" s="21" t="str">
        <f>IF($N$1="Piping", IF(ISBLANK(Piping!E708), "", Piping!E708), IF($N$1="Vessels", IF(ISBLANK(Vessels!E708), "", Vessels!E708), ""))</f>
        <v/>
      </c>
      <c r="F708" s="21" t="str">
        <f>IF($N$1="Piping", IF(ISBLANK(Piping!F708), "", Piping!F708), IF($N$1="Vessels", IF(ISBLANK(Vessels!F708), "", Vessels!F708), ""))</f>
        <v/>
      </c>
      <c r="G708" s="21">
        <f>IF($N$1="Piping", IF(ISBLANK(Piping!G708), "", Piping!G708), IF($N$1="Vessels", IF(ISBLANK(Vessels!G708), "", Vessels!G708), ""))</f>
        <v>0</v>
      </c>
      <c r="H708" s="21" t="str">
        <f>IF($N$1="Piping", IF(ISBLANK(Piping!H708), "", Piping!H708), IF($N$1="Vessels", IF(ISBLANK(Vessels!H708), "", Vessels!H708), ""))</f>
        <v/>
      </c>
      <c r="I708" s="21" t="str">
        <f>IF($N$1="Piping", IF(ISBLANK(Piping!I708), "", Piping!I708), IF($N$1="Vessels", IF(ISBLANK(Vessels!I708), "", Vessels!I708), ""))</f>
        <v/>
      </c>
      <c r="J708" s="21" t="str">
        <f>IF($N$1="Piping", IF(ISBLANK(Piping!J708), "", Piping!J708), IF($N$1="Vessels", IF(ISBLANK(Vessels!J708), "", Vessels!J708), ""))</f>
        <v/>
      </c>
      <c r="K708" s="21" t="str">
        <f>IF($N$1="Piping", IF(ISBLANK(Piping!K708), "", Piping!K708), IF($N$1="Vessels", IF(ISBLANK(Vessels!K708), "", Vessels!K708), ""))</f>
        <v/>
      </c>
      <c r="L708" s="21" t="str">
        <f>IF($N$1="Piping", IF(ISBLANK(Piping!L708), "", Piping!L708), IF($N$1="Vessels", IF(ISBLANK(Vessels!L708), "", Vessels!L708), ""))</f>
        <v/>
      </c>
      <c r="M708" s="21"/>
      <c r="N708" s="21"/>
      <c r="O708" s="21"/>
      <c r="P708" s="21"/>
      <c r="Q708" s="21" t="str">
        <f>IF($N$1="Piping", IF(ISBLANK(Piping!T708), "", Piping!T708), IF($N$1="Vessels", IF(ISBLANK(Vessels!T708), "", Vessels!T708), ""))</f>
        <v/>
      </c>
      <c r="R708" s="51" t="str">
        <f>IF($N$1="Piping", IF(ISBLANK(Piping!U708), "", Piping!U708), IF($N$1="Vessels", IF(ISBLANK(Vessels!U708), "", Vessels!U708), ""))</f>
        <v/>
      </c>
      <c r="S708" s="118" t="str">
        <f>IF(B708&lt;&gt;"",IF($N$1="Piping", IF(ISBLANK(Piping!$J$3), "", Piping!$J$3), IF($N$1="Vessels", IF(ISBLANK(Vessels!$J$3), "", Vessels!$J$3), "")),"")</f>
        <v/>
      </c>
      <c r="T708" s="37"/>
      <c r="U708" s="37"/>
      <c r="V708" s="37"/>
      <c r="W708" s="37"/>
      <c r="X708" s="37"/>
      <c r="Y708" s="37"/>
      <c r="Z708" s="37"/>
    </row>
    <row r="709" spans="1:26" ht="15.75" customHeight="1" x14ac:dyDescent="0.3">
      <c r="A709" s="22">
        <f>IF($N$1="Piping", IF(ISBLANK(Piping!A709), "", Piping!A709), IF($N$1="Vessels", IF(ISBLANK(Vessels!A709), "", Vessels!A709), ""))</f>
        <v>176.4</v>
      </c>
      <c r="B709" s="21" t="str">
        <f>IF($N$1="Piping", IF(ISBLANK(Piping!B709), "", Piping!B709), IF($N$1="Vessels", IF(ISBLANK(Vessels!B709), "", Vessels!B709), ""))</f>
        <v/>
      </c>
      <c r="C709" s="21" t="str">
        <f>IF($N$1="Piping", IF(ISBLANK(Piping!C709), "", Piping!C709), IF($N$1="Vessels", IF(ISBLANK(Vessels!C709), "", Vessels!C709), ""))</f>
        <v>Piping</v>
      </c>
      <c r="D709" s="21" t="str">
        <f>IF($N$1="Piping", IF(ISBLANK(Piping!D709), "", Piping!D709), IF($N$1="Vessels", IF(ISBLANK(Vessels!D709), "", Vessels!D709), ""))</f>
        <v/>
      </c>
      <c r="E709" s="21" t="str">
        <f>IF($N$1="Piping", IF(ISBLANK(Piping!E709), "", Piping!E709), IF($N$1="Vessels", IF(ISBLANK(Vessels!E709), "", Vessels!E709), ""))</f>
        <v/>
      </c>
      <c r="F709" s="21" t="str">
        <f>IF($N$1="Piping", IF(ISBLANK(Piping!F709), "", Piping!F709), IF($N$1="Vessels", IF(ISBLANK(Vessels!F709), "", Vessels!F709), ""))</f>
        <v/>
      </c>
      <c r="G709" s="21">
        <f>IF($N$1="Piping", IF(ISBLANK(Piping!G709), "", Piping!G709), IF($N$1="Vessels", IF(ISBLANK(Vessels!G709), "", Vessels!G709), ""))</f>
        <v>0</v>
      </c>
      <c r="H709" s="21" t="str">
        <f>IF($N$1="Piping", IF(ISBLANK(Piping!H709), "", Piping!H709), IF($N$1="Vessels", IF(ISBLANK(Vessels!H709), "", Vessels!H709), ""))</f>
        <v/>
      </c>
      <c r="I709" s="21" t="str">
        <f>IF($N$1="Piping", IF(ISBLANK(Piping!I709), "", Piping!I709), IF($N$1="Vessels", IF(ISBLANK(Vessels!I709), "", Vessels!I709), ""))</f>
        <v/>
      </c>
      <c r="J709" s="21" t="str">
        <f>IF($N$1="Piping", IF(ISBLANK(Piping!J709), "", Piping!J709), IF($N$1="Vessels", IF(ISBLANK(Vessels!J709), "", Vessels!J709), ""))</f>
        <v/>
      </c>
      <c r="K709" s="21" t="str">
        <f>IF($N$1="Piping", IF(ISBLANK(Piping!K709), "", Piping!K709), IF($N$1="Vessels", IF(ISBLANK(Vessels!K709), "", Vessels!K709), ""))</f>
        <v/>
      </c>
      <c r="L709" s="21" t="str">
        <f>IF($N$1="Piping", IF(ISBLANK(Piping!L709), "", Piping!L709), IF($N$1="Vessels", IF(ISBLANK(Vessels!L709), "", Vessels!L709), ""))</f>
        <v/>
      </c>
      <c r="M709" s="21"/>
      <c r="N709" s="21"/>
      <c r="O709" s="21"/>
      <c r="P709" s="21"/>
      <c r="Q709" s="21" t="str">
        <f>IF($N$1="Piping", IF(ISBLANK(Piping!T709), "", Piping!T709), IF($N$1="Vessels", IF(ISBLANK(Vessels!T709), "", Vessels!T709), ""))</f>
        <v/>
      </c>
      <c r="R709" s="51" t="str">
        <f>IF($N$1="Piping", IF(ISBLANK(Piping!U709), "", Piping!U709), IF($N$1="Vessels", IF(ISBLANK(Vessels!U709), "", Vessels!U709), ""))</f>
        <v/>
      </c>
      <c r="S709" s="118" t="str">
        <f>IF(B709&lt;&gt;"",IF($N$1="Piping", IF(ISBLANK(Piping!$J$3), "", Piping!$J$3), IF($N$1="Vessels", IF(ISBLANK(Vessels!$J$3), "", Vessels!$J$3), "")),"")</f>
        <v/>
      </c>
      <c r="T709" s="37"/>
      <c r="U709" s="37"/>
      <c r="V709" s="37"/>
      <c r="W709" s="37"/>
      <c r="X709" s="37"/>
      <c r="Y709" s="37"/>
      <c r="Z709" s="37"/>
    </row>
    <row r="710" spans="1:26" ht="15.75" customHeight="1" x14ac:dyDescent="0.3">
      <c r="A710" s="22">
        <f>IF($N$1="Piping", IF(ISBLANK(Piping!A710), "", Piping!A710), IF($N$1="Vessels", IF(ISBLANK(Vessels!A710), "", Vessels!A710), ""))</f>
        <v>177.1</v>
      </c>
      <c r="B710" s="21" t="str">
        <f>IF($N$1="Piping", IF(ISBLANK(Piping!B710), "", Piping!B710), IF($N$1="Vessels", IF(ISBLANK(Vessels!B710), "", Vessels!B710), ""))</f>
        <v/>
      </c>
      <c r="C710" s="21" t="str">
        <f>IF($N$1="Piping", IF(ISBLANK(Piping!C710), "", Piping!C710), IF($N$1="Vessels", IF(ISBLANK(Vessels!C710), "", Vessels!C710), ""))</f>
        <v>Piping</v>
      </c>
      <c r="D710" s="21" t="str">
        <f>IF($N$1="Piping", IF(ISBLANK(Piping!D710), "", Piping!D710), IF($N$1="Vessels", IF(ISBLANK(Vessels!D710), "", Vessels!D710), ""))</f>
        <v/>
      </c>
      <c r="E710" s="21" t="str">
        <f>IF($N$1="Piping", IF(ISBLANK(Piping!E710), "", Piping!E710), IF($N$1="Vessels", IF(ISBLANK(Vessels!E710), "", Vessels!E710), ""))</f>
        <v/>
      </c>
      <c r="F710" s="21" t="str">
        <f>IF($N$1="Piping", IF(ISBLANK(Piping!F710), "", Piping!F710), IF($N$1="Vessels", IF(ISBLANK(Vessels!F710), "", Vessels!F710), ""))</f>
        <v/>
      </c>
      <c r="G710" s="21">
        <f>IF($N$1="Piping", IF(ISBLANK(Piping!G710), "", Piping!G710), IF($N$1="Vessels", IF(ISBLANK(Vessels!G710), "", Vessels!G710), ""))</f>
        <v>0</v>
      </c>
      <c r="H710" s="21" t="str">
        <f>IF($N$1="Piping", IF(ISBLANK(Piping!H710), "", Piping!H710), IF($N$1="Vessels", IF(ISBLANK(Vessels!H710), "", Vessels!H710), ""))</f>
        <v/>
      </c>
      <c r="I710" s="21" t="str">
        <f>IF($N$1="Piping", IF(ISBLANK(Piping!I710), "", Piping!I710), IF($N$1="Vessels", IF(ISBLANK(Vessels!I710), "", Vessels!I710), ""))</f>
        <v/>
      </c>
      <c r="J710" s="21" t="str">
        <f>IF($N$1="Piping", IF(ISBLANK(Piping!J710), "", Piping!J710), IF($N$1="Vessels", IF(ISBLANK(Vessels!J710), "", Vessels!J710), ""))</f>
        <v/>
      </c>
      <c r="K710" s="21" t="str">
        <f>IF($N$1="Piping", IF(ISBLANK(Piping!K710), "", Piping!K710), IF($N$1="Vessels", IF(ISBLANK(Vessels!K710), "", Vessels!K710), ""))</f>
        <v/>
      </c>
      <c r="L710" s="21" t="str">
        <f>IF($N$1="Piping", IF(ISBLANK(Piping!L710), "", Piping!L710), IF($N$1="Vessels", IF(ISBLANK(Vessels!L710), "", Vessels!L710), ""))</f>
        <v/>
      </c>
      <c r="M710" s="21"/>
      <c r="N710" s="21"/>
      <c r="O710" s="21"/>
      <c r="P710" s="21"/>
      <c r="Q710" s="21" t="str">
        <f>IF($N$1="Piping", IF(ISBLANK(Piping!T710), "", Piping!T710), IF($N$1="Vessels", IF(ISBLANK(Vessels!T710), "", Vessels!T710), ""))</f>
        <v/>
      </c>
      <c r="R710" s="51" t="str">
        <f>IF($N$1="Piping", IF(ISBLANK(Piping!U710), "", Piping!U710), IF($N$1="Vessels", IF(ISBLANK(Vessels!U710), "", Vessels!U710), ""))</f>
        <v/>
      </c>
      <c r="S710" s="118" t="str">
        <f>IF(B710&lt;&gt;"",IF($N$1="Piping", IF(ISBLANK(Piping!$J$3), "", Piping!$J$3), IF($N$1="Vessels", IF(ISBLANK(Vessels!$J$3), "", Vessels!$J$3), "")),"")</f>
        <v/>
      </c>
      <c r="T710" s="37"/>
      <c r="U710" s="37"/>
      <c r="V710" s="37"/>
      <c r="W710" s="37"/>
      <c r="X710" s="37"/>
      <c r="Y710" s="37"/>
      <c r="Z710" s="37"/>
    </row>
    <row r="711" spans="1:26" ht="15.75" customHeight="1" x14ac:dyDescent="0.3">
      <c r="A711" s="22">
        <f>IF($N$1="Piping", IF(ISBLANK(Piping!A711), "", Piping!A711), IF($N$1="Vessels", IF(ISBLANK(Vessels!A711), "", Vessels!A711), ""))</f>
        <v>177.2</v>
      </c>
      <c r="B711" s="21" t="str">
        <f>IF($N$1="Piping", IF(ISBLANK(Piping!B711), "", Piping!B711), IF($N$1="Vessels", IF(ISBLANK(Vessels!B711), "", Vessels!B711), ""))</f>
        <v/>
      </c>
      <c r="C711" s="21" t="str">
        <f>IF($N$1="Piping", IF(ISBLANK(Piping!C711), "", Piping!C711), IF($N$1="Vessels", IF(ISBLANK(Vessels!C711), "", Vessels!C711), ""))</f>
        <v>Piping</v>
      </c>
      <c r="D711" s="21" t="str">
        <f>IF($N$1="Piping", IF(ISBLANK(Piping!D711), "", Piping!D711), IF($N$1="Vessels", IF(ISBLANK(Vessels!D711), "", Vessels!D711), ""))</f>
        <v/>
      </c>
      <c r="E711" s="21" t="str">
        <f>IF($N$1="Piping", IF(ISBLANK(Piping!E711), "", Piping!E711), IF($N$1="Vessels", IF(ISBLANK(Vessels!E711), "", Vessels!E711), ""))</f>
        <v/>
      </c>
      <c r="F711" s="21" t="str">
        <f>IF($N$1="Piping", IF(ISBLANK(Piping!F711), "", Piping!F711), IF($N$1="Vessels", IF(ISBLANK(Vessels!F711), "", Vessels!F711), ""))</f>
        <v/>
      </c>
      <c r="G711" s="21">
        <f>IF($N$1="Piping", IF(ISBLANK(Piping!G711), "", Piping!G711), IF($N$1="Vessels", IF(ISBLANK(Vessels!G711), "", Vessels!G711), ""))</f>
        <v>0</v>
      </c>
      <c r="H711" s="21" t="str">
        <f>IF($N$1="Piping", IF(ISBLANK(Piping!H711), "", Piping!H711), IF($N$1="Vessels", IF(ISBLANK(Vessels!H711), "", Vessels!H711), ""))</f>
        <v/>
      </c>
      <c r="I711" s="21" t="str">
        <f>IF($N$1="Piping", IF(ISBLANK(Piping!I711), "", Piping!I711), IF($N$1="Vessels", IF(ISBLANK(Vessels!I711), "", Vessels!I711), ""))</f>
        <v/>
      </c>
      <c r="J711" s="21" t="str">
        <f>IF($N$1="Piping", IF(ISBLANK(Piping!J711), "", Piping!J711), IF($N$1="Vessels", IF(ISBLANK(Vessels!J711), "", Vessels!J711), ""))</f>
        <v/>
      </c>
      <c r="K711" s="21" t="str">
        <f>IF($N$1="Piping", IF(ISBLANK(Piping!K711), "", Piping!K711), IF($N$1="Vessels", IF(ISBLANK(Vessels!K711), "", Vessels!K711), ""))</f>
        <v/>
      </c>
      <c r="L711" s="21" t="str">
        <f>IF($N$1="Piping", IF(ISBLANK(Piping!L711), "", Piping!L711), IF($N$1="Vessels", IF(ISBLANK(Vessels!L711), "", Vessels!L711), ""))</f>
        <v/>
      </c>
      <c r="M711" s="21"/>
      <c r="N711" s="21"/>
      <c r="O711" s="21"/>
      <c r="P711" s="21"/>
      <c r="Q711" s="21" t="str">
        <f>IF($N$1="Piping", IF(ISBLANK(Piping!T711), "", Piping!T711), IF($N$1="Vessels", IF(ISBLANK(Vessels!T711), "", Vessels!T711), ""))</f>
        <v/>
      </c>
      <c r="R711" s="51" t="str">
        <f>IF($N$1="Piping", IF(ISBLANK(Piping!U711), "", Piping!U711), IF($N$1="Vessels", IF(ISBLANK(Vessels!U711), "", Vessels!U711), ""))</f>
        <v/>
      </c>
      <c r="S711" s="118" t="str">
        <f>IF(B711&lt;&gt;"",IF($N$1="Piping", IF(ISBLANK(Piping!$J$3), "", Piping!$J$3), IF($N$1="Vessels", IF(ISBLANK(Vessels!$J$3), "", Vessels!$J$3), "")),"")</f>
        <v/>
      </c>
      <c r="T711" s="37"/>
      <c r="U711" s="37"/>
      <c r="V711" s="37"/>
      <c r="W711" s="37"/>
      <c r="X711" s="37"/>
      <c r="Y711" s="37"/>
      <c r="Z711" s="37"/>
    </row>
    <row r="712" spans="1:26" ht="15.75" customHeight="1" x14ac:dyDescent="0.3">
      <c r="A712" s="22">
        <f>IF($N$1="Piping", IF(ISBLANK(Piping!A712), "", Piping!A712), IF($N$1="Vessels", IF(ISBLANK(Vessels!A712), "", Vessels!A712), ""))</f>
        <v>177.3</v>
      </c>
      <c r="B712" s="21" t="str">
        <f>IF($N$1="Piping", IF(ISBLANK(Piping!B712), "", Piping!B712), IF($N$1="Vessels", IF(ISBLANK(Vessels!B712), "", Vessels!B712), ""))</f>
        <v/>
      </c>
      <c r="C712" s="21" t="str">
        <f>IF($N$1="Piping", IF(ISBLANK(Piping!C712), "", Piping!C712), IF($N$1="Vessels", IF(ISBLANK(Vessels!C712), "", Vessels!C712), ""))</f>
        <v>Piping</v>
      </c>
      <c r="D712" s="21" t="str">
        <f>IF($N$1="Piping", IF(ISBLANK(Piping!D712), "", Piping!D712), IF($N$1="Vessels", IF(ISBLANK(Vessels!D712), "", Vessels!D712), ""))</f>
        <v/>
      </c>
      <c r="E712" s="21" t="str">
        <f>IF($N$1="Piping", IF(ISBLANK(Piping!E712), "", Piping!E712), IF($N$1="Vessels", IF(ISBLANK(Vessels!E712), "", Vessels!E712), ""))</f>
        <v/>
      </c>
      <c r="F712" s="21" t="str">
        <f>IF($N$1="Piping", IF(ISBLANK(Piping!F712), "", Piping!F712), IF($N$1="Vessels", IF(ISBLANK(Vessels!F712), "", Vessels!F712), ""))</f>
        <v/>
      </c>
      <c r="G712" s="21">
        <f>IF($N$1="Piping", IF(ISBLANK(Piping!G712), "", Piping!G712), IF($N$1="Vessels", IF(ISBLANK(Vessels!G712), "", Vessels!G712), ""))</f>
        <v>0</v>
      </c>
      <c r="H712" s="21" t="str">
        <f>IF($N$1="Piping", IF(ISBLANK(Piping!H712), "", Piping!H712), IF($N$1="Vessels", IF(ISBLANK(Vessels!H712), "", Vessels!H712), ""))</f>
        <v/>
      </c>
      <c r="I712" s="21" t="str">
        <f>IF($N$1="Piping", IF(ISBLANK(Piping!I712), "", Piping!I712), IF($N$1="Vessels", IF(ISBLANK(Vessels!I712), "", Vessels!I712), ""))</f>
        <v/>
      </c>
      <c r="J712" s="21" t="str">
        <f>IF($N$1="Piping", IF(ISBLANK(Piping!J712), "", Piping!J712), IF($N$1="Vessels", IF(ISBLANK(Vessels!J712), "", Vessels!J712), ""))</f>
        <v/>
      </c>
      <c r="K712" s="21" t="str">
        <f>IF($N$1="Piping", IF(ISBLANK(Piping!K712), "", Piping!K712), IF($N$1="Vessels", IF(ISBLANK(Vessels!K712), "", Vessels!K712), ""))</f>
        <v/>
      </c>
      <c r="L712" s="21" t="str">
        <f>IF($N$1="Piping", IF(ISBLANK(Piping!L712), "", Piping!L712), IF($N$1="Vessels", IF(ISBLANK(Vessels!L712), "", Vessels!L712), ""))</f>
        <v/>
      </c>
      <c r="M712" s="21"/>
      <c r="N712" s="21"/>
      <c r="O712" s="21"/>
      <c r="P712" s="21"/>
      <c r="Q712" s="21" t="str">
        <f>IF($N$1="Piping", IF(ISBLANK(Piping!T712), "", Piping!T712), IF($N$1="Vessels", IF(ISBLANK(Vessels!T712), "", Vessels!T712), ""))</f>
        <v/>
      </c>
      <c r="R712" s="51" t="str">
        <f>IF($N$1="Piping", IF(ISBLANK(Piping!U712), "", Piping!U712), IF($N$1="Vessels", IF(ISBLANK(Vessels!U712), "", Vessels!U712), ""))</f>
        <v/>
      </c>
      <c r="S712" s="118" t="str">
        <f>IF(B712&lt;&gt;"",IF($N$1="Piping", IF(ISBLANK(Piping!$J$3), "", Piping!$J$3), IF($N$1="Vessels", IF(ISBLANK(Vessels!$J$3), "", Vessels!$J$3), "")),"")</f>
        <v/>
      </c>
      <c r="T712" s="37"/>
      <c r="U712" s="37"/>
      <c r="V712" s="37"/>
      <c r="W712" s="37"/>
      <c r="X712" s="37"/>
      <c r="Y712" s="37"/>
      <c r="Z712" s="37"/>
    </row>
    <row r="713" spans="1:26" ht="15.75" customHeight="1" x14ac:dyDescent="0.3">
      <c r="A713" s="22">
        <f>IF($N$1="Piping", IF(ISBLANK(Piping!A713), "", Piping!A713), IF($N$1="Vessels", IF(ISBLANK(Vessels!A713), "", Vessels!A713), ""))</f>
        <v>177.4</v>
      </c>
      <c r="B713" s="21" t="str">
        <f>IF($N$1="Piping", IF(ISBLANK(Piping!B713), "", Piping!B713), IF($N$1="Vessels", IF(ISBLANK(Vessels!B713), "", Vessels!B713), ""))</f>
        <v/>
      </c>
      <c r="C713" s="21" t="str">
        <f>IF($N$1="Piping", IF(ISBLANK(Piping!C713), "", Piping!C713), IF($N$1="Vessels", IF(ISBLANK(Vessels!C713), "", Vessels!C713), ""))</f>
        <v>Piping</v>
      </c>
      <c r="D713" s="21" t="str">
        <f>IF($N$1="Piping", IF(ISBLANK(Piping!D713), "", Piping!D713), IF($N$1="Vessels", IF(ISBLANK(Vessels!D713), "", Vessels!D713), ""))</f>
        <v/>
      </c>
      <c r="E713" s="21" t="str">
        <f>IF($N$1="Piping", IF(ISBLANK(Piping!E713), "", Piping!E713), IF($N$1="Vessels", IF(ISBLANK(Vessels!E713), "", Vessels!E713), ""))</f>
        <v/>
      </c>
      <c r="F713" s="21" t="str">
        <f>IF($N$1="Piping", IF(ISBLANK(Piping!F713), "", Piping!F713), IF($N$1="Vessels", IF(ISBLANK(Vessels!F713), "", Vessels!F713), ""))</f>
        <v/>
      </c>
      <c r="G713" s="21">
        <f>IF($N$1="Piping", IF(ISBLANK(Piping!G713), "", Piping!G713), IF($N$1="Vessels", IF(ISBLANK(Vessels!G713), "", Vessels!G713), ""))</f>
        <v>0</v>
      </c>
      <c r="H713" s="21" t="str">
        <f>IF($N$1="Piping", IF(ISBLANK(Piping!H713), "", Piping!H713), IF($N$1="Vessels", IF(ISBLANK(Vessels!H713), "", Vessels!H713), ""))</f>
        <v/>
      </c>
      <c r="I713" s="21" t="str">
        <f>IF($N$1="Piping", IF(ISBLANK(Piping!I713), "", Piping!I713), IF($N$1="Vessels", IF(ISBLANK(Vessels!I713), "", Vessels!I713), ""))</f>
        <v/>
      </c>
      <c r="J713" s="21" t="str">
        <f>IF($N$1="Piping", IF(ISBLANK(Piping!J713), "", Piping!J713), IF($N$1="Vessels", IF(ISBLANK(Vessels!J713), "", Vessels!J713), ""))</f>
        <v/>
      </c>
      <c r="K713" s="21" t="str">
        <f>IF($N$1="Piping", IF(ISBLANK(Piping!K713), "", Piping!K713), IF($N$1="Vessels", IF(ISBLANK(Vessels!K713), "", Vessels!K713), ""))</f>
        <v/>
      </c>
      <c r="L713" s="21" t="str">
        <f>IF($N$1="Piping", IF(ISBLANK(Piping!L713), "", Piping!L713), IF($N$1="Vessels", IF(ISBLANK(Vessels!L713), "", Vessels!L713), ""))</f>
        <v/>
      </c>
      <c r="M713" s="21"/>
      <c r="N713" s="21"/>
      <c r="O713" s="21"/>
      <c r="P713" s="21"/>
      <c r="Q713" s="21" t="str">
        <f>IF($N$1="Piping", IF(ISBLANK(Piping!T713), "", Piping!T713), IF($N$1="Vessels", IF(ISBLANK(Vessels!T713), "", Vessels!T713), ""))</f>
        <v/>
      </c>
      <c r="R713" s="51" t="str">
        <f>IF($N$1="Piping", IF(ISBLANK(Piping!U713), "", Piping!U713), IF($N$1="Vessels", IF(ISBLANK(Vessels!U713), "", Vessels!U713), ""))</f>
        <v/>
      </c>
      <c r="S713" s="118" t="str">
        <f>IF(B713&lt;&gt;"",IF($N$1="Piping", IF(ISBLANK(Piping!$J$3), "", Piping!$J$3), IF($N$1="Vessels", IF(ISBLANK(Vessels!$J$3), "", Vessels!$J$3), "")),"")</f>
        <v/>
      </c>
      <c r="T713" s="37"/>
      <c r="U713" s="37"/>
      <c r="V713" s="37"/>
      <c r="W713" s="37"/>
      <c r="X713" s="37"/>
      <c r="Y713" s="37"/>
      <c r="Z713" s="37"/>
    </row>
    <row r="714" spans="1:26" ht="15.75" customHeight="1" x14ac:dyDescent="0.3">
      <c r="A714" s="22">
        <f>IF($N$1="Piping", IF(ISBLANK(Piping!A714), "", Piping!A714), IF($N$1="Vessels", IF(ISBLANK(Vessels!A714), "", Vessels!A714), ""))</f>
        <v>178.1</v>
      </c>
      <c r="B714" s="21" t="str">
        <f>IF($N$1="Piping", IF(ISBLANK(Piping!B714), "", Piping!B714), IF($N$1="Vessels", IF(ISBLANK(Vessels!B714), "", Vessels!B714), ""))</f>
        <v/>
      </c>
      <c r="C714" s="21" t="str">
        <f>IF($N$1="Piping", IF(ISBLANK(Piping!C714), "", Piping!C714), IF($N$1="Vessels", IF(ISBLANK(Vessels!C714), "", Vessels!C714), ""))</f>
        <v>Piping</v>
      </c>
      <c r="D714" s="21" t="str">
        <f>IF($N$1="Piping", IF(ISBLANK(Piping!D714), "", Piping!D714), IF($N$1="Vessels", IF(ISBLANK(Vessels!D714), "", Vessels!D714), ""))</f>
        <v/>
      </c>
      <c r="E714" s="21" t="str">
        <f>IF($N$1="Piping", IF(ISBLANK(Piping!E714), "", Piping!E714), IF($N$1="Vessels", IF(ISBLANK(Vessels!E714), "", Vessels!E714), ""))</f>
        <v/>
      </c>
      <c r="F714" s="21" t="str">
        <f>IF($N$1="Piping", IF(ISBLANK(Piping!F714), "", Piping!F714), IF($N$1="Vessels", IF(ISBLANK(Vessels!F714), "", Vessels!F714), ""))</f>
        <v/>
      </c>
      <c r="G714" s="21">
        <f>IF($N$1="Piping", IF(ISBLANK(Piping!G714), "", Piping!G714), IF($N$1="Vessels", IF(ISBLANK(Vessels!G714), "", Vessels!G714), ""))</f>
        <v>0</v>
      </c>
      <c r="H714" s="21" t="str">
        <f>IF($N$1="Piping", IF(ISBLANK(Piping!H714), "", Piping!H714), IF($N$1="Vessels", IF(ISBLANK(Vessels!H714), "", Vessels!H714), ""))</f>
        <v/>
      </c>
      <c r="I714" s="21" t="str">
        <f>IF($N$1="Piping", IF(ISBLANK(Piping!I714), "", Piping!I714), IF($N$1="Vessels", IF(ISBLANK(Vessels!I714), "", Vessels!I714), ""))</f>
        <v/>
      </c>
      <c r="J714" s="21" t="str">
        <f>IF($N$1="Piping", IF(ISBLANK(Piping!J714), "", Piping!J714), IF($N$1="Vessels", IF(ISBLANK(Vessels!J714), "", Vessels!J714), ""))</f>
        <v/>
      </c>
      <c r="K714" s="21" t="str">
        <f>IF($N$1="Piping", IF(ISBLANK(Piping!K714), "", Piping!K714), IF($N$1="Vessels", IF(ISBLANK(Vessels!K714), "", Vessels!K714), ""))</f>
        <v/>
      </c>
      <c r="L714" s="21" t="str">
        <f>IF($N$1="Piping", IF(ISBLANK(Piping!L714), "", Piping!L714), IF($N$1="Vessels", IF(ISBLANK(Vessels!L714), "", Vessels!L714), ""))</f>
        <v/>
      </c>
      <c r="M714" s="21"/>
      <c r="N714" s="21"/>
      <c r="O714" s="21"/>
      <c r="P714" s="21"/>
      <c r="Q714" s="21" t="str">
        <f>IF($N$1="Piping", IF(ISBLANK(Piping!T714), "", Piping!T714), IF($N$1="Vessels", IF(ISBLANK(Vessels!T714), "", Vessels!T714), ""))</f>
        <v/>
      </c>
      <c r="R714" s="51" t="str">
        <f>IF($N$1="Piping", IF(ISBLANK(Piping!U714), "", Piping!U714), IF($N$1="Vessels", IF(ISBLANK(Vessels!U714), "", Vessels!U714), ""))</f>
        <v/>
      </c>
      <c r="S714" s="118" t="str">
        <f>IF(B714&lt;&gt;"",IF($N$1="Piping", IF(ISBLANK(Piping!$J$3), "", Piping!$J$3), IF($N$1="Vessels", IF(ISBLANK(Vessels!$J$3), "", Vessels!$J$3), "")),"")</f>
        <v/>
      </c>
      <c r="T714" s="37"/>
      <c r="U714" s="37"/>
      <c r="V714" s="37"/>
      <c r="W714" s="37"/>
      <c r="X714" s="37"/>
      <c r="Y714" s="37"/>
      <c r="Z714" s="37"/>
    </row>
    <row r="715" spans="1:26" ht="15.75" customHeight="1" x14ac:dyDescent="0.3">
      <c r="A715" s="22">
        <f>IF($N$1="Piping", IF(ISBLANK(Piping!A715), "", Piping!A715), IF($N$1="Vessels", IF(ISBLANK(Vessels!A715), "", Vessels!A715), ""))</f>
        <v>178.2</v>
      </c>
      <c r="B715" s="21" t="str">
        <f>IF($N$1="Piping", IF(ISBLANK(Piping!B715), "", Piping!B715), IF($N$1="Vessels", IF(ISBLANK(Vessels!B715), "", Vessels!B715), ""))</f>
        <v/>
      </c>
      <c r="C715" s="21" t="str">
        <f>IF($N$1="Piping", IF(ISBLANK(Piping!C715), "", Piping!C715), IF($N$1="Vessels", IF(ISBLANK(Vessels!C715), "", Vessels!C715), ""))</f>
        <v>Piping</v>
      </c>
      <c r="D715" s="21" t="str">
        <f>IF($N$1="Piping", IF(ISBLANK(Piping!D715), "", Piping!D715), IF($N$1="Vessels", IF(ISBLANK(Vessels!D715), "", Vessels!D715), ""))</f>
        <v/>
      </c>
      <c r="E715" s="21" t="str">
        <f>IF($N$1="Piping", IF(ISBLANK(Piping!E715), "", Piping!E715), IF($N$1="Vessels", IF(ISBLANK(Vessels!E715), "", Vessels!E715), ""))</f>
        <v/>
      </c>
      <c r="F715" s="21" t="str">
        <f>IF($N$1="Piping", IF(ISBLANK(Piping!F715), "", Piping!F715), IF($N$1="Vessels", IF(ISBLANK(Vessels!F715), "", Vessels!F715), ""))</f>
        <v/>
      </c>
      <c r="G715" s="21">
        <f>IF($N$1="Piping", IF(ISBLANK(Piping!G715), "", Piping!G715), IF($N$1="Vessels", IF(ISBLANK(Vessels!G715), "", Vessels!G715), ""))</f>
        <v>0</v>
      </c>
      <c r="H715" s="21" t="str">
        <f>IF($N$1="Piping", IF(ISBLANK(Piping!H715), "", Piping!H715), IF($N$1="Vessels", IF(ISBLANK(Vessels!H715), "", Vessels!H715), ""))</f>
        <v/>
      </c>
      <c r="I715" s="21" t="str">
        <f>IF($N$1="Piping", IF(ISBLANK(Piping!I715), "", Piping!I715), IF($N$1="Vessels", IF(ISBLANK(Vessels!I715), "", Vessels!I715), ""))</f>
        <v/>
      </c>
      <c r="J715" s="21" t="str">
        <f>IF($N$1="Piping", IF(ISBLANK(Piping!J715), "", Piping!J715), IF($N$1="Vessels", IF(ISBLANK(Vessels!J715), "", Vessels!J715), ""))</f>
        <v/>
      </c>
      <c r="K715" s="21" t="str">
        <f>IF($N$1="Piping", IF(ISBLANK(Piping!K715), "", Piping!K715), IF($N$1="Vessels", IF(ISBLANK(Vessels!K715), "", Vessels!K715), ""))</f>
        <v/>
      </c>
      <c r="L715" s="21" t="str">
        <f>IF($N$1="Piping", IF(ISBLANK(Piping!L715), "", Piping!L715), IF($N$1="Vessels", IF(ISBLANK(Vessels!L715), "", Vessels!L715), ""))</f>
        <v/>
      </c>
      <c r="M715" s="21"/>
      <c r="N715" s="21"/>
      <c r="O715" s="21"/>
      <c r="P715" s="21"/>
      <c r="Q715" s="21" t="str">
        <f>IF($N$1="Piping", IF(ISBLANK(Piping!T715), "", Piping!T715), IF($N$1="Vessels", IF(ISBLANK(Vessels!T715), "", Vessels!T715), ""))</f>
        <v/>
      </c>
      <c r="R715" s="51" t="str">
        <f>IF($N$1="Piping", IF(ISBLANK(Piping!U715), "", Piping!U715), IF($N$1="Vessels", IF(ISBLANK(Vessels!U715), "", Vessels!U715), ""))</f>
        <v/>
      </c>
      <c r="S715" s="118" t="str">
        <f>IF(B715&lt;&gt;"",IF($N$1="Piping", IF(ISBLANK(Piping!$J$3), "", Piping!$J$3), IF($N$1="Vessels", IF(ISBLANK(Vessels!$J$3), "", Vessels!$J$3), "")),"")</f>
        <v/>
      </c>
      <c r="T715" s="37"/>
      <c r="U715" s="37"/>
      <c r="V715" s="37"/>
      <c r="W715" s="37"/>
      <c r="X715" s="37"/>
      <c r="Y715" s="37"/>
      <c r="Z715" s="37"/>
    </row>
    <row r="716" spans="1:26" ht="15.75" customHeight="1" x14ac:dyDescent="0.3">
      <c r="A716" s="22">
        <f>IF($N$1="Piping", IF(ISBLANK(Piping!A716), "", Piping!A716), IF($N$1="Vessels", IF(ISBLANK(Vessels!A716), "", Vessels!A716), ""))</f>
        <v>178.3</v>
      </c>
      <c r="B716" s="21" t="str">
        <f>IF($N$1="Piping", IF(ISBLANK(Piping!B716), "", Piping!B716), IF($N$1="Vessels", IF(ISBLANK(Vessels!B716), "", Vessels!B716), ""))</f>
        <v/>
      </c>
      <c r="C716" s="21" t="str">
        <f>IF($N$1="Piping", IF(ISBLANK(Piping!C716), "", Piping!C716), IF($N$1="Vessels", IF(ISBLANK(Vessels!C716), "", Vessels!C716), ""))</f>
        <v>Piping</v>
      </c>
      <c r="D716" s="21" t="str">
        <f>IF($N$1="Piping", IF(ISBLANK(Piping!D716), "", Piping!D716), IF($N$1="Vessels", IF(ISBLANK(Vessels!D716), "", Vessels!D716), ""))</f>
        <v/>
      </c>
      <c r="E716" s="21" t="str">
        <f>IF($N$1="Piping", IF(ISBLANK(Piping!E716), "", Piping!E716), IF($N$1="Vessels", IF(ISBLANK(Vessels!E716), "", Vessels!E716), ""))</f>
        <v/>
      </c>
      <c r="F716" s="21" t="str">
        <f>IF($N$1="Piping", IF(ISBLANK(Piping!F716), "", Piping!F716), IF($N$1="Vessels", IF(ISBLANK(Vessels!F716), "", Vessels!F716), ""))</f>
        <v/>
      </c>
      <c r="G716" s="21">
        <f>IF($N$1="Piping", IF(ISBLANK(Piping!G716), "", Piping!G716), IF($N$1="Vessels", IF(ISBLANK(Vessels!G716), "", Vessels!G716), ""))</f>
        <v>0</v>
      </c>
      <c r="H716" s="21" t="str">
        <f>IF($N$1="Piping", IF(ISBLANK(Piping!H716), "", Piping!H716), IF($N$1="Vessels", IF(ISBLANK(Vessels!H716), "", Vessels!H716), ""))</f>
        <v/>
      </c>
      <c r="I716" s="21" t="str">
        <f>IF($N$1="Piping", IF(ISBLANK(Piping!I716), "", Piping!I716), IF($N$1="Vessels", IF(ISBLANK(Vessels!I716), "", Vessels!I716), ""))</f>
        <v/>
      </c>
      <c r="J716" s="21" t="str">
        <f>IF($N$1="Piping", IF(ISBLANK(Piping!J716), "", Piping!J716), IF($N$1="Vessels", IF(ISBLANK(Vessels!J716), "", Vessels!J716), ""))</f>
        <v/>
      </c>
      <c r="K716" s="21" t="str">
        <f>IF($N$1="Piping", IF(ISBLANK(Piping!K716), "", Piping!K716), IF($N$1="Vessels", IF(ISBLANK(Vessels!K716), "", Vessels!K716), ""))</f>
        <v/>
      </c>
      <c r="L716" s="21" t="str">
        <f>IF($N$1="Piping", IF(ISBLANK(Piping!L716), "", Piping!L716), IF($N$1="Vessels", IF(ISBLANK(Vessels!L716), "", Vessels!L716), ""))</f>
        <v/>
      </c>
      <c r="M716" s="21"/>
      <c r="N716" s="21"/>
      <c r="O716" s="21"/>
      <c r="P716" s="21"/>
      <c r="Q716" s="21" t="str">
        <f>IF($N$1="Piping", IF(ISBLANK(Piping!T716), "", Piping!T716), IF($N$1="Vessels", IF(ISBLANK(Vessels!T716), "", Vessels!T716), ""))</f>
        <v/>
      </c>
      <c r="R716" s="51" t="str">
        <f>IF($N$1="Piping", IF(ISBLANK(Piping!U716), "", Piping!U716), IF($N$1="Vessels", IF(ISBLANK(Vessels!U716), "", Vessels!U716), ""))</f>
        <v/>
      </c>
      <c r="S716" s="118" t="str">
        <f>IF(B716&lt;&gt;"",IF($N$1="Piping", IF(ISBLANK(Piping!$J$3), "", Piping!$J$3), IF($N$1="Vessels", IF(ISBLANK(Vessels!$J$3), "", Vessels!$J$3), "")),"")</f>
        <v/>
      </c>
      <c r="T716" s="37"/>
      <c r="U716" s="37"/>
      <c r="V716" s="37"/>
      <c r="W716" s="37"/>
      <c r="X716" s="37"/>
      <c r="Y716" s="37"/>
      <c r="Z716" s="37"/>
    </row>
    <row r="717" spans="1:26" ht="15.75" customHeight="1" x14ac:dyDescent="0.3">
      <c r="A717" s="22">
        <f>IF($N$1="Piping", IF(ISBLANK(Piping!A717), "", Piping!A717), IF($N$1="Vessels", IF(ISBLANK(Vessels!A717), "", Vessels!A717), ""))</f>
        <v>178.4</v>
      </c>
      <c r="B717" s="21" t="str">
        <f>IF($N$1="Piping", IF(ISBLANK(Piping!B717), "", Piping!B717), IF($N$1="Vessels", IF(ISBLANK(Vessels!B717), "", Vessels!B717), ""))</f>
        <v/>
      </c>
      <c r="C717" s="21" t="str">
        <f>IF($N$1="Piping", IF(ISBLANK(Piping!C717), "", Piping!C717), IF($N$1="Vessels", IF(ISBLANK(Vessels!C717), "", Vessels!C717), ""))</f>
        <v>Piping</v>
      </c>
      <c r="D717" s="21" t="str">
        <f>IF($N$1="Piping", IF(ISBLANK(Piping!D717), "", Piping!D717), IF($N$1="Vessels", IF(ISBLANK(Vessels!D717), "", Vessels!D717), ""))</f>
        <v/>
      </c>
      <c r="E717" s="21" t="str">
        <f>IF($N$1="Piping", IF(ISBLANK(Piping!E717), "", Piping!E717), IF($N$1="Vessels", IF(ISBLANK(Vessels!E717), "", Vessels!E717), ""))</f>
        <v/>
      </c>
      <c r="F717" s="21" t="str">
        <f>IF($N$1="Piping", IF(ISBLANK(Piping!F717), "", Piping!F717), IF($N$1="Vessels", IF(ISBLANK(Vessels!F717), "", Vessels!F717), ""))</f>
        <v/>
      </c>
      <c r="G717" s="21">
        <f>IF($N$1="Piping", IF(ISBLANK(Piping!G717), "", Piping!G717), IF($N$1="Vessels", IF(ISBLANK(Vessels!G717), "", Vessels!G717), ""))</f>
        <v>0</v>
      </c>
      <c r="H717" s="21" t="str">
        <f>IF($N$1="Piping", IF(ISBLANK(Piping!H717), "", Piping!H717), IF($N$1="Vessels", IF(ISBLANK(Vessels!H717), "", Vessels!H717), ""))</f>
        <v/>
      </c>
      <c r="I717" s="21" t="str">
        <f>IF($N$1="Piping", IF(ISBLANK(Piping!I717), "", Piping!I717), IF($N$1="Vessels", IF(ISBLANK(Vessels!I717), "", Vessels!I717), ""))</f>
        <v/>
      </c>
      <c r="J717" s="21" t="str">
        <f>IF($N$1="Piping", IF(ISBLANK(Piping!J717), "", Piping!J717), IF($N$1="Vessels", IF(ISBLANK(Vessels!J717), "", Vessels!J717), ""))</f>
        <v/>
      </c>
      <c r="K717" s="21" t="str">
        <f>IF($N$1="Piping", IF(ISBLANK(Piping!K717), "", Piping!K717), IF($N$1="Vessels", IF(ISBLANK(Vessels!K717), "", Vessels!K717), ""))</f>
        <v/>
      </c>
      <c r="L717" s="21" t="str">
        <f>IF($N$1="Piping", IF(ISBLANK(Piping!L717), "", Piping!L717), IF($N$1="Vessels", IF(ISBLANK(Vessels!L717), "", Vessels!L717), ""))</f>
        <v/>
      </c>
      <c r="M717" s="21"/>
      <c r="N717" s="21"/>
      <c r="O717" s="21"/>
      <c r="P717" s="21"/>
      <c r="Q717" s="21" t="str">
        <f>IF($N$1="Piping", IF(ISBLANK(Piping!T717), "", Piping!T717), IF($N$1="Vessels", IF(ISBLANK(Vessels!T717), "", Vessels!T717), ""))</f>
        <v/>
      </c>
      <c r="R717" s="51" t="str">
        <f>IF($N$1="Piping", IF(ISBLANK(Piping!U717), "", Piping!U717), IF($N$1="Vessels", IF(ISBLANK(Vessels!U717), "", Vessels!U717), ""))</f>
        <v/>
      </c>
      <c r="S717" s="118" t="str">
        <f>IF(B717&lt;&gt;"",IF($N$1="Piping", IF(ISBLANK(Piping!$J$3), "", Piping!$J$3), IF($N$1="Vessels", IF(ISBLANK(Vessels!$J$3), "", Vessels!$J$3), "")),"")</f>
        <v/>
      </c>
      <c r="T717" s="37"/>
      <c r="U717" s="37"/>
      <c r="V717" s="37"/>
      <c r="W717" s="37"/>
      <c r="X717" s="37"/>
      <c r="Y717" s="37"/>
      <c r="Z717" s="37"/>
    </row>
    <row r="718" spans="1:26" ht="15.75" customHeight="1" x14ac:dyDescent="0.3">
      <c r="A718" s="22">
        <f>IF($N$1="Piping", IF(ISBLANK(Piping!A718), "", Piping!A718), IF($N$1="Vessels", IF(ISBLANK(Vessels!A718), "", Vessels!A718), ""))</f>
        <v>179.1</v>
      </c>
      <c r="B718" s="21" t="str">
        <f>IF($N$1="Piping", IF(ISBLANK(Piping!B718), "", Piping!B718), IF($N$1="Vessels", IF(ISBLANK(Vessels!B718), "", Vessels!B718), ""))</f>
        <v/>
      </c>
      <c r="C718" s="21" t="str">
        <f>IF($N$1="Piping", IF(ISBLANK(Piping!C718), "", Piping!C718), IF($N$1="Vessels", IF(ISBLANK(Vessels!C718), "", Vessels!C718), ""))</f>
        <v>Piping</v>
      </c>
      <c r="D718" s="21" t="str">
        <f>IF($N$1="Piping", IF(ISBLANK(Piping!D718), "", Piping!D718), IF($N$1="Vessels", IF(ISBLANK(Vessels!D718), "", Vessels!D718), ""))</f>
        <v/>
      </c>
      <c r="E718" s="21" t="str">
        <f>IF($N$1="Piping", IF(ISBLANK(Piping!E718), "", Piping!E718), IF($N$1="Vessels", IF(ISBLANK(Vessels!E718), "", Vessels!E718), ""))</f>
        <v/>
      </c>
      <c r="F718" s="21" t="str">
        <f>IF($N$1="Piping", IF(ISBLANK(Piping!F718), "", Piping!F718), IF($N$1="Vessels", IF(ISBLANK(Vessels!F718), "", Vessels!F718), ""))</f>
        <v/>
      </c>
      <c r="G718" s="21">
        <f>IF($N$1="Piping", IF(ISBLANK(Piping!G718), "", Piping!G718), IF($N$1="Vessels", IF(ISBLANK(Vessels!G718), "", Vessels!G718), ""))</f>
        <v>0</v>
      </c>
      <c r="H718" s="21" t="str">
        <f>IF($N$1="Piping", IF(ISBLANK(Piping!H718), "", Piping!H718), IF($N$1="Vessels", IF(ISBLANK(Vessels!H718), "", Vessels!H718), ""))</f>
        <v/>
      </c>
      <c r="I718" s="21" t="str">
        <f>IF($N$1="Piping", IF(ISBLANK(Piping!I718), "", Piping!I718), IF($N$1="Vessels", IF(ISBLANK(Vessels!I718), "", Vessels!I718), ""))</f>
        <v/>
      </c>
      <c r="J718" s="21" t="str">
        <f>IF($N$1="Piping", IF(ISBLANK(Piping!J718), "", Piping!J718), IF($N$1="Vessels", IF(ISBLANK(Vessels!J718), "", Vessels!J718), ""))</f>
        <v/>
      </c>
      <c r="K718" s="21" t="str">
        <f>IF($N$1="Piping", IF(ISBLANK(Piping!K718), "", Piping!K718), IF($N$1="Vessels", IF(ISBLANK(Vessels!K718), "", Vessels!K718), ""))</f>
        <v/>
      </c>
      <c r="L718" s="21" t="str">
        <f>IF($N$1="Piping", IF(ISBLANK(Piping!L718), "", Piping!L718), IF($N$1="Vessels", IF(ISBLANK(Vessels!L718), "", Vessels!L718), ""))</f>
        <v/>
      </c>
      <c r="M718" s="21"/>
      <c r="N718" s="21"/>
      <c r="O718" s="21"/>
      <c r="P718" s="21"/>
      <c r="Q718" s="21" t="str">
        <f>IF($N$1="Piping", IF(ISBLANK(Piping!T718), "", Piping!T718), IF($N$1="Vessels", IF(ISBLANK(Vessels!T718), "", Vessels!T718), ""))</f>
        <v/>
      </c>
      <c r="R718" s="51" t="str">
        <f>IF($N$1="Piping", IF(ISBLANK(Piping!U718), "", Piping!U718), IF($N$1="Vessels", IF(ISBLANK(Vessels!U718), "", Vessels!U718), ""))</f>
        <v/>
      </c>
      <c r="S718" s="118" t="str">
        <f>IF(B718&lt;&gt;"",IF($N$1="Piping", IF(ISBLANK(Piping!$J$3), "", Piping!$J$3), IF($N$1="Vessels", IF(ISBLANK(Vessels!$J$3), "", Vessels!$J$3), "")),"")</f>
        <v/>
      </c>
      <c r="T718" s="37"/>
      <c r="U718" s="37"/>
      <c r="V718" s="37"/>
      <c r="W718" s="37"/>
      <c r="X718" s="37"/>
      <c r="Y718" s="37"/>
      <c r="Z718" s="37"/>
    </row>
    <row r="719" spans="1:26" ht="15.75" customHeight="1" x14ac:dyDescent="0.3">
      <c r="A719" s="22">
        <f>IF($N$1="Piping", IF(ISBLANK(Piping!A719), "", Piping!A719), IF($N$1="Vessels", IF(ISBLANK(Vessels!A719), "", Vessels!A719), ""))</f>
        <v>179.2</v>
      </c>
      <c r="B719" s="21" t="str">
        <f>IF($N$1="Piping", IF(ISBLANK(Piping!B719), "", Piping!B719), IF($N$1="Vessels", IF(ISBLANK(Vessels!B719), "", Vessels!B719), ""))</f>
        <v/>
      </c>
      <c r="C719" s="21" t="str">
        <f>IF($N$1="Piping", IF(ISBLANK(Piping!C719), "", Piping!C719), IF($N$1="Vessels", IF(ISBLANK(Vessels!C719), "", Vessels!C719), ""))</f>
        <v>Piping</v>
      </c>
      <c r="D719" s="21" t="str">
        <f>IF($N$1="Piping", IF(ISBLANK(Piping!D719), "", Piping!D719), IF($N$1="Vessels", IF(ISBLANK(Vessels!D719), "", Vessels!D719), ""))</f>
        <v/>
      </c>
      <c r="E719" s="21" t="str">
        <f>IF($N$1="Piping", IF(ISBLANK(Piping!E719), "", Piping!E719), IF($N$1="Vessels", IF(ISBLANK(Vessels!E719), "", Vessels!E719), ""))</f>
        <v/>
      </c>
      <c r="F719" s="21" t="str">
        <f>IF($N$1="Piping", IF(ISBLANK(Piping!F719), "", Piping!F719), IF($N$1="Vessels", IF(ISBLANK(Vessels!F719), "", Vessels!F719), ""))</f>
        <v/>
      </c>
      <c r="G719" s="21">
        <f>IF($N$1="Piping", IF(ISBLANK(Piping!G719), "", Piping!G719), IF($N$1="Vessels", IF(ISBLANK(Vessels!G719), "", Vessels!G719), ""))</f>
        <v>0</v>
      </c>
      <c r="H719" s="21" t="str">
        <f>IF($N$1="Piping", IF(ISBLANK(Piping!H719), "", Piping!H719), IF($N$1="Vessels", IF(ISBLANK(Vessels!H719), "", Vessels!H719), ""))</f>
        <v/>
      </c>
      <c r="I719" s="21" t="str">
        <f>IF($N$1="Piping", IF(ISBLANK(Piping!I719), "", Piping!I719), IF($N$1="Vessels", IF(ISBLANK(Vessels!I719), "", Vessels!I719), ""))</f>
        <v/>
      </c>
      <c r="J719" s="21" t="str">
        <f>IF($N$1="Piping", IF(ISBLANK(Piping!J719), "", Piping!J719), IF($N$1="Vessels", IF(ISBLANK(Vessels!J719), "", Vessels!J719), ""))</f>
        <v/>
      </c>
      <c r="K719" s="21" t="str">
        <f>IF($N$1="Piping", IF(ISBLANK(Piping!K719), "", Piping!K719), IF($N$1="Vessels", IF(ISBLANK(Vessels!K719), "", Vessels!K719), ""))</f>
        <v/>
      </c>
      <c r="L719" s="21" t="str">
        <f>IF($N$1="Piping", IF(ISBLANK(Piping!L719), "", Piping!L719), IF($N$1="Vessels", IF(ISBLANK(Vessels!L719), "", Vessels!L719), ""))</f>
        <v/>
      </c>
      <c r="M719" s="21"/>
      <c r="N719" s="21"/>
      <c r="O719" s="21"/>
      <c r="P719" s="21"/>
      <c r="Q719" s="21" t="str">
        <f>IF($N$1="Piping", IF(ISBLANK(Piping!T719), "", Piping!T719), IF($N$1="Vessels", IF(ISBLANK(Vessels!T719), "", Vessels!T719), ""))</f>
        <v/>
      </c>
      <c r="R719" s="51" t="str">
        <f>IF($N$1="Piping", IF(ISBLANK(Piping!U719), "", Piping!U719), IF($N$1="Vessels", IF(ISBLANK(Vessels!U719), "", Vessels!U719), ""))</f>
        <v/>
      </c>
      <c r="S719" s="118" t="str">
        <f>IF(B719&lt;&gt;"",IF($N$1="Piping", IF(ISBLANK(Piping!$J$3), "", Piping!$J$3), IF($N$1="Vessels", IF(ISBLANK(Vessels!$J$3), "", Vessels!$J$3), "")),"")</f>
        <v/>
      </c>
      <c r="T719" s="37"/>
      <c r="U719" s="37"/>
      <c r="V719" s="37"/>
      <c r="W719" s="37"/>
      <c r="X719" s="37"/>
      <c r="Y719" s="37"/>
      <c r="Z719" s="37"/>
    </row>
    <row r="720" spans="1:26" ht="15.75" customHeight="1" x14ac:dyDescent="0.3">
      <c r="A720" s="22">
        <f>IF($N$1="Piping", IF(ISBLANK(Piping!A720), "", Piping!A720), IF($N$1="Vessels", IF(ISBLANK(Vessels!A720), "", Vessels!A720), ""))</f>
        <v>179.3</v>
      </c>
      <c r="B720" s="21" t="str">
        <f>IF($N$1="Piping", IF(ISBLANK(Piping!B720), "", Piping!B720), IF($N$1="Vessels", IF(ISBLANK(Vessels!B720), "", Vessels!B720), ""))</f>
        <v/>
      </c>
      <c r="C720" s="21" t="str">
        <f>IF($N$1="Piping", IF(ISBLANK(Piping!C720), "", Piping!C720), IF($N$1="Vessels", IF(ISBLANK(Vessels!C720), "", Vessels!C720), ""))</f>
        <v>Piping</v>
      </c>
      <c r="D720" s="21" t="str">
        <f>IF($N$1="Piping", IF(ISBLANK(Piping!D720), "", Piping!D720), IF($N$1="Vessels", IF(ISBLANK(Vessels!D720), "", Vessels!D720), ""))</f>
        <v/>
      </c>
      <c r="E720" s="21" t="str">
        <f>IF($N$1="Piping", IF(ISBLANK(Piping!E720), "", Piping!E720), IF($N$1="Vessels", IF(ISBLANK(Vessels!E720), "", Vessels!E720), ""))</f>
        <v/>
      </c>
      <c r="F720" s="21" t="str">
        <f>IF($N$1="Piping", IF(ISBLANK(Piping!F720), "", Piping!F720), IF($N$1="Vessels", IF(ISBLANK(Vessels!F720), "", Vessels!F720), ""))</f>
        <v/>
      </c>
      <c r="G720" s="21">
        <f>IF($N$1="Piping", IF(ISBLANK(Piping!G720), "", Piping!G720), IF($N$1="Vessels", IF(ISBLANK(Vessels!G720), "", Vessels!G720), ""))</f>
        <v>0</v>
      </c>
      <c r="H720" s="21" t="str">
        <f>IF($N$1="Piping", IF(ISBLANK(Piping!H720), "", Piping!H720), IF($N$1="Vessels", IF(ISBLANK(Vessels!H720), "", Vessels!H720), ""))</f>
        <v/>
      </c>
      <c r="I720" s="21" t="str">
        <f>IF($N$1="Piping", IF(ISBLANK(Piping!I720), "", Piping!I720), IF($N$1="Vessels", IF(ISBLANK(Vessels!I720), "", Vessels!I720), ""))</f>
        <v/>
      </c>
      <c r="J720" s="21" t="str">
        <f>IF($N$1="Piping", IF(ISBLANK(Piping!J720), "", Piping!J720), IF($N$1="Vessels", IF(ISBLANK(Vessels!J720), "", Vessels!J720), ""))</f>
        <v/>
      </c>
      <c r="K720" s="21" t="str">
        <f>IF($N$1="Piping", IF(ISBLANK(Piping!K720), "", Piping!K720), IF($N$1="Vessels", IF(ISBLANK(Vessels!K720), "", Vessels!K720), ""))</f>
        <v/>
      </c>
      <c r="L720" s="21" t="str">
        <f>IF($N$1="Piping", IF(ISBLANK(Piping!L720), "", Piping!L720), IF($N$1="Vessels", IF(ISBLANK(Vessels!L720), "", Vessels!L720), ""))</f>
        <v/>
      </c>
      <c r="M720" s="21"/>
      <c r="N720" s="21"/>
      <c r="O720" s="21"/>
      <c r="P720" s="21"/>
      <c r="Q720" s="21" t="str">
        <f>IF($N$1="Piping", IF(ISBLANK(Piping!T720), "", Piping!T720), IF($N$1="Vessels", IF(ISBLANK(Vessels!T720), "", Vessels!T720), ""))</f>
        <v/>
      </c>
      <c r="R720" s="51" t="str">
        <f>IF($N$1="Piping", IF(ISBLANK(Piping!U720), "", Piping!U720), IF($N$1="Vessels", IF(ISBLANK(Vessels!U720), "", Vessels!U720), ""))</f>
        <v/>
      </c>
      <c r="S720" s="118" t="str">
        <f>IF(B720&lt;&gt;"",IF($N$1="Piping", IF(ISBLANK(Piping!$J$3), "", Piping!$J$3), IF($N$1="Vessels", IF(ISBLANK(Vessels!$J$3), "", Vessels!$J$3), "")),"")</f>
        <v/>
      </c>
      <c r="T720" s="37"/>
      <c r="U720" s="37"/>
      <c r="V720" s="37"/>
      <c r="W720" s="37"/>
      <c r="X720" s="37"/>
      <c r="Y720" s="37"/>
      <c r="Z720" s="37"/>
    </row>
    <row r="721" spans="1:26" ht="15.75" customHeight="1" x14ac:dyDescent="0.3">
      <c r="A721" s="22">
        <f>IF($N$1="Piping", IF(ISBLANK(Piping!A721), "", Piping!A721), IF($N$1="Vessels", IF(ISBLANK(Vessels!A721), "", Vessels!A721), ""))</f>
        <v>179.4</v>
      </c>
      <c r="B721" s="21" t="str">
        <f>IF($N$1="Piping", IF(ISBLANK(Piping!B721), "", Piping!B721), IF($N$1="Vessels", IF(ISBLANK(Vessels!B721), "", Vessels!B721), ""))</f>
        <v/>
      </c>
      <c r="C721" s="21" t="str">
        <f>IF($N$1="Piping", IF(ISBLANK(Piping!C721), "", Piping!C721), IF($N$1="Vessels", IF(ISBLANK(Vessels!C721), "", Vessels!C721), ""))</f>
        <v>Piping</v>
      </c>
      <c r="D721" s="21" t="str">
        <f>IF($N$1="Piping", IF(ISBLANK(Piping!D721), "", Piping!D721), IF($N$1="Vessels", IF(ISBLANK(Vessels!D721), "", Vessels!D721), ""))</f>
        <v/>
      </c>
      <c r="E721" s="21" t="str">
        <f>IF($N$1="Piping", IF(ISBLANK(Piping!E721), "", Piping!E721), IF($N$1="Vessels", IF(ISBLANK(Vessels!E721), "", Vessels!E721), ""))</f>
        <v/>
      </c>
      <c r="F721" s="21" t="str">
        <f>IF($N$1="Piping", IF(ISBLANK(Piping!F721), "", Piping!F721), IF($N$1="Vessels", IF(ISBLANK(Vessels!F721), "", Vessels!F721), ""))</f>
        <v/>
      </c>
      <c r="G721" s="21">
        <f>IF($N$1="Piping", IF(ISBLANK(Piping!G721), "", Piping!G721), IF($N$1="Vessels", IF(ISBLANK(Vessels!G721), "", Vessels!G721), ""))</f>
        <v>0</v>
      </c>
      <c r="H721" s="21" t="str">
        <f>IF($N$1="Piping", IF(ISBLANK(Piping!H721), "", Piping!H721), IF($N$1="Vessels", IF(ISBLANK(Vessels!H721), "", Vessels!H721), ""))</f>
        <v/>
      </c>
      <c r="I721" s="21" t="str">
        <f>IF($N$1="Piping", IF(ISBLANK(Piping!I721), "", Piping!I721), IF($N$1="Vessels", IF(ISBLANK(Vessels!I721), "", Vessels!I721), ""))</f>
        <v/>
      </c>
      <c r="J721" s="21" t="str">
        <f>IF($N$1="Piping", IF(ISBLANK(Piping!J721), "", Piping!J721), IF($N$1="Vessels", IF(ISBLANK(Vessels!J721), "", Vessels!J721), ""))</f>
        <v/>
      </c>
      <c r="K721" s="21" t="str">
        <f>IF($N$1="Piping", IF(ISBLANK(Piping!K721), "", Piping!K721), IF($N$1="Vessels", IF(ISBLANK(Vessels!K721), "", Vessels!K721), ""))</f>
        <v/>
      </c>
      <c r="L721" s="21" t="str">
        <f>IF($N$1="Piping", IF(ISBLANK(Piping!L721), "", Piping!L721), IF($N$1="Vessels", IF(ISBLANK(Vessels!L721), "", Vessels!L721), ""))</f>
        <v/>
      </c>
      <c r="M721" s="21"/>
      <c r="N721" s="21"/>
      <c r="O721" s="21"/>
      <c r="P721" s="21"/>
      <c r="Q721" s="21" t="str">
        <f>IF($N$1="Piping", IF(ISBLANK(Piping!T721), "", Piping!T721), IF($N$1="Vessels", IF(ISBLANK(Vessels!T721), "", Vessels!T721), ""))</f>
        <v/>
      </c>
      <c r="R721" s="51" t="str">
        <f>IF($N$1="Piping", IF(ISBLANK(Piping!U721), "", Piping!U721), IF($N$1="Vessels", IF(ISBLANK(Vessels!U721), "", Vessels!U721), ""))</f>
        <v/>
      </c>
      <c r="S721" s="118" t="str">
        <f>IF(B721&lt;&gt;"",IF($N$1="Piping", IF(ISBLANK(Piping!$J$3), "", Piping!$J$3), IF($N$1="Vessels", IF(ISBLANK(Vessels!$J$3), "", Vessels!$J$3), "")),"")</f>
        <v/>
      </c>
      <c r="T721" s="37"/>
      <c r="U721" s="37"/>
      <c r="V721" s="37"/>
      <c r="W721" s="37"/>
      <c r="X721" s="37"/>
      <c r="Y721" s="37"/>
      <c r="Z721" s="37"/>
    </row>
    <row r="722" spans="1:26" ht="15.75" customHeight="1" x14ac:dyDescent="0.3">
      <c r="A722" s="22">
        <f>IF($N$1="Piping", IF(ISBLANK(Piping!A722), "", Piping!A722), IF($N$1="Vessels", IF(ISBLANK(Vessels!A722), "", Vessels!A722), ""))</f>
        <v>180.1</v>
      </c>
      <c r="B722" s="21" t="str">
        <f>IF($N$1="Piping", IF(ISBLANK(Piping!B722), "", Piping!B722), IF($N$1="Vessels", IF(ISBLANK(Vessels!B722), "", Vessels!B722), ""))</f>
        <v/>
      </c>
      <c r="C722" s="21" t="str">
        <f>IF($N$1="Piping", IF(ISBLANK(Piping!C722), "", Piping!C722), IF($N$1="Vessels", IF(ISBLANK(Vessels!C722), "", Vessels!C722), ""))</f>
        <v>Piping</v>
      </c>
      <c r="D722" s="21" t="str">
        <f>IF($N$1="Piping", IF(ISBLANK(Piping!D722), "", Piping!D722), IF($N$1="Vessels", IF(ISBLANK(Vessels!D722), "", Vessels!D722), ""))</f>
        <v/>
      </c>
      <c r="E722" s="21" t="str">
        <f>IF($N$1="Piping", IF(ISBLANK(Piping!E722), "", Piping!E722), IF($N$1="Vessels", IF(ISBLANK(Vessels!E722), "", Vessels!E722), ""))</f>
        <v/>
      </c>
      <c r="F722" s="21" t="str">
        <f>IF($N$1="Piping", IF(ISBLANK(Piping!F722), "", Piping!F722), IF($N$1="Vessels", IF(ISBLANK(Vessels!F722), "", Vessels!F722), ""))</f>
        <v/>
      </c>
      <c r="G722" s="21">
        <f>IF($N$1="Piping", IF(ISBLANK(Piping!G722), "", Piping!G722), IF($N$1="Vessels", IF(ISBLANK(Vessels!G722), "", Vessels!G722), ""))</f>
        <v>0</v>
      </c>
      <c r="H722" s="21" t="str">
        <f>IF($N$1="Piping", IF(ISBLANK(Piping!H722), "", Piping!H722), IF($N$1="Vessels", IF(ISBLANK(Vessels!H722), "", Vessels!H722), ""))</f>
        <v/>
      </c>
      <c r="I722" s="21" t="str">
        <f>IF($N$1="Piping", IF(ISBLANK(Piping!I722), "", Piping!I722), IF($N$1="Vessels", IF(ISBLANK(Vessels!I722), "", Vessels!I722), ""))</f>
        <v/>
      </c>
      <c r="J722" s="21" t="str">
        <f>IF($N$1="Piping", IF(ISBLANK(Piping!J722), "", Piping!J722), IF($N$1="Vessels", IF(ISBLANK(Vessels!J722), "", Vessels!J722), ""))</f>
        <v/>
      </c>
      <c r="K722" s="21" t="str">
        <f>IF($N$1="Piping", IF(ISBLANK(Piping!K722), "", Piping!K722), IF($N$1="Vessels", IF(ISBLANK(Vessels!K722), "", Vessels!K722), ""))</f>
        <v/>
      </c>
      <c r="L722" s="21" t="str">
        <f>IF($N$1="Piping", IF(ISBLANK(Piping!L722), "", Piping!L722), IF($N$1="Vessels", IF(ISBLANK(Vessels!L722), "", Vessels!L722), ""))</f>
        <v/>
      </c>
      <c r="M722" s="21"/>
      <c r="N722" s="21"/>
      <c r="O722" s="21"/>
      <c r="P722" s="21"/>
      <c r="Q722" s="21" t="str">
        <f>IF($N$1="Piping", IF(ISBLANK(Piping!T722), "", Piping!T722), IF($N$1="Vessels", IF(ISBLANK(Vessels!T722), "", Vessels!T722), ""))</f>
        <v/>
      </c>
      <c r="R722" s="51" t="str">
        <f>IF($N$1="Piping", IF(ISBLANK(Piping!U722), "", Piping!U722), IF($N$1="Vessels", IF(ISBLANK(Vessels!U722), "", Vessels!U722), ""))</f>
        <v/>
      </c>
      <c r="S722" s="118" t="str">
        <f>IF(B722&lt;&gt;"",IF($N$1="Piping", IF(ISBLANK(Piping!$J$3), "", Piping!$J$3), IF($N$1="Vessels", IF(ISBLANK(Vessels!$J$3), "", Vessels!$J$3), "")),"")</f>
        <v/>
      </c>
      <c r="T722" s="37"/>
      <c r="U722" s="37"/>
      <c r="V722" s="37"/>
      <c r="W722" s="37"/>
      <c r="X722" s="37"/>
      <c r="Y722" s="37"/>
      <c r="Z722" s="37"/>
    </row>
    <row r="723" spans="1:26" ht="15.75" customHeight="1" x14ac:dyDescent="0.3">
      <c r="A723" s="22">
        <f>IF($N$1="Piping", IF(ISBLANK(Piping!A723), "", Piping!A723), IF($N$1="Vessels", IF(ISBLANK(Vessels!A723), "", Vessels!A723), ""))</f>
        <v>180.2</v>
      </c>
      <c r="B723" s="21" t="str">
        <f>IF($N$1="Piping", IF(ISBLANK(Piping!B723), "", Piping!B723), IF($N$1="Vessels", IF(ISBLANK(Vessels!B723), "", Vessels!B723), ""))</f>
        <v/>
      </c>
      <c r="C723" s="21" t="str">
        <f>IF($N$1="Piping", IF(ISBLANK(Piping!C723), "", Piping!C723), IF($N$1="Vessels", IF(ISBLANK(Vessels!C723), "", Vessels!C723), ""))</f>
        <v>Piping</v>
      </c>
      <c r="D723" s="21" t="str">
        <f>IF($N$1="Piping", IF(ISBLANK(Piping!D723), "", Piping!D723), IF($N$1="Vessels", IF(ISBLANK(Vessels!D723), "", Vessels!D723), ""))</f>
        <v/>
      </c>
      <c r="E723" s="21" t="str">
        <f>IF($N$1="Piping", IF(ISBLANK(Piping!E723), "", Piping!E723), IF($N$1="Vessels", IF(ISBLANK(Vessels!E723), "", Vessels!E723), ""))</f>
        <v/>
      </c>
      <c r="F723" s="21" t="str">
        <f>IF($N$1="Piping", IF(ISBLANK(Piping!F723), "", Piping!F723), IF($N$1="Vessels", IF(ISBLANK(Vessels!F723), "", Vessels!F723), ""))</f>
        <v/>
      </c>
      <c r="G723" s="21">
        <f>IF($N$1="Piping", IF(ISBLANK(Piping!G723), "", Piping!G723), IF($N$1="Vessels", IF(ISBLANK(Vessels!G723), "", Vessels!G723), ""))</f>
        <v>0</v>
      </c>
      <c r="H723" s="21" t="str">
        <f>IF($N$1="Piping", IF(ISBLANK(Piping!H723), "", Piping!H723), IF($N$1="Vessels", IF(ISBLANK(Vessels!H723), "", Vessels!H723), ""))</f>
        <v/>
      </c>
      <c r="I723" s="21" t="str">
        <f>IF($N$1="Piping", IF(ISBLANK(Piping!I723), "", Piping!I723), IF($N$1="Vessels", IF(ISBLANK(Vessels!I723), "", Vessels!I723), ""))</f>
        <v/>
      </c>
      <c r="J723" s="21" t="str">
        <f>IF($N$1="Piping", IF(ISBLANK(Piping!J723), "", Piping!J723), IF($N$1="Vessels", IF(ISBLANK(Vessels!J723), "", Vessels!J723), ""))</f>
        <v/>
      </c>
      <c r="K723" s="21" t="str">
        <f>IF($N$1="Piping", IF(ISBLANK(Piping!K723), "", Piping!K723), IF($N$1="Vessels", IF(ISBLANK(Vessels!K723), "", Vessels!K723), ""))</f>
        <v/>
      </c>
      <c r="L723" s="21" t="str">
        <f>IF($N$1="Piping", IF(ISBLANK(Piping!L723), "", Piping!L723), IF($N$1="Vessels", IF(ISBLANK(Vessels!L723), "", Vessels!L723), ""))</f>
        <v/>
      </c>
      <c r="M723" s="21"/>
      <c r="N723" s="21"/>
      <c r="O723" s="21"/>
      <c r="P723" s="21"/>
      <c r="Q723" s="21" t="str">
        <f>IF($N$1="Piping", IF(ISBLANK(Piping!T723), "", Piping!T723), IF($N$1="Vessels", IF(ISBLANK(Vessels!T723), "", Vessels!T723), ""))</f>
        <v/>
      </c>
      <c r="R723" s="51" t="str">
        <f>IF($N$1="Piping", IF(ISBLANK(Piping!U723), "", Piping!U723), IF($N$1="Vessels", IF(ISBLANK(Vessels!U723), "", Vessels!U723), ""))</f>
        <v/>
      </c>
      <c r="S723" s="118" t="str">
        <f>IF(B723&lt;&gt;"",IF($N$1="Piping", IF(ISBLANK(Piping!$J$3), "", Piping!$J$3), IF($N$1="Vessels", IF(ISBLANK(Vessels!$J$3), "", Vessels!$J$3), "")),"")</f>
        <v/>
      </c>
      <c r="T723" s="37"/>
      <c r="U723" s="37"/>
      <c r="V723" s="37"/>
      <c r="W723" s="37"/>
      <c r="X723" s="37"/>
      <c r="Y723" s="37"/>
      <c r="Z723" s="37"/>
    </row>
    <row r="724" spans="1:26" ht="15.75" customHeight="1" x14ac:dyDescent="0.3">
      <c r="A724" s="22">
        <f>IF($N$1="Piping", IF(ISBLANK(Piping!A724), "", Piping!A724), IF($N$1="Vessels", IF(ISBLANK(Vessels!A724), "", Vessels!A724), ""))</f>
        <v>180.3</v>
      </c>
      <c r="B724" s="21" t="str">
        <f>IF($N$1="Piping", IF(ISBLANK(Piping!B724), "", Piping!B724), IF($N$1="Vessels", IF(ISBLANK(Vessels!B724), "", Vessels!B724), ""))</f>
        <v/>
      </c>
      <c r="C724" s="21" t="str">
        <f>IF($N$1="Piping", IF(ISBLANK(Piping!C724), "", Piping!C724), IF($N$1="Vessels", IF(ISBLANK(Vessels!C724), "", Vessels!C724), ""))</f>
        <v>Piping</v>
      </c>
      <c r="D724" s="21" t="str">
        <f>IF($N$1="Piping", IF(ISBLANK(Piping!D724), "", Piping!D724), IF($N$1="Vessels", IF(ISBLANK(Vessels!D724), "", Vessels!D724), ""))</f>
        <v/>
      </c>
      <c r="E724" s="21" t="str">
        <f>IF($N$1="Piping", IF(ISBLANK(Piping!E724), "", Piping!E724), IF($N$1="Vessels", IF(ISBLANK(Vessels!E724), "", Vessels!E724), ""))</f>
        <v/>
      </c>
      <c r="F724" s="21" t="str">
        <f>IF($N$1="Piping", IF(ISBLANK(Piping!F724), "", Piping!F724), IF($N$1="Vessels", IF(ISBLANK(Vessels!F724), "", Vessels!F724), ""))</f>
        <v/>
      </c>
      <c r="G724" s="21">
        <f>IF($N$1="Piping", IF(ISBLANK(Piping!G724), "", Piping!G724), IF($N$1="Vessels", IF(ISBLANK(Vessels!G724), "", Vessels!G724), ""))</f>
        <v>0</v>
      </c>
      <c r="H724" s="21" t="str">
        <f>IF($N$1="Piping", IF(ISBLANK(Piping!H724), "", Piping!H724), IF($N$1="Vessels", IF(ISBLANK(Vessels!H724), "", Vessels!H724), ""))</f>
        <v/>
      </c>
      <c r="I724" s="21" t="str">
        <f>IF($N$1="Piping", IF(ISBLANK(Piping!I724), "", Piping!I724), IF($N$1="Vessels", IF(ISBLANK(Vessels!I724), "", Vessels!I724), ""))</f>
        <v/>
      </c>
      <c r="J724" s="21" t="str">
        <f>IF($N$1="Piping", IF(ISBLANK(Piping!J724), "", Piping!J724), IF($N$1="Vessels", IF(ISBLANK(Vessels!J724), "", Vessels!J724), ""))</f>
        <v/>
      </c>
      <c r="K724" s="21" t="str">
        <f>IF($N$1="Piping", IF(ISBLANK(Piping!K724), "", Piping!K724), IF($N$1="Vessels", IF(ISBLANK(Vessels!K724), "", Vessels!K724), ""))</f>
        <v/>
      </c>
      <c r="L724" s="21" t="str">
        <f>IF($N$1="Piping", IF(ISBLANK(Piping!L724), "", Piping!L724), IF($N$1="Vessels", IF(ISBLANK(Vessels!L724), "", Vessels!L724), ""))</f>
        <v/>
      </c>
      <c r="M724" s="21"/>
      <c r="N724" s="21"/>
      <c r="O724" s="21"/>
      <c r="P724" s="21"/>
      <c r="Q724" s="21" t="str">
        <f>IF($N$1="Piping", IF(ISBLANK(Piping!T724), "", Piping!T724), IF($N$1="Vessels", IF(ISBLANK(Vessels!T724), "", Vessels!T724), ""))</f>
        <v/>
      </c>
      <c r="R724" s="51" t="str">
        <f>IF($N$1="Piping", IF(ISBLANK(Piping!U724), "", Piping!U724), IF($N$1="Vessels", IF(ISBLANK(Vessels!U724), "", Vessels!U724), ""))</f>
        <v/>
      </c>
      <c r="S724" s="118" t="str">
        <f>IF(B724&lt;&gt;"",IF($N$1="Piping", IF(ISBLANK(Piping!$J$3), "", Piping!$J$3), IF($N$1="Vessels", IF(ISBLANK(Vessels!$J$3), "", Vessels!$J$3), "")),"")</f>
        <v/>
      </c>
      <c r="T724" s="37"/>
      <c r="U724" s="37"/>
      <c r="V724" s="37"/>
      <c r="W724" s="37"/>
      <c r="X724" s="37"/>
      <c r="Y724" s="37"/>
      <c r="Z724" s="37"/>
    </row>
    <row r="725" spans="1:26" ht="15.75" customHeight="1" x14ac:dyDescent="0.3">
      <c r="A725" s="22">
        <f>IF($N$1="Piping", IF(ISBLANK(Piping!A725), "", Piping!A725), IF($N$1="Vessels", IF(ISBLANK(Vessels!A725), "", Vessels!A725), ""))</f>
        <v>180.4</v>
      </c>
      <c r="B725" s="21" t="str">
        <f>IF($N$1="Piping", IF(ISBLANK(Piping!B725), "", Piping!B725), IF($N$1="Vessels", IF(ISBLANK(Vessels!B725), "", Vessels!B725), ""))</f>
        <v/>
      </c>
      <c r="C725" s="21" t="str">
        <f>IF($N$1="Piping", IF(ISBLANK(Piping!C725), "", Piping!C725), IF($N$1="Vessels", IF(ISBLANK(Vessels!C725), "", Vessels!C725), ""))</f>
        <v>Piping</v>
      </c>
      <c r="D725" s="21" t="str">
        <f>IF($N$1="Piping", IF(ISBLANK(Piping!D725), "", Piping!D725), IF($N$1="Vessels", IF(ISBLANK(Vessels!D725), "", Vessels!D725), ""))</f>
        <v/>
      </c>
      <c r="E725" s="21" t="str">
        <f>IF($N$1="Piping", IF(ISBLANK(Piping!E725), "", Piping!E725), IF($N$1="Vessels", IF(ISBLANK(Vessels!E725), "", Vessels!E725), ""))</f>
        <v/>
      </c>
      <c r="F725" s="21" t="str">
        <f>IF($N$1="Piping", IF(ISBLANK(Piping!F725), "", Piping!F725), IF($N$1="Vessels", IF(ISBLANK(Vessels!F725), "", Vessels!F725), ""))</f>
        <v/>
      </c>
      <c r="G725" s="21">
        <f>IF($N$1="Piping", IF(ISBLANK(Piping!G725), "", Piping!G725), IF($N$1="Vessels", IF(ISBLANK(Vessels!G725), "", Vessels!G725), ""))</f>
        <v>0</v>
      </c>
      <c r="H725" s="21" t="str">
        <f>IF($N$1="Piping", IF(ISBLANK(Piping!H725), "", Piping!H725), IF($N$1="Vessels", IF(ISBLANK(Vessels!H725), "", Vessels!H725), ""))</f>
        <v/>
      </c>
      <c r="I725" s="21" t="str">
        <f>IF($N$1="Piping", IF(ISBLANK(Piping!I725), "", Piping!I725), IF($N$1="Vessels", IF(ISBLANK(Vessels!I725), "", Vessels!I725), ""))</f>
        <v/>
      </c>
      <c r="J725" s="21" t="str">
        <f>IF($N$1="Piping", IF(ISBLANK(Piping!J725), "", Piping!J725), IF($N$1="Vessels", IF(ISBLANK(Vessels!J725), "", Vessels!J725), ""))</f>
        <v/>
      </c>
      <c r="K725" s="21" t="str">
        <f>IF($N$1="Piping", IF(ISBLANK(Piping!K725), "", Piping!K725), IF($N$1="Vessels", IF(ISBLANK(Vessels!K725), "", Vessels!K725), ""))</f>
        <v/>
      </c>
      <c r="L725" s="21" t="str">
        <f>IF($N$1="Piping", IF(ISBLANK(Piping!L725), "", Piping!L725), IF($N$1="Vessels", IF(ISBLANK(Vessels!L725), "", Vessels!L725), ""))</f>
        <v/>
      </c>
      <c r="M725" s="21"/>
      <c r="N725" s="21"/>
      <c r="O725" s="21"/>
      <c r="P725" s="21"/>
      <c r="Q725" s="21" t="str">
        <f>IF($N$1="Piping", IF(ISBLANK(Piping!T725), "", Piping!T725), IF($N$1="Vessels", IF(ISBLANK(Vessels!T725), "", Vessels!T725), ""))</f>
        <v/>
      </c>
      <c r="R725" s="51" t="str">
        <f>IF($N$1="Piping", IF(ISBLANK(Piping!U725), "", Piping!U725), IF($N$1="Vessels", IF(ISBLANK(Vessels!U725), "", Vessels!U725), ""))</f>
        <v/>
      </c>
      <c r="S725" s="118" t="str">
        <f>IF(B725&lt;&gt;"",IF($N$1="Piping", IF(ISBLANK(Piping!$J$3), "", Piping!$J$3), IF($N$1="Vessels", IF(ISBLANK(Vessels!$J$3), "", Vessels!$J$3), "")),"")</f>
        <v/>
      </c>
      <c r="T725" s="37"/>
      <c r="U725" s="37"/>
      <c r="V725" s="37"/>
      <c r="W725" s="37"/>
      <c r="X725" s="37"/>
      <c r="Y725" s="37"/>
      <c r="Z725" s="37"/>
    </row>
    <row r="726" spans="1:26" ht="15.75" customHeight="1" x14ac:dyDescent="0.3">
      <c r="A726" s="22">
        <f>IF($N$1="Piping", IF(ISBLANK(Piping!A726), "", Piping!A726), IF($N$1="Vessels", IF(ISBLANK(Vessels!A726), "", Vessels!A726), ""))</f>
        <v>181.1</v>
      </c>
      <c r="B726" s="21" t="str">
        <f>IF($N$1="Piping", IF(ISBLANK(Piping!B726), "", Piping!B726), IF($N$1="Vessels", IF(ISBLANK(Vessels!B726), "", Vessels!B726), ""))</f>
        <v/>
      </c>
      <c r="C726" s="21" t="str">
        <f>IF($N$1="Piping", IF(ISBLANK(Piping!C726), "", Piping!C726), IF($N$1="Vessels", IF(ISBLANK(Vessels!C726), "", Vessels!C726), ""))</f>
        <v>Piping</v>
      </c>
      <c r="D726" s="21" t="str">
        <f>IF($N$1="Piping", IF(ISBLANK(Piping!D726), "", Piping!D726), IF($N$1="Vessels", IF(ISBLANK(Vessels!D726), "", Vessels!D726), ""))</f>
        <v/>
      </c>
      <c r="E726" s="21" t="str">
        <f>IF($N$1="Piping", IF(ISBLANK(Piping!E726), "", Piping!E726), IF($N$1="Vessels", IF(ISBLANK(Vessels!E726), "", Vessels!E726), ""))</f>
        <v/>
      </c>
      <c r="F726" s="21" t="str">
        <f>IF($N$1="Piping", IF(ISBLANK(Piping!F726), "", Piping!F726), IF($N$1="Vessels", IF(ISBLANK(Vessels!F726), "", Vessels!F726), ""))</f>
        <v/>
      </c>
      <c r="G726" s="21">
        <f>IF($N$1="Piping", IF(ISBLANK(Piping!G726), "", Piping!G726), IF($N$1="Vessels", IF(ISBLANK(Vessels!G726), "", Vessels!G726), ""))</f>
        <v>0</v>
      </c>
      <c r="H726" s="21" t="str">
        <f>IF($N$1="Piping", IF(ISBLANK(Piping!H726), "", Piping!H726), IF($N$1="Vessels", IF(ISBLANK(Vessels!H726), "", Vessels!H726), ""))</f>
        <v/>
      </c>
      <c r="I726" s="21" t="str">
        <f>IF($N$1="Piping", IF(ISBLANK(Piping!I726), "", Piping!I726), IF($N$1="Vessels", IF(ISBLANK(Vessels!I726), "", Vessels!I726), ""))</f>
        <v/>
      </c>
      <c r="J726" s="21" t="str">
        <f>IF($N$1="Piping", IF(ISBLANK(Piping!J726), "", Piping!J726), IF($N$1="Vessels", IF(ISBLANK(Vessels!J726), "", Vessels!J726), ""))</f>
        <v/>
      </c>
      <c r="K726" s="21" t="str">
        <f>IF($N$1="Piping", IF(ISBLANK(Piping!K726), "", Piping!K726), IF($N$1="Vessels", IF(ISBLANK(Vessels!K726), "", Vessels!K726), ""))</f>
        <v/>
      </c>
      <c r="L726" s="21" t="str">
        <f>IF($N$1="Piping", IF(ISBLANK(Piping!L726), "", Piping!L726), IF($N$1="Vessels", IF(ISBLANK(Vessels!L726), "", Vessels!L726), ""))</f>
        <v/>
      </c>
      <c r="M726" s="21"/>
      <c r="N726" s="21"/>
      <c r="O726" s="21"/>
      <c r="P726" s="21"/>
      <c r="Q726" s="21" t="str">
        <f>IF($N$1="Piping", IF(ISBLANK(Piping!T726), "", Piping!T726), IF($N$1="Vessels", IF(ISBLANK(Vessels!T726), "", Vessels!T726), ""))</f>
        <v/>
      </c>
      <c r="R726" s="51" t="str">
        <f>IF($N$1="Piping", IF(ISBLANK(Piping!U726), "", Piping!U726), IF($N$1="Vessels", IF(ISBLANK(Vessels!U726), "", Vessels!U726), ""))</f>
        <v/>
      </c>
      <c r="S726" s="118" t="str">
        <f>IF(B726&lt;&gt;"",IF($N$1="Piping", IF(ISBLANK(Piping!$J$3), "", Piping!$J$3), IF($N$1="Vessels", IF(ISBLANK(Vessels!$J$3), "", Vessels!$J$3), "")),"")</f>
        <v/>
      </c>
      <c r="T726" s="37"/>
      <c r="U726" s="37"/>
      <c r="V726" s="37"/>
      <c r="W726" s="37"/>
      <c r="X726" s="37"/>
      <c r="Y726" s="37"/>
      <c r="Z726" s="37"/>
    </row>
    <row r="727" spans="1:26" ht="15.75" customHeight="1" x14ac:dyDescent="0.3">
      <c r="A727" s="22">
        <f>IF($N$1="Piping", IF(ISBLANK(Piping!A727), "", Piping!A727), IF($N$1="Vessels", IF(ISBLANK(Vessels!A727), "", Vessels!A727), ""))</f>
        <v>181.2</v>
      </c>
      <c r="B727" s="21" t="str">
        <f>IF($N$1="Piping", IF(ISBLANK(Piping!B727), "", Piping!B727), IF($N$1="Vessels", IF(ISBLANK(Vessels!B727), "", Vessels!B727), ""))</f>
        <v/>
      </c>
      <c r="C727" s="21" t="str">
        <f>IF($N$1="Piping", IF(ISBLANK(Piping!C727), "", Piping!C727), IF($N$1="Vessels", IF(ISBLANK(Vessels!C727), "", Vessels!C727), ""))</f>
        <v>Piping</v>
      </c>
      <c r="D727" s="21" t="str">
        <f>IF($N$1="Piping", IF(ISBLANK(Piping!D727), "", Piping!D727), IF($N$1="Vessels", IF(ISBLANK(Vessels!D727), "", Vessels!D727), ""))</f>
        <v/>
      </c>
      <c r="E727" s="21" t="str">
        <f>IF($N$1="Piping", IF(ISBLANK(Piping!E727), "", Piping!E727), IF($N$1="Vessels", IF(ISBLANK(Vessels!E727), "", Vessels!E727), ""))</f>
        <v/>
      </c>
      <c r="F727" s="21" t="str">
        <f>IF($N$1="Piping", IF(ISBLANK(Piping!F727), "", Piping!F727), IF($N$1="Vessels", IF(ISBLANK(Vessels!F727), "", Vessels!F727), ""))</f>
        <v/>
      </c>
      <c r="G727" s="21">
        <f>IF($N$1="Piping", IF(ISBLANK(Piping!G727), "", Piping!G727), IF($N$1="Vessels", IF(ISBLANK(Vessels!G727), "", Vessels!G727), ""))</f>
        <v>0</v>
      </c>
      <c r="H727" s="21" t="str">
        <f>IF($N$1="Piping", IF(ISBLANK(Piping!H727), "", Piping!H727), IF($N$1="Vessels", IF(ISBLANK(Vessels!H727), "", Vessels!H727), ""))</f>
        <v/>
      </c>
      <c r="I727" s="21" t="str">
        <f>IF($N$1="Piping", IF(ISBLANK(Piping!I727), "", Piping!I727), IF($N$1="Vessels", IF(ISBLANK(Vessels!I727), "", Vessels!I727), ""))</f>
        <v/>
      </c>
      <c r="J727" s="21" t="str">
        <f>IF($N$1="Piping", IF(ISBLANK(Piping!J727), "", Piping!J727), IF($N$1="Vessels", IF(ISBLANK(Vessels!J727), "", Vessels!J727), ""))</f>
        <v/>
      </c>
      <c r="K727" s="21" t="str">
        <f>IF($N$1="Piping", IF(ISBLANK(Piping!K727), "", Piping!K727), IF($N$1="Vessels", IF(ISBLANK(Vessels!K727), "", Vessels!K727), ""))</f>
        <v/>
      </c>
      <c r="L727" s="21" t="str">
        <f>IF($N$1="Piping", IF(ISBLANK(Piping!L727), "", Piping!L727), IF($N$1="Vessels", IF(ISBLANK(Vessels!L727), "", Vessels!L727), ""))</f>
        <v/>
      </c>
      <c r="M727" s="21"/>
      <c r="N727" s="21"/>
      <c r="O727" s="21"/>
      <c r="P727" s="21"/>
      <c r="Q727" s="21" t="str">
        <f>IF($N$1="Piping", IF(ISBLANK(Piping!T727), "", Piping!T727), IF($N$1="Vessels", IF(ISBLANK(Vessels!T727), "", Vessels!T727), ""))</f>
        <v/>
      </c>
      <c r="R727" s="51" t="str">
        <f>IF($N$1="Piping", IF(ISBLANK(Piping!U727), "", Piping!U727), IF($N$1="Vessels", IF(ISBLANK(Vessels!U727), "", Vessels!U727), ""))</f>
        <v/>
      </c>
      <c r="S727" s="118" t="str">
        <f>IF(B727&lt;&gt;"",IF($N$1="Piping", IF(ISBLANK(Piping!$J$3), "", Piping!$J$3), IF($N$1="Vessels", IF(ISBLANK(Vessels!$J$3), "", Vessels!$J$3), "")),"")</f>
        <v/>
      </c>
      <c r="T727" s="37"/>
      <c r="U727" s="37"/>
      <c r="V727" s="37"/>
      <c r="W727" s="37"/>
      <c r="X727" s="37"/>
      <c r="Y727" s="37"/>
      <c r="Z727" s="37"/>
    </row>
    <row r="728" spans="1:26" ht="15.75" customHeight="1" x14ac:dyDescent="0.3">
      <c r="A728" s="22">
        <f>IF($N$1="Piping", IF(ISBLANK(Piping!A728), "", Piping!A728), IF($N$1="Vessels", IF(ISBLANK(Vessels!A728), "", Vessels!A728), ""))</f>
        <v>181.3</v>
      </c>
      <c r="B728" s="21" t="str">
        <f>IF($N$1="Piping", IF(ISBLANK(Piping!B728), "", Piping!B728), IF($N$1="Vessels", IF(ISBLANK(Vessels!B728), "", Vessels!B728), ""))</f>
        <v/>
      </c>
      <c r="C728" s="21" t="str">
        <f>IF($N$1="Piping", IF(ISBLANK(Piping!C728), "", Piping!C728), IF($N$1="Vessels", IF(ISBLANK(Vessels!C728), "", Vessels!C728), ""))</f>
        <v>Piping</v>
      </c>
      <c r="D728" s="21" t="str">
        <f>IF($N$1="Piping", IF(ISBLANK(Piping!D728), "", Piping!D728), IF($N$1="Vessels", IF(ISBLANK(Vessels!D728), "", Vessels!D728), ""))</f>
        <v/>
      </c>
      <c r="E728" s="21" t="str">
        <f>IF($N$1="Piping", IF(ISBLANK(Piping!E728), "", Piping!E728), IF($N$1="Vessels", IF(ISBLANK(Vessels!E728), "", Vessels!E728), ""))</f>
        <v/>
      </c>
      <c r="F728" s="21" t="str">
        <f>IF($N$1="Piping", IF(ISBLANK(Piping!F728), "", Piping!F728), IF($N$1="Vessels", IF(ISBLANK(Vessels!F728), "", Vessels!F728), ""))</f>
        <v/>
      </c>
      <c r="G728" s="21">
        <f>IF($N$1="Piping", IF(ISBLANK(Piping!G728), "", Piping!G728), IF($N$1="Vessels", IF(ISBLANK(Vessels!G728), "", Vessels!G728), ""))</f>
        <v>0</v>
      </c>
      <c r="H728" s="21" t="str">
        <f>IF($N$1="Piping", IF(ISBLANK(Piping!H728), "", Piping!H728), IF($N$1="Vessels", IF(ISBLANK(Vessels!H728), "", Vessels!H728), ""))</f>
        <v/>
      </c>
      <c r="I728" s="21" t="str">
        <f>IF($N$1="Piping", IF(ISBLANK(Piping!I728), "", Piping!I728), IF($N$1="Vessels", IF(ISBLANK(Vessels!I728), "", Vessels!I728), ""))</f>
        <v/>
      </c>
      <c r="J728" s="21" t="str">
        <f>IF($N$1="Piping", IF(ISBLANK(Piping!J728), "", Piping!J728), IF($N$1="Vessels", IF(ISBLANK(Vessels!J728), "", Vessels!J728), ""))</f>
        <v/>
      </c>
      <c r="K728" s="21" t="str">
        <f>IF($N$1="Piping", IF(ISBLANK(Piping!K728), "", Piping!K728), IF($N$1="Vessels", IF(ISBLANK(Vessels!K728), "", Vessels!K728), ""))</f>
        <v/>
      </c>
      <c r="L728" s="21" t="str">
        <f>IF($N$1="Piping", IF(ISBLANK(Piping!L728), "", Piping!L728), IF($N$1="Vessels", IF(ISBLANK(Vessels!L728), "", Vessels!L728), ""))</f>
        <v/>
      </c>
      <c r="M728" s="21"/>
      <c r="N728" s="21"/>
      <c r="O728" s="21"/>
      <c r="P728" s="21"/>
      <c r="Q728" s="21" t="str">
        <f>IF($N$1="Piping", IF(ISBLANK(Piping!T728), "", Piping!T728), IF($N$1="Vessels", IF(ISBLANK(Vessels!T728), "", Vessels!T728), ""))</f>
        <v/>
      </c>
      <c r="R728" s="51" t="str">
        <f>IF($N$1="Piping", IF(ISBLANK(Piping!U728), "", Piping!U728), IF($N$1="Vessels", IF(ISBLANK(Vessels!U728), "", Vessels!U728), ""))</f>
        <v/>
      </c>
      <c r="S728" s="118" t="str">
        <f>IF(B728&lt;&gt;"",IF($N$1="Piping", IF(ISBLANK(Piping!$J$3), "", Piping!$J$3), IF($N$1="Vessels", IF(ISBLANK(Vessels!$J$3), "", Vessels!$J$3), "")),"")</f>
        <v/>
      </c>
      <c r="T728" s="37"/>
      <c r="U728" s="37"/>
      <c r="V728" s="37"/>
      <c r="W728" s="37"/>
      <c r="X728" s="37"/>
      <c r="Y728" s="37"/>
      <c r="Z728" s="37"/>
    </row>
    <row r="729" spans="1:26" ht="15.75" customHeight="1" x14ac:dyDescent="0.3">
      <c r="A729" s="22">
        <f>IF($N$1="Piping", IF(ISBLANK(Piping!A729), "", Piping!A729), IF($N$1="Vessels", IF(ISBLANK(Vessels!A729), "", Vessels!A729), ""))</f>
        <v>181.4</v>
      </c>
      <c r="B729" s="21" t="str">
        <f>IF($N$1="Piping", IF(ISBLANK(Piping!B729), "", Piping!B729), IF($N$1="Vessels", IF(ISBLANK(Vessels!B729), "", Vessels!B729), ""))</f>
        <v/>
      </c>
      <c r="C729" s="21" t="str">
        <f>IF($N$1="Piping", IF(ISBLANK(Piping!C729), "", Piping!C729), IF($N$1="Vessels", IF(ISBLANK(Vessels!C729), "", Vessels!C729), ""))</f>
        <v>Piping</v>
      </c>
      <c r="D729" s="21" t="str">
        <f>IF($N$1="Piping", IF(ISBLANK(Piping!D729), "", Piping!D729), IF($N$1="Vessels", IF(ISBLANK(Vessels!D729), "", Vessels!D729), ""))</f>
        <v/>
      </c>
      <c r="E729" s="21" t="str">
        <f>IF($N$1="Piping", IF(ISBLANK(Piping!E729), "", Piping!E729), IF($N$1="Vessels", IF(ISBLANK(Vessels!E729), "", Vessels!E729), ""))</f>
        <v/>
      </c>
      <c r="F729" s="21" t="str">
        <f>IF($N$1="Piping", IF(ISBLANK(Piping!F729), "", Piping!F729), IF($N$1="Vessels", IF(ISBLANK(Vessels!F729), "", Vessels!F729), ""))</f>
        <v/>
      </c>
      <c r="G729" s="21">
        <f>IF($N$1="Piping", IF(ISBLANK(Piping!G729), "", Piping!G729), IF($N$1="Vessels", IF(ISBLANK(Vessels!G729), "", Vessels!G729), ""))</f>
        <v>0</v>
      </c>
      <c r="H729" s="21" t="str">
        <f>IF($N$1="Piping", IF(ISBLANK(Piping!H729), "", Piping!H729), IF($N$1="Vessels", IF(ISBLANK(Vessels!H729), "", Vessels!H729), ""))</f>
        <v/>
      </c>
      <c r="I729" s="21" t="str">
        <f>IF($N$1="Piping", IF(ISBLANK(Piping!I729), "", Piping!I729), IF($N$1="Vessels", IF(ISBLANK(Vessels!I729), "", Vessels!I729), ""))</f>
        <v/>
      </c>
      <c r="J729" s="21" t="str">
        <f>IF($N$1="Piping", IF(ISBLANK(Piping!J729), "", Piping!J729), IF($N$1="Vessels", IF(ISBLANK(Vessels!J729), "", Vessels!J729), ""))</f>
        <v/>
      </c>
      <c r="K729" s="21" t="str">
        <f>IF($N$1="Piping", IF(ISBLANK(Piping!K729), "", Piping!K729), IF($N$1="Vessels", IF(ISBLANK(Vessels!K729), "", Vessels!K729), ""))</f>
        <v/>
      </c>
      <c r="L729" s="21" t="str">
        <f>IF($N$1="Piping", IF(ISBLANK(Piping!L729), "", Piping!L729), IF($N$1="Vessels", IF(ISBLANK(Vessels!L729), "", Vessels!L729), ""))</f>
        <v/>
      </c>
      <c r="M729" s="21"/>
      <c r="N729" s="21"/>
      <c r="O729" s="21"/>
      <c r="P729" s="21"/>
      <c r="Q729" s="21" t="str">
        <f>IF($N$1="Piping", IF(ISBLANK(Piping!T729), "", Piping!T729), IF($N$1="Vessels", IF(ISBLANK(Vessels!T729), "", Vessels!T729), ""))</f>
        <v/>
      </c>
      <c r="R729" s="51" t="str">
        <f>IF($N$1="Piping", IF(ISBLANK(Piping!U729), "", Piping!U729), IF($N$1="Vessels", IF(ISBLANK(Vessels!U729), "", Vessels!U729), ""))</f>
        <v/>
      </c>
      <c r="S729" s="118" t="str">
        <f>IF(B729&lt;&gt;"",IF($N$1="Piping", IF(ISBLANK(Piping!$J$3), "", Piping!$J$3), IF($N$1="Vessels", IF(ISBLANK(Vessels!$J$3), "", Vessels!$J$3), "")),"")</f>
        <v/>
      </c>
      <c r="T729" s="37"/>
      <c r="U729" s="37"/>
      <c r="V729" s="37"/>
      <c r="W729" s="37"/>
      <c r="X729" s="37"/>
      <c r="Y729" s="37"/>
      <c r="Z729" s="37"/>
    </row>
    <row r="730" spans="1:26" ht="15.75" customHeight="1" x14ac:dyDescent="0.3">
      <c r="A730" s="22">
        <f>IF($N$1="Piping", IF(ISBLANK(Piping!A730), "", Piping!A730), IF($N$1="Vessels", IF(ISBLANK(Vessels!A730), "", Vessels!A730), ""))</f>
        <v>182.1</v>
      </c>
      <c r="B730" s="21" t="str">
        <f>IF($N$1="Piping", IF(ISBLANK(Piping!B730), "", Piping!B730), IF($N$1="Vessels", IF(ISBLANK(Vessels!B730), "", Vessels!B730), ""))</f>
        <v/>
      </c>
      <c r="C730" s="21" t="str">
        <f>IF($N$1="Piping", IF(ISBLANK(Piping!C730), "", Piping!C730), IF($N$1="Vessels", IF(ISBLANK(Vessels!C730), "", Vessels!C730), ""))</f>
        <v>Piping</v>
      </c>
      <c r="D730" s="21" t="str">
        <f>IF($N$1="Piping", IF(ISBLANK(Piping!D730), "", Piping!D730), IF($N$1="Vessels", IF(ISBLANK(Vessels!D730), "", Vessels!D730), ""))</f>
        <v/>
      </c>
      <c r="E730" s="21" t="str">
        <f>IF($N$1="Piping", IF(ISBLANK(Piping!E730), "", Piping!E730), IF($N$1="Vessels", IF(ISBLANK(Vessels!E730), "", Vessels!E730), ""))</f>
        <v/>
      </c>
      <c r="F730" s="21" t="str">
        <f>IF($N$1="Piping", IF(ISBLANK(Piping!F730), "", Piping!F730), IF($N$1="Vessels", IF(ISBLANK(Vessels!F730), "", Vessels!F730), ""))</f>
        <v/>
      </c>
      <c r="G730" s="21">
        <f>IF($N$1="Piping", IF(ISBLANK(Piping!G730), "", Piping!G730), IF($N$1="Vessels", IF(ISBLANK(Vessels!G730), "", Vessels!G730), ""))</f>
        <v>0</v>
      </c>
      <c r="H730" s="21" t="str">
        <f>IF($N$1="Piping", IF(ISBLANK(Piping!H730), "", Piping!H730), IF($N$1="Vessels", IF(ISBLANK(Vessels!H730), "", Vessels!H730), ""))</f>
        <v/>
      </c>
      <c r="I730" s="21" t="str">
        <f>IF($N$1="Piping", IF(ISBLANK(Piping!I730), "", Piping!I730), IF($N$1="Vessels", IF(ISBLANK(Vessels!I730), "", Vessels!I730), ""))</f>
        <v/>
      </c>
      <c r="J730" s="21" t="str">
        <f>IF($N$1="Piping", IF(ISBLANK(Piping!J730), "", Piping!J730), IF($N$1="Vessels", IF(ISBLANK(Vessels!J730), "", Vessels!J730), ""))</f>
        <v/>
      </c>
      <c r="K730" s="21" t="str">
        <f>IF($N$1="Piping", IF(ISBLANK(Piping!K730), "", Piping!K730), IF($N$1="Vessels", IF(ISBLANK(Vessels!K730), "", Vessels!K730), ""))</f>
        <v/>
      </c>
      <c r="L730" s="21" t="str">
        <f>IF($N$1="Piping", IF(ISBLANK(Piping!L730), "", Piping!L730), IF($N$1="Vessels", IF(ISBLANK(Vessels!L730), "", Vessels!L730), ""))</f>
        <v/>
      </c>
      <c r="M730" s="21"/>
      <c r="N730" s="21"/>
      <c r="O730" s="21"/>
      <c r="P730" s="21"/>
      <c r="Q730" s="21" t="str">
        <f>IF($N$1="Piping", IF(ISBLANK(Piping!T730), "", Piping!T730), IF($N$1="Vessels", IF(ISBLANK(Vessels!T730), "", Vessels!T730), ""))</f>
        <v/>
      </c>
      <c r="R730" s="51" t="str">
        <f>IF($N$1="Piping", IF(ISBLANK(Piping!U730), "", Piping!U730), IF($N$1="Vessels", IF(ISBLANK(Vessels!U730), "", Vessels!U730), ""))</f>
        <v/>
      </c>
      <c r="S730" s="118" t="str">
        <f>IF(B730&lt;&gt;"",IF($N$1="Piping", IF(ISBLANK(Piping!$J$3), "", Piping!$J$3), IF($N$1="Vessels", IF(ISBLANK(Vessels!$J$3), "", Vessels!$J$3), "")),"")</f>
        <v/>
      </c>
      <c r="T730" s="37"/>
      <c r="U730" s="37"/>
      <c r="V730" s="37"/>
      <c r="W730" s="37"/>
      <c r="X730" s="37"/>
      <c r="Y730" s="37"/>
      <c r="Z730" s="37"/>
    </row>
    <row r="731" spans="1:26" ht="15.75" customHeight="1" x14ac:dyDescent="0.3">
      <c r="A731" s="22">
        <f>IF($N$1="Piping", IF(ISBLANK(Piping!A731), "", Piping!A731), IF($N$1="Vessels", IF(ISBLANK(Vessels!A731), "", Vessels!A731), ""))</f>
        <v>182.2</v>
      </c>
      <c r="B731" s="21" t="str">
        <f>IF($N$1="Piping", IF(ISBLANK(Piping!B731), "", Piping!B731), IF($N$1="Vessels", IF(ISBLANK(Vessels!B731), "", Vessels!B731), ""))</f>
        <v/>
      </c>
      <c r="C731" s="21" t="str">
        <f>IF($N$1="Piping", IF(ISBLANK(Piping!C731), "", Piping!C731), IF($N$1="Vessels", IF(ISBLANK(Vessels!C731), "", Vessels!C731), ""))</f>
        <v>Piping</v>
      </c>
      <c r="D731" s="21" t="str">
        <f>IF($N$1="Piping", IF(ISBLANK(Piping!D731), "", Piping!D731), IF($N$1="Vessels", IF(ISBLANK(Vessels!D731), "", Vessels!D731), ""))</f>
        <v/>
      </c>
      <c r="E731" s="21" t="str">
        <f>IF($N$1="Piping", IF(ISBLANK(Piping!E731), "", Piping!E731), IF($N$1="Vessels", IF(ISBLANK(Vessels!E731), "", Vessels!E731), ""))</f>
        <v/>
      </c>
      <c r="F731" s="21" t="str">
        <f>IF($N$1="Piping", IF(ISBLANK(Piping!F731), "", Piping!F731), IF($N$1="Vessels", IF(ISBLANK(Vessels!F731), "", Vessels!F731), ""))</f>
        <v/>
      </c>
      <c r="G731" s="21">
        <f>IF($N$1="Piping", IF(ISBLANK(Piping!G731), "", Piping!G731), IF($N$1="Vessels", IF(ISBLANK(Vessels!G731), "", Vessels!G731), ""))</f>
        <v>0</v>
      </c>
      <c r="H731" s="21" t="str">
        <f>IF($N$1="Piping", IF(ISBLANK(Piping!H731), "", Piping!H731), IF($N$1="Vessels", IF(ISBLANK(Vessels!H731), "", Vessels!H731), ""))</f>
        <v/>
      </c>
      <c r="I731" s="21" t="str">
        <f>IF($N$1="Piping", IF(ISBLANK(Piping!I731), "", Piping!I731), IF($N$1="Vessels", IF(ISBLANK(Vessels!I731), "", Vessels!I731), ""))</f>
        <v/>
      </c>
      <c r="J731" s="21" t="str">
        <f>IF($N$1="Piping", IF(ISBLANK(Piping!J731), "", Piping!J731), IF($N$1="Vessels", IF(ISBLANK(Vessels!J731), "", Vessels!J731), ""))</f>
        <v/>
      </c>
      <c r="K731" s="21" t="str">
        <f>IF($N$1="Piping", IF(ISBLANK(Piping!K731), "", Piping!K731), IF($N$1="Vessels", IF(ISBLANK(Vessels!K731), "", Vessels!K731), ""))</f>
        <v/>
      </c>
      <c r="L731" s="21" t="str">
        <f>IF($N$1="Piping", IF(ISBLANK(Piping!L731), "", Piping!L731), IF($N$1="Vessels", IF(ISBLANK(Vessels!L731), "", Vessels!L731), ""))</f>
        <v/>
      </c>
      <c r="M731" s="21"/>
      <c r="N731" s="21"/>
      <c r="O731" s="21"/>
      <c r="P731" s="21"/>
      <c r="Q731" s="21" t="str">
        <f>IF($N$1="Piping", IF(ISBLANK(Piping!T731), "", Piping!T731), IF($N$1="Vessels", IF(ISBLANK(Vessels!T731), "", Vessels!T731), ""))</f>
        <v/>
      </c>
      <c r="R731" s="51" t="str">
        <f>IF($N$1="Piping", IF(ISBLANK(Piping!U731), "", Piping!U731), IF($N$1="Vessels", IF(ISBLANK(Vessels!U731), "", Vessels!U731), ""))</f>
        <v/>
      </c>
      <c r="S731" s="118" t="str">
        <f>IF(B731&lt;&gt;"",IF($N$1="Piping", IF(ISBLANK(Piping!$J$3), "", Piping!$J$3), IF($N$1="Vessels", IF(ISBLANK(Vessels!$J$3), "", Vessels!$J$3), "")),"")</f>
        <v/>
      </c>
      <c r="T731" s="37"/>
      <c r="U731" s="37"/>
      <c r="V731" s="37"/>
      <c r="W731" s="37"/>
      <c r="X731" s="37"/>
      <c r="Y731" s="37"/>
      <c r="Z731" s="37"/>
    </row>
    <row r="732" spans="1:26" ht="15.75" customHeight="1" x14ac:dyDescent="0.3">
      <c r="A732" s="22">
        <f>IF($N$1="Piping", IF(ISBLANK(Piping!A732), "", Piping!A732), IF($N$1="Vessels", IF(ISBLANK(Vessels!A732), "", Vessels!A732), ""))</f>
        <v>182.3</v>
      </c>
      <c r="B732" s="21" t="str">
        <f>IF($N$1="Piping", IF(ISBLANK(Piping!B732), "", Piping!B732), IF($N$1="Vessels", IF(ISBLANK(Vessels!B732), "", Vessels!B732), ""))</f>
        <v/>
      </c>
      <c r="C732" s="21" t="str">
        <f>IF($N$1="Piping", IF(ISBLANK(Piping!C732), "", Piping!C732), IF($N$1="Vessels", IF(ISBLANK(Vessels!C732), "", Vessels!C732), ""))</f>
        <v>Piping</v>
      </c>
      <c r="D732" s="21" t="str">
        <f>IF($N$1="Piping", IF(ISBLANK(Piping!D732), "", Piping!D732), IF($N$1="Vessels", IF(ISBLANK(Vessels!D732), "", Vessels!D732), ""))</f>
        <v/>
      </c>
      <c r="E732" s="21" t="str">
        <f>IF($N$1="Piping", IF(ISBLANK(Piping!E732), "", Piping!E732), IF($N$1="Vessels", IF(ISBLANK(Vessels!E732), "", Vessels!E732), ""))</f>
        <v/>
      </c>
      <c r="F732" s="21" t="str">
        <f>IF($N$1="Piping", IF(ISBLANK(Piping!F732), "", Piping!F732), IF($N$1="Vessels", IF(ISBLANK(Vessels!F732), "", Vessels!F732), ""))</f>
        <v/>
      </c>
      <c r="G732" s="21">
        <f>IF($N$1="Piping", IF(ISBLANK(Piping!G732), "", Piping!G732), IF($N$1="Vessels", IF(ISBLANK(Vessels!G732), "", Vessels!G732), ""))</f>
        <v>0</v>
      </c>
      <c r="H732" s="21" t="str">
        <f>IF($N$1="Piping", IF(ISBLANK(Piping!H732), "", Piping!H732), IF($N$1="Vessels", IF(ISBLANK(Vessels!H732), "", Vessels!H732), ""))</f>
        <v/>
      </c>
      <c r="I732" s="21" t="str">
        <f>IF($N$1="Piping", IF(ISBLANK(Piping!I732), "", Piping!I732), IF($N$1="Vessels", IF(ISBLANK(Vessels!I732), "", Vessels!I732), ""))</f>
        <v/>
      </c>
      <c r="J732" s="21" t="str">
        <f>IF($N$1="Piping", IF(ISBLANK(Piping!J732), "", Piping!J732), IF($N$1="Vessels", IF(ISBLANK(Vessels!J732), "", Vessels!J732), ""))</f>
        <v/>
      </c>
      <c r="K732" s="21" t="str">
        <f>IF($N$1="Piping", IF(ISBLANK(Piping!K732), "", Piping!K732), IF($N$1="Vessels", IF(ISBLANK(Vessels!K732), "", Vessels!K732), ""))</f>
        <v/>
      </c>
      <c r="L732" s="21" t="str">
        <f>IF($N$1="Piping", IF(ISBLANK(Piping!L732), "", Piping!L732), IF($N$1="Vessels", IF(ISBLANK(Vessels!L732), "", Vessels!L732), ""))</f>
        <v/>
      </c>
      <c r="M732" s="21"/>
      <c r="N732" s="21"/>
      <c r="O732" s="21"/>
      <c r="P732" s="21"/>
      <c r="Q732" s="21" t="str">
        <f>IF($N$1="Piping", IF(ISBLANK(Piping!T732), "", Piping!T732), IF($N$1="Vessels", IF(ISBLANK(Vessels!T732), "", Vessels!T732), ""))</f>
        <v/>
      </c>
      <c r="R732" s="51" t="str">
        <f>IF($N$1="Piping", IF(ISBLANK(Piping!U732), "", Piping!U732), IF($N$1="Vessels", IF(ISBLANK(Vessels!U732), "", Vessels!U732), ""))</f>
        <v/>
      </c>
      <c r="S732" s="118" t="str">
        <f>IF(B732&lt;&gt;"",IF($N$1="Piping", IF(ISBLANK(Piping!$J$3), "", Piping!$J$3), IF($N$1="Vessels", IF(ISBLANK(Vessels!$J$3), "", Vessels!$J$3), "")),"")</f>
        <v/>
      </c>
      <c r="T732" s="37"/>
      <c r="U732" s="37"/>
      <c r="V732" s="37"/>
      <c r="W732" s="37"/>
      <c r="X732" s="37"/>
      <c r="Y732" s="37"/>
      <c r="Z732" s="37"/>
    </row>
    <row r="733" spans="1:26" ht="15.75" customHeight="1" x14ac:dyDescent="0.3">
      <c r="A733" s="22">
        <f>IF($N$1="Piping", IF(ISBLANK(Piping!A733), "", Piping!A733), IF($N$1="Vessels", IF(ISBLANK(Vessels!A733), "", Vessels!A733), ""))</f>
        <v>182.4</v>
      </c>
      <c r="B733" s="21" t="str">
        <f>IF($N$1="Piping", IF(ISBLANK(Piping!B733), "", Piping!B733), IF($N$1="Vessels", IF(ISBLANK(Vessels!B733), "", Vessels!B733), ""))</f>
        <v/>
      </c>
      <c r="C733" s="21" t="str">
        <f>IF($N$1="Piping", IF(ISBLANK(Piping!C733), "", Piping!C733), IF($N$1="Vessels", IF(ISBLANK(Vessels!C733), "", Vessels!C733), ""))</f>
        <v>Piping</v>
      </c>
      <c r="D733" s="21" t="str">
        <f>IF($N$1="Piping", IF(ISBLANK(Piping!D733), "", Piping!D733), IF($N$1="Vessels", IF(ISBLANK(Vessels!D733), "", Vessels!D733), ""))</f>
        <v/>
      </c>
      <c r="E733" s="21" t="str">
        <f>IF($N$1="Piping", IF(ISBLANK(Piping!E733), "", Piping!E733), IF($N$1="Vessels", IF(ISBLANK(Vessels!E733), "", Vessels!E733), ""))</f>
        <v/>
      </c>
      <c r="F733" s="21" t="str">
        <f>IF($N$1="Piping", IF(ISBLANK(Piping!F733), "", Piping!F733), IF($N$1="Vessels", IF(ISBLANK(Vessels!F733), "", Vessels!F733), ""))</f>
        <v/>
      </c>
      <c r="G733" s="21">
        <f>IF($N$1="Piping", IF(ISBLANK(Piping!G733), "", Piping!G733), IF($N$1="Vessels", IF(ISBLANK(Vessels!G733), "", Vessels!G733), ""))</f>
        <v>0</v>
      </c>
      <c r="H733" s="21" t="str">
        <f>IF($N$1="Piping", IF(ISBLANK(Piping!H733), "", Piping!H733), IF($N$1="Vessels", IF(ISBLANK(Vessels!H733), "", Vessels!H733), ""))</f>
        <v/>
      </c>
      <c r="I733" s="21" t="str">
        <f>IF($N$1="Piping", IF(ISBLANK(Piping!I733), "", Piping!I733), IF($N$1="Vessels", IF(ISBLANK(Vessels!I733), "", Vessels!I733), ""))</f>
        <v/>
      </c>
      <c r="J733" s="21" t="str">
        <f>IF($N$1="Piping", IF(ISBLANK(Piping!J733), "", Piping!J733), IF($N$1="Vessels", IF(ISBLANK(Vessels!J733), "", Vessels!J733), ""))</f>
        <v/>
      </c>
      <c r="K733" s="21" t="str">
        <f>IF($N$1="Piping", IF(ISBLANK(Piping!K733), "", Piping!K733), IF($N$1="Vessels", IF(ISBLANK(Vessels!K733), "", Vessels!K733), ""))</f>
        <v/>
      </c>
      <c r="L733" s="21" t="str">
        <f>IF($N$1="Piping", IF(ISBLANK(Piping!L733), "", Piping!L733), IF($N$1="Vessels", IF(ISBLANK(Vessels!L733), "", Vessels!L733), ""))</f>
        <v/>
      </c>
      <c r="M733" s="21"/>
      <c r="N733" s="21"/>
      <c r="O733" s="21"/>
      <c r="P733" s="21"/>
      <c r="Q733" s="21" t="str">
        <f>IF($N$1="Piping", IF(ISBLANK(Piping!T733), "", Piping!T733), IF($N$1="Vessels", IF(ISBLANK(Vessels!T733), "", Vessels!T733), ""))</f>
        <v/>
      </c>
      <c r="R733" s="51" t="str">
        <f>IF($N$1="Piping", IF(ISBLANK(Piping!U733), "", Piping!U733), IF($N$1="Vessels", IF(ISBLANK(Vessels!U733), "", Vessels!U733), ""))</f>
        <v/>
      </c>
      <c r="S733" s="118" t="str">
        <f>IF(B733&lt;&gt;"",IF($N$1="Piping", IF(ISBLANK(Piping!$J$3), "", Piping!$J$3), IF($N$1="Vessels", IF(ISBLANK(Vessels!$J$3), "", Vessels!$J$3), "")),"")</f>
        <v/>
      </c>
      <c r="T733" s="37"/>
      <c r="U733" s="37"/>
      <c r="V733" s="37"/>
      <c r="W733" s="37"/>
      <c r="X733" s="37"/>
      <c r="Y733" s="37"/>
      <c r="Z733" s="37"/>
    </row>
    <row r="734" spans="1:26" ht="15.75" customHeight="1" x14ac:dyDescent="0.3">
      <c r="A734" s="22">
        <f>IF($N$1="Piping", IF(ISBLANK(Piping!A734), "", Piping!A734), IF($N$1="Vessels", IF(ISBLANK(Vessels!A734), "", Vessels!A734), ""))</f>
        <v>183.1</v>
      </c>
      <c r="B734" s="21" t="str">
        <f>IF($N$1="Piping", IF(ISBLANK(Piping!B734), "", Piping!B734), IF($N$1="Vessels", IF(ISBLANK(Vessels!B734), "", Vessels!B734), ""))</f>
        <v/>
      </c>
      <c r="C734" s="21" t="str">
        <f>IF($N$1="Piping", IF(ISBLANK(Piping!C734), "", Piping!C734), IF($N$1="Vessels", IF(ISBLANK(Vessels!C734), "", Vessels!C734), ""))</f>
        <v>Piping</v>
      </c>
      <c r="D734" s="21" t="str">
        <f>IF($N$1="Piping", IF(ISBLANK(Piping!D734), "", Piping!D734), IF($N$1="Vessels", IF(ISBLANK(Vessels!D734), "", Vessels!D734), ""))</f>
        <v/>
      </c>
      <c r="E734" s="21" t="str">
        <f>IF($N$1="Piping", IF(ISBLANK(Piping!E734), "", Piping!E734), IF($N$1="Vessels", IF(ISBLANK(Vessels!E734), "", Vessels!E734), ""))</f>
        <v/>
      </c>
      <c r="F734" s="21" t="str">
        <f>IF($N$1="Piping", IF(ISBLANK(Piping!F734), "", Piping!F734), IF($N$1="Vessels", IF(ISBLANK(Vessels!F734), "", Vessels!F734), ""))</f>
        <v/>
      </c>
      <c r="G734" s="21">
        <f>IF($N$1="Piping", IF(ISBLANK(Piping!G734), "", Piping!G734), IF($N$1="Vessels", IF(ISBLANK(Vessels!G734), "", Vessels!G734), ""))</f>
        <v>0</v>
      </c>
      <c r="H734" s="21" t="str">
        <f>IF($N$1="Piping", IF(ISBLANK(Piping!H734), "", Piping!H734), IF($N$1="Vessels", IF(ISBLANK(Vessels!H734), "", Vessels!H734), ""))</f>
        <v/>
      </c>
      <c r="I734" s="21" t="str">
        <f>IF($N$1="Piping", IF(ISBLANK(Piping!I734), "", Piping!I734), IF($N$1="Vessels", IF(ISBLANK(Vessels!I734), "", Vessels!I734), ""))</f>
        <v/>
      </c>
      <c r="J734" s="21" t="str">
        <f>IF($N$1="Piping", IF(ISBLANK(Piping!J734), "", Piping!J734), IF($N$1="Vessels", IF(ISBLANK(Vessels!J734), "", Vessels!J734), ""))</f>
        <v/>
      </c>
      <c r="K734" s="21" t="str">
        <f>IF($N$1="Piping", IF(ISBLANK(Piping!K734), "", Piping!K734), IF($N$1="Vessels", IF(ISBLANK(Vessels!K734), "", Vessels!K734), ""))</f>
        <v/>
      </c>
      <c r="L734" s="21" t="str">
        <f>IF($N$1="Piping", IF(ISBLANK(Piping!L734), "", Piping!L734), IF($N$1="Vessels", IF(ISBLANK(Vessels!L734), "", Vessels!L734), ""))</f>
        <v/>
      </c>
      <c r="M734" s="21"/>
      <c r="N734" s="21"/>
      <c r="O734" s="21"/>
      <c r="P734" s="21"/>
      <c r="Q734" s="21" t="str">
        <f>IF($N$1="Piping", IF(ISBLANK(Piping!T734), "", Piping!T734), IF($N$1="Vessels", IF(ISBLANK(Vessels!T734), "", Vessels!T734), ""))</f>
        <v/>
      </c>
      <c r="R734" s="51" t="str">
        <f>IF($N$1="Piping", IF(ISBLANK(Piping!U734), "", Piping!U734), IF($N$1="Vessels", IF(ISBLANK(Vessels!U734), "", Vessels!U734), ""))</f>
        <v/>
      </c>
      <c r="S734" s="118" t="str">
        <f>IF(B734&lt;&gt;"",IF($N$1="Piping", IF(ISBLANK(Piping!$J$3), "", Piping!$J$3), IF($N$1="Vessels", IF(ISBLANK(Vessels!$J$3), "", Vessels!$J$3), "")),"")</f>
        <v/>
      </c>
      <c r="T734" s="37"/>
      <c r="U734" s="37"/>
      <c r="V734" s="37"/>
      <c r="W734" s="37"/>
      <c r="X734" s="37"/>
      <c r="Y734" s="37"/>
      <c r="Z734" s="37"/>
    </row>
    <row r="735" spans="1:26" ht="15.75" customHeight="1" x14ac:dyDescent="0.3">
      <c r="A735" s="22">
        <f>IF($N$1="Piping", IF(ISBLANK(Piping!A735), "", Piping!A735), IF($N$1="Vessels", IF(ISBLANK(Vessels!A735), "", Vessels!A735), ""))</f>
        <v>183.2</v>
      </c>
      <c r="B735" s="21" t="str">
        <f>IF($N$1="Piping", IF(ISBLANK(Piping!B735), "", Piping!B735), IF($N$1="Vessels", IF(ISBLANK(Vessels!B735), "", Vessels!B735), ""))</f>
        <v/>
      </c>
      <c r="C735" s="21" t="str">
        <f>IF($N$1="Piping", IF(ISBLANK(Piping!C735), "", Piping!C735), IF($N$1="Vessels", IF(ISBLANK(Vessels!C735), "", Vessels!C735), ""))</f>
        <v>Piping</v>
      </c>
      <c r="D735" s="21" t="str">
        <f>IF($N$1="Piping", IF(ISBLANK(Piping!D735), "", Piping!D735), IF($N$1="Vessels", IF(ISBLANK(Vessels!D735), "", Vessels!D735), ""))</f>
        <v/>
      </c>
      <c r="E735" s="21" t="str">
        <f>IF($N$1="Piping", IF(ISBLANK(Piping!E735), "", Piping!E735), IF($N$1="Vessels", IF(ISBLANK(Vessels!E735), "", Vessels!E735), ""))</f>
        <v/>
      </c>
      <c r="F735" s="21" t="str">
        <f>IF($N$1="Piping", IF(ISBLANK(Piping!F735), "", Piping!F735), IF($N$1="Vessels", IF(ISBLANK(Vessels!F735), "", Vessels!F735), ""))</f>
        <v/>
      </c>
      <c r="G735" s="21">
        <f>IF($N$1="Piping", IF(ISBLANK(Piping!G735), "", Piping!G735), IF($N$1="Vessels", IF(ISBLANK(Vessels!G735), "", Vessels!G735), ""))</f>
        <v>0</v>
      </c>
      <c r="H735" s="21" t="str">
        <f>IF($N$1="Piping", IF(ISBLANK(Piping!H735), "", Piping!H735), IF($N$1="Vessels", IF(ISBLANK(Vessels!H735), "", Vessels!H735), ""))</f>
        <v/>
      </c>
      <c r="I735" s="21" t="str">
        <f>IF($N$1="Piping", IF(ISBLANK(Piping!I735), "", Piping!I735), IF($N$1="Vessels", IF(ISBLANK(Vessels!I735), "", Vessels!I735), ""))</f>
        <v/>
      </c>
      <c r="J735" s="21" t="str">
        <f>IF($N$1="Piping", IF(ISBLANK(Piping!J735), "", Piping!J735), IF($N$1="Vessels", IF(ISBLANK(Vessels!J735), "", Vessels!J735), ""))</f>
        <v/>
      </c>
      <c r="K735" s="21" t="str">
        <f>IF($N$1="Piping", IF(ISBLANK(Piping!K735), "", Piping!K735), IF($N$1="Vessels", IF(ISBLANK(Vessels!K735), "", Vessels!K735), ""))</f>
        <v/>
      </c>
      <c r="L735" s="21" t="str">
        <f>IF($N$1="Piping", IF(ISBLANK(Piping!L735), "", Piping!L735), IF($N$1="Vessels", IF(ISBLANK(Vessels!L735), "", Vessels!L735), ""))</f>
        <v/>
      </c>
      <c r="M735" s="21"/>
      <c r="N735" s="21"/>
      <c r="O735" s="21"/>
      <c r="P735" s="21"/>
      <c r="Q735" s="21" t="str">
        <f>IF($N$1="Piping", IF(ISBLANK(Piping!T735), "", Piping!T735), IF($N$1="Vessels", IF(ISBLANK(Vessels!T735), "", Vessels!T735), ""))</f>
        <v/>
      </c>
      <c r="R735" s="51" t="str">
        <f>IF($N$1="Piping", IF(ISBLANK(Piping!U735), "", Piping!U735), IF($N$1="Vessels", IF(ISBLANK(Vessels!U735), "", Vessels!U735), ""))</f>
        <v/>
      </c>
      <c r="S735" s="118" t="str">
        <f>IF(B735&lt;&gt;"",IF($N$1="Piping", IF(ISBLANK(Piping!$J$3), "", Piping!$J$3), IF($N$1="Vessels", IF(ISBLANK(Vessels!$J$3), "", Vessels!$J$3), "")),"")</f>
        <v/>
      </c>
      <c r="T735" s="37"/>
      <c r="U735" s="37"/>
      <c r="V735" s="37"/>
      <c r="W735" s="37"/>
      <c r="X735" s="37"/>
      <c r="Y735" s="37"/>
      <c r="Z735" s="37"/>
    </row>
    <row r="736" spans="1:26" ht="15.75" customHeight="1" x14ac:dyDescent="0.3">
      <c r="A736" s="22">
        <f>IF($N$1="Piping", IF(ISBLANK(Piping!A736), "", Piping!A736), IF($N$1="Vessels", IF(ISBLANK(Vessels!A736), "", Vessels!A736), ""))</f>
        <v>183.3</v>
      </c>
      <c r="B736" s="21" t="str">
        <f>IF($N$1="Piping", IF(ISBLANK(Piping!B736), "", Piping!B736), IF($N$1="Vessels", IF(ISBLANK(Vessels!B736), "", Vessels!B736), ""))</f>
        <v/>
      </c>
      <c r="C736" s="21" t="str">
        <f>IF($N$1="Piping", IF(ISBLANK(Piping!C736), "", Piping!C736), IF($N$1="Vessels", IF(ISBLANK(Vessels!C736), "", Vessels!C736), ""))</f>
        <v>Piping</v>
      </c>
      <c r="D736" s="21" t="str">
        <f>IF($N$1="Piping", IF(ISBLANK(Piping!D736), "", Piping!D736), IF($N$1="Vessels", IF(ISBLANK(Vessels!D736), "", Vessels!D736), ""))</f>
        <v/>
      </c>
      <c r="E736" s="21" t="str">
        <f>IF($N$1="Piping", IF(ISBLANK(Piping!E736), "", Piping!E736), IF($N$1="Vessels", IF(ISBLANK(Vessels!E736), "", Vessels!E736), ""))</f>
        <v/>
      </c>
      <c r="F736" s="21" t="str">
        <f>IF($N$1="Piping", IF(ISBLANK(Piping!F736), "", Piping!F736), IF($N$1="Vessels", IF(ISBLANK(Vessels!F736), "", Vessels!F736), ""))</f>
        <v/>
      </c>
      <c r="G736" s="21">
        <f>IF($N$1="Piping", IF(ISBLANK(Piping!G736), "", Piping!G736), IF($N$1="Vessels", IF(ISBLANK(Vessels!G736), "", Vessels!G736), ""))</f>
        <v>0</v>
      </c>
      <c r="H736" s="21" t="str">
        <f>IF($N$1="Piping", IF(ISBLANK(Piping!H736), "", Piping!H736), IF($N$1="Vessels", IF(ISBLANK(Vessels!H736), "", Vessels!H736), ""))</f>
        <v/>
      </c>
      <c r="I736" s="21" t="str">
        <f>IF($N$1="Piping", IF(ISBLANK(Piping!I736), "", Piping!I736), IF($N$1="Vessels", IF(ISBLANK(Vessels!I736), "", Vessels!I736), ""))</f>
        <v/>
      </c>
      <c r="J736" s="21" t="str">
        <f>IF($N$1="Piping", IF(ISBLANK(Piping!J736), "", Piping!J736), IF($N$1="Vessels", IF(ISBLANK(Vessels!J736), "", Vessels!J736), ""))</f>
        <v/>
      </c>
      <c r="K736" s="21" t="str">
        <f>IF($N$1="Piping", IF(ISBLANK(Piping!K736), "", Piping!K736), IF($N$1="Vessels", IF(ISBLANK(Vessels!K736), "", Vessels!K736), ""))</f>
        <v/>
      </c>
      <c r="L736" s="21" t="str">
        <f>IF($N$1="Piping", IF(ISBLANK(Piping!L736), "", Piping!L736), IF($N$1="Vessels", IF(ISBLANK(Vessels!L736), "", Vessels!L736), ""))</f>
        <v/>
      </c>
      <c r="M736" s="21"/>
      <c r="N736" s="21"/>
      <c r="O736" s="21"/>
      <c r="P736" s="21"/>
      <c r="Q736" s="21" t="str">
        <f>IF($N$1="Piping", IF(ISBLANK(Piping!T736), "", Piping!T736), IF($N$1="Vessels", IF(ISBLANK(Vessels!T736), "", Vessels!T736), ""))</f>
        <v/>
      </c>
      <c r="R736" s="51" t="str">
        <f>IF($N$1="Piping", IF(ISBLANK(Piping!U736), "", Piping!U736), IF($N$1="Vessels", IF(ISBLANK(Vessels!U736), "", Vessels!U736), ""))</f>
        <v/>
      </c>
      <c r="S736" s="118" t="str">
        <f>IF(B736&lt;&gt;"",IF($N$1="Piping", IF(ISBLANK(Piping!$J$3), "", Piping!$J$3), IF($N$1="Vessels", IF(ISBLANK(Vessels!$J$3), "", Vessels!$J$3), "")),"")</f>
        <v/>
      </c>
      <c r="T736" s="37"/>
      <c r="U736" s="37"/>
      <c r="V736" s="37"/>
      <c r="W736" s="37"/>
      <c r="X736" s="37"/>
      <c r="Y736" s="37"/>
      <c r="Z736" s="37"/>
    </row>
    <row r="737" spans="1:26" ht="15.75" customHeight="1" x14ac:dyDescent="0.3">
      <c r="A737" s="22">
        <f>IF($N$1="Piping", IF(ISBLANK(Piping!A737), "", Piping!A737), IF($N$1="Vessels", IF(ISBLANK(Vessels!A737), "", Vessels!A737), ""))</f>
        <v>183.4</v>
      </c>
      <c r="B737" s="21" t="str">
        <f>IF($N$1="Piping", IF(ISBLANK(Piping!B737), "", Piping!B737), IF($N$1="Vessels", IF(ISBLANK(Vessels!B737), "", Vessels!B737), ""))</f>
        <v/>
      </c>
      <c r="C737" s="21" t="str">
        <f>IF($N$1="Piping", IF(ISBLANK(Piping!C737), "", Piping!C737), IF($N$1="Vessels", IF(ISBLANK(Vessels!C737), "", Vessels!C737), ""))</f>
        <v>Piping</v>
      </c>
      <c r="D737" s="21" t="str">
        <f>IF($N$1="Piping", IF(ISBLANK(Piping!D737), "", Piping!D737), IF($N$1="Vessels", IF(ISBLANK(Vessels!D737), "", Vessels!D737), ""))</f>
        <v/>
      </c>
      <c r="E737" s="21" t="str">
        <f>IF($N$1="Piping", IF(ISBLANK(Piping!E737), "", Piping!E737), IF($N$1="Vessels", IF(ISBLANK(Vessels!E737), "", Vessels!E737), ""))</f>
        <v/>
      </c>
      <c r="F737" s="21" t="str">
        <f>IF($N$1="Piping", IF(ISBLANK(Piping!F737), "", Piping!F737), IF($N$1="Vessels", IF(ISBLANK(Vessels!F737), "", Vessels!F737), ""))</f>
        <v/>
      </c>
      <c r="G737" s="21">
        <f>IF($N$1="Piping", IF(ISBLANK(Piping!G737), "", Piping!G737), IF($N$1="Vessels", IF(ISBLANK(Vessels!G737), "", Vessels!G737), ""))</f>
        <v>0</v>
      </c>
      <c r="H737" s="21" t="str">
        <f>IF($N$1="Piping", IF(ISBLANK(Piping!H737), "", Piping!H737), IF($N$1="Vessels", IF(ISBLANK(Vessels!H737), "", Vessels!H737), ""))</f>
        <v/>
      </c>
      <c r="I737" s="21" t="str">
        <f>IF($N$1="Piping", IF(ISBLANK(Piping!I737), "", Piping!I737), IF($N$1="Vessels", IF(ISBLANK(Vessels!I737), "", Vessels!I737), ""))</f>
        <v/>
      </c>
      <c r="J737" s="21" t="str">
        <f>IF($N$1="Piping", IF(ISBLANK(Piping!J737), "", Piping!J737), IF($N$1="Vessels", IF(ISBLANK(Vessels!J737), "", Vessels!J737), ""))</f>
        <v/>
      </c>
      <c r="K737" s="21" t="str">
        <f>IF($N$1="Piping", IF(ISBLANK(Piping!K737), "", Piping!K737), IF($N$1="Vessels", IF(ISBLANK(Vessels!K737), "", Vessels!K737), ""))</f>
        <v/>
      </c>
      <c r="L737" s="21" t="str">
        <f>IF($N$1="Piping", IF(ISBLANK(Piping!L737), "", Piping!L737), IF($N$1="Vessels", IF(ISBLANK(Vessels!L737), "", Vessels!L737), ""))</f>
        <v/>
      </c>
      <c r="M737" s="21"/>
      <c r="N737" s="21"/>
      <c r="O737" s="21"/>
      <c r="P737" s="21"/>
      <c r="Q737" s="21" t="str">
        <f>IF($N$1="Piping", IF(ISBLANK(Piping!T737), "", Piping!T737), IF($N$1="Vessels", IF(ISBLANK(Vessels!T737), "", Vessels!T737), ""))</f>
        <v/>
      </c>
      <c r="R737" s="51" t="str">
        <f>IF($N$1="Piping", IF(ISBLANK(Piping!U737), "", Piping!U737), IF($N$1="Vessels", IF(ISBLANK(Vessels!U737), "", Vessels!U737), ""))</f>
        <v/>
      </c>
      <c r="S737" s="118" t="str">
        <f>IF(B737&lt;&gt;"",IF($N$1="Piping", IF(ISBLANK(Piping!$J$3), "", Piping!$J$3), IF($N$1="Vessels", IF(ISBLANK(Vessels!$J$3), "", Vessels!$J$3), "")),"")</f>
        <v/>
      </c>
      <c r="T737" s="37"/>
      <c r="U737" s="37"/>
      <c r="V737" s="37"/>
      <c r="W737" s="37"/>
      <c r="X737" s="37"/>
      <c r="Y737" s="37"/>
      <c r="Z737" s="37"/>
    </row>
    <row r="738" spans="1:26" ht="15.75" customHeight="1" x14ac:dyDescent="0.3">
      <c r="A738" s="22">
        <f>IF($N$1="Piping", IF(ISBLANK(Piping!A738), "", Piping!A738), IF($N$1="Vessels", IF(ISBLANK(Vessels!A738), "", Vessels!A738), ""))</f>
        <v>184.1</v>
      </c>
      <c r="B738" s="21" t="str">
        <f>IF($N$1="Piping", IF(ISBLANK(Piping!B738), "", Piping!B738), IF($N$1="Vessels", IF(ISBLANK(Vessels!B738), "", Vessels!B738), ""))</f>
        <v/>
      </c>
      <c r="C738" s="21" t="str">
        <f>IF($N$1="Piping", IF(ISBLANK(Piping!C738), "", Piping!C738), IF($N$1="Vessels", IF(ISBLANK(Vessels!C738), "", Vessels!C738), ""))</f>
        <v>Piping</v>
      </c>
      <c r="D738" s="21" t="str">
        <f>IF($N$1="Piping", IF(ISBLANK(Piping!D738), "", Piping!D738), IF($N$1="Vessels", IF(ISBLANK(Vessels!D738), "", Vessels!D738), ""))</f>
        <v/>
      </c>
      <c r="E738" s="21" t="str">
        <f>IF($N$1="Piping", IF(ISBLANK(Piping!E738), "", Piping!E738), IF($N$1="Vessels", IF(ISBLANK(Vessels!E738), "", Vessels!E738), ""))</f>
        <v/>
      </c>
      <c r="F738" s="21" t="str">
        <f>IF($N$1="Piping", IF(ISBLANK(Piping!F738), "", Piping!F738), IF($N$1="Vessels", IF(ISBLANK(Vessels!F738), "", Vessels!F738), ""))</f>
        <v/>
      </c>
      <c r="G738" s="21">
        <f>IF($N$1="Piping", IF(ISBLANK(Piping!G738), "", Piping!G738), IF($N$1="Vessels", IF(ISBLANK(Vessels!G738), "", Vessels!G738), ""))</f>
        <v>0</v>
      </c>
      <c r="H738" s="21" t="str">
        <f>IF($N$1="Piping", IF(ISBLANK(Piping!H738), "", Piping!H738), IF($N$1="Vessels", IF(ISBLANK(Vessels!H738), "", Vessels!H738), ""))</f>
        <v/>
      </c>
      <c r="I738" s="21" t="str">
        <f>IF($N$1="Piping", IF(ISBLANK(Piping!I738), "", Piping!I738), IF($N$1="Vessels", IF(ISBLANK(Vessels!I738), "", Vessels!I738), ""))</f>
        <v/>
      </c>
      <c r="J738" s="21" t="str">
        <f>IF($N$1="Piping", IF(ISBLANK(Piping!J738), "", Piping!J738), IF($N$1="Vessels", IF(ISBLANK(Vessels!J738), "", Vessels!J738), ""))</f>
        <v/>
      </c>
      <c r="K738" s="21" t="str">
        <f>IF($N$1="Piping", IF(ISBLANK(Piping!K738), "", Piping!K738), IF($N$1="Vessels", IF(ISBLANK(Vessels!K738), "", Vessels!K738), ""))</f>
        <v/>
      </c>
      <c r="L738" s="21" t="str">
        <f>IF($N$1="Piping", IF(ISBLANK(Piping!L738), "", Piping!L738), IF($N$1="Vessels", IF(ISBLANK(Vessels!L738), "", Vessels!L738), ""))</f>
        <v/>
      </c>
      <c r="M738" s="21"/>
      <c r="N738" s="21"/>
      <c r="O738" s="21"/>
      <c r="P738" s="21"/>
      <c r="Q738" s="21" t="str">
        <f>IF($N$1="Piping", IF(ISBLANK(Piping!T738), "", Piping!T738), IF($N$1="Vessels", IF(ISBLANK(Vessels!T738), "", Vessels!T738), ""))</f>
        <v/>
      </c>
      <c r="R738" s="51" t="str">
        <f>IF($N$1="Piping", IF(ISBLANK(Piping!U738), "", Piping!U738), IF($N$1="Vessels", IF(ISBLANK(Vessels!U738), "", Vessels!U738), ""))</f>
        <v/>
      </c>
      <c r="S738" s="118" t="str">
        <f>IF(B738&lt;&gt;"",IF($N$1="Piping", IF(ISBLANK(Piping!$J$3), "", Piping!$J$3), IF($N$1="Vessels", IF(ISBLANK(Vessels!$J$3), "", Vessels!$J$3), "")),"")</f>
        <v/>
      </c>
      <c r="T738" s="37"/>
      <c r="U738" s="37"/>
      <c r="V738" s="37"/>
      <c r="W738" s="37"/>
      <c r="X738" s="37"/>
      <c r="Y738" s="37"/>
      <c r="Z738" s="37"/>
    </row>
    <row r="739" spans="1:26" ht="15.75" customHeight="1" x14ac:dyDescent="0.3">
      <c r="A739" s="22">
        <f>IF($N$1="Piping", IF(ISBLANK(Piping!A739), "", Piping!A739), IF($N$1="Vessels", IF(ISBLANK(Vessels!A739), "", Vessels!A739), ""))</f>
        <v>184.2</v>
      </c>
      <c r="B739" s="21" t="str">
        <f>IF($N$1="Piping", IF(ISBLANK(Piping!B739), "", Piping!B739), IF($N$1="Vessels", IF(ISBLANK(Vessels!B739), "", Vessels!B739), ""))</f>
        <v/>
      </c>
      <c r="C739" s="21" t="str">
        <f>IF($N$1="Piping", IF(ISBLANK(Piping!C739), "", Piping!C739), IF($N$1="Vessels", IF(ISBLANK(Vessels!C739), "", Vessels!C739), ""))</f>
        <v>Piping</v>
      </c>
      <c r="D739" s="21" t="str">
        <f>IF($N$1="Piping", IF(ISBLANK(Piping!D739), "", Piping!D739), IF($N$1="Vessels", IF(ISBLANK(Vessels!D739), "", Vessels!D739), ""))</f>
        <v/>
      </c>
      <c r="E739" s="21" t="str">
        <f>IF($N$1="Piping", IF(ISBLANK(Piping!E739), "", Piping!E739), IF($N$1="Vessels", IF(ISBLANK(Vessels!E739), "", Vessels!E739), ""))</f>
        <v/>
      </c>
      <c r="F739" s="21" t="str">
        <f>IF($N$1="Piping", IF(ISBLANK(Piping!F739), "", Piping!F739), IF($N$1="Vessels", IF(ISBLANK(Vessels!F739), "", Vessels!F739), ""))</f>
        <v/>
      </c>
      <c r="G739" s="21">
        <f>IF($N$1="Piping", IF(ISBLANK(Piping!G739), "", Piping!G739), IF($N$1="Vessels", IF(ISBLANK(Vessels!G739), "", Vessels!G739), ""))</f>
        <v>0</v>
      </c>
      <c r="H739" s="21" t="str">
        <f>IF($N$1="Piping", IF(ISBLANK(Piping!H739), "", Piping!H739), IF($N$1="Vessels", IF(ISBLANK(Vessels!H739), "", Vessels!H739), ""))</f>
        <v/>
      </c>
      <c r="I739" s="21" t="str">
        <f>IF($N$1="Piping", IF(ISBLANK(Piping!I739), "", Piping!I739), IF($N$1="Vessels", IF(ISBLANK(Vessels!I739), "", Vessels!I739), ""))</f>
        <v/>
      </c>
      <c r="J739" s="21" t="str">
        <f>IF($N$1="Piping", IF(ISBLANK(Piping!J739), "", Piping!J739), IF($N$1="Vessels", IF(ISBLANK(Vessels!J739), "", Vessels!J739), ""))</f>
        <v/>
      </c>
      <c r="K739" s="21" t="str">
        <f>IF($N$1="Piping", IF(ISBLANK(Piping!K739), "", Piping!K739), IF($N$1="Vessels", IF(ISBLANK(Vessels!K739), "", Vessels!K739), ""))</f>
        <v/>
      </c>
      <c r="L739" s="21" t="str">
        <f>IF($N$1="Piping", IF(ISBLANK(Piping!L739), "", Piping!L739), IF($N$1="Vessels", IF(ISBLANK(Vessels!L739), "", Vessels!L739), ""))</f>
        <v/>
      </c>
      <c r="M739" s="21"/>
      <c r="N739" s="21"/>
      <c r="O739" s="21"/>
      <c r="P739" s="21"/>
      <c r="Q739" s="21" t="str">
        <f>IF($N$1="Piping", IF(ISBLANK(Piping!T739), "", Piping!T739), IF($N$1="Vessels", IF(ISBLANK(Vessels!T739), "", Vessels!T739), ""))</f>
        <v/>
      </c>
      <c r="R739" s="51" t="str">
        <f>IF($N$1="Piping", IF(ISBLANK(Piping!U739), "", Piping!U739), IF($N$1="Vessels", IF(ISBLANK(Vessels!U739), "", Vessels!U739), ""))</f>
        <v/>
      </c>
      <c r="S739" s="118" t="str">
        <f>IF(B739&lt;&gt;"",IF($N$1="Piping", IF(ISBLANK(Piping!$J$3), "", Piping!$J$3), IF($N$1="Vessels", IF(ISBLANK(Vessels!$J$3), "", Vessels!$J$3), "")),"")</f>
        <v/>
      </c>
      <c r="T739" s="37"/>
      <c r="U739" s="37"/>
      <c r="V739" s="37"/>
      <c r="W739" s="37"/>
      <c r="X739" s="37"/>
      <c r="Y739" s="37"/>
      <c r="Z739" s="37"/>
    </row>
    <row r="740" spans="1:26" ht="15.75" customHeight="1" x14ac:dyDescent="0.3">
      <c r="A740" s="22">
        <f>IF($N$1="Piping", IF(ISBLANK(Piping!A740), "", Piping!A740), IF($N$1="Vessels", IF(ISBLANK(Vessels!A740), "", Vessels!A740), ""))</f>
        <v>184.3</v>
      </c>
      <c r="B740" s="21" t="str">
        <f>IF($N$1="Piping", IF(ISBLANK(Piping!B740), "", Piping!B740), IF($N$1="Vessels", IF(ISBLANK(Vessels!B740), "", Vessels!B740), ""))</f>
        <v/>
      </c>
      <c r="C740" s="21" t="str">
        <f>IF($N$1="Piping", IF(ISBLANK(Piping!C740), "", Piping!C740), IF($N$1="Vessels", IF(ISBLANK(Vessels!C740), "", Vessels!C740), ""))</f>
        <v>Piping</v>
      </c>
      <c r="D740" s="21" t="str">
        <f>IF($N$1="Piping", IF(ISBLANK(Piping!D740), "", Piping!D740), IF($N$1="Vessels", IF(ISBLANK(Vessels!D740), "", Vessels!D740), ""))</f>
        <v/>
      </c>
      <c r="E740" s="21" t="str">
        <f>IF($N$1="Piping", IF(ISBLANK(Piping!E740), "", Piping!E740), IF($N$1="Vessels", IF(ISBLANK(Vessels!E740), "", Vessels!E740), ""))</f>
        <v/>
      </c>
      <c r="F740" s="21" t="str">
        <f>IF($N$1="Piping", IF(ISBLANK(Piping!F740), "", Piping!F740), IF($N$1="Vessels", IF(ISBLANK(Vessels!F740), "", Vessels!F740), ""))</f>
        <v/>
      </c>
      <c r="G740" s="21">
        <f>IF($N$1="Piping", IF(ISBLANK(Piping!G740), "", Piping!G740), IF($N$1="Vessels", IF(ISBLANK(Vessels!G740), "", Vessels!G740), ""))</f>
        <v>0</v>
      </c>
      <c r="H740" s="21" t="str">
        <f>IF($N$1="Piping", IF(ISBLANK(Piping!H740), "", Piping!H740), IF($N$1="Vessels", IF(ISBLANK(Vessels!H740), "", Vessels!H740), ""))</f>
        <v/>
      </c>
      <c r="I740" s="21" t="str">
        <f>IF($N$1="Piping", IF(ISBLANK(Piping!I740), "", Piping!I740), IF($N$1="Vessels", IF(ISBLANK(Vessels!I740), "", Vessels!I740), ""))</f>
        <v/>
      </c>
      <c r="J740" s="21" t="str">
        <f>IF($N$1="Piping", IF(ISBLANK(Piping!J740), "", Piping!J740), IF($N$1="Vessels", IF(ISBLANK(Vessels!J740), "", Vessels!J740), ""))</f>
        <v/>
      </c>
      <c r="K740" s="21" t="str">
        <f>IF($N$1="Piping", IF(ISBLANK(Piping!K740), "", Piping!K740), IF($N$1="Vessels", IF(ISBLANK(Vessels!K740), "", Vessels!K740), ""))</f>
        <v/>
      </c>
      <c r="L740" s="21" t="str">
        <f>IF($N$1="Piping", IF(ISBLANK(Piping!L740), "", Piping!L740), IF($N$1="Vessels", IF(ISBLANK(Vessels!L740), "", Vessels!L740), ""))</f>
        <v/>
      </c>
      <c r="M740" s="21"/>
      <c r="N740" s="21"/>
      <c r="O740" s="21"/>
      <c r="P740" s="21"/>
      <c r="Q740" s="21" t="str">
        <f>IF($N$1="Piping", IF(ISBLANK(Piping!T740), "", Piping!T740), IF($N$1="Vessels", IF(ISBLANK(Vessels!T740), "", Vessels!T740), ""))</f>
        <v/>
      </c>
      <c r="R740" s="51" t="str">
        <f>IF($N$1="Piping", IF(ISBLANK(Piping!U740), "", Piping!U740), IF($N$1="Vessels", IF(ISBLANK(Vessels!U740), "", Vessels!U740), ""))</f>
        <v/>
      </c>
      <c r="S740" s="118" t="str">
        <f>IF(B740&lt;&gt;"",IF($N$1="Piping", IF(ISBLANK(Piping!$J$3), "", Piping!$J$3), IF($N$1="Vessels", IF(ISBLANK(Vessels!$J$3), "", Vessels!$J$3), "")),"")</f>
        <v/>
      </c>
      <c r="T740" s="37"/>
      <c r="U740" s="37"/>
      <c r="V740" s="37"/>
      <c r="W740" s="37"/>
      <c r="X740" s="37"/>
      <c r="Y740" s="37"/>
      <c r="Z740" s="37"/>
    </row>
    <row r="741" spans="1:26" ht="15.75" customHeight="1" x14ac:dyDescent="0.3">
      <c r="A741" s="22">
        <f>IF($N$1="Piping", IF(ISBLANK(Piping!A741), "", Piping!A741), IF($N$1="Vessels", IF(ISBLANK(Vessels!A741), "", Vessels!A741), ""))</f>
        <v>184.4</v>
      </c>
      <c r="B741" s="21" t="str">
        <f>IF($N$1="Piping", IF(ISBLANK(Piping!B741), "", Piping!B741), IF($N$1="Vessels", IF(ISBLANK(Vessels!B741), "", Vessels!B741), ""))</f>
        <v/>
      </c>
      <c r="C741" s="21" t="str">
        <f>IF($N$1="Piping", IF(ISBLANK(Piping!C741), "", Piping!C741), IF($N$1="Vessels", IF(ISBLANK(Vessels!C741), "", Vessels!C741), ""))</f>
        <v>Piping</v>
      </c>
      <c r="D741" s="21" t="str">
        <f>IF($N$1="Piping", IF(ISBLANK(Piping!D741), "", Piping!D741), IF($N$1="Vessels", IF(ISBLANK(Vessels!D741), "", Vessels!D741), ""))</f>
        <v/>
      </c>
      <c r="E741" s="21" t="str">
        <f>IF($N$1="Piping", IF(ISBLANK(Piping!E741), "", Piping!E741), IF($N$1="Vessels", IF(ISBLANK(Vessels!E741), "", Vessels!E741), ""))</f>
        <v/>
      </c>
      <c r="F741" s="21" t="str">
        <f>IF($N$1="Piping", IF(ISBLANK(Piping!F741), "", Piping!F741), IF($N$1="Vessels", IF(ISBLANK(Vessels!F741), "", Vessels!F741), ""))</f>
        <v/>
      </c>
      <c r="G741" s="21">
        <f>IF($N$1="Piping", IF(ISBLANK(Piping!G741), "", Piping!G741), IF($N$1="Vessels", IF(ISBLANK(Vessels!G741), "", Vessels!G741), ""))</f>
        <v>0</v>
      </c>
      <c r="H741" s="21" t="str">
        <f>IF($N$1="Piping", IF(ISBLANK(Piping!H741), "", Piping!H741), IF($N$1="Vessels", IF(ISBLANK(Vessels!H741), "", Vessels!H741), ""))</f>
        <v/>
      </c>
      <c r="I741" s="21" t="str">
        <f>IF($N$1="Piping", IF(ISBLANK(Piping!I741), "", Piping!I741), IF($N$1="Vessels", IF(ISBLANK(Vessels!I741), "", Vessels!I741), ""))</f>
        <v/>
      </c>
      <c r="J741" s="21" t="str">
        <f>IF($N$1="Piping", IF(ISBLANK(Piping!J741), "", Piping!J741), IF($N$1="Vessels", IF(ISBLANK(Vessels!J741), "", Vessels!J741), ""))</f>
        <v/>
      </c>
      <c r="K741" s="21" t="str">
        <f>IF($N$1="Piping", IF(ISBLANK(Piping!K741), "", Piping!K741), IF($N$1="Vessels", IF(ISBLANK(Vessels!K741), "", Vessels!K741), ""))</f>
        <v/>
      </c>
      <c r="L741" s="21" t="str">
        <f>IF($N$1="Piping", IF(ISBLANK(Piping!L741), "", Piping!L741), IF($N$1="Vessels", IF(ISBLANK(Vessels!L741), "", Vessels!L741), ""))</f>
        <v/>
      </c>
      <c r="M741" s="21"/>
      <c r="N741" s="21"/>
      <c r="O741" s="21"/>
      <c r="P741" s="21"/>
      <c r="Q741" s="21" t="str">
        <f>IF($N$1="Piping", IF(ISBLANK(Piping!T741), "", Piping!T741), IF($N$1="Vessels", IF(ISBLANK(Vessels!T741), "", Vessels!T741), ""))</f>
        <v/>
      </c>
      <c r="R741" s="51" t="str">
        <f>IF($N$1="Piping", IF(ISBLANK(Piping!U741), "", Piping!U741), IF($N$1="Vessels", IF(ISBLANK(Vessels!U741), "", Vessels!U741), ""))</f>
        <v/>
      </c>
      <c r="S741" s="118" t="str">
        <f>IF(B741&lt;&gt;"",IF($N$1="Piping", IF(ISBLANK(Piping!$J$3), "", Piping!$J$3), IF($N$1="Vessels", IF(ISBLANK(Vessels!$J$3), "", Vessels!$J$3), "")),"")</f>
        <v/>
      </c>
      <c r="T741" s="37"/>
      <c r="U741" s="37"/>
      <c r="V741" s="37"/>
      <c r="W741" s="37"/>
      <c r="X741" s="37"/>
      <c r="Y741" s="37"/>
      <c r="Z741" s="37"/>
    </row>
    <row r="742" spans="1:26" ht="15.75" customHeight="1" x14ac:dyDescent="0.3">
      <c r="A742" s="22">
        <f>IF($N$1="Piping", IF(ISBLANK(Piping!A742), "", Piping!A742), IF($N$1="Vessels", IF(ISBLANK(Vessels!A742), "", Vessels!A742), ""))</f>
        <v>185.1</v>
      </c>
      <c r="B742" s="21" t="str">
        <f>IF($N$1="Piping", IF(ISBLANK(Piping!B742), "", Piping!B742), IF($N$1="Vessels", IF(ISBLANK(Vessels!B742), "", Vessels!B742), ""))</f>
        <v/>
      </c>
      <c r="C742" s="21" t="str">
        <f>IF($N$1="Piping", IF(ISBLANK(Piping!C742), "", Piping!C742), IF($N$1="Vessels", IF(ISBLANK(Vessels!C742), "", Vessels!C742), ""))</f>
        <v>Piping</v>
      </c>
      <c r="D742" s="21" t="str">
        <f>IF($N$1="Piping", IF(ISBLANK(Piping!D742), "", Piping!D742), IF($N$1="Vessels", IF(ISBLANK(Vessels!D742), "", Vessels!D742), ""))</f>
        <v/>
      </c>
      <c r="E742" s="21" t="str">
        <f>IF($N$1="Piping", IF(ISBLANK(Piping!E742), "", Piping!E742), IF($N$1="Vessels", IF(ISBLANK(Vessels!E742), "", Vessels!E742), ""))</f>
        <v/>
      </c>
      <c r="F742" s="21" t="str">
        <f>IF($N$1="Piping", IF(ISBLANK(Piping!F742), "", Piping!F742), IF($N$1="Vessels", IF(ISBLANK(Vessels!F742), "", Vessels!F742), ""))</f>
        <v/>
      </c>
      <c r="G742" s="21">
        <f>IF($N$1="Piping", IF(ISBLANK(Piping!G742), "", Piping!G742), IF($N$1="Vessels", IF(ISBLANK(Vessels!G742), "", Vessels!G742), ""))</f>
        <v>0</v>
      </c>
      <c r="H742" s="21" t="str">
        <f>IF($N$1="Piping", IF(ISBLANK(Piping!H742), "", Piping!H742), IF($N$1="Vessels", IF(ISBLANK(Vessels!H742), "", Vessels!H742), ""))</f>
        <v/>
      </c>
      <c r="I742" s="21" t="str">
        <f>IF($N$1="Piping", IF(ISBLANK(Piping!I742), "", Piping!I742), IF($N$1="Vessels", IF(ISBLANK(Vessels!I742), "", Vessels!I742), ""))</f>
        <v/>
      </c>
      <c r="J742" s="21" t="str">
        <f>IF($N$1="Piping", IF(ISBLANK(Piping!J742), "", Piping!J742), IF($N$1="Vessels", IF(ISBLANK(Vessels!J742), "", Vessels!J742), ""))</f>
        <v/>
      </c>
      <c r="K742" s="21" t="str">
        <f>IF($N$1="Piping", IF(ISBLANK(Piping!K742), "", Piping!K742), IF($N$1="Vessels", IF(ISBLANK(Vessels!K742), "", Vessels!K742), ""))</f>
        <v/>
      </c>
      <c r="L742" s="21" t="str">
        <f>IF($N$1="Piping", IF(ISBLANK(Piping!L742), "", Piping!L742), IF($N$1="Vessels", IF(ISBLANK(Vessels!L742), "", Vessels!L742), ""))</f>
        <v/>
      </c>
      <c r="M742" s="21"/>
      <c r="N742" s="21"/>
      <c r="O742" s="21"/>
      <c r="P742" s="21"/>
      <c r="Q742" s="21" t="str">
        <f>IF($N$1="Piping", IF(ISBLANK(Piping!T742), "", Piping!T742), IF($N$1="Vessels", IF(ISBLANK(Vessels!T742), "", Vessels!T742), ""))</f>
        <v/>
      </c>
      <c r="R742" s="51" t="str">
        <f>IF($N$1="Piping", IF(ISBLANK(Piping!U742), "", Piping!U742), IF($N$1="Vessels", IF(ISBLANK(Vessels!U742), "", Vessels!U742), ""))</f>
        <v/>
      </c>
      <c r="S742" s="118" t="str">
        <f>IF(B742&lt;&gt;"",IF($N$1="Piping", IF(ISBLANK(Piping!$J$3), "", Piping!$J$3), IF($N$1="Vessels", IF(ISBLANK(Vessels!$J$3), "", Vessels!$J$3), "")),"")</f>
        <v/>
      </c>
      <c r="T742" s="37"/>
      <c r="U742" s="37"/>
      <c r="V742" s="37"/>
      <c r="W742" s="37"/>
      <c r="X742" s="37"/>
      <c r="Y742" s="37"/>
      <c r="Z742" s="37"/>
    </row>
    <row r="743" spans="1:26" ht="15.75" customHeight="1" x14ac:dyDescent="0.3">
      <c r="A743" s="22">
        <f>IF($N$1="Piping", IF(ISBLANK(Piping!A743), "", Piping!A743), IF($N$1="Vessels", IF(ISBLANK(Vessels!A743), "", Vessels!A743), ""))</f>
        <v>185.2</v>
      </c>
      <c r="B743" s="21" t="str">
        <f>IF($N$1="Piping", IF(ISBLANK(Piping!B743), "", Piping!B743), IF($N$1="Vessels", IF(ISBLANK(Vessels!B743), "", Vessels!B743), ""))</f>
        <v/>
      </c>
      <c r="C743" s="21" t="str">
        <f>IF($N$1="Piping", IF(ISBLANK(Piping!C743), "", Piping!C743), IF($N$1="Vessels", IF(ISBLANK(Vessels!C743), "", Vessels!C743), ""))</f>
        <v>Piping</v>
      </c>
      <c r="D743" s="21" t="str">
        <f>IF($N$1="Piping", IF(ISBLANK(Piping!D743), "", Piping!D743), IF($N$1="Vessels", IF(ISBLANK(Vessels!D743), "", Vessels!D743), ""))</f>
        <v/>
      </c>
      <c r="E743" s="21" t="str">
        <f>IF($N$1="Piping", IF(ISBLANK(Piping!E743), "", Piping!E743), IF($N$1="Vessels", IF(ISBLANK(Vessels!E743), "", Vessels!E743), ""))</f>
        <v/>
      </c>
      <c r="F743" s="21" t="str">
        <f>IF($N$1="Piping", IF(ISBLANK(Piping!F743), "", Piping!F743), IF($N$1="Vessels", IF(ISBLANK(Vessels!F743), "", Vessels!F743), ""))</f>
        <v/>
      </c>
      <c r="G743" s="21">
        <f>IF($N$1="Piping", IF(ISBLANK(Piping!G743), "", Piping!G743), IF($N$1="Vessels", IF(ISBLANK(Vessels!G743), "", Vessels!G743), ""))</f>
        <v>0</v>
      </c>
      <c r="H743" s="21" t="str">
        <f>IF($N$1="Piping", IF(ISBLANK(Piping!H743), "", Piping!H743), IF($N$1="Vessels", IF(ISBLANK(Vessels!H743), "", Vessels!H743), ""))</f>
        <v/>
      </c>
      <c r="I743" s="21" t="str">
        <f>IF($N$1="Piping", IF(ISBLANK(Piping!I743), "", Piping!I743), IF($N$1="Vessels", IF(ISBLANK(Vessels!I743), "", Vessels!I743), ""))</f>
        <v/>
      </c>
      <c r="J743" s="21" t="str">
        <f>IF($N$1="Piping", IF(ISBLANK(Piping!J743), "", Piping!J743), IF($N$1="Vessels", IF(ISBLANK(Vessels!J743), "", Vessels!J743), ""))</f>
        <v/>
      </c>
      <c r="K743" s="21" t="str">
        <f>IF($N$1="Piping", IF(ISBLANK(Piping!K743), "", Piping!K743), IF($N$1="Vessels", IF(ISBLANK(Vessels!K743), "", Vessels!K743), ""))</f>
        <v/>
      </c>
      <c r="L743" s="21" t="str">
        <f>IF($N$1="Piping", IF(ISBLANK(Piping!L743), "", Piping!L743), IF($N$1="Vessels", IF(ISBLANK(Vessels!L743), "", Vessels!L743), ""))</f>
        <v/>
      </c>
      <c r="M743" s="21"/>
      <c r="N743" s="21"/>
      <c r="O743" s="21"/>
      <c r="P743" s="21"/>
      <c r="Q743" s="21" t="str">
        <f>IF($N$1="Piping", IF(ISBLANK(Piping!T743), "", Piping!T743), IF($N$1="Vessels", IF(ISBLANK(Vessels!T743), "", Vessels!T743), ""))</f>
        <v/>
      </c>
      <c r="R743" s="51" t="str">
        <f>IF($N$1="Piping", IF(ISBLANK(Piping!U743), "", Piping!U743), IF($N$1="Vessels", IF(ISBLANK(Vessels!U743), "", Vessels!U743), ""))</f>
        <v/>
      </c>
      <c r="S743" s="118" t="str">
        <f>IF(B743&lt;&gt;"",IF($N$1="Piping", IF(ISBLANK(Piping!$J$3), "", Piping!$J$3), IF($N$1="Vessels", IF(ISBLANK(Vessels!$J$3), "", Vessels!$J$3), "")),"")</f>
        <v/>
      </c>
      <c r="T743" s="37"/>
      <c r="U743" s="37"/>
      <c r="V743" s="37"/>
      <c r="W743" s="37"/>
      <c r="X743" s="37"/>
      <c r="Y743" s="37"/>
      <c r="Z743" s="37"/>
    </row>
    <row r="744" spans="1:26" ht="15.75" customHeight="1" x14ac:dyDescent="0.3">
      <c r="A744" s="22">
        <f>IF($N$1="Piping", IF(ISBLANK(Piping!A744), "", Piping!A744), IF($N$1="Vessels", IF(ISBLANK(Vessels!A744), "", Vessels!A744), ""))</f>
        <v>185.3</v>
      </c>
      <c r="B744" s="21" t="str">
        <f>IF($N$1="Piping", IF(ISBLANK(Piping!B744), "", Piping!B744), IF($N$1="Vessels", IF(ISBLANK(Vessels!B744), "", Vessels!B744), ""))</f>
        <v/>
      </c>
      <c r="C744" s="21" t="str">
        <f>IF($N$1="Piping", IF(ISBLANK(Piping!C744), "", Piping!C744), IF($N$1="Vessels", IF(ISBLANK(Vessels!C744), "", Vessels!C744), ""))</f>
        <v>Piping</v>
      </c>
      <c r="D744" s="21" t="str">
        <f>IF($N$1="Piping", IF(ISBLANK(Piping!D744), "", Piping!D744), IF($N$1="Vessels", IF(ISBLANK(Vessels!D744), "", Vessels!D744), ""))</f>
        <v/>
      </c>
      <c r="E744" s="21" t="str">
        <f>IF($N$1="Piping", IF(ISBLANK(Piping!E744), "", Piping!E744), IF($N$1="Vessels", IF(ISBLANK(Vessels!E744), "", Vessels!E744), ""))</f>
        <v/>
      </c>
      <c r="F744" s="21" t="str">
        <f>IF($N$1="Piping", IF(ISBLANK(Piping!F744), "", Piping!F744), IF($N$1="Vessels", IF(ISBLANK(Vessels!F744), "", Vessels!F744), ""))</f>
        <v/>
      </c>
      <c r="G744" s="21">
        <f>IF($N$1="Piping", IF(ISBLANK(Piping!G744), "", Piping!G744), IF($N$1="Vessels", IF(ISBLANK(Vessels!G744), "", Vessels!G744), ""))</f>
        <v>0</v>
      </c>
      <c r="H744" s="21" t="str">
        <f>IF($N$1="Piping", IF(ISBLANK(Piping!H744), "", Piping!H744), IF($N$1="Vessels", IF(ISBLANK(Vessels!H744), "", Vessels!H744), ""))</f>
        <v/>
      </c>
      <c r="I744" s="21" t="str">
        <f>IF($N$1="Piping", IF(ISBLANK(Piping!I744), "", Piping!I744), IF($N$1="Vessels", IF(ISBLANK(Vessels!I744), "", Vessels!I744), ""))</f>
        <v/>
      </c>
      <c r="J744" s="21" t="str">
        <f>IF($N$1="Piping", IF(ISBLANK(Piping!J744), "", Piping!J744), IF($N$1="Vessels", IF(ISBLANK(Vessels!J744), "", Vessels!J744), ""))</f>
        <v/>
      </c>
      <c r="K744" s="21" t="str">
        <f>IF($N$1="Piping", IF(ISBLANK(Piping!K744), "", Piping!K744), IF($N$1="Vessels", IF(ISBLANK(Vessels!K744), "", Vessels!K744), ""))</f>
        <v/>
      </c>
      <c r="L744" s="21" t="str">
        <f>IF($N$1="Piping", IF(ISBLANK(Piping!L744), "", Piping!L744), IF($N$1="Vessels", IF(ISBLANK(Vessels!L744), "", Vessels!L744), ""))</f>
        <v/>
      </c>
      <c r="M744" s="21"/>
      <c r="N744" s="21"/>
      <c r="O744" s="21"/>
      <c r="P744" s="21"/>
      <c r="Q744" s="21" t="str">
        <f>IF($N$1="Piping", IF(ISBLANK(Piping!T744), "", Piping!T744), IF($N$1="Vessels", IF(ISBLANK(Vessels!T744), "", Vessels!T744), ""))</f>
        <v/>
      </c>
      <c r="R744" s="51" t="str">
        <f>IF($N$1="Piping", IF(ISBLANK(Piping!U744), "", Piping!U744), IF($N$1="Vessels", IF(ISBLANK(Vessels!U744), "", Vessels!U744), ""))</f>
        <v/>
      </c>
      <c r="S744" s="118" t="str">
        <f>IF(B744&lt;&gt;"",IF($N$1="Piping", IF(ISBLANK(Piping!$J$3), "", Piping!$J$3), IF($N$1="Vessels", IF(ISBLANK(Vessels!$J$3), "", Vessels!$J$3), "")),"")</f>
        <v/>
      </c>
      <c r="T744" s="37"/>
      <c r="U744" s="37"/>
      <c r="V744" s="37"/>
      <c r="W744" s="37"/>
      <c r="X744" s="37"/>
      <c r="Y744" s="37"/>
      <c r="Z744" s="37"/>
    </row>
    <row r="745" spans="1:26" ht="15.75" customHeight="1" x14ac:dyDescent="0.3">
      <c r="A745" s="22">
        <f>IF($N$1="Piping", IF(ISBLANK(Piping!A745), "", Piping!A745), IF($N$1="Vessels", IF(ISBLANK(Vessels!A745), "", Vessels!A745), ""))</f>
        <v>185.4</v>
      </c>
      <c r="B745" s="21" t="str">
        <f>IF($N$1="Piping", IF(ISBLANK(Piping!B745), "", Piping!B745), IF($N$1="Vessels", IF(ISBLANK(Vessels!B745), "", Vessels!B745), ""))</f>
        <v/>
      </c>
      <c r="C745" s="21" t="str">
        <f>IF($N$1="Piping", IF(ISBLANK(Piping!C745), "", Piping!C745), IF($N$1="Vessels", IF(ISBLANK(Vessels!C745), "", Vessels!C745), ""))</f>
        <v>Piping</v>
      </c>
      <c r="D745" s="21" t="str">
        <f>IF($N$1="Piping", IF(ISBLANK(Piping!D745), "", Piping!D745), IF($N$1="Vessels", IF(ISBLANK(Vessels!D745), "", Vessels!D745), ""))</f>
        <v/>
      </c>
      <c r="E745" s="21" t="str">
        <f>IF($N$1="Piping", IF(ISBLANK(Piping!E745), "", Piping!E745), IF($N$1="Vessels", IF(ISBLANK(Vessels!E745), "", Vessels!E745), ""))</f>
        <v/>
      </c>
      <c r="F745" s="21" t="str">
        <f>IF($N$1="Piping", IF(ISBLANK(Piping!F745), "", Piping!F745), IF($N$1="Vessels", IF(ISBLANK(Vessels!F745), "", Vessels!F745), ""))</f>
        <v/>
      </c>
      <c r="G745" s="21">
        <f>IF($N$1="Piping", IF(ISBLANK(Piping!G745), "", Piping!G745), IF($N$1="Vessels", IF(ISBLANK(Vessels!G745), "", Vessels!G745), ""))</f>
        <v>0</v>
      </c>
      <c r="H745" s="21" t="str">
        <f>IF($N$1="Piping", IF(ISBLANK(Piping!H745), "", Piping!H745), IF($N$1="Vessels", IF(ISBLANK(Vessels!H745), "", Vessels!H745), ""))</f>
        <v/>
      </c>
      <c r="I745" s="21" t="str">
        <f>IF($N$1="Piping", IF(ISBLANK(Piping!I745), "", Piping!I745), IF($N$1="Vessels", IF(ISBLANK(Vessels!I745), "", Vessels!I745), ""))</f>
        <v/>
      </c>
      <c r="J745" s="21" t="str">
        <f>IF($N$1="Piping", IF(ISBLANK(Piping!J745), "", Piping!J745), IF($N$1="Vessels", IF(ISBLANK(Vessels!J745), "", Vessels!J745), ""))</f>
        <v/>
      </c>
      <c r="K745" s="21" t="str">
        <f>IF($N$1="Piping", IF(ISBLANK(Piping!K745), "", Piping!K745), IF($N$1="Vessels", IF(ISBLANK(Vessels!K745), "", Vessels!K745), ""))</f>
        <v/>
      </c>
      <c r="L745" s="21" t="str">
        <f>IF($N$1="Piping", IF(ISBLANK(Piping!L745), "", Piping!L745), IF($N$1="Vessels", IF(ISBLANK(Vessels!L745), "", Vessels!L745), ""))</f>
        <v/>
      </c>
      <c r="M745" s="21"/>
      <c r="N745" s="21"/>
      <c r="O745" s="21"/>
      <c r="P745" s="21"/>
      <c r="Q745" s="21" t="str">
        <f>IF($N$1="Piping", IF(ISBLANK(Piping!T745), "", Piping!T745), IF($N$1="Vessels", IF(ISBLANK(Vessels!T745), "", Vessels!T745), ""))</f>
        <v/>
      </c>
      <c r="R745" s="51" t="str">
        <f>IF($N$1="Piping", IF(ISBLANK(Piping!U745), "", Piping!U745), IF($N$1="Vessels", IF(ISBLANK(Vessels!U745), "", Vessels!U745), ""))</f>
        <v/>
      </c>
      <c r="S745" s="118" t="str">
        <f>IF(B745&lt;&gt;"",IF($N$1="Piping", IF(ISBLANK(Piping!$J$3), "", Piping!$J$3), IF($N$1="Vessels", IF(ISBLANK(Vessels!$J$3), "", Vessels!$J$3), "")),"")</f>
        <v/>
      </c>
      <c r="T745" s="37"/>
      <c r="U745" s="37"/>
      <c r="V745" s="37"/>
      <c r="W745" s="37"/>
      <c r="X745" s="37"/>
      <c r="Y745" s="37"/>
      <c r="Z745" s="37"/>
    </row>
    <row r="746" spans="1:26" ht="15.75" customHeight="1" x14ac:dyDescent="0.3">
      <c r="A746" s="22">
        <f>IF($N$1="Piping", IF(ISBLANK(Piping!A746), "", Piping!A746), IF($N$1="Vessels", IF(ISBLANK(Vessels!A746), "", Vessels!A746), ""))</f>
        <v>186.1</v>
      </c>
      <c r="B746" s="21" t="str">
        <f>IF($N$1="Piping", IF(ISBLANK(Piping!B746), "", Piping!B746), IF($N$1="Vessels", IF(ISBLANK(Vessels!B746), "", Vessels!B746), ""))</f>
        <v/>
      </c>
      <c r="C746" s="21" t="str">
        <f>IF($N$1="Piping", IF(ISBLANK(Piping!C746), "", Piping!C746), IF($N$1="Vessels", IF(ISBLANK(Vessels!C746), "", Vessels!C746), ""))</f>
        <v>Piping</v>
      </c>
      <c r="D746" s="21" t="str">
        <f>IF($N$1="Piping", IF(ISBLANK(Piping!D746), "", Piping!D746), IF($N$1="Vessels", IF(ISBLANK(Vessels!D746), "", Vessels!D746), ""))</f>
        <v/>
      </c>
      <c r="E746" s="21" t="str">
        <f>IF($N$1="Piping", IF(ISBLANK(Piping!E746), "", Piping!E746), IF($N$1="Vessels", IF(ISBLANK(Vessels!E746), "", Vessels!E746), ""))</f>
        <v/>
      </c>
      <c r="F746" s="21" t="str">
        <f>IF($N$1="Piping", IF(ISBLANK(Piping!F746), "", Piping!F746), IF($N$1="Vessels", IF(ISBLANK(Vessels!F746), "", Vessels!F746), ""))</f>
        <v/>
      </c>
      <c r="G746" s="21">
        <f>IF($N$1="Piping", IF(ISBLANK(Piping!G746), "", Piping!G746), IF($N$1="Vessels", IF(ISBLANK(Vessels!G746), "", Vessels!G746), ""))</f>
        <v>0</v>
      </c>
      <c r="H746" s="21" t="str">
        <f>IF($N$1="Piping", IF(ISBLANK(Piping!H746), "", Piping!H746), IF($N$1="Vessels", IF(ISBLANK(Vessels!H746), "", Vessels!H746), ""))</f>
        <v/>
      </c>
      <c r="I746" s="21" t="str">
        <f>IF($N$1="Piping", IF(ISBLANK(Piping!I746), "", Piping!I746), IF($N$1="Vessels", IF(ISBLANK(Vessels!I746), "", Vessels!I746), ""))</f>
        <v/>
      </c>
      <c r="J746" s="21" t="str">
        <f>IF($N$1="Piping", IF(ISBLANK(Piping!J746), "", Piping!J746), IF($N$1="Vessels", IF(ISBLANK(Vessels!J746), "", Vessels!J746), ""))</f>
        <v/>
      </c>
      <c r="K746" s="21" t="str">
        <f>IF($N$1="Piping", IF(ISBLANK(Piping!K746), "", Piping!K746), IF($N$1="Vessels", IF(ISBLANK(Vessels!K746), "", Vessels!K746), ""))</f>
        <v/>
      </c>
      <c r="L746" s="21" t="str">
        <f>IF($N$1="Piping", IF(ISBLANK(Piping!L746), "", Piping!L746), IF($N$1="Vessels", IF(ISBLANK(Vessels!L746), "", Vessels!L746), ""))</f>
        <v/>
      </c>
      <c r="M746" s="21"/>
      <c r="N746" s="21"/>
      <c r="O746" s="21"/>
      <c r="P746" s="21"/>
      <c r="Q746" s="21" t="str">
        <f>IF($N$1="Piping", IF(ISBLANK(Piping!T746), "", Piping!T746), IF($N$1="Vessels", IF(ISBLANK(Vessels!T746), "", Vessels!T746), ""))</f>
        <v/>
      </c>
      <c r="R746" s="51" t="str">
        <f>IF($N$1="Piping", IF(ISBLANK(Piping!U746), "", Piping!U746), IF($N$1="Vessels", IF(ISBLANK(Vessels!U746), "", Vessels!U746), ""))</f>
        <v/>
      </c>
      <c r="S746" s="118" t="str">
        <f>IF(B746&lt;&gt;"",IF($N$1="Piping", IF(ISBLANK(Piping!$J$3), "", Piping!$J$3), IF($N$1="Vessels", IF(ISBLANK(Vessels!$J$3), "", Vessels!$J$3), "")),"")</f>
        <v/>
      </c>
      <c r="T746" s="37"/>
      <c r="U746" s="37"/>
      <c r="V746" s="37"/>
      <c r="W746" s="37"/>
      <c r="X746" s="37"/>
      <c r="Y746" s="37"/>
      <c r="Z746" s="37"/>
    </row>
    <row r="747" spans="1:26" ht="15.75" customHeight="1" x14ac:dyDescent="0.3">
      <c r="A747" s="22">
        <f>IF($N$1="Piping", IF(ISBLANK(Piping!A747), "", Piping!A747), IF($N$1="Vessels", IF(ISBLANK(Vessels!A747), "", Vessels!A747), ""))</f>
        <v>186.2</v>
      </c>
      <c r="B747" s="21" t="str">
        <f>IF($N$1="Piping", IF(ISBLANK(Piping!B747), "", Piping!B747), IF($N$1="Vessels", IF(ISBLANK(Vessels!B747), "", Vessels!B747), ""))</f>
        <v/>
      </c>
      <c r="C747" s="21" t="str">
        <f>IF($N$1="Piping", IF(ISBLANK(Piping!C747), "", Piping!C747), IF($N$1="Vessels", IF(ISBLANK(Vessels!C747), "", Vessels!C747), ""))</f>
        <v>Piping</v>
      </c>
      <c r="D747" s="21" t="str">
        <f>IF($N$1="Piping", IF(ISBLANK(Piping!D747), "", Piping!D747), IF($N$1="Vessels", IF(ISBLANK(Vessels!D747), "", Vessels!D747), ""))</f>
        <v/>
      </c>
      <c r="E747" s="21" t="str">
        <f>IF($N$1="Piping", IF(ISBLANK(Piping!E747), "", Piping!E747), IF($N$1="Vessels", IF(ISBLANK(Vessels!E747), "", Vessels!E747), ""))</f>
        <v/>
      </c>
      <c r="F747" s="21" t="str">
        <f>IF($N$1="Piping", IF(ISBLANK(Piping!F747), "", Piping!F747), IF($N$1="Vessels", IF(ISBLANK(Vessels!F747), "", Vessels!F747), ""))</f>
        <v/>
      </c>
      <c r="G747" s="21">
        <f>IF($N$1="Piping", IF(ISBLANK(Piping!G747), "", Piping!G747), IF($N$1="Vessels", IF(ISBLANK(Vessels!G747), "", Vessels!G747), ""))</f>
        <v>0</v>
      </c>
      <c r="H747" s="21" t="str">
        <f>IF($N$1="Piping", IF(ISBLANK(Piping!H747), "", Piping!H747), IF($N$1="Vessels", IF(ISBLANK(Vessels!H747), "", Vessels!H747), ""))</f>
        <v/>
      </c>
      <c r="I747" s="21" t="str">
        <f>IF($N$1="Piping", IF(ISBLANK(Piping!I747), "", Piping!I747), IF($N$1="Vessels", IF(ISBLANK(Vessels!I747), "", Vessels!I747), ""))</f>
        <v/>
      </c>
      <c r="J747" s="21" t="str">
        <f>IF($N$1="Piping", IF(ISBLANK(Piping!J747), "", Piping!J747), IF($N$1="Vessels", IF(ISBLANK(Vessels!J747), "", Vessels!J747), ""))</f>
        <v/>
      </c>
      <c r="K747" s="21" t="str">
        <f>IF($N$1="Piping", IF(ISBLANK(Piping!K747), "", Piping!K747), IF($N$1="Vessels", IF(ISBLANK(Vessels!K747), "", Vessels!K747), ""))</f>
        <v/>
      </c>
      <c r="L747" s="21" t="str">
        <f>IF($N$1="Piping", IF(ISBLANK(Piping!L747), "", Piping!L747), IF($N$1="Vessels", IF(ISBLANK(Vessels!L747), "", Vessels!L747), ""))</f>
        <v/>
      </c>
      <c r="M747" s="21"/>
      <c r="N747" s="21"/>
      <c r="O747" s="21"/>
      <c r="P747" s="21"/>
      <c r="Q747" s="21" t="str">
        <f>IF($N$1="Piping", IF(ISBLANK(Piping!T747), "", Piping!T747), IF($N$1="Vessels", IF(ISBLANK(Vessels!T747), "", Vessels!T747), ""))</f>
        <v/>
      </c>
      <c r="R747" s="51" t="str">
        <f>IF($N$1="Piping", IF(ISBLANK(Piping!U747), "", Piping!U747), IF($N$1="Vessels", IF(ISBLANK(Vessels!U747), "", Vessels!U747), ""))</f>
        <v/>
      </c>
      <c r="S747" s="118" t="str">
        <f>IF(B747&lt;&gt;"",IF($N$1="Piping", IF(ISBLANK(Piping!$J$3), "", Piping!$J$3), IF($N$1="Vessels", IF(ISBLANK(Vessels!$J$3), "", Vessels!$J$3), "")),"")</f>
        <v/>
      </c>
      <c r="T747" s="37"/>
      <c r="U747" s="37"/>
      <c r="V747" s="37"/>
      <c r="W747" s="37"/>
      <c r="X747" s="37"/>
      <c r="Y747" s="37"/>
      <c r="Z747" s="37"/>
    </row>
    <row r="748" spans="1:26" ht="15.75" customHeight="1" x14ac:dyDescent="0.3">
      <c r="A748" s="22">
        <f>IF($N$1="Piping", IF(ISBLANK(Piping!A748), "", Piping!A748), IF($N$1="Vessels", IF(ISBLANK(Vessels!A748), "", Vessels!A748), ""))</f>
        <v>186.3</v>
      </c>
      <c r="B748" s="21" t="str">
        <f>IF($N$1="Piping", IF(ISBLANK(Piping!B748), "", Piping!B748), IF($N$1="Vessels", IF(ISBLANK(Vessels!B748), "", Vessels!B748), ""))</f>
        <v/>
      </c>
      <c r="C748" s="21" t="str">
        <f>IF($N$1="Piping", IF(ISBLANK(Piping!C748), "", Piping!C748), IF($N$1="Vessels", IF(ISBLANK(Vessels!C748), "", Vessels!C748), ""))</f>
        <v>Piping</v>
      </c>
      <c r="D748" s="21" t="str">
        <f>IF($N$1="Piping", IF(ISBLANK(Piping!D748), "", Piping!D748), IF($N$1="Vessels", IF(ISBLANK(Vessels!D748), "", Vessels!D748), ""))</f>
        <v/>
      </c>
      <c r="E748" s="21" t="str">
        <f>IF($N$1="Piping", IF(ISBLANK(Piping!E748), "", Piping!E748), IF($N$1="Vessels", IF(ISBLANK(Vessels!E748), "", Vessels!E748), ""))</f>
        <v/>
      </c>
      <c r="F748" s="21" t="str">
        <f>IF($N$1="Piping", IF(ISBLANK(Piping!F748), "", Piping!F748), IF($N$1="Vessels", IF(ISBLANK(Vessels!F748), "", Vessels!F748), ""))</f>
        <v/>
      </c>
      <c r="G748" s="21">
        <f>IF($N$1="Piping", IF(ISBLANK(Piping!G748), "", Piping!G748), IF($N$1="Vessels", IF(ISBLANK(Vessels!G748), "", Vessels!G748), ""))</f>
        <v>0</v>
      </c>
      <c r="H748" s="21" t="str">
        <f>IF($N$1="Piping", IF(ISBLANK(Piping!H748), "", Piping!H748), IF($N$1="Vessels", IF(ISBLANK(Vessels!H748), "", Vessels!H748), ""))</f>
        <v/>
      </c>
      <c r="I748" s="21" t="str">
        <f>IF($N$1="Piping", IF(ISBLANK(Piping!I748), "", Piping!I748), IF($N$1="Vessels", IF(ISBLANK(Vessels!I748), "", Vessels!I748), ""))</f>
        <v/>
      </c>
      <c r="J748" s="21" t="str">
        <f>IF($N$1="Piping", IF(ISBLANK(Piping!J748), "", Piping!J748), IF($N$1="Vessels", IF(ISBLANK(Vessels!J748), "", Vessels!J748), ""))</f>
        <v/>
      </c>
      <c r="K748" s="21" t="str">
        <f>IF($N$1="Piping", IF(ISBLANK(Piping!K748), "", Piping!K748), IF($N$1="Vessels", IF(ISBLANK(Vessels!K748), "", Vessels!K748), ""))</f>
        <v/>
      </c>
      <c r="L748" s="21" t="str">
        <f>IF($N$1="Piping", IF(ISBLANK(Piping!L748), "", Piping!L748), IF($N$1="Vessels", IF(ISBLANK(Vessels!L748), "", Vessels!L748), ""))</f>
        <v/>
      </c>
      <c r="M748" s="21"/>
      <c r="N748" s="21"/>
      <c r="O748" s="21"/>
      <c r="P748" s="21"/>
      <c r="Q748" s="21" t="str">
        <f>IF($N$1="Piping", IF(ISBLANK(Piping!T748), "", Piping!T748), IF($N$1="Vessels", IF(ISBLANK(Vessels!T748), "", Vessels!T748), ""))</f>
        <v/>
      </c>
      <c r="R748" s="51" t="str">
        <f>IF($N$1="Piping", IF(ISBLANK(Piping!U748), "", Piping!U748), IF($N$1="Vessels", IF(ISBLANK(Vessels!U748), "", Vessels!U748), ""))</f>
        <v/>
      </c>
      <c r="S748" s="118" t="str">
        <f>IF(B748&lt;&gt;"",IF($N$1="Piping", IF(ISBLANK(Piping!$J$3), "", Piping!$J$3), IF($N$1="Vessels", IF(ISBLANK(Vessels!$J$3), "", Vessels!$J$3), "")),"")</f>
        <v/>
      </c>
      <c r="T748" s="37"/>
      <c r="U748" s="37"/>
      <c r="V748" s="37"/>
      <c r="W748" s="37"/>
      <c r="X748" s="37"/>
      <c r="Y748" s="37"/>
      <c r="Z748" s="37"/>
    </row>
    <row r="749" spans="1:26" ht="15.75" customHeight="1" x14ac:dyDescent="0.3">
      <c r="A749" s="22">
        <f>IF($N$1="Piping", IF(ISBLANK(Piping!A749), "", Piping!A749), IF($N$1="Vessels", IF(ISBLANK(Vessels!A749), "", Vessels!A749), ""))</f>
        <v>186.4</v>
      </c>
      <c r="B749" s="21" t="str">
        <f>IF($N$1="Piping", IF(ISBLANK(Piping!B749), "", Piping!B749), IF($N$1="Vessels", IF(ISBLANK(Vessels!B749), "", Vessels!B749), ""))</f>
        <v/>
      </c>
      <c r="C749" s="21" t="str">
        <f>IF($N$1="Piping", IF(ISBLANK(Piping!C749), "", Piping!C749), IF($N$1="Vessels", IF(ISBLANK(Vessels!C749), "", Vessels!C749), ""))</f>
        <v>Piping</v>
      </c>
      <c r="D749" s="21" t="str">
        <f>IF($N$1="Piping", IF(ISBLANK(Piping!D749), "", Piping!D749), IF($N$1="Vessels", IF(ISBLANK(Vessels!D749), "", Vessels!D749), ""))</f>
        <v/>
      </c>
      <c r="E749" s="21" t="str">
        <f>IF($N$1="Piping", IF(ISBLANK(Piping!E749), "", Piping!E749), IF($N$1="Vessels", IF(ISBLANK(Vessels!E749), "", Vessels!E749), ""))</f>
        <v/>
      </c>
      <c r="F749" s="21" t="str">
        <f>IF($N$1="Piping", IF(ISBLANK(Piping!F749), "", Piping!F749), IF($N$1="Vessels", IF(ISBLANK(Vessels!F749), "", Vessels!F749), ""))</f>
        <v/>
      </c>
      <c r="G749" s="21">
        <f>IF($N$1="Piping", IF(ISBLANK(Piping!G749), "", Piping!G749), IF($N$1="Vessels", IF(ISBLANK(Vessels!G749), "", Vessels!G749), ""))</f>
        <v>0</v>
      </c>
      <c r="H749" s="21" t="str">
        <f>IF($N$1="Piping", IF(ISBLANK(Piping!H749), "", Piping!H749), IF($N$1="Vessels", IF(ISBLANK(Vessels!H749), "", Vessels!H749), ""))</f>
        <v/>
      </c>
      <c r="I749" s="21" t="str">
        <f>IF($N$1="Piping", IF(ISBLANK(Piping!I749), "", Piping!I749), IF($N$1="Vessels", IF(ISBLANK(Vessels!I749), "", Vessels!I749), ""))</f>
        <v/>
      </c>
      <c r="J749" s="21" t="str">
        <f>IF($N$1="Piping", IF(ISBLANK(Piping!J749), "", Piping!J749), IF($N$1="Vessels", IF(ISBLANK(Vessels!J749), "", Vessels!J749), ""))</f>
        <v/>
      </c>
      <c r="K749" s="21" t="str">
        <f>IF($N$1="Piping", IF(ISBLANK(Piping!K749), "", Piping!K749), IF($N$1="Vessels", IF(ISBLANK(Vessels!K749), "", Vessels!K749), ""))</f>
        <v/>
      </c>
      <c r="L749" s="21" t="str">
        <f>IF($N$1="Piping", IF(ISBLANK(Piping!L749), "", Piping!L749), IF($N$1="Vessels", IF(ISBLANK(Vessels!L749), "", Vessels!L749), ""))</f>
        <v/>
      </c>
      <c r="M749" s="21"/>
      <c r="N749" s="21"/>
      <c r="O749" s="21"/>
      <c r="P749" s="21"/>
      <c r="Q749" s="21" t="str">
        <f>IF($N$1="Piping", IF(ISBLANK(Piping!T749), "", Piping!T749), IF($N$1="Vessels", IF(ISBLANK(Vessels!T749), "", Vessels!T749), ""))</f>
        <v/>
      </c>
      <c r="R749" s="51" t="str">
        <f>IF($N$1="Piping", IF(ISBLANK(Piping!U749), "", Piping!U749), IF($N$1="Vessels", IF(ISBLANK(Vessels!U749), "", Vessels!U749), ""))</f>
        <v/>
      </c>
      <c r="S749" s="118" t="str">
        <f>IF(B749&lt;&gt;"",IF($N$1="Piping", IF(ISBLANK(Piping!$J$3), "", Piping!$J$3), IF($N$1="Vessels", IF(ISBLANK(Vessels!$J$3), "", Vessels!$J$3), "")),"")</f>
        <v/>
      </c>
      <c r="T749" s="37"/>
      <c r="U749" s="37"/>
      <c r="V749" s="37"/>
      <c r="W749" s="37"/>
      <c r="X749" s="37"/>
      <c r="Y749" s="37"/>
      <c r="Z749" s="37"/>
    </row>
    <row r="750" spans="1:26" ht="15.75" customHeight="1" x14ac:dyDescent="0.3">
      <c r="A750" s="22">
        <f>IF($N$1="Piping", IF(ISBLANK(Piping!A750), "", Piping!A750), IF($N$1="Vessels", IF(ISBLANK(Vessels!A750), "", Vessels!A750), ""))</f>
        <v>187.1</v>
      </c>
      <c r="B750" s="21" t="str">
        <f>IF($N$1="Piping", IF(ISBLANK(Piping!B750), "", Piping!B750), IF($N$1="Vessels", IF(ISBLANK(Vessels!B750), "", Vessels!B750), ""))</f>
        <v/>
      </c>
      <c r="C750" s="21" t="str">
        <f>IF($N$1="Piping", IF(ISBLANK(Piping!C750), "", Piping!C750), IF($N$1="Vessels", IF(ISBLANK(Vessels!C750), "", Vessels!C750), ""))</f>
        <v>Piping</v>
      </c>
      <c r="D750" s="21" t="str">
        <f>IF($N$1="Piping", IF(ISBLANK(Piping!D750), "", Piping!D750), IF($N$1="Vessels", IF(ISBLANK(Vessels!D750), "", Vessels!D750), ""))</f>
        <v/>
      </c>
      <c r="E750" s="21" t="str">
        <f>IF($N$1="Piping", IF(ISBLANK(Piping!E750), "", Piping!E750), IF($N$1="Vessels", IF(ISBLANK(Vessels!E750), "", Vessels!E750), ""))</f>
        <v/>
      </c>
      <c r="F750" s="21" t="str">
        <f>IF($N$1="Piping", IF(ISBLANK(Piping!F750), "", Piping!F750), IF($N$1="Vessels", IF(ISBLANK(Vessels!F750), "", Vessels!F750), ""))</f>
        <v/>
      </c>
      <c r="G750" s="21">
        <f>IF($N$1="Piping", IF(ISBLANK(Piping!G750), "", Piping!G750), IF($N$1="Vessels", IF(ISBLANK(Vessels!G750), "", Vessels!G750), ""))</f>
        <v>0</v>
      </c>
      <c r="H750" s="21" t="str">
        <f>IF($N$1="Piping", IF(ISBLANK(Piping!H750), "", Piping!H750), IF($N$1="Vessels", IF(ISBLANK(Vessels!H750), "", Vessels!H750), ""))</f>
        <v/>
      </c>
      <c r="I750" s="21" t="str">
        <f>IF($N$1="Piping", IF(ISBLANK(Piping!I750), "", Piping!I750), IF($N$1="Vessels", IF(ISBLANK(Vessels!I750), "", Vessels!I750), ""))</f>
        <v/>
      </c>
      <c r="J750" s="21" t="str">
        <f>IF($N$1="Piping", IF(ISBLANK(Piping!J750), "", Piping!J750), IF($N$1="Vessels", IF(ISBLANK(Vessels!J750), "", Vessels!J750), ""))</f>
        <v/>
      </c>
      <c r="K750" s="21" t="str">
        <f>IF($N$1="Piping", IF(ISBLANK(Piping!K750), "", Piping!K750), IF($N$1="Vessels", IF(ISBLANK(Vessels!K750), "", Vessels!K750), ""))</f>
        <v/>
      </c>
      <c r="L750" s="21" t="str">
        <f>IF($N$1="Piping", IF(ISBLANK(Piping!L750), "", Piping!L750), IF($N$1="Vessels", IF(ISBLANK(Vessels!L750), "", Vessels!L750), ""))</f>
        <v/>
      </c>
      <c r="M750" s="21"/>
      <c r="N750" s="21"/>
      <c r="O750" s="21"/>
      <c r="P750" s="21"/>
      <c r="Q750" s="21" t="str">
        <f>IF($N$1="Piping", IF(ISBLANK(Piping!T750), "", Piping!T750), IF($N$1="Vessels", IF(ISBLANK(Vessels!T750), "", Vessels!T750), ""))</f>
        <v/>
      </c>
      <c r="R750" s="51" t="str">
        <f>IF($N$1="Piping", IF(ISBLANK(Piping!U750), "", Piping!U750), IF($N$1="Vessels", IF(ISBLANK(Vessels!U750), "", Vessels!U750), ""))</f>
        <v/>
      </c>
      <c r="S750" s="118" t="str">
        <f>IF(B750&lt;&gt;"",IF($N$1="Piping", IF(ISBLANK(Piping!$J$3), "", Piping!$J$3), IF($N$1="Vessels", IF(ISBLANK(Vessels!$J$3), "", Vessels!$J$3), "")),"")</f>
        <v/>
      </c>
      <c r="T750" s="37"/>
      <c r="U750" s="37"/>
      <c r="V750" s="37"/>
      <c r="W750" s="37"/>
      <c r="X750" s="37"/>
      <c r="Y750" s="37"/>
      <c r="Z750" s="37"/>
    </row>
    <row r="751" spans="1:26" ht="15.75" customHeight="1" x14ac:dyDescent="0.3">
      <c r="A751" s="22">
        <f>IF($N$1="Piping", IF(ISBLANK(Piping!A751), "", Piping!A751), IF($N$1="Vessels", IF(ISBLANK(Vessels!A751), "", Vessels!A751), ""))</f>
        <v>187.2</v>
      </c>
      <c r="B751" s="21" t="str">
        <f>IF($N$1="Piping", IF(ISBLANK(Piping!B751), "", Piping!B751), IF($N$1="Vessels", IF(ISBLANK(Vessels!B751), "", Vessels!B751), ""))</f>
        <v/>
      </c>
      <c r="C751" s="21" t="str">
        <f>IF($N$1="Piping", IF(ISBLANK(Piping!C751), "", Piping!C751), IF($N$1="Vessels", IF(ISBLANK(Vessels!C751), "", Vessels!C751), ""))</f>
        <v>Piping</v>
      </c>
      <c r="D751" s="21" t="str">
        <f>IF($N$1="Piping", IF(ISBLANK(Piping!D751), "", Piping!D751), IF($N$1="Vessels", IF(ISBLANK(Vessels!D751), "", Vessels!D751), ""))</f>
        <v/>
      </c>
      <c r="E751" s="21" t="str">
        <f>IF($N$1="Piping", IF(ISBLANK(Piping!E751), "", Piping!E751), IF($N$1="Vessels", IF(ISBLANK(Vessels!E751), "", Vessels!E751), ""))</f>
        <v/>
      </c>
      <c r="F751" s="21" t="str">
        <f>IF($N$1="Piping", IF(ISBLANK(Piping!F751), "", Piping!F751), IF($N$1="Vessels", IF(ISBLANK(Vessels!F751), "", Vessels!F751), ""))</f>
        <v/>
      </c>
      <c r="G751" s="21">
        <f>IF($N$1="Piping", IF(ISBLANK(Piping!G751), "", Piping!G751), IF($N$1="Vessels", IF(ISBLANK(Vessels!G751), "", Vessels!G751), ""))</f>
        <v>0</v>
      </c>
      <c r="H751" s="21" t="str">
        <f>IF($N$1="Piping", IF(ISBLANK(Piping!H751), "", Piping!H751), IF($N$1="Vessels", IF(ISBLANK(Vessels!H751), "", Vessels!H751), ""))</f>
        <v/>
      </c>
      <c r="I751" s="21" t="str">
        <f>IF($N$1="Piping", IF(ISBLANK(Piping!I751), "", Piping!I751), IF($N$1="Vessels", IF(ISBLANK(Vessels!I751), "", Vessels!I751), ""))</f>
        <v/>
      </c>
      <c r="J751" s="21" t="str">
        <f>IF($N$1="Piping", IF(ISBLANK(Piping!J751), "", Piping!J751), IF($N$1="Vessels", IF(ISBLANK(Vessels!J751), "", Vessels!J751), ""))</f>
        <v/>
      </c>
      <c r="K751" s="21" t="str">
        <f>IF($N$1="Piping", IF(ISBLANK(Piping!K751), "", Piping!K751), IF($N$1="Vessels", IF(ISBLANK(Vessels!K751), "", Vessels!K751), ""))</f>
        <v/>
      </c>
      <c r="L751" s="21" t="str">
        <f>IF($N$1="Piping", IF(ISBLANK(Piping!L751), "", Piping!L751), IF($N$1="Vessels", IF(ISBLANK(Vessels!L751), "", Vessels!L751), ""))</f>
        <v/>
      </c>
      <c r="M751" s="21"/>
      <c r="N751" s="21"/>
      <c r="O751" s="21"/>
      <c r="P751" s="21"/>
      <c r="Q751" s="21" t="str">
        <f>IF($N$1="Piping", IF(ISBLANK(Piping!T751), "", Piping!T751), IF($N$1="Vessels", IF(ISBLANK(Vessels!T751), "", Vessels!T751), ""))</f>
        <v/>
      </c>
      <c r="R751" s="51" t="str">
        <f>IF($N$1="Piping", IF(ISBLANK(Piping!U751), "", Piping!U751), IF($N$1="Vessels", IF(ISBLANK(Vessels!U751), "", Vessels!U751), ""))</f>
        <v/>
      </c>
      <c r="S751" s="118" t="str">
        <f>IF(B751&lt;&gt;"",IF($N$1="Piping", IF(ISBLANK(Piping!$J$3), "", Piping!$J$3), IF($N$1="Vessels", IF(ISBLANK(Vessels!$J$3), "", Vessels!$J$3), "")),"")</f>
        <v/>
      </c>
      <c r="T751" s="37"/>
      <c r="U751" s="37"/>
      <c r="V751" s="37"/>
      <c r="W751" s="37"/>
      <c r="X751" s="37"/>
      <c r="Y751" s="37"/>
      <c r="Z751" s="37"/>
    </row>
    <row r="752" spans="1:26" ht="15.75" customHeight="1" x14ac:dyDescent="0.3">
      <c r="A752" s="22">
        <f>IF($N$1="Piping", IF(ISBLANK(Piping!A752), "", Piping!A752), IF($N$1="Vessels", IF(ISBLANK(Vessels!A752), "", Vessels!A752), ""))</f>
        <v>187.3</v>
      </c>
      <c r="B752" s="21" t="str">
        <f>IF($N$1="Piping", IF(ISBLANK(Piping!B752), "", Piping!B752), IF($N$1="Vessels", IF(ISBLANK(Vessels!B752), "", Vessels!B752), ""))</f>
        <v/>
      </c>
      <c r="C752" s="21" t="str">
        <f>IF($N$1="Piping", IF(ISBLANK(Piping!C752), "", Piping!C752), IF($N$1="Vessels", IF(ISBLANK(Vessels!C752), "", Vessels!C752), ""))</f>
        <v>Piping</v>
      </c>
      <c r="D752" s="21" t="str">
        <f>IF($N$1="Piping", IF(ISBLANK(Piping!D752), "", Piping!D752), IF($N$1="Vessels", IF(ISBLANK(Vessels!D752), "", Vessels!D752), ""))</f>
        <v/>
      </c>
      <c r="E752" s="21" t="str">
        <f>IF($N$1="Piping", IF(ISBLANK(Piping!E752), "", Piping!E752), IF($N$1="Vessels", IF(ISBLANK(Vessels!E752), "", Vessels!E752), ""))</f>
        <v/>
      </c>
      <c r="F752" s="21" t="str">
        <f>IF($N$1="Piping", IF(ISBLANK(Piping!F752), "", Piping!F752), IF($N$1="Vessels", IF(ISBLANK(Vessels!F752), "", Vessels!F752), ""))</f>
        <v/>
      </c>
      <c r="G752" s="21">
        <f>IF($N$1="Piping", IF(ISBLANK(Piping!G752), "", Piping!G752), IF($N$1="Vessels", IF(ISBLANK(Vessels!G752), "", Vessels!G752), ""))</f>
        <v>0</v>
      </c>
      <c r="H752" s="21" t="str">
        <f>IF($N$1="Piping", IF(ISBLANK(Piping!H752), "", Piping!H752), IF($N$1="Vessels", IF(ISBLANK(Vessels!H752), "", Vessels!H752), ""))</f>
        <v/>
      </c>
      <c r="I752" s="21" t="str">
        <f>IF($N$1="Piping", IF(ISBLANK(Piping!I752), "", Piping!I752), IF($N$1="Vessels", IF(ISBLANK(Vessels!I752), "", Vessels!I752), ""))</f>
        <v/>
      </c>
      <c r="J752" s="21" t="str">
        <f>IF($N$1="Piping", IF(ISBLANK(Piping!J752), "", Piping!J752), IF($N$1="Vessels", IF(ISBLANK(Vessels!J752), "", Vessels!J752), ""))</f>
        <v/>
      </c>
      <c r="K752" s="21" t="str">
        <f>IF($N$1="Piping", IF(ISBLANK(Piping!K752), "", Piping!K752), IF($N$1="Vessels", IF(ISBLANK(Vessels!K752), "", Vessels!K752), ""))</f>
        <v/>
      </c>
      <c r="L752" s="21" t="str">
        <f>IF($N$1="Piping", IF(ISBLANK(Piping!L752), "", Piping!L752), IF($N$1="Vessels", IF(ISBLANK(Vessels!L752), "", Vessels!L752), ""))</f>
        <v/>
      </c>
      <c r="M752" s="21"/>
      <c r="N752" s="21"/>
      <c r="O752" s="21"/>
      <c r="P752" s="21"/>
      <c r="Q752" s="21" t="str">
        <f>IF($N$1="Piping", IF(ISBLANK(Piping!T752), "", Piping!T752), IF($N$1="Vessels", IF(ISBLANK(Vessels!T752), "", Vessels!T752), ""))</f>
        <v/>
      </c>
      <c r="R752" s="51" t="str">
        <f>IF($N$1="Piping", IF(ISBLANK(Piping!U752), "", Piping!U752), IF($N$1="Vessels", IF(ISBLANK(Vessels!U752), "", Vessels!U752), ""))</f>
        <v/>
      </c>
      <c r="S752" s="118" t="str">
        <f>IF(B752&lt;&gt;"",IF($N$1="Piping", IF(ISBLANK(Piping!$J$3), "", Piping!$J$3), IF($N$1="Vessels", IF(ISBLANK(Vessels!$J$3), "", Vessels!$J$3), "")),"")</f>
        <v/>
      </c>
      <c r="T752" s="37"/>
      <c r="U752" s="37"/>
      <c r="V752" s="37"/>
      <c r="W752" s="37"/>
      <c r="X752" s="37"/>
      <c r="Y752" s="37"/>
      <c r="Z752" s="37"/>
    </row>
    <row r="753" spans="1:26" ht="15.75" customHeight="1" x14ac:dyDescent="0.3">
      <c r="A753" s="22">
        <f>IF($N$1="Piping", IF(ISBLANK(Piping!A753), "", Piping!A753), IF($N$1="Vessels", IF(ISBLANK(Vessels!A753), "", Vessels!A753), ""))</f>
        <v>187.4</v>
      </c>
      <c r="B753" s="21" t="str">
        <f>IF($N$1="Piping", IF(ISBLANK(Piping!B753), "", Piping!B753), IF($N$1="Vessels", IF(ISBLANK(Vessels!B753), "", Vessels!B753), ""))</f>
        <v/>
      </c>
      <c r="C753" s="21" t="str">
        <f>IF($N$1="Piping", IF(ISBLANK(Piping!C753), "", Piping!C753), IF($N$1="Vessels", IF(ISBLANK(Vessels!C753), "", Vessels!C753), ""))</f>
        <v>Piping</v>
      </c>
      <c r="D753" s="21" t="str">
        <f>IF($N$1="Piping", IF(ISBLANK(Piping!D753), "", Piping!D753), IF($N$1="Vessels", IF(ISBLANK(Vessels!D753), "", Vessels!D753), ""))</f>
        <v/>
      </c>
      <c r="E753" s="21" t="str">
        <f>IF($N$1="Piping", IF(ISBLANK(Piping!E753), "", Piping!E753), IF($N$1="Vessels", IF(ISBLANK(Vessels!E753), "", Vessels!E753), ""))</f>
        <v/>
      </c>
      <c r="F753" s="21" t="str">
        <f>IF($N$1="Piping", IF(ISBLANK(Piping!F753), "", Piping!F753), IF($N$1="Vessels", IF(ISBLANK(Vessels!F753), "", Vessels!F753), ""))</f>
        <v/>
      </c>
      <c r="G753" s="21">
        <f>IF($N$1="Piping", IF(ISBLANK(Piping!G753), "", Piping!G753), IF($N$1="Vessels", IF(ISBLANK(Vessels!G753), "", Vessels!G753), ""))</f>
        <v>0</v>
      </c>
      <c r="H753" s="21" t="str">
        <f>IF($N$1="Piping", IF(ISBLANK(Piping!H753), "", Piping!H753), IF($N$1="Vessels", IF(ISBLANK(Vessels!H753), "", Vessels!H753), ""))</f>
        <v/>
      </c>
      <c r="I753" s="21" t="str">
        <f>IF($N$1="Piping", IF(ISBLANK(Piping!I753), "", Piping!I753), IF($N$1="Vessels", IF(ISBLANK(Vessels!I753), "", Vessels!I753), ""))</f>
        <v/>
      </c>
      <c r="J753" s="21" t="str">
        <f>IF($N$1="Piping", IF(ISBLANK(Piping!J753), "", Piping!J753), IF($N$1="Vessels", IF(ISBLANK(Vessels!J753), "", Vessels!J753), ""))</f>
        <v/>
      </c>
      <c r="K753" s="21" t="str">
        <f>IF($N$1="Piping", IF(ISBLANK(Piping!K753), "", Piping!K753), IF($N$1="Vessels", IF(ISBLANK(Vessels!K753), "", Vessels!K753), ""))</f>
        <v/>
      </c>
      <c r="L753" s="21" t="str">
        <f>IF($N$1="Piping", IF(ISBLANK(Piping!L753), "", Piping!L753), IF($N$1="Vessels", IF(ISBLANK(Vessels!L753), "", Vessels!L753), ""))</f>
        <v/>
      </c>
      <c r="M753" s="21"/>
      <c r="N753" s="21"/>
      <c r="O753" s="21"/>
      <c r="P753" s="21"/>
      <c r="Q753" s="21" t="str">
        <f>IF($N$1="Piping", IF(ISBLANK(Piping!T753), "", Piping!T753), IF($N$1="Vessels", IF(ISBLANK(Vessels!T753), "", Vessels!T753), ""))</f>
        <v/>
      </c>
      <c r="R753" s="51" t="str">
        <f>IF($N$1="Piping", IF(ISBLANK(Piping!U753), "", Piping!U753), IF($N$1="Vessels", IF(ISBLANK(Vessels!U753), "", Vessels!U753), ""))</f>
        <v/>
      </c>
      <c r="S753" s="118" t="str">
        <f>IF(B753&lt;&gt;"",IF($N$1="Piping", IF(ISBLANK(Piping!$J$3), "", Piping!$J$3), IF($N$1="Vessels", IF(ISBLANK(Vessels!$J$3), "", Vessels!$J$3), "")),"")</f>
        <v/>
      </c>
      <c r="T753" s="37"/>
      <c r="U753" s="37"/>
      <c r="V753" s="37"/>
      <c r="W753" s="37"/>
      <c r="X753" s="37"/>
      <c r="Y753" s="37"/>
      <c r="Z753" s="37"/>
    </row>
    <row r="754" spans="1:26" ht="15.75" customHeight="1" x14ac:dyDescent="0.3">
      <c r="A754" s="22">
        <f>IF($N$1="Piping", IF(ISBLANK(Piping!A754), "", Piping!A754), IF($N$1="Vessels", IF(ISBLANK(Vessels!A754), "", Vessels!A754), ""))</f>
        <v>188.1</v>
      </c>
      <c r="B754" s="21" t="str">
        <f>IF($N$1="Piping", IF(ISBLANK(Piping!B754), "", Piping!B754), IF($N$1="Vessels", IF(ISBLANK(Vessels!B754), "", Vessels!B754), ""))</f>
        <v/>
      </c>
      <c r="C754" s="21" t="str">
        <f>IF($N$1="Piping", IF(ISBLANK(Piping!C754), "", Piping!C754), IF($N$1="Vessels", IF(ISBLANK(Vessels!C754), "", Vessels!C754), ""))</f>
        <v>Piping</v>
      </c>
      <c r="D754" s="21" t="str">
        <f>IF($N$1="Piping", IF(ISBLANK(Piping!D754), "", Piping!D754), IF($N$1="Vessels", IF(ISBLANK(Vessels!D754), "", Vessels!D754), ""))</f>
        <v/>
      </c>
      <c r="E754" s="21" t="str">
        <f>IF($N$1="Piping", IF(ISBLANK(Piping!E754), "", Piping!E754), IF($N$1="Vessels", IF(ISBLANK(Vessels!E754), "", Vessels!E754), ""))</f>
        <v/>
      </c>
      <c r="F754" s="21" t="str">
        <f>IF($N$1="Piping", IF(ISBLANK(Piping!F754), "", Piping!F754), IF($N$1="Vessels", IF(ISBLANK(Vessels!F754), "", Vessels!F754), ""))</f>
        <v/>
      </c>
      <c r="G754" s="21">
        <f>IF($N$1="Piping", IF(ISBLANK(Piping!G754), "", Piping!G754), IF($N$1="Vessels", IF(ISBLANK(Vessels!G754), "", Vessels!G754), ""))</f>
        <v>0</v>
      </c>
      <c r="H754" s="21" t="str">
        <f>IF($N$1="Piping", IF(ISBLANK(Piping!H754), "", Piping!H754), IF($N$1="Vessels", IF(ISBLANK(Vessels!H754), "", Vessels!H754), ""))</f>
        <v/>
      </c>
      <c r="I754" s="21" t="str">
        <f>IF($N$1="Piping", IF(ISBLANK(Piping!I754), "", Piping!I754), IF($N$1="Vessels", IF(ISBLANK(Vessels!I754), "", Vessels!I754), ""))</f>
        <v/>
      </c>
      <c r="J754" s="21" t="str">
        <f>IF($N$1="Piping", IF(ISBLANK(Piping!J754), "", Piping!J754), IF($N$1="Vessels", IF(ISBLANK(Vessels!J754), "", Vessels!J754), ""))</f>
        <v/>
      </c>
      <c r="K754" s="21" t="str">
        <f>IF($N$1="Piping", IF(ISBLANK(Piping!K754), "", Piping!K754), IF($N$1="Vessels", IF(ISBLANK(Vessels!K754), "", Vessels!K754), ""))</f>
        <v/>
      </c>
      <c r="L754" s="21" t="str">
        <f>IF($N$1="Piping", IF(ISBLANK(Piping!L754), "", Piping!L754), IF($N$1="Vessels", IF(ISBLANK(Vessels!L754), "", Vessels!L754), ""))</f>
        <v/>
      </c>
      <c r="M754" s="21"/>
      <c r="N754" s="21"/>
      <c r="O754" s="21"/>
      <c r="P754" s="21"/>
      <c r="Q754" s="21" t="str">
        <f>IF($N$1="Piping", IF(ISBLANK(Piping!T754), "", Piping!T754), IF($N$1="Vessels", IF(ISBLANK(Vessels!T754), "", Vessels!T754), ""))</f>
        <v/>
      </c>
      <c r="R754" s="51" t="str">
        <f>IF($N$1="Piping", IF(ISBLANK(Piping!U754), "", Piping!U754), IF($N$1="Vessels", IF(ISBLANK(Vessels!U754), "", Vessels!U754), ""))</f>
        <v/>
      </c>
      <c r="S754" s="118" t="str">
        <f>IF(B754&lt;&gt;"",IF($N$1="Piping", IF(ISBLANK(Piping!$J$3), "", Piping!$J$3), IF($N$1="Vessels", IF(ISBLANK(Vessels!$J$3), "", Vessels!$J$3), "")),"")</f>
        <v/>
      </c>
      <c r="T754" s="37"/>
      <c r="U754" s="37"/>
      <c r="V754" s="37"/>
      <c r="W754" s="37"/>
      <c r="X754" s="37"/>
      <c r="Y754" s="37"/>
      <c r="Z754" s="37"/>
    </row>
    <row r="755" spans="1:26" ht="15.75" customHeight="1" x14ac:dyDescent="0.3">
      <c r="A755" s="22">
        <f>IF($N$1="Piping", IF(ISBLANK(Piping!A755), "", Piping!A755), IF($N$1="Vessels", IF(ISBLANK(Vessels!A755), "", Vessels!A755), ""))</f>
        <v>188.2</v>
      </c>
      <c r="B755" s="21" t="str">
        <f>IF($N$1="Piping", IF(ISBLANK(Piping!B755), "", Piping!B755), IF($N$1="Vessels", IF(ISBLANK(Vessels!B755), "", Vessels!B755), ""))</f>
        <v/>
      </c>
      <c r="C755" s="21" t="str">
        <f>IF($N$1="Piping", IF(ISBLANK(Piping!C755), "", Piping!C755), IF($N$1="Vessels", IF(ISBLANK(Vessels!C755), "", Vessels!C755), ""))</f>
        <v>Piping</v>
      </c>
      <c r="D755" s="21" t="str">
        <f>IF($N$1="Piping", IF(ISBLANK(Piping!D755), "", Piping!D755), IF($N$1="Vessels", IF(ISBLANK(Vessels!D755), "", Vessels!D755), ""))</f>
        <v/>
      </c>
      <c r="E755" s="21" t="str">
        <f>IF($N$1="Piping", IF(ISBLANK(Piping!E755), "", Piping!E755), IF($N$1="Vessels", IF(ISBLANK(Vessels!E755), "", Vessels!E755), ""))</f>
        <v/>
      </c>
      <c r="F755" s="21" t="str">
        <f>IF($N$1="Piping", IF(ISBLANK(Piping!F755), "", Piping!F755), IF($N$1="Vessels", IF(ISBLANK(Vessels!F755), "", Vessels!F755), ""))</f>
        <v/>
      </c>
      <c r="G755" s="21">
        <f>IF($N$1="Piping", IF(ISBLANK(Piping!G755), "", Piping!G755), IF($N$1="Vessels", IF(ISBLANK(Vessels!G755), "", Vessels!G755), ""))</f>
        <v>0</v>
      </c>
      <c r="H755" s="21" t="str">
        <f>IF($N$1="Piping", IF(ISBLANK(Piping!H755), "", Piping!H755), IF($N$1="Vessels", IF(ISBLANK(Vessels!H755), "", Vessels!H755), ""))</f>
        <v/>
      </c>
      <c r="I755" s="21" t="str">
        <f>IF($N$1="Piping", IF(ISBLANK(Piping!I755), "", Piping!I755), IF($N$1="Vessels", IF(ISBLANK(Vessels!I755), "", Vessels!I755), ""))</f>
        <v/>
      </c>
      <c r="J755" s="21" t="str">
        <f>IF($N$1="Piping", IF(ISBLANK(Piping!J755), "", Piping!J755), IF($N$1="Vessels", IF(ISBLANK(Vessels!J755), "", Vessels!J755), ""))</f>
        <v/>
      </c>
      <c r="K755" s="21" t="str">
        <f>IF($N$1="Piping", IF(ISBLANK(Piping!K755), "", Piping!K755), IF($N$1="Vessels", IF(ISBLANK(Vessels!K755), "", Vessels!K755), ""))</f>
        <v/>
      </c>
      <c r="L755" s="21" t="str">
        <f>IF($N$1="Piping", IF(ISBLANK(Piping!L755), "", Piping!L755), IF($N$1="Vessels", IF(ISBLANK(Vessels!L755), "", Vessels!L755), ""))</f>
        <v/>
      </c>
      <c r="M755" s="21"/>
      <c r="N755" s="21"/>
      <c r="O755" s="21"/>
      <c r="P755" s="21"/>
      <c r="Q755" s="21" t="str">
        <f>IF($N$1="Piping", IF(ISBLANK(Piping!T755), "", Piping!T755), IF($N$1="Vessels", IF(ISBLANK(Vessels!T755), "", Vessels!T755), ""))</f>
        <v/>
      </c>
      <c r="R755" s="51" t="str">
        <f>IF($N$1="Piping", IF(ISBLANK(Piping!U755), "", Piping!U755), IF($N$1="Vessels", IF(ISBLANK(Vessels!U755), "", Vessels!U755), ""))</f>
        <v/>
      </c>
      <c r="S755" s="118" t="str">
        <f>IF(B755&lt;&gt;"",IF($N$1="Piping", IF(ISBLANK(Piping!$J$3), "", Piping!$J$3), IF($N$1="Vessels", IF(ISBLANK(Vessels!$J$3), "", Vessels!$J$3), "")),"")</f>
        <v/>
      </c>
      <c r="T755" s="37"/>
      <c r="U755" s="37"/>
      <c r="V755" s="37"/>
      <c r="W755" s="37"/>
      <c r="X755" s="37"/>
      <c r="Y755" s="37"/>
      <c r="Z755" s="37"/>
    </row>
    <row r="756" spans="1:26" ht="15.75" customHeight="1" x14ac:dyDescent="0.3">
      <c r="A756" s="22">
        <f>IF($N$1="Piping", IF(ISBLANK(Piping!A756), "", Piping!A756), IF($N$1="Vessels", IF(ISBLANK(Vessels!A756), "", Vessels!A756), ""))</f>
        <v>188.3</v>
      </c>
      <c r="B756" s="21" t="str">
        <f>IF($N$1="Piping", IF(ISBLANK(Piping!B756), "", Piping!B756), IF($N$1="Vessels", IF(ISBLANK(Vessels!B756), "", Vessels!B756), ""))</f>
        <v/>
      </c>
      <c r="C756" s="21" t="str">
        <f>IF($N$1="Piping", IF(ISBLANK(Piping!C756), "", Piping!C756), IF($N$1="Vessels", IF(ISBLANK(Vessels!C756), "", Vessels!C756), ""))</f>
        <v>Piping</v>
      </c>
      <c r="D756" s="21" t="str">
        <f>IF($N$1="Piping", IF(ISBLANK(Piping!D756), "", Piping!D756), IF($N$1="Vessels", IF(ISBLANK(Vessels!D756), "", Vessels!D756), ""))</f>
        <v/>
      </c>
      <c r="E756" s="21" t="str">
        <f>IF($N$1="Piping", IF(ISBLANK(Piping!E756), "", Piping!E756), IF($N$1="Vessels", IF(ISBLANK(Vessels!E756), "", Vessels!E756), ""))</f>
        <v/>
      </c>
      <c r="F756" s="21" t="str">
        <f>IF($N$1="Piping", IF(ISBLANK(Piping!F756), "", Piping!F756), IF($N$1="Vessels", IF(ISBLANK(Vessels!F756), "", Vessels!F756), ""))</f>
        <v/>
      </c>
      <c r="G756" s="21">
        <f>IF($N$1="Piping", IF(ISBLANK(Piping!G756), "", Piping!G756), IF($N$1="Vessels", IF(ISBLANK(Vessels!G756), "", Vessels!G756), ""))</f>
        <v>0</v>
      </c>
      <c r="H756" s="21" t="str">
        <f>IF($N$1="Piping", IF(ISBLANK(Piping!H756), "", Piping!H756), IF($N$1="Vessels", IF(ISBLANK(Vessels!H756), "", Vessels!H756), ""))</f>
        <v/>
      </c>
      <c r="I756" s="21" t="str">
        <f>IF($N$1="Piping", IF(ISBLANK(Piping!I756), "", Piping!I756), IF($N$1="Vessels", IF(ISBLANK(Vessels!I756), "", Vessels!I756), ""))</f>
        <v/>
      </c>
      <c r="J756" s="21" t="str">
        <f>IF($N$1="Piping", IF(ISBLANK(Piping!J756), "", Piping!J756), IF($N$1="Vessels", IF(ISBLANK(Vessels!J756), "", Vessels!J756), ""))</f>
        <v/>
      </c>
      <c r="K756" s="21" t="str">
        <f>IF($N$1="Piping", IF(ISBLANK(Piping!K756), "", Piping!K756), IF($N$1="Vessels", IF(ISBLANK(Vessels!K756), "", Vessels!K756), ""))</f>
        <v/>
      </c>
      <c r="L756" s="21" t="str">
        <f>IF($N$1="Piping", IF(ISBLANK(Piping!L756), "", Piping!L756), IF($N$1="Vessels", IF(ISBLANK(Vessels!L756), "", Vessels!L756), ""))</f>
        <v/>
      </c>
      <c r="M756" s="21"/>
      <c r="N756" s="21"/>
      <c r="O756" s="21"/>
      <c r="P756" s="21"/>
      <c r="Q756" s="21" t="str">
        <f>IF($N$1="Piping", IF(ISBLANK(Piping!T756), "", Piping!T756), IF($N$1="Vessels", IF(ISBLANK(Vessels!T756), "", Vessels!T756), ""))</f>
        <v/>
      </c>
      <c r="R756" s="51" t="str">
        <f>IF($N$1="Piping", IF(ISBLANK(Piping!U756), "", Piping!U756), IF($N$1="Vessels", IF(ISBLANK(Vessels!U756), "", Vessels!U756), ""))</f>
        <v/>
      </c>
      <c r="S756" s="118" t="str">
        <f>IF(B756&lt;&gt;"",IF($N$1="Piping", IF(ISBLANK(Piping!$J$3), "", Piping!$J$3), IF($N$1="Vessels", IF(ISBLANK(Vessels!$J$3), "", Vessels!$J$3), "")),"")</f>
        <v/>
      </c>
      <c r="T756" s="37"/>
      <c r="U756" s="37"/>
      <c r="V756" s="37"/>
      <c r="W756" s="37"/>
      <c r="X756" s="37"/>
      <c r="Y756" s="37"/>
      <c r="Z756" s="37"/>
    </row>
    <row r="757" spans="1:26" ht="15.75" customHeight="1" x14ac:dyDescent="0.3">
      <c r="A757" s="22">
        <f>IF($N$1="Piping", IF(ISBLANK(Piping!A757), "", Piping!A757), IF($N$1="Vessels", IF(ISBLANK(Vessels!A757), "", Vessels!A757), ""))</f>
        <v>188.4</v>
      </c>
      <c r="B757" s="21" t="str">
        <f>IF($N$1="Piping", IF(ISBLANK(Piping!B757), "", Piping!B757), IF($N$1="Vessels", IF(ISBLANK(Vessels!B757), "", Vessels!B757), ""))</f>
        <v/>
      </c>
      <c r="C757" s="21" t="str">
        <f>IF($N$1="Piping", IF(ISBLANK(Piping!C757), "", Piping!C757), IF($N$1="Vessels", IF(ISBLANK(Vessels!C757), "", Vessels!C757), ""))</f>
        <v>Piping</v>
      </c>
      <c r="D757" s="21" t="str">
        <f>IF($N$1="Piping", IF(ISBLANK(Piping!D757), "", Piping!D757), IF($N$1="Vessels", IF(ISBLANK(Vessels!D757), "", Vessels!D757), ""))</f>
        <v/>
      </c>
      <c r="E757" s="21" t="str">
        <f>IF($N$1="Piping", IF(ISBLANK(Piping!E757), "", Piping!E757), IF($N$1="Vessels", IF(ISBLANK(Vessels!E757), "", Vessels!E757), ""))</f>
        <v/>
      </c>
      <c r="F757" s="21" t="str">
        <f>IF($N$1="Piping", IF(ISBLANK(Piping!F757), "", Piping!F757), IF($N$1="Vessels", IF(ISBLANK(Vessels!F757), "", Vessels!F757), ""))</f>
        <v/>
      </c>
      <c r="G757" s="21">
        <f>IF($N$1="Piping", IF(ISBLANK(Piping!G757), "", Piping!G757), IF($N$1="Vessels", IF(ISBLANK(Vessels!G757), "", Vessels!G757), ""))</f>
        <v>0</v>
      </c>
      <c r="H757" s="21" t="str">
        <f>IF($N$1="Piping", IF(ISBLANK(Piping!H757), "", Piping!H757), IF($N$1="Vessels", IF(ISBLANK(Vessels!H757), "", Vessels!H757), ""))</f>
        <v/>
      </c>
      <c r="I757" s="21" t="str">
        <f>IF($N$1="Piping", IF(ISBLANK(Piping!I757), "", Piping!I757), IF($N$1="Vessels", IF(ISBLANK(Vessels!I757), "", Vessels!I757), ""))</f>
        <v/>
      </c>
      <c r="J757" s="21" t="str">
        <f>IF($N$1="Piping", IF(ISBLANK(Piping!J757), "", Piping!J757), IF($N$1="Vessels", IF(ISBLANK(Vessels!J757), "", Vessels!J757), ""))</f>
        <v/>
      </c>
      <c r="K757" s="21" t="str">
        <f>IF($N$1="Piping", IF(ISBLANK(Piping!K757), "", Piping!K757), IF($N$1="Vessels", IF(ISBLANK(Vessels!K757), "", Vessels!K757), ""))</f>
        <v/>
      </c>
      <c r="L757" s="21" t="str">
        <f>IF($N$1="Piping", IF(ISBLANK(Piping!L757), "", Piping!L757), IF($N$1="Vessels", IF(ISBLANK(Vessels!L757), "", Vessels!L757), ""))</f>
        <v/>
      </c>
      <c r="M757" s="21"/>
      <c r="N757" s="21"/>
      <c r="O757" s="21"/>
      <c r="P757" s="21"/>
      <c r="Q757" s="21" t="str">
        <f>IF($N$1="Piping", IF(ISBLANK(Piping!T757), "", Piping!T757), IF($N$1="Vessels", IF(ISBLANK(Vessels!T757), "", Vessels!T757), ""))</f>
        <v/>
      </c>
      <c r="R757" s="51" t="str">
        <f>IF($N$1="Piping", IF(ISBLANK(Piping!U757), "", Piping!U757), IF($N$1="Vessels", IF(ISBLANK(Vessels!U757), "", Vessels!U757), ""))</f>
        <v/>
      </c>
      <c r="S757" s="118" t="str">
        <f>IF(B757&lt;&gt;"",IF($N$1="Piping", IF(ISBLANK(Piping!$J$3), "", Piping!$J$3), IF($N$1="Vessels", IF(ISBLANK(Vessels!$J$3), "", Vessels!$J$3), "")),"")</f>
        <v/>
      </c>
      <c r="T757" s="37"/>
      <c r="U757" s="37"/>
      <c r="V757" s="37"/>
      <c r="W757" s="37"/>
      <c r="X757" s="37"/>
      <c r="Y757" s="37"/>
      <c r="Z757" s="37"/>
    </row>
    <row r="758" spans="1:26" ht="15.75" customHeight="1" x14ac:dyDescent="0.3">
      <c r="A758" s="22">
        <f>IF($N$1="Piping", IF(ISBLANK(Piping!A758), "", Piping!A758), IF($N$1="Vessels", IF(ISBLANK(Vessels!A758), "", Vessels!A758), ""))</f>
        <v>189.1</v>
      </c>
      <c r="B758" s="21" t="str">
        <f>IF($N$1="Piping", IF(ISBLANK(Piping!B758), "", Piping!B758), IF($N$1="Vessels", IF(ISBLANK(Vessels!B758), "", Vessels!B758), ""))</f>
        <v/>
      </c>
      <c r="C758" s="21" t="str">
        <f>IF($N$1="Piping", IF(ISBLANK(Piping!C758), "", Piping!C758), IF($N$1="Vessels", IF(ISBLANK(Vessels!C758), "", Vessels!C758), ""))</f>
        <v>Piping</v>
      </c>
      <c r="D758" s="21" t="str">
        <f>IF($N$1="Piping", IF(ISBLANK(Piping!D758), "", Piping!D758), IF($N$1="Vessels", IF(ISBLANK(Vessels!D758), "", Vessels!D758), ""))</f>
        <v/>
      </c>
      <c r="E758" s="21" t="str">
        <f>IF($N$1="Piping", IF(ISBLANK(Piping!E758), "", Piping!E758), IF($N$1="Vessels", IF(ISBLANK(Vessels!E758), "", Vessels!E758), ""))</f>
        <v/>
      </c>
      <c r="F758" s="21" t="str">
        <f>IF($N$1="Piping", IF(ISBLANK(Piping!F758), "", Piping!F758), IF($N$1="Vessels", IF(ISBLANK(Vessels!F758), "", Vessels!F758), ""))</f>
        <v/>
      </c>
      <c r="G758" s="21">
        <f>IF($N$1="Piping", IF(ISBLANK(Piping!G758), "", Piping!G758), IF($N$1="Vessels", IF(ISBLANK(Vessels!G758), "", Vessels!G758), ""))</f>
        <v>0</v>
      </c>
      <c r="H758" s="21" t="str">
        <f>IF($N$1="Piping", IF(ISBLANK(Piping!H758), "", Piping!H758), IF($N$1="Vessels", IF(ISBLANK(Vessels!H758), "", Vessels!H758), ""))</f>
        <v/>
      </c>
      <c r="I758" s="21" t="str">
        <f>IF($N$1="Piping", IF(ISBLANK(Piping!I758), "", Piping!I758), IF($N$1="Vessels", IF(ISBLANK(Vessels!I758), "", Vessels!I758), ""))</f>
        <v/>
      </c>
      <c r="J758" s="21" t="str">
        <f>IF($N$1="Piping", IF(ISBLANK(Piping!J758), "", Piping!J758), IF($N$1="Vessels", IF(ISBLANK(Vessels!J758), "", Vessels!J758), ""))</f>
        <v/>
      </c>
      <c r="K758" s="21" t="str">
        <f>IF($N$1="Piping", IF(ISBLANK(Piping!K758), "", Piping!K758), IF($N$1="Vessels", IF(ISBLANK(Vessels!K758), "", Vessels!K758), ""))</f>
        <v/>
      </c>
      <c r="L758" s="21" t="str">
        <f>IF($N$1="Piping", IF(ISBLANK(Piping!L758), "", Piping!L758), IF($N$1="Vessels", IF(ISBLANK(Vessels!L758), "", Vessels!L758), ""))</f>
        <v/>
      </c>
      <c r="M758" s="21"/>
      <c r="N758" s="21"/>
      <c r="O758" s="21"/>
      <c r="P758" s="21"/>
      <c r="Q758" s="21" t="str">
        <f>IF($N$1="Piping", IF(ISBLANK(Piping!T758), "", Piping!T758), IF($N$1="Vessels", IF(ISBLANK(Vessels!T758), "", Vessels!T758), ""))</f>
        <v/>
      </c>
      <c r="R758" s="51" t="str">
        <f>IF($N$1="Piping", IF(ISBLANK(Piping!U758), "", Piping!U758), IF($N$1="Vessels", IF(ISBLANK(Vessels!U758), "", Vessels!U758), ""))</f>
        <v/>
      </c>
      <c r="S758" s="118" t="str">
        <f>IF(B758&lt;&gt;"",IF($N$1="Piping", IF(ISBLANK(Piping!$J$3), "", Piping!$J$3), IF($N$1="Vessels", IF(ISBLANK(Vessels!$J$3), "", Vessels!$J$3), "")),"")</f>
        <v/>
      </c>
      <c r="T758" s="37"/>
      <c r="U758" s="37"/>
      <c r="V758" s="37"/>
      <c r="W758" s="37"/>
      <c r="X758" s="37"/>
      <c r="Y758" s="37"/>
      <c r="Z758" s="37"/>
    </row>
    <row r="759" spans="1:26" ht="15.75" customHeight="1" x14ac:dyDescent="0.3">
      <c r="A759" s="22">
        <f>IF($N$1="Piping", IF(ISBLANK(Piping!A759), "", Piping!A759), IF($N$1="Vessels", IF(ISBLANK(Vessels!A759), "", Vessels!A759), ""))</f>
        <v>189.2</v>
      </c>
      <c r="B759" s="21" t="str">
        <f>IF($N$1="Piping", IF(ISBLANK(Piping!B759), "", Piping!B759), IF($N$1="Vessels", IF(ISBLANK(Vessels!B759), "", Vessels!B759), ""))</f>
        <v/>
      </c>
      <c r="C759" s="21" t="str">
        <f>IF($N$1="Piping", IF(ISBLANK(Piping!C759), "", Piping!C759), IF($N$1="Vessels", IF(ISBLANK(Vessels!C759), "", Vessels!C759), ""))</f>
        <v>Piping</v>
      </c>
      <c r="D759" s="21" t="str">
        <f>IF($N$1="Piping", IF(ISBLANK(Piping!D759), "", Piping!D759), IF($N$1="Vessels", IF(ISBLANK(Vessels!D759), "", Vessels!D759), ""))</f>
        <v/>
      </c>
      <c r="E759" s="21" t="str">
        <f>IF($N$1="Piping", IF(ISBLANK(Piping!E759), "", Piping!E759), IF($N$1="Vessels", IF(ISBLANK(Vessels!E759), "", Vessels!E759), ""))</f>
        <v/>
      </c>
      <c r="F759" s="21" t="str">
        <f>IF($N$1="Piping", IF(ISBLANK(Piping!F759), "", Piping!F759), IF($N$1="Vessels", IF(ISBLANK(Vessels!F759), "", Vessels!F759), ""))</f>
        <v/>
      </c>
      <c r="G759" s="21">
        <f>IF($N$1="Piping", IF(ISBLANK(Piping!G759), "", Piping!G759), IF($N$1="Vessels", IF(ISBLANK(Vessels!G759), "", Vessels!G759), ""))</f>
        <v>0</v>
      </c>
      <c r="H759" s="21" t="str">
        <f>IF($N$1="Piping", IF(ISBLANK(Piping!H759), "", Piping!H759), IF($N$1="Vessels", IF(ISBLANK(Vessels!H759), "", Vessels!H759), ""))</f>
        <v/>
      </c>
      <c r="I759" s="21" t="str">
        <f>IF($N$1="Piping", IF(ISBLANK(Piping!I759), "", Piping!I759), IF($N$1="Vessels", IF(ISBLANK(Vessels!I759), "", Vessels!I759), ""))</f>
        <v/>
      </c>
      <c r="J759" s="21" t="str">
        <f>IF($N$1="Piping", IF(ISBLANK(Piping!J759), "", Piping!J759), IF($N$1="Vessels", IF(ISBLANK(Vessels!J759), "", Vessels!J759), ""))</f>
        <v/>
      </c>
      <c r="K759" s="21" t="str">
        <f>IF($N$1="Piping", IF(ISBLANK(Piping!K759), "", Piping!K759), IF($N$1="Vessels", IF(ISBLANK(Vessels!K759), "", Vessels!K759), ""))</f>
        <v/>
      </c>
      <c r="L759" s="21" t="str">
        <f>IF($N$1="Piping", IF(ISBLANK(Piping!L759), "", Piping!L759), IF($N$1="Vessels", IF(ISBLANK(Vessels!L759), "", Vessels!L759), ""))</f>
        <v/>
      </c>
      <c r="M759" s="21"/>
      <c r="N759" s="21"/>
      <c r="O759" s="21"/>
      <c r="P759" s="21"/>
      <c r="Q759" s="21" t="str">
        <f>IF($N$1="Piping", IF(ISBLANK(Piping!T759), "", Piping!T759), IF($N$1="Vessels", IF(ISBLANK(Vessels!T759), "", Vessels!T759), ""))</f>
        <v/>
      </c>
      <c r="R759" s="51" t="str">
        <f>IF($N$1="Piping", IF(ISBLANK(Piping!U759), "", Piping!U759), IF($N$1="Vessels", IF(ISBLANK(Vessels!U759), "", Vessels!U759), ""))</f>
        <v/>
      </c>
      <c r="S759" s="118" t="str">
        <f>IF(B759&lt;&gt;"",IF($N$1="Piping", IF(ISBLANK(Piping!$J$3), "", Piping!$J$3), IF($N$1="Vessels", IF(ISBLANK(Vessels!$J$3), "", Vessels!$J$3), "")),"")</f>
        <v/>
      </c>
      <c r="T759" s="37"/>
      <c r="U759" s="37"/>
      <c r="V759" s="37"/>
      <c r="W759" s="37"/>
      <c r="X759" s="37"/>
      <c r="Y759" s="37"/>
      <c r="Z759" s="37"/>
    </row>
    <row r="760" spans="1:26" ht="15.75" customHeight="1" x14ac:dyDescent="0.3">
      <c r="A760" s="22">
        <f>IF($N$1="Piping", IF(ISBLANK(Piping!A760), "", Piping!A760), IF($N$1="Vessels", IF(ISBLANK(Vessels!A760), "", Vessels!A760), ""))</f>
        <v>189.3</v>
      </c>
      <c r="B760" s="21" t="str">
        <f>IF($N$1="Piping", IF(ISBLANK(Piping!B760), "", Piping!B760), IF($N$1="Vessels", IF(ISBLANK(Vessels!B760), "", Vessels!B760), ""))</f>
        <v/>
      </c>
      <c r="C760" s="21" t="str">
        <f>IF($N$1="Piping", IF(ISBLANK(Piping!C760), "", Piping!C760), IF($N$1="Vessels", IF(ISBLANK(Vessels!C760), "", Vessels!C760), ""))</f>
        <v>Piping</v>
      </c>
      <c r="D760" s="21" t="str">
        <f>IF($N$1="Piping", IF(ISBLANK(Piping!D760), "", Piping!D760), IF($N$1="Vessels", IF(ISBLANK(Vessels!D760), "", Vessels!D760), ""))</f>
        <v/>
      </c>
      <c r="E760" s="21" t="str">
        <f>IF($N$1="Piping", IF(ISBLANK(Piping!E760), "", Piping!E760), IF($N$1="Vessels", IF(ISBLANK(Vessels!E760), "", Vessels!E760), ""))</f>
        <v/>
      </c>
      <c r="F760" s="21" t="str">
        <f>IF($N$1="Piping", IF(ISBLANK(Piping!F760), "", Piping!F760), IF($N$1="Vessels", IF(ISBLANK(Vessels!F760), "", Vessels!F760), ""))</f>
        <v/>
      </c>
      <c r="G760" s="21">
        <f>IF($N$1="Piping", IF(ISBLANK(Piping!G760), "", Piping!G760), IF($N$1="Vessels", IF(ISBLANK(Vessels!G760), "", Vessels!G760), ""))</f>
        <v>0</v>
      </c>
      <c r="H760" s="21" t="str">
        <f>IF($N$1="Piping", IF(ISBLANK(Piping!H760), "", Piping!H760), IF($N$1="Vessels", IF(ISBLANK(Vessels!H760), "", Vessels!H760), ""))</f>
        <v/>
      </c>
      <c r="I760" s="21" t="str">
        <f>IF($N$1="Piping", IF(ISBLANK(Piping!I760), "", Piping!I760), IF($N$1="Vessels", IF(ISBLANK(Vessels!I760), "", Vessels!I760), ""))</f>
        <v/>
      </c>
      <c r="J760" s="21" t="str">
        <f>IF($N$1="Piping", IF(ISBLANK(Piping!J760), "", Piping!J760), IF($N$1="Vessels", IF(ISBLANK(Vessels!J760), "", Vessels!J760), ""))</f>
        <v/>
      </c>
      <c r="K760" s="21" t="str">
        <f>IF($N$1="Piping", IF(ISBLANK(Piping!K760), "", Piping!K760), IF($N$1="Vessels", IF(ISBLANK(Vessels!K760), "", Vessels!K760), ""))</f>
        <v/>
      </c>
      <c r="L760" s="21" t="str">
        <f>IF($N$1="Piping", IF(ISBLANK(Piping!L760), "", Piping!L760), IF($N$1="Vessels", IF(ISBLANK(Vessels!L760), "", Vessels!L760), ""))</f>
        <v/>
      </c>
      <c r="M760" s="21"/>
      <c r="N760" s="21"/>
      <c r="O760" s="21"/>
      <c r="P760" s="21"/>
      <c r="Q760" s="21" t="str">
        <f>IF($N$1="Piping", IF(ISBLANK(Piping!T760), "", Piping!T760), IF($N$1="Vessels", IF(ISBLANK(Vessels!T760), "", Vessels!T760), ""))</f>
        <v/>
      </c>
      <c r="R760" s="51" t="str">
        <f>IF($N$1="Piping", IF(ISBLANK(Piping!U760), "", Piping!U760), IF($N$1="Vessels", IF(ISBLANK(Vessels!U760), "", Vessels!U760), ""))</f>
        <v/>
      </c>
      <c r="S760" s="118" t="str">
        <f>IF(B760&lt;&gt;"",IF($N$1="Piping", IF(ISBLANK(Piping!$J$3), "", Piping!$J$3), IF($N$1="Vessels", IF(ISBLANK(Vessels!$J$3), "", Vessels!$J$3), "")),"")</f>
        <v/>
      </c>
      <c r="T760" s="37"/>
      <c r="U760" s="37"/>
      <c r="V760" s="37"/>
      <c r="W760" s="37"/>
      <c r="X760" s="37"/>
      <c r="Y760" s="37"/>
      <c r="Z760" s="37"/>
    </row>
    <row r="761" spans="1:26" ht="15.75" customHeight="1" x14ac:dyDescent="0.3">
      <c r="A761" s="22">
        <f>IF($N$1="Piping", IF(ISBLANK(Piping!A761), "", Piping!A761), IF($N$1="Vessels", IF(ISBLANK(Vessels!A761), "", Vessels!A761), ""))</f>
        <v>189.4</v>
      </c>
      <c r="B761" s="21" t="str">
        <f>IF($N$1="Piping", IF(ISBLANK(Piping!B761), "", Piping!B761), IF($N$1="Vessels", IF(ISBLANK(Vessels!B761), "", Vessels!B761), ""))</f>
        <v/>
      </c>
      <c r="C761" s="21" t="str">
        <f>IF($N$1="Piping", IF(ISBLANK(Piping!C761), "", Piping!C761), IF($N$1="Vessels", IF(ISBLANK(Vessels!C761), "", Vessels!C761), ""))</f>
        <v>Piping</v>
      </c>
      <c r="D761" s="21" t="str">
        <f>IF($N$1="Piping", IF(ISBLANK(Piping!D761), "", Piping!D761), IF($N$1="Vessels", IF(ISBLANK(Vessels!D761), "", Vessels!D761), ""))</f>
        <v/>
      </c>
      <c r="E761" s="21" t="str">
        <f>IF($N$1="Piping", IF(ISBLANK(Piping!E761), "", Piping!E761), IF($N$1="Vessels", IF(ISBLANK(Vessels!E761), "", Vessels!E761), ""))</f>
        <v/>
      </c>
      <c r="F761" s="21" t="str">
        <f>IF($N$1="Piping", IF(ISBLANK(Piping!F761), "", Piping!F761), IF($N$1="Vessels", IF(ISBLANK(Vessels!F761), "", Vessels!F761), ""))</f>
        <v/>
      </c>
      <c r="G761" s="21">
        <f>IF($N$1="Piping", IF(ISBLANK(Piping!G761), "", Piping!G761), IF($N$1="Vessels", IF(ISBLANK(Vessels!G761), "", Vessels!G761), ""))</f>
        <v>0</v>
      </c>
      <c r="H761" s="21" t="str">
        <f>IF($N$1="Piping", IF(ISBLANK(Piping!H761), "", Piping!H761), IF($N$1="Vessels", IF(ISBLANK(Vessels!H761), "", Vessels!H761), ""))</f>
        <v/>
      </c>
      <c r="I761" s="21" t="str">
        <f>IF($N$1="Piping", IF(ISBLANK(Piping!I761), "", Piping!I761), IF($N$1="Vessels", IF(ISBLANK(Vessels!I761), "", Vessels!I761), ""))</f>
        <v/>
      </c>
      <c r="J761" s="21" t="str">
        <f>IF($N$1="Piping", IF(ISBLANK(Piping!J761), "", Piping!J761), IF($N$1="Vessels", IF(ISBLANK(Vessels!J761), "", Vessels!J761), ""))</f>
        <v/>
      </c>
      <c r="K761" s="21" t="str">
        <f>IF($N$1="Piping", IF(ISBLANK(Piping!K761), "", Piping!K761), IF($N$1="Vessels", IF(ISBLANK(Vessels!K761), "", Vessels!K761), ""))</f>
        <v/>
      </c>
      <c r="L761" s="21" t="str">
        <f>IF($N$1="Piping", IF(ISBLANK(Piping!L761), "", Piping!L761), IF($N$1="Vessels", IF(ISBLANK(Vessels!L761), "", Vessels!L761), ""))</f>
        <v/>
      </c>
      <c r="M761" s="21"/>
      <c r="N761" s="21"/>
      <c r="O761" s="21"/>
      <c r="P761" s="21"/>
      <c r="Q761" s="21" t="str">
        <f>IF($N$1="Piping", IF(ISBLANK(Piping!T761), "", Piping!T761), IF($N$1="Vessels", IF(ISBLANK(Vessels!T761), "", Vessels!T761), ""))</f>
        <v/>
      </c>
      <c r="R761" s="51" t="str">
        <f>IF($N$1="Piping", IF(ISBLANK(Piping!U761), "", Piping!U761), IF($N$1="Vessels", IF(ISBLANK(Vessels!U761), "", Vessels!U761), ""))</f>
        <v/>
      </c>
      <c r="S761" s="118" t="str">
        <f>IF(B761&lt;&gt;"",IF($N$1="Piping", IF(ISBLANK(Piping!$J$3), "", Piping!$J$3), IF($N$1="Vessels", IF(ISBLANK(Vessels!$J$3), "", Vessels!$J$3), "")),"")</f>
        <v/>
      </c>
      <c r="T761" s="37"/>
      <c r="U761" s="37"/>
      <c r="V761" s="37"/>
      <c r="W761" s="37"/>
      <c r="X761" s="37"/>
      <c r="Y761" s="37"/>
      <c r="Z761" s="37"/>
    </row>
    <row r="762" spans="1:26" ht="15.75" customHeight="1" x14ac:dyDescent="0.3">
      <c r="A762" s="22">
        <f>IF($N$1="Piping", IF(ISBLANK(Piping!A762), "", Piping!A762), IF($N$1="Vessels", IF(ISBLANK(Vessels!A762), "", Vessels!A762), ""))</f>
        <v>190.1</v>
      </c>
      <c r="B762" s="21" t="str">
        <f>IF($N$1="Piping", IF(ISBLANK(Piping!B762), "", Piping!B762), IF($N$1="Vessels", IF(ISBLANK(Vessels!B762), "", Vessels!B762), ""))</f>
        <v/>
      </c>
      <c r="C762" s="21" t="str">
        <f>IF($N$1="Piping", IF(ISBLANK(Piping!C762), "", Piping!C762), IF($N$1="Vessels", IF(ISBLANK(Vessels!C762), "", Vessels!C762), ""))</f>
        <v>Piping</v>
      </c>
      <c r="D762" s="21" t="str">
        <f>IF($N$1="Piping", IF(ISBLANK(Piping!D762), "", Piping!D762), IF($N$1="Vessels", IF(ISBLANK(Vessels!D762), "", Vessels!D762), ""))</f>
        <v/>
      </c>
      <c r="E762" s="21" t="str">
        <f>IF($N$1="Piping", IF(ISBLANK(Piping!E762), "", Piping!E762), IF($N$1="Vessels", IF(ISBLANK(Vessels!E762), "", Vessels!E762), ""))</f>
        <v/>
      </c>
      <c r="F762" s="21" t="str">
        <f>IF($N$1="Piping", IF(ISBLANK(Piping!F762), "", Piping!F762), IF($N$1="Vessels", IF(ISBLANK(Vessels!F762), "", Vessels!F762), ""))</f>
        <v/>
      </c>
      <c r="G762" s="21">
        <f>IF($N$1="Piping", IF(ISBLANK(Piping!G762), "", Piping!G762), IF($N$1="Vessels", IF(ISBLANK(Vessels!G762), "", Vessels!G762), ""))</f>
        <v>0</v>
      </c>
      <c r="H762" s="21" t="str">
        <f>IF($N$1="Piping", IF(ISBLANK(Piping!H762), "", Piping!H762), IF($N$1="Vessels", IF(ISBLANK(Vessels!H762), "", Vessels!H762), ""))</f>
        <v/>
      </c>
      <c r="I762" s="21" t="str">
        <f>IF($N$1="Piping", IF(ISBLANK(Piping!I762), "", Piping!I762), IF($N$1="Vessels", IF(ISBLANK(Vessels!I762), "", Vessels!I762), ""))</f>
        <v/>
      </c>
      <c r="J762" s="21" t="str">
        <f>IF($N$1="Piping", IF(ISBLANK(Piping!J762), "", Piping!J762), IF($N$1="Vessels", IF(ISBLANK(Vessels!J762), "", Vessels!J762), ""))</f>
        <v/>
      </c>
      <c r="K762" s="21" t="str">
        <f>IF($N$1="Piping", IF(ISBLANK(Piping!K762), "", Piping!K762), IF($N$1="Vessels", IF(ISBLANK(Vessels!K762), "", Vessels!K762), ""))</f>
        <v/>
      </c>
      <c r="L762" s="21" t="str">
        <f>IF($N$1="Piping", IF(ISBLANK(Piping!L762), "", Piping!L762), IF($N$1="Vessels", IF(ISBLANK(Vessels!L762), "", Vessels!L762), ""))</f>
        <v/>
      </c>
      <c r="M762" s="21"/>
      <c r="N762" s="21"/>
      <c r="O762" s="21"/>
      <c r="P762" s="21"/>
      <c r="Q762" s="21" t="str">
        <f>IF($N$1="Piping", IF(ISBLANK(Piping!T762), "", Piping!T762), IF($N$1="Vessels", IF(ISBLANK(Vessels!T762), "", Vessels!T762), ""))</f>
        <v/>
      </c>
      <c r="R762" s="51" t="str">
        <f>IF($N$1="Piping", IF(ISBLANK(Piping!U762), "", Piping!U762), IF($N$1="Vessels", IF(ISBLANK(Vessels!U762), "", Vessels!U762), ""))</f>
        <v/>
      </c>
      <c r="S762" s="118" t="str">
        <f>IF(B762&lt;&gt;"",IF($N$1="Piping", IF(ISBLANK(Piping!$J$3), "", Piping!$J$3), IF($N$1="Vessels", IF(ISBLANK(Vessels!$J$3), "", Vessels!$J$3), "")),"")</f>
        <v/>
      </c>
      <c r="T762" s="37"/>
      <c r="U762" s="37"/>
      <c r="V762" s="37"/>
      <c r="W762" s="37"/>
      <c r="X762" s="37"/>
      <c r="Y762" s="37"/>
      <c r="Z762" s="37"/>
    </row>
    <row r="763" spans="1:26" ht="15.75" customHeight="1" x14ac:dyDescent="0.3">
      <c r="A763" s="22">
        <f>IF($N$1="Piping", IF(ISBLANK(Piping!A763), "", Piping!A763), IF($N$1="Vessels", IF(ISBLANK(Vessels!A763), "", Vessels!A763), ""))</f>
        <v>190.2</v>
      </c>
      <c r="B763" s="21" t="str">
        <f>IF($N$1="Piping", IF(ISBLANK(Piping!B763), "", Piping!B763), IF($N$1="Vessels", IF(ISBLANK(Vessels!B763), "", Vessels!B763), ""))</f>
        <v/>
      </c>
      <c r="C763" s="21" t="str">
        <f>IF($N$1="Piping", IF(ISBLANK(Piping!C763), "", Piping!C763), IF($N$1="Vessels", IF(ISBLANK(Vessels!C763), "", Vessels!C763), ""))</f>
        <v>Piping</v>
      </c>
      <c r="D763" s="21" t="str">
        <f>IF($N$1="Piping", IF(ISBLANK(Piping!D763), "", Piping!D763), IF($N$1="Vessels", IF(ISBLANK(Vessels!D763), "", Vessels!D763), ""))</f>
        <v/>
      </c>
      <c r="E763" s="21" t="str">
        <f>IF($N$1="Piping", IF(ISBLANK(Piping!E763), "", Piping!E763), IF($N$1="Vessels", IF(ISBLANK(Vessels!E763), "", Vessels!E763), ""))</f>
        <v/>
      </c>
      <c r="F763" s="21" t="str">
        <f>IF($N$1="Piping", IF(ISBLANK(Piping!F763), "", Piping!F763), IF($N$1="Vessels", IF(ISBLANK(Vessels!F763), "", Vessels!F763), ""))</f>
        <v/>
      </c>
      <c r="G763" s="21">
        <f>IF($N$1="Piping", IF(ISBLANK(Piping!G763), "", Piping!G763), IF($N$1="Vessels", IF(ISBLANK(Vessels!G763), "", Vessels!G763), ""))</f>
        <v>0</v>
      </c>
      <c r="H763" s="21" t="str">
        <f>IF($N$1="Piping", IF(ISBLANK(Piping!H763), "", Piping!H763), IF($N$1="Vessels", IF(ISBLANK(Vessels!H763), "", Vessels!H763), ""))</f>
        <v/>
      </c>
      <c r="I763" s="21" t="str">
        <f>IF($N$1="Piping", IF(ISBLANK(Piping!I763), "", Piping!I763), IF($N$1="Vessels", IF(ISBLANK(Vessels!I763), "", Vessels!I763), ""))</f>
        <v/>
      </c>
      <c r="J763" s="21" t="str">
        <f>IF($N$1="Piping", IF(ISBLANK(Piping!J763), "", Piping!J763), IF($N$1="Vessels", IF(ISBLANK(Vessels!J763), "", Vessels!J763), ""))</f>
        <v/>
      </c>
      <c r="K763" s="21" t="str">
        <f>IF($N$1="Piping", IF(ISBLANK(Piping!K763), "", Piping!K763), IF($N$1="Vessels", IF(ISBLANK(Vessels!K763), "", Vessels!K763), ""))</f>
        <v/>
      </c>
      <c r="L763" s="21" t="str">
        <f>IF($N$1="Piping", IF(ISBLANK(Piping!L763), "", Piping!L763), IF($N$1="Vessels", IF(ISBLANK(Vessels!L763), "", Vessels!L763), ""))</f>
        <v/>
      </c>
      <c r="M763" s="21"/>
      <c r="N763" s="21"/>
      <c r="O763" s="21"/>
      <c r="P763" s="21"/>
      <c r="Q763" s="21" t="str">
        <f>IF($N$1="Piping", IF(ISBLANK(Piping!T763), "", Piping!T763), IF($N$1="Vessels", IF(ISBLANK(Vessels!T763), "", Vessels!T763), ""))</f>
        <v/>
      </c>
      <c r="R763" s="51" t="str">
        <f>IF($N$1="Piping", IF(ISBLANK(Piping!U763), "", Piping!U763), IF($N$1="Vessels", IF(ISBLANK(Vessels!U763), "", Vessels!U763), ""))</f>
        <v/>
      </c>
      <c r="S763" s="118" t="str">
        <f>IF(B763&lt;&gt;"",IF($N$1="Piping", IF(ISBLANK(Piping!$J$3), "", Piping!$J$3), IF($N$1="Vessels", IF(ISBLANK(Vessels!$J$3), "", Vessels!$J$3), "")),"")</f>
        <v/>
      </c>
      <c r="T763" s="37"/>
      <c r="U763" s="37"/>
      <c r="V763" s="37"/>
      <c r="W763" s="37"/>
      <c r="X763" s="37"/>
      <c r="Y763" s="37"/>
      <c r="Z763" s="37"/>
    </row>
    <row r="764" spans="1:26" ht="15.75" customHeight="1" x14ac:dyDescent="0.3">
      <c r="A764" s="22">
        <f>IF($N$1="Piping", IF(ISBLANK(Piping!A764), "", Piping!A764), IF($N$1="Vessels", IF(ISBLANK(Vessels!A764), "", Vessels!A764), ""))</f>
        <v>190.3</v>
      </c>
      <c r="B764" s="21" t="str">
        <f>IF($N$1="Piping", IF(ISBLANK(Piping!B764), "", Piping!B764), IF($N$1="Vessels", IF(ISBLANK(Vessels!B764), "", Vessels!B764), ""))</f>
        <v/>
      </c>
      <c r="C764" s="21" t="str">
        <f>IF($N$1="Piping", IF(ISBLANK(Piping!C764), "", Piping!C764), IF($N$1="Vessels", IF(ISBLANK(Vessels!C764), "", Vessels!C764), ""))</f>
        <v>Piping</v>
      </c>
      <c r="D764" s="21" t="str">
        <f>IF($N$1="Piping", IF(ISBLANK(Piping!D764), "", Piping!D764), IF($N$1="Vessels", IF(ISBLANK(Vessels!D764), "", Vessels!D764), ""))</f>
        <v/>
      </c>
      <c r="E764" s="21" t="str">
        <f>IF($N$1="Piping", IF(ISBLANK(Piping!E764), "", Piping!E764), IF($N$1="Vessels", IF(ISBLANK(Vessels!E764), "", Vessels!E764), ""))</f>
        <v/>
      </c>
      <c r="F764" s="21" t="str">
        <f>IF($N$1="Piping", IF(ISBLANK(Piping!F764), "", Piping!F764), IF($N$1="Vessels", IF(ISBLANK(Vessels!F764), "", Vessels!F764), ""))</f>
        <v/>
      </c>
      <c r="G764" s="21">
        <f>IF($N$1="Piping", IF(ISBLANK(Piping!G764), "", Piping!G764), IF($N$1="Vessels", IF(ISBLANK(Vessels!G764), "", Vessels!G764), ""))</f>
        <v>0</v>
      </c>
      <c r="H764" s="21" t="str">
        <f>IF($N$1="Piping", IF(ISBLANK(Piping!H764), "", Piping!H764), IF($N$1="Vessels", IF(ISBLANK(Vessels!H764), "", Vessels!H764), ""))</f>
        <v/>
      </c>
      <c r="I764" s="21" t="str">
        <f>IF($N$1="Piping", IF(ISBLANK(Piping!I764), "", Piping!I764), IF($N$1="Vessels", IF(ISBLANK(Vessels!I764), "", Vessels!I764), ""))</f>
        <v/>
      </c>
      <c r="J764" s="21" t="str">
        <f>IF($N$1="Piping", IF(ISBLANK(Piping!J764), "", Piping!J764), IF($N$1="Vessels", IF(ISBLANK(Vessels!J764), "", Vessels!J764), ""))</f>
        <v/>
      </c>
      <c r="K764" s="21" t="str">
        <f>IF($N$1="Piping", IF(ISBLANK(Piping!K764), "", Piping!K764), IF($N$1="Vessels", IF(ISBLANK(Vessels!K764), "", Vessels!K764), ""))</f>
        <v/>
      </c>
      <c r="L764" s="21" t="str">
        <f>IF($N$1="Piping", IF(ISBLANK(Piping!L764), "", Piping!L764), IF($N$1="Vessels", IF(ISBLANK(Vessels!L764), "", Vessels!L764), ""))</f>
        <v/>
      </c>
      <c r="M764" s="21"/>
      <c r="N764" s="21"/>
      <c r="O764" s="21"/>
      <c r="P764" s="21"/>
      <c r="Q764" s="21" t="str">
        <f>IF($N$1="Piping", IF(ISBLANK(Piping!T764), "", Piping!T764), IF($N$1="Vessels", IF(ISBLANK(Vessels!T764), "", Vessels!T764), ""))</f>
        <v/>
      </c>
      <c r="R764" s="51" t="str">
        <f>IF($N$1="Piping", IF(ISBLANK(Piping!U764), "", Piping!U764), IF($N$1="Vessels", IF(ISBLANK(Vessels!U764), "", Vessels!U764), ""))</f>
        <v/>
      </c>
      <c r="S764" s="118" t="str">
        <f>IF(B764&lt;&gt;"",IF($N$1="Piping", IF(ISBLANK(Piping!$J$3), "", Piping!$J$3), IF($N$1="Vessels", IF(ISBLANK(Vessels!$J$3), "", Vessels!$J$3), "")),"")</f>
        <v/>
      </c>
      <c r="T764" s="37"/>
      <c r="U764" s="37"/>
      <c r="V764" s="37"/>
      <c r="W764" s="37"/>
      <c r="X764" s="37"/>
      <c r="Y764" s="37"/>
      <c r="Z764" s="37"/>
    </row>
    <row r="765" spans="1:26" ht="15.75" customHeight="1" x14ac:dyDescent="0.3">
      <c r="A765" s="22">
        <f>IF($N$1="Piping", IF(ISBLANK(Piping!A765), "", Piping!A765), IF($N$1="Vessels", IF(ISBLANK(Vessels!A765), "", Vessels!A765), ""))</f>
        <v>190.4</v>
      </c>
      <c r="B765" s="21" t="str">
        <f>IF($N$1="Piping", IF(ISBLANK(Piping!B765), "", Piping!B765), IF($N$1="Vessels", IF(ISBLANK(Vessels!B765), "", Vessels!B765), ""))</f>
        <v/>
      </c>
      <c r="C765" s="21" t="str">
        <f>IF($N$1="Piping", IF(ISBLANK(Piping!C765), "", Piping!C765), IF($N$1="Vessels", IF(ISBLANK(Vessels!C765), "", Vessels!C765), ""))</f>
        <v>Piping</v>
      </c>
      <c r="D765" s="21" t="str">
        <f>IF($N$1="Piping", IF(ISBLANK(Piping!D765), "", Piping!D765), IF($N$1="Vessels", IF(ISBLANK(Vessels!D765), "", Vessels!D765), ""))</f>
        <v/>
      </c>
      <c r="E765" s="21" t="str">
        <f>IF($N$1="Piping", IF(ISBLANK(Piping!E765), "", Piping!E765), IF($N$1="Vessels", IF(ISBLANK(Vessels!E765), "", Vessels!E765), ""))</f>
        <v/>
      </c>
      <c r="F765" s="21" t="str">
        <f>IF($N$1="Piping", IF(ISBLANK(Piping!F765), "", Piping!F765), IF($N$1="Vessels", IF(ISBLANK(Vessels!F765), "", Vessels!F765), ""))</f>
        <v/>
      </c>
      <c r="G765" s="21">
        <f>IF($N$1="Piping", IF(ISBLANK(Piping!G765), "", Piping!G765), IF($N$1="Vessels", IF(ISBLANK(Vessels!G765), "", Vessels!G765), ""))</f>
        <v>0</v>
      </c>
      <c r="H765" s="21" t="str">
        <f>IF($N$1="Piping", IF(ISBLANK(Piping!H765), "", Piping!H765), IF($N$1="Vessels", IF(ISBLANK(Vessels!H765), "", Vessels!H765), ""))</f>
        <v/>
      </c>
      <c r="I765" s="21" t="str">
        <f>IF($N$1="Piping", IF(ISBLANK(Piping!I765), "", Piping!I765), IF($N$1="Vessels", IF(ISBLANK(Vessels!I765), "", Vessels!I765), ""))</f>
        <v/>
      </c>
      <c r="J765" s="21" t="str">
        <f>IF($N$1="Piping", IF(ISBLANK(Piping!J765), "", Piping!J765), IF($N$1="Vessels", IF(ISBLANK(Vessels!J765), "", Vessels!J765), ""))</f>
        <v/>
      </c>
      <c r="K765" s="21" t="str">
        <f>IF($N$1="Piping", IF(ISBLANK(Piping!K765), "", Piping!K765), IF($N$1="Vessels", IF(ISBLANK(Vessels!K765), "", Vessels!K765), ""))</f>
        <v/>
      </c>
      <c r="L765" s="21" t="str">
        <f>IF($N$1="Piping", IF(ISBLANK(Piping!L765), "", Piping!L765), IF($N$1="Vessels", IF(ISBLANK(Vessels!L765), "", Vessels!L765), ""))</f>
        <v/>
      </c>
      <c r="M765" s="21"/>
      <c r="N765" s="21"/>
      <c r="O765" s="21"/>
      <c r="P765" s="21"/>
      <c r="Q765" s="21" t="str">
        <f>IF($N$1="Piping", IF(ISBLANK(Piping!T765), "", Piping!T765), IF($N$1="Vessels", IF(ISBLANK(Vessels!T765), "", Vessels!T765), ""))</f>
        <v/>
      </c>
      <c r="R765" s="51" t="str">
        <f>IF($N$1="Piping", IF(ISBLANK(Piping!U765), "", Piping!U765), IF($N$1="Vessels", IF(ISBLANK(Vessels!U765), "", Vessels!U765), ""))</f>
        <v/>
      </c>
      <c r="S765" s="118" t="str">
        <f>IF(B765&lt;&gt;"",IF($N$1="Piping", IF(ISBLANK(Piping!$J$3), "", Piping!$J$3), IF($N$1="Vessels", IF(ISBLANK(Vessels!$J$3), "", Vessels!$J$3), "")),"")</f>
        <v/>
      </c>
      <c r="T765" s="37"/>
      <c r="U765" s="37"/>
      <c r="V765" s="37"/>
      <c r="W765" s="37"/>
      <c r="X765" s="37"/>
      <c r="Y765" s="37"/>
      <c r="Z765" s="37"/>
    </row>
    <row r="766" spans="1:26" ht="15.75" customHeight="1" x14ac:dyDescent="0.3">
      <c r="A766" s="22">
        <f>IF($N$1="Piping", IF(ISBLANK(Piping!A766), "", Piping!A766), IF($N$1="Vessels", IF(ISBLANK(Vessels!A766), "", Vessels!A766), ""))</f>
        <v>191.1</v>
      </c>
      <c r="B766" s="21" t="str">
        <f>IF($N$1="Piping", IF(ISBLANK(Piping!B766), "", Piping!B766), IF($N$1="Vessels", IF(ISBLANK(Vessels!B766), "", Vessels!B766), ""))</f>
        <v/>
      </c>
      <c r="C766" s="21" t="str">
        <f>IF($N$1="Piping", IF(ISBLANK(Piping!C766), "", Piping!C766), IF($N$1="Vessels", IF(ISBLANK(Vessels!C766), "", Vessels!C766), ""))</f>
        <v>Piping</v>
      </c>
      <c r="D766" s="21" t="str">
        <f>IF($N$1="Piping", IF(ISBLANK(Piping!D766), "", Piping!D766), IF($N$1="Vessels", IF(ISBLANK(Vessels!D766), "", Vessels!D766), ""))</f>
        <v/>
      </c>
      <c r="E766" s="21" t="str">
        <f>IF($N$1="Piping", IF(ISBLANK(Piping!E766), "", Piping!E766), IF($N$1="Vessels", IF(ISBLANK(Vessels!E766), "", Vessels!E766), ""))</f>
        <v/>
      </c>
      <c r="F766" s="21" t="str">
        <f>IF($N$1="Piping", IF(ISBLANK(Piping!F766), "", Piping!F766), IF($N$1="Vessels", IF(ISBLANK(Vessels!F766), "", Vessels!F766), ""))</f>
        <v/>
      </c>
      <c r="G766" s="21">
        <f>IF($N$1="Piping", IF(ISBLANK(Piping!G766), "", Piping!G766), IF($N$1="Vessels", IF(ISBLANK(Vessels!G766), "", Vessels!G766), ""))</f>
        <v>0</v>
      </c>
      <c r="H766" s="21" t="str">
        <f>IF($N$1="Piping", IF(ISBLANK(Piping!H766), "", Piping!H766), IF($N$1="Vessels", IF(ISBLANK(Vessels!H766), "", Vessels!H766), ""))</f>
        <v/>
      </c>
      <c r="I766" s="21" t="str">
        <f>IF($N$1="Piping", IF(ISBLANK(Piping!I766), "", Piping!I766), IF($N$1="Vessels", IF(ISBLANK(Vessels!I766), "", Vessels!I766), ""))</f>
        <v/>
      </c>
      <c r="J766" s="21" t="str">
        <f>IF($N$1="Piping", IF(ISBLANK(Piping!J766), "", Piping!J766), IF($N$1="Vessels", IF(ISBLANK(Vessels!J766), "", Vessels!J766), ""))</f>
        <v/>
      </c>
      <c r="K766" s="21" t="str">
        <f>IF($N$1="Piping", IF(ISBLANK(Piping!K766), "", Piping!K766), IF($N$1="Vessels", IF(ISBLANK(Vessels!K766), "", Vessels!K766), ""))</f>
        <v/>
      </c>
      <c r="L766" s="21" t="str">
        <f>IF($N$1="Piping", IF(ISBLANK(Piping!L766), "", Piping!L766), IF($N$1="Vessels", IF(ISBLANK(Vessels!L766), "", Vessels!L766), ""))</f>
        <v/>
      </c>
      <c r="M766" s="21"/>
      <c r="N766" s="21"/>
      <c r="O766" s="21"/>
      <c r="P766" s="21"/>
      <c r="Q766" s="21" t="str">
        <f>IF($N$1="Piping", IF(ISBLANK(Piping!T766), "", Piping!T766), IF($N$1="Vessels", IF(ISBLANK(Vessels!T766), "", Vessels!T766), ""))</f>
        <v/>
      </c>
      <c r="R766" s="51" t="str">
        <f>IF($N$1="Piping", IF(ISBLANK(Piping!U766), "", Piping!U766), IF($N$1="Vessels", IF(ISBLANK(Vessels!U766), "", Vessels!U766), ""))</f>
        <v/>
      </c>
      <c r="S766" s="118" t="str">
        <f>IF(B766&lt;&gt;"",IF($N$1="Piping", IF(ISBLANK(Piping!$J$3), "", Piping!$J$3), IF($N$1="Vessels", IF(ISBLANK(Vessels!$J$3), "", Vessels!$J$3), "")),"")</f>
        <v/>
      </c>
      <c r="T766" s="37"/>
      <c r="U766" s="37"/>
      <c r="V766" s="37"/>
      <c r="W766" s="37"/>
      <c r="X766" s="37"/>
      <c r="Y766" s="37"/>
      <c r="Z766" s="37"/>
    </row>
    <row r="767" spans="1:26" ht="15.75" customHeight="1" x14ac:dyDescent="0.3">
      <c r="A767" s="22">
        <f>IF($N$1="Piping", IF(ISBLANK(Piping!A767), "", Piping!A767), IF($N$1="Vessels", IF(ISBLANK(Vessels!A767), "", Vessels!A767), ""))</f>
        <v>191.2</v>
      </c>
      <c r="B767" s="21" t="str">
        <f>IF($N$1="Piping", IF(ISBLANK(Piping!B767), "", Piping!B767), IF($N$1="Vessels", IF(ISBLANK(Vessels!B767), "", Vessels!B767), ""))</f>
        <v/>
      </c>
      <c r="C767" s="21" t="str">
        <f>IF($N$1="Piping", IF(ISBLANK(Piping!C767), "", Piping!C767), IF($N$1="Vessels", IF(ISBLANK(Vessels!C767), "", Vessels!C767), ""))</f>
        <v>Piping</v>
      </c>
      <c r="D767" s="21" t="str">
        <f>IF($N$1="Piping", IF(ISBLANK(Piping!D767), "", Piping!D767), IF($N$1="Vessels", IF(ISBLANK(Vessels!D767), "", Vessels!D767), ""))</f>
        <v/>
      </c>
      <c r="E767" s="21" t="str">
        <f>IF($N$1="Piping", IF(ISBLANK(Piping!E767), "", Piping!E767), IF($N$1="Vessels", IF(ISBLANK(Vessels!E767), "", Vessels!E767), ""))</f>
        <v/>
      </c>
      <c r="F767" s="21" t="str">
        <f>IF($N$1="Piping", IF(ISBLANK(Piping!F767), "", Piping!F767), IF($N$1="Vessels", IF(ISBLANK(Vessels!F767), "", Vessels!F767), ""))</f>
        <v/>
      </c>
      <c r="G767" s="21">
        <f>IF($N$1="Piping", IF(ISBLANK(Piping!G767), "", Piping!G767), IF($N$1="Vessels", IF(ISBLANK(Vessels!G767), "", Vessels!G767), ""))</f>
        <v>0</v>
      </c>
      <c r="H767" s="21" t="str">
        <f>IF($N$1="Piping", IF(ISBLANK(Piping!H767), "", Piping!H767), IF($N$1="Vessels", IF(ISBLANK(Vessels!H767), "", Vessels!H767), ""))</f>
        <v/>
      </c>
      <c r="I767" s="21" t="str">
        <f>IF($N$1="Piping", IF(ISBLANK(Piping!I767), "", Piping!I767), IF($N$1="Vessels", IF(ISBLANK(Vessels!I767), "", Vessels!I767), ""))</f>
        <v/>
      </c>
      <c r="J767" s="21" t="str">
        <f>IF($N$1="Piping", IF(ISBLANK(Piping!J767), "", Piping!J767), IF($N$1="Vessels", IF(ISBLANK(Vessels!J767), "", Vessels!J767), ""))</f>
        <v/>
      </c>
      <c r="K767" s="21" t="str">
        <f>IF($N$1="Piping", IF(ISBLANK(Piping!K767), "", Piping!K767), IF($N$1="Vessels", IF(ISBLANK(Vessels!K767), "", Vessels!K767), ""))</f>
        <v/>
      </c>
      <c r="L767" s="21" t="str">
        <f>IF($N$1="Piping", IF(ISBLANK(Piping!L767), "", Piping!L767), IF($N$1="Vessels", IF(ISBLANK(Vessels!L767), "", Vessels!L767), ""))</f>
        <v/>
      </c>
      <c r="M767" s="21"/>
      <c r="N767" s="21"/>
      <c r="O767" s="21"/>
      <c r="P767" s="21"/>
      <c r="Q767" s="21" t="str">
        <f>IF($N$1="Piping", IF(ISBLANK(Piping!T767), "", Piping!T767), IF($N$1="Vessels", IF(ISBLANK(Vessels!T767), "", Vessels!T767), ""))</f>
        <v/>
      </c>
      <c r="R767" s="51" t="str">
        <f>IF($N$1="Piping", IF(ISBLANK(Piping!U767), "", Piping!U767), IF($N$1="Vessels", IF(ISBLANK(Vessels!U767), "", Vessels!U767), ""))</f>
        <v/>
      </c>
      <c r="S767" s="118" t="str">
        <f>IF(B767&lt;&gt;"",IF($N$1="Piping", IF(ISBLANK(Piping!$J$3), "", Piping!$J$3), IF($N$1="Vessels", IF(ISBLANK(Vessels!$J$3), "", Vessels!$J$3), "")),"")</f>
        <v/>
      </c>
      <c r="T767" s="37"/>
      <c r="U767" s="37"/>
      <c r="V767" s="37"/>
      <c r="W767" s="37"/>
      <c r="X767" s="37"/>
      <c r="Y767" s="37"/>
      <c r="Z767" s="37"/>
    </row>
    <row r="768" spans="1:26" ht="15.75" customHeight="1" x14ac:dyDescent="0.3">
      <c r="A768" s="22">
        <f>IF($N$1="Piping", IF(ISBLANK(Piping!A768), "", Piping!A768), IF($N$1="Vessels", IF(ISBLANK(Vessels!A768), "", Vessels!A768), ""))</f>
        <v>191.3</v>
      </c>
      <c r="B768" s="21" t="str">
        <f>IF($N$1="Piping", IF(ISBLANK(Piping!B768), "", Piping!B768), IF($N$1="Vessels", IF(ISBLANK(Vessels!B768), "", Vessels!B768), ""))</f>
        <v/>
      </c>
      <c r="C768" s="21" t="str">
        <f>IF($N$1="Piping", IF(ISBLANK(Piping!C768), "", Piping!C768), IF($N$1="Vessels", IF(ISBLANK(Vessels!C768), "", Vessels!C768), ""))</f>
        <v>Piping</v>
      </c>
      <c r="D768" s="21" t="str">
        <f>IF($N$1="Piping", IF(ISBLANK(Piping!D768), "", Piping!D768), IF($N$1="Vessels", IF(ISBLANK(Vessels!D768), "", Vessels!D768), ""))</f>
        <v/>
      </c>
      <c r="E768" s="21" t="str">
        <f>IF($N$1="Piping", IF(ISBLANK(Piping!E768), "", Piping!E768), IF($N$1="Vessels", IF(ISBLANK(Vessels!E768), "", Vessels!E768), ""))</f>
        <v/>
      </c>
      <c r="F768" s="21" t="str">
        <f>IF($N$1="Piping", IF(ISBLANK(Piping!F768), "", Piping!F768), IF($N$1="Vessels", IF(ISBLANK(Vessels!F768), "", Vessels!F768), ""))</f>
        <v/>
      </c>
      <c r="G768" s="21">
        <f>IF($N$1="Piping", IF(ISBLANK(Piping!G768), "", Piping!G768), IF($N$1="Vessels", IF(ISBLANK(Vessels!G768), "", Vessels!G768), ""))</f>
        <v>0</v>
      </c>
      <c r="H768" s="21" t="str">
        <f>IF($N$1="Piping", IF(ISBLANK(Piping!H768), "", Piping!H768), IF($N$1="Vessels", IF(ISBLANK(Vessels!H768), "", Vessels!H768), ""))</f>
        <v/>
      </c>
      <c r="I768" s="21" t="str">
        <f>IF($N$1="Piping", IF(ISBLANK(Piping!I768), "", Piping!I768), IF($N$1="Vessels", IF(ISBLANK(Vessels!I768), "", Vessels!I768), ""))</f>
        <v/>
      </c>
      <c r="J768" s="21" t="str">
        <f>IF($N$1="Piping", IF(ISBLANK(Piping!J768), "", Piping!J768), IF($N$1="Vessels", IF(ISBLANK(Vessels!J768), "", Vessels!J768), ""))</f>
        <v/>
      </c>
      <c r="K768" s="21" t="str">
        <f>IF($N$1="Piping", IF(ISBLANK(Piping!K768), "", Piping!K768), IF($N$1="Vessels", IF(ISBLANK(Vessels!K768), "", Vessels!K768), ""))</f>
        <v/>
      </c>
      <c r="L768" s="21" t="str">
        <f>IF($N$1="Piping", IF(ISBLANK(Piping!L768), "", Piping!L768), IF($N$1="Vessels", IF(ISBLANK(Vessels!L768), "", Vessels!L768), ""))</f>
        <v/>
      </c>
      <c r="M768" s="21"/>
      <c r="N768" s="21"/>
      <c r="O768" s="21"/>
      <c r="P768" s="21"/>
      <c r="Q768" s="21" t="str">
        <f>IF($N$1="Piping", IF(ISBLANK(Piping!T768), "", Piping!T768), IF($N$1="Vessels", IF(ISBLANK(Vessels!T768), "", Vessels!T768), ""))</f>
        <v/>
      </c>
      <c r="R768" s="51" t="str">
        <f>IF($N$1="Piping", IF(ISBLANK(Piping!U768), "", Piping!U768), IF($N$1="Vessels", IF(ISBLANK(Vessels!U768), "", Vessels!U768), ""))</f>
        <v/>
      </c>
      <c r="S768" s="118" t="str">
        <f>IF(B768&lt;&gt;"",IF($N$1="Piping", IF(ISBLANK(Piping!$J$3), "", Piping!$J$3), IF($N$1="Vessels", IF(ISBLANK(Vessels!$J$3), "", Vessels!$J$3), "")),"")</f>
        <v/>
      </c>
      <c r="T768" s="37"/>
      <c r="U768" s="37"/>
      <c r="V768" s="37"/>
      <c r="W768" s="37"/>
      <c r="X768" s="37"/>
      <c r="Y768" s="37"/>
      <c r="Z768" s="37"/>
    </row>
    <row r="769" spans="1:26" ht="15.75" customHeight="1" x14ac:dyDescent="0.3">
      <c r="A769" s="22">
        <f>IF($N$1="Piping", IF(ISBLANK(Piping!A769), "", Piping!A769), IF($N$1="Vessels", IF(ISBLANK(Vessels!A769), "", Vessels!A769), ""))</f>
        <v>191.4</v>
      </c>
      <c r="B769" s="21" t="str">
        <f>IF($N$1="Piping", IF(ISBLANK(Piping!B769), "", Piping!B769), IF($N$1="Vessels", IF(ISBLANK(Vessels!B769), "", Vessels!B769), ""))</f>
        <v/>
      </c>
      <c r="C769" s="21" t="str">
        <f>IF($N$1="Piping", IF(ISBLANK(Piping!C769), "", Piping!C769), IF($N$1="Vessels", IF(ISBLANK(Vessels!C769), "", Vessels!C769), ""))</f>
        <v>Piping</v>
      </c>
      <c r="D769" s="21" t="str">
        <f>IF($N$1="Piping", IF(ISBLANK(Piping!D769), "", Piping!D769), IF($N$1="Vessels", IF(ISBLANK(Vessels!D769), "", Vessels!D769), ""))</f>
        <v/>
      </c>
      <c r="E769" s="21" t="str">
        <f>IF($N$1="Piping", IF(ISBLANK(Piping!E769), "", Piping!E769), IF($N$1="Vessels", IF(ISBLANK(Vessels!E769), "", Vessels!E769), ""))</f>
        <v/>
      </c>
      <c r="F769" s="21" t="str">
        <f>IF($N$1="Piping", IF(ISBLANK(Piping!F769), "", Piping!F769), IF($N$1="Vessels", IF(ISBLANK(Vessels!F769), "", Vessels!F769), ""))</f>
        <v/>
      </c>
      <c r="G769" s="21">
        <f>IF($N$1="Piping", IF(ISBLANK(Piping!G769), "", Piping!G769), IF($N$1="Vessels", IF(ISBLANK(Vessels!G769), "", Vessels!G769), ""))</f>
        <v>0</v>
      </c>
      <c r="H769" s="21" t="str">
        <f>IF($N$1="Piping", IF(ISBLANK(Piping!H769), "", Piping!H769), IF($N$1="Vessels", IF(ISBLANK(Vessels!H769), "", Vessels!H769), ""))</f>
        <v/>
      </c>
      <c r="I769" s="21" t="str">
        <f>IF($N$1="Piping", IF(ISBLANK(Piping!I769), "", Piping!I769), IF($N$1="Vessels", IF(ISBLANK(Vessels!I769), "", Vessels!I769), ""))</f>
        <v/>
      </c>
      <c r="J769" s="21" t="str">
        <f>IF($N$1="Piping", IF(ISBLANK(Piping!J769), "", Piping!J769), IF($N$1="Vessels", IF(ISBLANK(Vessels!J769), "", Vessels!J769), ""))</f>
        <v/>
      </c>
      <c r="K769" s="21" t="str">
        <f>IF($N$1="Piping", IF(ISBLANK(Piping!K769), "", Piping!K769), IF($N$1="Vessels", IF(ISBLANK(Vessels!K769), "", Vessels!K769), ""))</f>
        <v/>
      </c>
      <c r="L769" s="21" t="str">
        <f>IF($N$1="Piping", IF(ISBLANK(Piping!L769), "", Piping!L769), IF($N$1="Vessels", IF(ISBLANK(Vessels!L769), "", Vessels!L769), ""))</f>
        <v/>
      </c>
      <c r="M769" s="21"/>
      <c r="N769" s="21"/>
      <c r="O769" s="21"/>
      <c r="P769" s="21"/>
      <c r="Q769" s="21" t="str">
        <f>IF($N$1="Piping", IF(ISBLANK(Piping!T769), "", Piping!T769), IF($N$1="Vessels", IF(ISBLANK(Vessels!T769), "", Vessels!T769), ""))</f>
        <v/>
      </c>
      <c r="R769" s="51" t="str">
        <f>IF($N$1="Piping", IF(ISBLANK(Piping!U769), "", Piping!U769), IF($N$1="Vessels", IF(ISBLANK(Vessels!U769), "", Vessels!U769), ""))</f>
        <v/>
      </c>
      <c r="S769" s="118" t="str">
        <f>IF(B769&lt;&gt;"",IF($N$1="Piping", IF(ISBLANK(Piping!$J$3), "", Piping!$J$3), IF($N$1="Vessels", IF(ISBLANK(Vessels!$J$3), "", Vessels!$J$3), "")),"")</f>
        <v/>
      </c>
      <c r="T769" s="37"/>
      <c r="U769" s="37"/>
      <c r="V769" s="37"/>
      <c r="W769" s="37"/>
      <c r="X769" s="37"/>
      <c r="Y769" s="37"/>
      <c r="Z769" s="37"/>
    </row>
    <row r="770" spans="1:26" ht="15.75" customHeight="1" x14ac:dyDescent="0.3">
      <c r="A770" s="22">
        <f>IF($N$1="Piping", IF(ISBLANK(Piping!A770), "", Piping!A770), IF($N$1="Vessels", IF(ISBLANK(Vessels!A770), "", Vessels!A770), ""))</f>
        <v>192.1</v>
      </c>
      <c r="B770" s="21" t="str">
        <f>IF($N$1="Piping", IF(ISBLANK(Piping!B770), "", Piping!B770), IF($N$1="Vessels", IF(ISBLANK(Vessels!B770), "", Vessels!B770), ""))</f>
        <v/>
      </c>
      <c r="C770" s="21" t="str">
        <f>IF($N$1="Piping", IF(ISBLANK(Piping!C770), "", Piping!C770), IF($N$1="Vessels", IF(ISBLANK(Vessels!C770), "", Vessels!C770), ""))</f>
        <v>Piping</v>
      </c>
      <c r="D770" s="21" t="str">
        <f>IF($N$1="Piping", IF(ISBLANK(Piping!D770), "", Piping!D770), IF($N$1="Vessels", IF(ISBLANK(Vessels!D770), "", Vessels!D770), ""))</f>
        <v/>
      </c>
      <c r="E770" s="21" t="str">
        <f>IF($N$1="Piping", IF(ISBLANK(Piping!E770), "", Piping!E770), IF($N$1="Vessels", IF(ISBLANK(Vessels!E770), "", Vessels!E770), ""))</f>
        <v/>
      </c>
      <c r="F770" s="21" t="str">
        <f>IF($N$1="Piping", IF(ISBLANK(Piping!F770), "", Piping!F770), IF($N$1="Vessels", IF(ISBLANK(Vessels!F770), "", Vessels!F770), ""))</f>
        <v/>
      </c>
      <c r="G770" s="21">
        <f>IF($N$1="Piping", IF(ISBLANK(Piping!G770), "", Piping!G770), IF($N$1="Vessels", IF(ISBLANK(Vessels!G770), "", Vessels!G770), ""))</f>
        <v>0</v>
      </c>
      <c r="H770" s="21" t="str">
        <f>IF($N$1="Piping", IF(ISBLANK(Piping!H770), "", Piping!H770), IF($N$1="Vessels", IF(ISBLANK(Vessels!H770), "", Vessels!H770), ""))</f>
        <v/>
      </c>
      <c r="I770" s="21" t="str">
        <f>IF($N$1="Piping", IF(ISBLANK(Piping!I770), "", Piping!I770), IF($N$1="Vessels", IF(ISBLANK(Vessels!I770), "", Vessels!I770), ""))</f>
        <v/>
      </c>
      <c r="J770" s="21" t="str">
        <f>IF($N$1="Piping", IF(ISBLANK(Piping!J770), "", Piping!J770), IF($N$1="Vessels", IF(ISBLANK(Vessels!J770), "", Vessels!J770), ""))</f>
        <v/>
      </c>
      <c r="K770" s="21" t="str">
        <f>IF($N$1="Piping", IF(ISBLANK(Piping!K770), "", Piping!K770), IF($N$1="Vessels", IF(ISBLANK(Vessels!K770), "", Vessels!K770), ""))</f>
        <v/>
      </c>
      <c r="L770" s="21" t="str">
        <f>IF($N$1="Piping", IF(ISBLANK(Piping!L770), "", Piping!L770), IF($N$1="Vessels", IF(ISBLANK(Vessels!L770), "", Vessels!L770), ""))</f>
        <v/>
      </c>
      <c r="M770" s="21"/>
      <c r="N770" s="21"/>
      <c r="O770" s="21"/>
      <c r="P770" s="21"/>
      <c r="Q770" s="21" t="str">
        <f>IF($N$1="Piping", IF(ISBLANK(Piping!T770), "", Piping!T770), IF($N$1="Vessels", IF(ISBLANK(Vessels!T770), "", Vessels!T770), ""))</f>
        <v/>
      </c>
      <c r="R770" s="51" t="str">
        <f>IF($N$1="Piping", IF(ISBLANK(Piping!U770), "", Piping!U770), IF($N$1="Vessels", IF(ISBLANK(Vessels!U770), "", Vessels!U770), ""))</f>
        <v/>
      </c>
      <c r="S770" s="118" t="str">
        <f>IF(B770&lt;&gt;"",IF($N$1="Piping", IF(ISBLANK(Piping!$J$3), "", Piping!$J$3), IF($N$1="Vessels", IF(ISBLANK(Vessels!$J$3), "", Vessels!$J$3), "")),"")</f>
        <v/>
      </c>
      <c r="T770" s="37"/>
      <c r="U770" s="37"/>
      <c r="V770" s="37"/>
      <c r="W770" s="37"/>
      <c r="X770" s="37"/>
      <c r="Y770" s="37"/>
      <c r="Z770" s="37"/>
    </row>
    <row r="771" spans="1:26" ht="15.75" customHeight="1" x14ac:dyDescent="0.3">
      <c r="A771" s="22">
        <f>IF($N$1="Piping", IF(ISBLANK(Piping!A771), "", Piping!A771), IF($N$1="Vessels", IF(ISBLANK(Vessels!A771), "", Vessels!A771), ""))</f>
        <v>192.2</v>
      </c>
      <c r="B771" s="21" t="str">
        <f>IF($N$1="Piping", IF(ISBLANK(Piping!B771), "", Piping!B771), IF($N$1="Vessels", IF(ISBLANK(Vessels!B771), "", Vessels!B771), ""))</f>
        <v/>
      </c>
      <c r="C771" s="21" t="str">
        <f>IF($N$1="Piping", IF(ISBLANK(Piping!C771), "", Piping!C771), IF($N$1="Vessels", IF(ISBLANK(Vessels!C771), "", Vessels!C771), ""))</f>
        <v>Piping</v>
      </c>
      <c r="D771" s="21" t="str">
        <f>IF($N$1="Piping", IF(ISBLANK(Piping!D771), "", Piping!D771), IF($N$1="Vessels", IF(ISBLANK(Vessels!D771), "", Vessels!D771), ""))</f>
        <v/>
      </c>
      <c r="E771" s="21" t="str">
        <f>IF($N$1="Piping", IF(ISBLANK(Piping!E771), "", Piping!E771), IF($N$1="Vessels", IF(ISBLANK(Vessels!E771), "", Vessels!E771), ""))</f>
        <v/>
      </c>
      <c r="F771" s="21" t="str">
        <f>IF($N$1="Piping", IF(ISBLANK(Piping!F771), "", Piping!F771), IF($N$1="Vessels", IF(ISBLANK(Vessels!F771), "", Vessels!F771), ""))</f>
        <v/>
      </c>
      <c r="G771" s="21">
        <f>IF($N$1="Piping", IF(ISBLANK(Piping!G771), "", Piping!G771), IF($N$1="Vessels", IF(ISBLANK(Vessels!G771), "", Vessels!G771), ""))</f>
        <v>0</v>
      </c>
      <c r="H771" s="21" t="str">
        <f>IF($N$1="Piping", IF(ISBLANK(Piping!H771), "", Piping!H771), IF($N$1="Vessels", IF(ISBLANK(Vessels!H771), "", Vessels!H771), ""))</f>
        <v/>
      </c>
      <c r="I771" s="21" t="str">
        <f>IF($N$1="Piping", IF(ISBLANK(Piping!I771), "", Piping!I771), IF($N$1="Vessels", IF(ISBLANK(Vessels!I771), "", Vessels!I771), ""))</f>
        <v/>
      </c>
      <c r="J771" s="21" t="str">
        <f>IF($N$1="Piping", IF(ISBLANK(Piping!J771), "", Piping!J771), IF($N$1="Vessels", IF(ISBLANK(Vessels!J771), "", Vessels!J771), ""))</f>
        <v/>
      </c>
      <c r="K771" s="21" t="str">
        <f>IF($N$1="Piping", IF(ISBLANK(Piping!K771), "", Piping!K771), IF($N$1="Vessels", IF(ISBLANK(Vessels!K771), "", Vessels!K771), ""))</f>
        <v/>
      </c>
      <c r="L771" s="21" t="str">
        <f>IF($N$1="Piping", IF(ISBLANK(Piping!L771), "", Piping!L771), IF($N$1="Vessels", IF(ISBLANK(Vessels!L771), "", Vessels!L771), ""))</f>
        <v/>
      </c>
      <c r="M771" s="21"/>
      <c r="N771" s="21"/>
      <c r="O771" s="21"/>
      <c r="P771" s="21"/>
      <c r="Q771" s="21" t="str">
        <f>IF($N$1="Piping", IF(ISBLANK(Piping!T771), "", Piping!T771), IF($N$1="Vessels", IF(ISBLANK(Vessels!T771), "", Vessels!T771), ""))</f>
        <v/>
      </c>
      <c r="R771" s="51" t="str">
        <f>IF($N$1="Piping", IF(ISBLANK(Piping!U771), "", Piping!U771), IF($N$1="Vessels", IF(ISBLANK(Vessels!U771), "", Vessels!U771), ""))</f>
        <v/>
      </c>
      <c r="S771" s="118" t="str">
        <f>IF(B771&lt;&gt;"",IF($N$1="Piping", IF(ISBLANK(Piping!$J$3), "", Piping!$J$3), IF($N$1="Vessels", IF(ISBLANK(Vessels!$J$3), "", Vessels!$J$3), "")),"")</f>
        <v/>
      </c>
      <c r="T771" s="37"/>
      <c r="U771" s="37"/>
      <c r="V771" s="37"/>
      <c r="W771" s="37"/>
      <c r="X771" s="37"/>
      <c r="Y771" s="37"/>
      <c r="Z771" s="37"/>
    </row>
    <row r="772" spans="1:26" ht="15.75" customHeight="1" x14ac:dyDescent="0.3">
      <c r="A772" s="22">
        <f>IF($N$1="Piping", IF(ISBLANK(Piping!A772), "", Piping!A772), IF($N$1="Vessels", IF(ISBLANK(Vessels!A772), "", Vessels!A772), ""))</f>
        <v>192.3</v>
      </c>
      <c r="B772" s="21" t="str">
        <f>IF($N$1="Piping", IF(ISBLANK(Piping!B772), "", Piping!B772), IF($N$1="Vessels", IF(ISBLANK(Vessels!B772), "", Vessels!B772), ""))</f>
        <v/>
      </c>
      <c r="C772" s="21" t="str">
        <f>IF($N$1="Piping", IF(ISBLANK(Piping!C772), "", Piping!C772), IF($N$1="Vessels", IF(ISBLANK(Vessels!C772), "", Vessels!C772), ""))</f>
        <v>Piping</v>
      </c>
      <c r="D772" s="21" t="str">
        <f>IF($N$1="Piping", IF(ISBLANK(Piping!D772), "", Piping!D772), IF($N$1="Vessels", IF(ISBLANK(Vessels!D772), "", Vessels!D772), ""))</f>
        <v/>
      </c>
      <c r="E772" s="21" t="str">
        <f>IF($N$1="Piping", IF(ISBLANK(Piping!E772), "", Piping!E772), IF($N$1="Vessels", IF(ISBLANK(Vessels!E772), "", Vessels!E772), ""))</f>
        <v/>
      </c>
      <c r="F772" s="21" t="str">
        <f>IF($N$1="Piping", IF(ISBLANK(Piping!F772), "", Piping!F772), IF($N$1="Vessels", IF(ISBLANK(Vessels!F772), "", Vessels!F772), ""))</f>
        <v/>
      </c>
      <c r="G772" s="21">
        <f>IF($N$1="Piping", IF(ISBLANK(Piping!G772), "", Piping!G772), IF($N$1="Vessels", IF(ISBLANK(Vessels!G772), "", Vessels!G772), ""))</f>
        <v>0</v>
      </c>
      <c r="H772" s="21" t="str">
        <f>IF($N$1="Piping", IF(ISBLANK(Piping!H772), "", Piping!H772), IF($N$1="Vessels", IF(ISBLANK(Vessels!H772), "", Vessels!H772), ""))</f>
        <v/>
      </c>
      <c r="I772" s="21" t="str">
        <f>IF($N$1="Piping", IF(ISBLANK(Piping!I772), "", Piping!I772), IF($N$1="Vessels", IF(ISBLANK(Vessels!I772), "", Vessels!I772), ""))</f>
        <v/>
      </c>
      <c r="J772" s="21" t="str">
        <f>IF($N$1="Piping", IF(ISBLANK(Piping!J772), "", Piping!J772), IF($N$1="Vessels", IF(ISBLANK(Vessels!J772), "", Vessels!J772), ""))</f>
        <v/>
      </c>
      <c r="K772" s="21" t="str">
        <f>IF($N$1="Piping", IF(ISBLANK(Piping!K772), "", Piping!K772), IF($N$1="Vessels", IF(ISBLANK(Vessels!K772), "", Vessels!K772), ""))</f>
        <v/>
      </c>
      <c r="L772" s="21" t="str">
        <f>IF($N$1="Piping", IF(ISBLANK(Piping!L772), "", Piping!L772), IF($N$1="Vessels", IF(ISBLANK(Vessels!L772), "", Vessels!L772), ""))</f>
        <v/>
      </c>
      <c r="M772" s="21"/>
      <c r="N772" s="21"/>
      <c r="O772" s="21"/>
      <c r="P772" s="21"/>
      <c r="Q772" s="21" t="str">
        <f>IF($N$1="Piping", IF(ISBLANK(Piping!T772), "", Piping!T772), IF($N$1="Vessels", IF(ISBLANK(Vessels!T772), "", Vessels!T772), ""))</f>
        <v/>
      </c>
      <c r="R772" s="51" t="str">
        <f>IF($N$1="Piping", IF(ISBLANK(Piping!U772), "", Piping!U772), IF($N$1="Vessels", IF(ISBLANK(Vessels!U772), "", Vessels!U772), ""))</f>
        <v/>
      </c>
      <c r="S772" s="118" t="str">
        <f>IF(B772&lt;&gt;"",IF($N$1="Piping", IF(ISBLANK(Piping!$J$3), "", Piping!$J$3), IF($N$1="Vessels", IF(ISBLANK(Vessels!$J$3), "", Vessels!$J$3), "")),"")</f>
        <v/>
      </c>
      <c r="T772" s="37"/>
      <c r="U772" s="37"/>
      <c r="V772" s="37"/>
      <c r="W772" s="37"/>
      <c r="X772" s="37"/>
      <c r="Y772" s="37"/>
      <c r="Z772" s="37"/>
    </row>
    <row r="773" spans="1:26" ht="15.75" customHeight="1" x14ac:dyDescent="0.3">
      <c r="A773" s="22">
        <f>IF($N$1="Piping", IF(ISBLANK(Piping!A773), "", Piping!A773), IF($N$1="Vessels", IF(ISBLANK(Vessels!A773), "", Vessels!A773), ""))</f>
        <v>192.4</v>
      </c>
      <c r="B773" s="21" t="str">
        <f>IF($N$1="Piping", IF(ISBLANK(Piping!B773), "", Piping!B773), IF($N$1="Vessels", IF(ISBLANK(Vessels!B773), "", Vessels!B773), ""))</f>
        <v/>
      </c>
      <c r="C773" s="21" t="str">
        <f>IF($N$1="Piping", IF(ISBLANK(Piping!C773), "", Piping!C773), IF($N$1="Vessels", IF(ISBLANK(Vessels!C773), "", Vessels!C773), ""))</f>
        <v>Piping</v>
      </c>
      <c r="D773" s="21" t="str">
        <f>IF($N$1="Piping", IF(ISBLANK(Piping!D773), "", Piping!D773), IF($N$1="Vessels", IF(ISBLANK(Vessels!D773), "", Vessels!D773), ""))</f>
        <v/>
      </c>
      <c r="E773" s="21" t="str">
        <f>IF($N$1="Piping", IF(ISBLANK(Piping!E773), "", Piping!E773), IF($N$1="Vessels", IF(ISBLANK(Vessels!E773), "", Vessels!E773), ""))</f>
        <v/>
      </c>
      <c r="F773" s="21" t="str">
        <f>IF($N$1="Piping", IF(ISBLANK(Piping!F773), "", Piping!F773), IF($N$1="Vessels", IF(ISBLANK(Vessels!F773), "", Vessels!F773), ""))</f>
        <v/>
      </c>
      <c r="G773" s="21">
        <f>IF($N$1="Piping", IF(ISBLANK(Piping!G773), "", Piping!G773), IF($N$1="Vessels", IF(ISBLANK(Vessels!G773), "", Vessels!G773), ""))</f>
        <v>0</v>
      </c>
      <c r="H773" s="21" t="str">
        <f>IF($N$1="Piping", IF(ISBLANK(Piping!H773), "", Piping!H773), IF($N$1="Vessels", IF(ISBLANK(Vessels!H773), "", Vessels!H773), ""))</f>
        <v/>
      </c>
      <c r="I773" s="21" t="str">
        <f>IF($N$1="Piping", IF(ISBLANK(Piping!I773), "", Piping!I773), IF($N$1="Vessels", IF(ISBLANK(Vessels!I773), "", Vessels!I773), ""))</f>
        <v/>
      </c>
      <c r="J773" s="21" t="str">
        <f>IF($N$1="Piping", IF(ISBLANK(Piping!J773), "", Piping!J773), IF($N$1="Vessels", IF(ISBLANK(Vessels!J773), "", Vessels!J773), ""))</f>
        <v/>
      </c>
      <c r="K773" s="21" t="str">
        <f>IF($N$1="Piping", IF(ISBLANK(Piping!K773), "", Piping!K773), IF($N$1="Vessels", IF(ISBLANK(Vessels!K773), "", Vessels!K773), ""))</f>
        <v/>
      </c>
      <c r="L773" s="21" t="str">
        <f>IF($N$1="Piping", IF(ISBLANK(Piping!L773), "", Piping!L773), IF($N$1="Vessels", IF(ISBLANK(Vessels!L773), "", Vessels!L773), ""))</f>
        <v/>
      </c>
      <c r="M773" s="21"/>
      <c r="N773" s="21"/>
      <c r="O773" s="21"/>
      <c r="P773" s="21"/>
      <c r="Q773" s="21" t="str">
        <f>IF($N$1="Piping", IF(ISBLANK(Piping!T773), "", Piping!T773), IF($N$1="Vessels", IF(ISBLANK(Vessels!T773), "", Vessels!T773), ""))</f>
        <v/>
      </c>
      <c r="R773" s="51" t="str">
        <f>IF($N$1="Piping", IF(ISBLANK(Piping!U773), "", Piping!U773), IF($N$1="Vessels", IF(ISBLANK(Vessels!U773), "", Vessels!U773), ""))</f>
        <v/>
      </c>
      <c r="S773" s="118" t="str">
        <f>IF(B773&lt;&gt;"",IF($N$1="Piping", IF(ISBLANK(Piping!$J$3), "", Piping!$J$3), IF($N$1="Vessels", IF(ISBLANK(Vessels!$J$3), "", Vessels!$J$3), "")),"")</f>
        <v/>
      </c>
      <c r="T773" s="37"/>
      <c r="U773" s="37"/>
      <c r="V773" s="37"/>
      <c r="W773" s="37"/>
      <c r="X773" s="37"/>
      <c r="Y773" s="37"/>
      <c r="Z773" s="37"/>
    </row>
    <row r="774" spans="1:26" ht="15.75" customHeight="1" x14ac:dyDescent="0.3">
      <c r="A774" s="22">
        <f>IF($N$1="Piping", IF(ISBLANK(Piping!A774), "", Piping!A774), IF($N$1="Vessels", IF(ISBLANK(Vessels!A774), "", Vessels!A774), ""))</f>
        <v>193.1</v>
      </c>
      <c r="B774" s="21" t="str">
        <f>IF($N$1="Piping", IF(ISBLANK(Piping!B774), "", Piping!B774), IF($N$1="Vessels", IF(ISBLANK(Vessels!B774), "", Vessels!B774), ""))</f>
        <v/>
      </c>
      <c r="C774" s="21" t="str">
        <f>IF($N$1="Piping", IF(ISBLANK(Piping!C774), "", Piping!C774), IF($N$1="Vessels", IF(ISBLANK(Vessels!C774), "", Vessels!C774), ""))</f>
        <v>Piping</v>
      </c>
      <c r="D774" s="21" t="str">
        <f>IF($N$1="Piping", IF(ISBLANK(Piping!D774), "", Piping!D774), IF($N$1="Vessels", IF(ISBLANK(Vessels!D774), "", Vessels!D774), ""))</f>
        <v/>
      </c>
      <c r="E774" s="21" t="str">
        <f>IF($N$1="Piping", IF(ISBLANK(Piping!E774), "", Piping!E774), IF($N$1="Vessels", IF(ISBLANK(Vessels!E774), "", Vessels!E774), ""))</f>
        <v/>
      </c>
      <c r="F774" s="21" t="str">
        <f>IF($N$1="Piping", IF(ISBLANK(Piping!F774), "", Piping!F774), IF($N$1="Vessels", IF(ISBLANK(Vessels!F774), "", Vessels!F774), ""))</f>
        <v/>
      </c>
      <c r="G774" s="21">
        <f>IF($N$1="Piping", IF(ISBLANK(Piping!G774), "", Piping!G774), IF($N$1="Vessels", IF(ISBLANK(Vessels!G774), "", Vessels!G774), ""))</f>
        <v>0</v>
      </c>
      <c r="H774" s="21" t="str">
        <f>IF($N$1="Piping", IF(ISBLANK(Piping!H774), "", Piping!H774), IF($N$1="Vessels", IF(ISBLANK(Vessels!H774), "", Vessels!H774), ""))</f>
        <v/>
      </c>
      <c r="I774" s="21" t="str">
        <f>IF($N$1="Piping", IF(ISBLANK(Piping!I774), "", Piping!I774), IF($N$1="Vessels", IF(ISBLANK(Vessels!I774), "", Vessels!I774), ""))</f>
        <v/>
      </c>
      <c r="J774" s="21" t="str">
        <f>IF($N$1="Piping", IF(ISBLANK(Piping!J774), "", Piping!J774), IF($N$1="Vessels", IF(ISBLANK(Vessels!J774), "", Vessels!J774), ""))</f>
        <v/>
      </c>
      <c r="K774" s="21" t="str">
        <f>IF($N$1="Piping", IF(ISBLANK(Piping!K774), "", Piping!K774), IF($N$1="Vessels", IF(ISBLANK(Vessels!K774), "", Vessels!K774), ""))</f>
        <v/>
      </c>
      <c r="L774" s="21" t="str">
        <f>IF($N$1="Piping", IF(ISBLANK(Piping!L774), "", Piping!L774), IF($N$1="Vessels", IF(ISBLANK(Vessels!L774), "", Vessels!L774), ""))</f>
        <v/>
      </c>
      <c r="M774" s="21"/>
      <c r="N774" s="21"/>
      <c r="O774" s="21"/>
      <c r="P774" s="21"/>
      <c r="Q774" s="21" t="str">
        <f>IF($N$1="Piping", IF(ISBLANK(Piping!T774), "", Piping!T774), IF($N$1="Vessels", IF(ISBLANK(Vessels!T774), "", Vessels!T774), ""))</f>
        <v/>
      </c>
      <c r="R774" s="51" t="str">
        <f>IF($N$1="Piping", IF(ISBLANK(Piping!U774), "", Piping!U774), IF($N$1="Vessels", IF(ISBLANK(Vessels!U774), "", Vessels!U774), ""))</f>
        <v/>
      </c>
      <c r="S774" s="118" t="str">
        <f>IF(B774&lt;&gt;"",IF($N$1="Piping", IF(ISBLANK(Piping!$J$3), "", Piping!$J$3), IF($N$1="Vessels", IF(ISBLANK(Vessels!$J$3), "", Vessels!$J$3), "")),"")</f>
        <v/>
      </c>
      <c r="T774" s="37"/>
      <c r="U774" s="37"/>
      <c r="V774" s="37"/>
      <c r="W774" s="37"/>
      <c r="X774" s="37"/>
      <c r="Y774" s="37"/>
      <c r="Z774" s="37"/>
    </row>
    <row r="775" spans="1:26" ht="15.75" customHeight="1" x14ac:dyDescent="0.3">
      <c r="A775" s="22">
        <f>IF($N$1="Piping", IF(ISBLANK(Piping!A775), "", Piping!A775), IF($N$1="Vessels", IF(ISBLANK(Vessels!A775), "", Vessels!A775), ""))</f>
        <v>193.2</v>
      </c>
      <c r="B775" s="21" t="str">
        <f>IF($N$1="Piping", IF(ISBLANK(Piping!B775), "", Piping!B775), IF($N$1="Vessels", IF(ISBLANK(Vessels!B775), "", Vessels!B775), ""))</f>
        <v/>
      </c>
      <c r="C775" s="21" t="str">
        <f>IF($N$1="Piping", IF(ISBLANK(Piping!C775), "", Piping!C775), IF($N$1="Vessels", IF(ISBLANK(Vessels!C775), "", Vessels!C775), ""))</f>
        <v>Piping</v>
      </c>
      <c r="D775" s="21" t="str">
        <f>IF($N$1="Piping", IF(ISBLANK(Piping!D775), "", Piping!D775), IF($N$1="Vessels", IF(ISBLANK(Vessels!D775), "", Vessels!D775), ""))</f>
        <v/>
      </c>
      <c r="E775" s="21" t="str">
        <f>IF($N$1="Piping", IF(ISBLANK(Piping!E775), "", Piping!E775), IF($N$1="Vessels", IF(ISBLANK(Vessels!E775), "", Vessels!E775), ""))</f>
        <v/>
      </c>
      <c r="F775" s="21" t="str">
        <f>IF($N$1="Piping", IF(ISBLANK(Piping!F775), "", Piping!F775), IF($N$1="Vessels", IF(ISBLANK(Vessels!F775), "", Vessels!F775), ""))</f>
        <v/>
      </c>
      <c r="G775" s="21">
        <f>IF($N$1="Piping", IF(ISBLANK(Piping!G775), "", Piping!G775), IF($N$1="Vessels", IF(ISBLANK(Vessels!G775), "", Vessels!G775), ""))</f>
        <v>0</v>
      </c>
      <c r="H775" s="21" t="str">
        <f>IF($N$1="Piping", IF(ISBLANK(Piping!H775), "", Piping!H775), IF($N$1="Vessels", IF(ISBLANK(Vessels!H775), "", Vessels!H775), ""))</f>
        <v/>
      </c>
      <c r="I775" s="21" t="str">
        <f>IF($N$1="Piping", IF(ISBLANK(Piping!I775), "", Piping!I775), IF($N$1="Vessels", IF(ISBLANK(Vessels!I775), "", Vessels!I775), ""))</f>
        <v/>
      </c>
      <c r="J775" s="21" t="str">
        <f>IF($N$1="Piping", IF(ISBLANK(Piping!J775), "", Piping!J775), IF($N$1="Vessels", IF(ISBLANK(Vessels!J775), "", Vessels!J775), ""))</f>
        <v/>
      </c>
      <c r="K775" s="21" t="str">
        <f>IF($N$1="Piping", IF(ISBLANK(Piping!K775), "", Piping!K775), IF($N$1="Vessels", IF(ISBLANK(Vessels!K775), "", Vessels!K775), ""))</f>
        <v/>
      </c>
      <c r="L775" s="21" t="str">
        <f>IF($N$1="Piping", IF(ISBLANK(Piping!L775), "", Piping!L775), IF($N$1="Vessels", IF(ISBLANK(Vessels!L775), "", Vessels!L775), ""))</f>
        <v/>
      </c>
      <c r="M775" s="21"/>
      <c r="N775" s="21"/>
      <c r="O775" s="21"/>
      <c r="P775" s="21"/>
      <c r="Q775" s="21" t="str">
        <f>IF($N$1="Piping", IF(ISBLANK(Piping!T775), "", Piping!T775), IF($N$1="Vessels", IF(ISBLANK(Vessels!T775), "", Vessels!T775), ""))</f>
        <v/>
      </c>
      <c r="R775" s="51" t="str">
        <f>IF($N$1="Piping", IF(ISBLANK(Piping!U775), "", Piping!U775), IF($N$1="Vessels", IF(ISBLANK(Vessels!U775), "", Vessels!U775), ""))</f>
        <v/>
      </c>
      <c r="S775" s="118" t="str">
        <f>IF(B775&lt;&gt;"",IF($N$1="Piping", IF(ISBLANK(Piping!$J$3), "", Piping!$J$3), IF($N$1="Vessels", IF(ISBLANK(Vessels!$J$3), "", Vessels!$J$3), "")),"")</f>
        <v/>
      </c>
      <c r="T775" s="37"/>
      <c r="U775" s="37"/>
      <c r="V775" s="37"/>
      <c r="W775" s="37"/>
      <c r="X775" s="37"/>
      <c r="Y775" s="37"/>
      <c r="Z775" s="37"/>
    </row>
    <row r="776" spans="1:26" ht="15.75" customHeight="1" x14ac:dyDescent="0.3">
      <c r="A776" s="22">
        <f>IF($N$1="Piping", IF(ISBLANK(Piping!A776), "", Piping!A776), IF($N$1="Vessels", IF(ISBLANK(Vessels!A776), "", Vessels!A776), ""))</f>
        <v>193.3</v>
      </c>
      <c r="B776" s="21" t="str">
        <f>IF($N$1="Piping", IF(ISBLANK(Piping!B776), "", Piping!B776), IF($N$1="Vessels", IF(ISBLANK(Vessels!B776), "", Vessels!B776), ""))</f>
        <v/>
      </c>
      <c r="C776" s="21" t="str">
        <f>IF($N$1="Piping", IF(ISBLANK(Piping!C776), "", Piping!C776), IF($N$1="Vessels", IF(ISBLANK(Vessels!C776), "", Vessels!C776), ""))</f>
        <v>Piping</v>
      </c>
      <c r="D776" s="21" t="str">
        <f>IF($N$1="Piping", IF(ISBLANK(Piping!D776), "", Piping!D776), IF($N$1="Vessels", IF(ISBLANK(Vessels!D776), "", Vessels!D776), ""))</f>
        <v/>
      </c>
      <c r="E776" s="21" t="str">
        <f>IF($N$1="Piping", IF(ISBLANK(Piping!E776), "", Piping!E776), IF($N$1="Vessels", IF(ISBLANK(Vessels!E776), "", Vessels!E776), ""))</f>
        <v/>
      </c>
      <c r="F776" s="21" t="str">
        <f>IF($N$1="Piping", IF(ISBLANK(Piping!F776), "", Piping!F776), IF($N$1="Vessels", IF(ISBLANK(Vessels!F776), "", Vessels!F776), ""))</f>
        <v/>
      </c>
      <c r="G776" s="21">
        <f>IF($N$1="Piping", IF(ISBLANK(Piping!G776), "", Piping!G776), IF($N$1="Vessels", IF(ISBLANK(Vessels!G776), "", Vessels!G776), ""))</f>
        <v>0</v>
      </c>
      <c r="H776" s="21" t="str">
        <f>IF($N$1="Piping", IF(ISBLANK(Piping!H776), "", Piping!H776), IF($N$1="Vessels", IF(ISBLANK(Vessels!H776), "", Vessels!H776), ""))</f>
        <v/>
      </c>
      <c r="I776" s="21" t="str">
        <f>IF($N$1="Piping", IF(ISBLANK(Piping!I776), "", Piping!I776), IF($N$1="Vessels", IF(ISBLANK(Vessels!I776), "", Vessels!I776), ""))</f>
        <v/>
      </c>
      <c r="J776" s="21" t="str">
        <f>IF($N$1="Piping", IF(ISBLANK(Piping!J776), "", Piping!J776), IF($N$1="Vessels", IF(ISBLANK(Vessels!J776), "", Vessels!J776), ""))</f>
        <v/>
      </c>
      <c r="K776" s="21" t="str">
        <f>IF($N$1="Piping", IF(ISBLANK(Piping!K776), "", Piping!K776), IF($N$1="Vessels", IF(ISBLANK(Vessels!K776), "", Vessels!K776), ""))</f>
        <v/>
      </c>
      <c r="L776" s="21" t="str">
        <f>IF($N$1="Piping", IF(ISBLANK(Piping!L776), "", Piping!L776), IF($N$1="Vessels", IF(ISBLANK(Vessels!L776), "", Vessels!L776), ""))</f>
        <v/>
      </c>
      <c r="M776" s="21"/>
      <c r="N776" s="21"/>
      <c r="O776" s="21"/>
      <c r="P776" s="21"/>
      <c r="Q776" s="21" t="str">
        <f>IF($N$1="Piping", IF(ISBLANK(Piping!T776), "", Piping!T776), IF($N$1="Vessels", IF(ISBLANK(Vessels!T776), "", Vessels!T776), ""))</f>
        <v/>
      </c>
      <c r="R776" s="51" t="str">
        <f>IF($N$1="Piping", IF(ISBLANK(Piping!U776), "", Piping!U776), IF($N$1="Vessels", IF(ISBLANK(Vessels!U776), "", Vessels!U776), ""))</f>
        <v/>
      </c>
      <c r="S776" s="118" t="str">
        <f>IF(B776&lt;&gt;"",IF($N$1="Piping", IF(ISBLANK(Piping!$J$3), "", Piping!$J$3), IF($N$1="Vessels", IF(ISBLANK(Vessels!$J$3), "", Vessels!$J$3), "")),"")</f>
        <v/>
      </c>
      <c r="T776" s="37"/>
      <c r="U776" s="37"/>
      <c r="V776" s="37"/>
      <c r="W776" s="37"/>
      <c r="X776" s="37"/>
      <c r="Y776" s="37"/>
      <c r="Z776" s="37"/>
    </row>
    <row r="777" spans="1:26" ht="15.75" customHeight="1" x14ac:dyDescent="0.3">
      <c r="A777" s="22">
        <f>IF($N$1="Piping", IF(ISBLANK(Piping!A777), "", Piping!A777), IF($N$1="Vessels", IF(ISBLANK(Vessels!A777), "", Vessels!A777), ""))</f>
        <v>193.4</v>
      </c>
      <c r="B777" s="21" t="str">
        <f>IF($N$1="Piping", IF(ISBLANK(Piping!B777), "", Piping!B777), IF($N$1="Vessels", IF(ISBLANK(Vessels!B777), "", Vessels!B777), ""))</f>
        <v/>
      </c>
      <c r="C777" s="21" t="str">
        <f>IF($N$1="Piping", IF(ISBLANK(Piping!C777), "", Piping!C777), IF($N$1="Vessels", IF(ISBLANK(Vessels!C777), "", Vessels!C777), ""))</f>
        <v>Piping</v>
      </c>
      <c r="D777" s="21" t="str">
        <f>IF($N$1="Piping", IF(ISBLANK(Piping!D777), "", Piping!D777), IF($N$1="Vessels", IF(ISBLANK(Vessels!D777), "", Vessels!D777), ""))</f>
        <v/>
      </c>
      <c r="E777" s="21" t="str">
        <f>IF($N$1="Piping", IF(ISBLANK(Piping!E777), "", Piping!E777), IF($N$1="Vessels", IF(ISBLANK(Vessels!E777), "", Vessels!E777), ""))</f>
        <v/>
      </c>
      <c r="F777" s="21" t="str">
        <f>IF($N$1="Piping", IF(ISBLANK(Piping!F777), "", Piping!F777), IF($N$1="Vessels", IF(ISBLANK(Vessels!F777), "", Vessels!F777), ""))</f>
        <v/>
      </c>
      <c r="G777" s="21">
        <f>IF($N$1="Piping", IF(ISBLANK(Piping!G777), "", Piping!G777), IF($N$1="Vessels", IF(ISBLANK(Vessels!G777), "", Vessels!G777), ""))</f>
        <v>0</v>
      </c>
      <c r="H777" s="21" t="str">
        <f>IF($N$1="Piping", IF(ISBLANK(Piping!H777), "", Piping!H777), IF($N$1="Vessels", IF(ISBLANK(Vessels!H777), "", Vessels!H777), ""))</f>
        <v/>
      </c>
      <c r="I777" s="21" t="str">
        <f>IF($N$1="Piping", IF(ISBLANK(Piping!I777), "", Piping!I777), IF($N$1="Vessels", IF(ISBLANK(Vessels!I777), "", Vessels!I777), ""))</f>
        <v/>
      </c>
      <c r="J777" s="21" t="str">
        <f>IF($N$1="Piping", IF(ISBLANK(Piping!J777), "", Piping!J777), IF($N$1="Vessels", IF(ISBLANK(Vessels!J777), "", Vessels!J777), ""))</f>
        <v/>
      </c>
      <c r="K777" s="21" t="str">
        <f>IF($N$1="Piping", IF(ISBLANK(Piping!K777), "", Piping!K777), IF($N$1="Vessels", IF(ISBLANK(Vessels!K777), "", Vessels!K777), ""))</f>
        <v/>
      </c>
      <c r="L777" s="21" t="str">
        <f>IF($N$1="Piping", IF(ISBLANK(Piping!L777), "", Piping!L777), IF($N$1="Vessels", IF(ISBLANK(Vessels!L777), "", Vessels!L777), ""))</f>
        <v/>
      </c>
      <c r="M777" s="21"/>
      <c r="N777" s="21"/>
      <c r="O777" s="21"/>
      <c r="P777" s="21"/>
      <c r="Q777" s="21" t="str">
        <f>IF($N$1="Piping", IF(ISBLANK(Piping!T777), "", Piping!T777), IF($N$1="Vessels", IF(ISBLANK(Vessels!T777), "", Vessels!T777), ""))</f>
        <v/>
      </c>
      <c r="R777" s="51" t="str">
        <f>IF($N$1="Piping", IF(ISBLANK(Piping!U777), "", Piping!U777), IF($N$1="Vessels", IF(ISBLANK(Vessels!U777), "", Vessels!U777), ""))</f>
        <v/>
      </c>
      <c r="S777" s="118" t="str">
        <f>IF(B777&lt;&gt;"",IF($N$1="Piping", IF(ISBLANK(Piping!$J$3), "", Piping!$J$3), IF($N$1="Vessels", IF(ISBLANK(Vessels!$J$3), "", Vessels!$J$3), "")),"")</f>
        <v/>
      </c>
      <c r="T777" s="37"/>
      <c r="U777" s="37"/>
      <c r="V777" s="37"/>
      <c r="W777" s="37"/>
      <c r="X777" s="37"/>
      <c r="Y777" s="37"/>
      <c r="Z777" s="37"/>
    </row>
    <row r="778" spans="1:26" ht="15.75" customHeight="1" x14ac:dyDescent="0.3">
      <c r="A778" s="22">
        <f>IF($N$1="Piping", IF(ISBLANK(Piping!A778), "", Piping!A778), IF($N$1="Vessels", IF(ISBLANK(Vessels!A778), "", Vessels!A778), ""))</f>
        <v>194.1</v>
      </c>
      <c r="B778" s="21" t="str">
        <f>IF($N$1="Piping", IF(ISBLANK(Piping!B778), "", Piping!B778), IF($N$1="Vessels", IF(ISBLANK(Vessels!B778), "", Vessels!B778), ""))</f>
        <v/>
      </c>
      <c r="C778" s="21" t="str">
        <f>IF($N$1="Piping", IF(ISBLANK(Piping!C778), "", Piping!C778), IF($N$1="Vessels", IF(ISBLANK(Vessels!C778), "", Vessels!C778), ""))</f>
        <v>Piping</v>
      </c>
      <c r="D778" s="21" t="str">
        <f>IF($N$1="Piping", IF(ISBLANK(Piping!D778), "", Piping!D778), IF($N$1="Vessels", IF(ISBLANK(Vessels!D778), "", Vessels!D778), ""))</f>
        <v/>
      </c>
      <c r="E778" s="21" t="str">
        <f>IF($N$1="Piping", IF(ISBLANK(Piping!E778), "", Piping!E778), IF($N$1="Vessels", IF(ISBLANK(Vessels!E778), "", Vessels!E778), ""))</f>
        <v/>
      </c>
      <c r="F778" s="21" t="str">
        <f>IF($N$1="Piping", IF(ISBLANK(Piping!F778), "", Piping!F778), IF($N$1="Vessels", IF(ISBLANK(Vessels!F778), "", Vessels!F778), ""))</f>
        <v/>
      </c>
      <c r="G778" s="21">
        <f>IF($N$1="Piping", IF(ISBLANK(Piping!G778), "", Piping!G778), IF($N$1="Vessels", IF(ISBLANK(Vessels!G778), "", Vessels!G778), ""))</f>
        <v>0</v>
      </c>
      <c r="H778" s="21" t="str">
        <f>IF($N$1="Piping", IF(ISBLANK(Piping!H778), "", Piping!H778), IF($N$1="Vessels", IF(ISBLANK(Vessels!H778), "", Vessels!H778), ""))</f>
        <v/>
      </c>
      <c r="I778" s="21" t="str">
        <f>IF($N$1="Piping", IF(ISBLANK(Piping!I778), "", Piping!I778), IF($N$1="Vessels", IF(ISBLANK(Vessels!I778), "", Vessels!I778), ""))</f>
        <v/>
      </c>
      <c r="J778" s="21" t="str">
        <f>IF($N$1="Piping", IF(ISBLANK(Piping!J778), "", Piping!J778), IF($N$1="Vessels", IF(ISBLANK(Vessels!J778), "", Vessels!J778), ""))</f>
        <v/>
      </c>
      <c r="K778" s="21" t="str">
        <f>IF($N$1="Piping", IF(ISBLANK(Piping!K778), "", Piping!K778), IF($N$1="Vessels", IF(ISBLANK(Vessels!K778), "", Vessels!K778), ""))</f>
        <v/>
      </c>
      <c r="L778" s="21" t="str">
        <f>IF($N$1="Piping", IF(ISBLANK(Piping!L778), "", Piping!L778), IF($N$1="Vessels", IF(ISBLANK(Vessels!L778), "", Vessels!L778), ""))</f>
        <v/>
      </c>
      <c r="M778" s="21"/>
      <c r="N778" s="21"/>
      <c r="O778" s="21"/>
      <c r="P778" s="21"/>
      <c r="Q778" s="21" t="str">
        <f>IF($N$1="Piping", IF(ISBLANK(Piping!T778), "", Piping!T778), IF($N$1="Vessels", IF(ISBLANK(Vessels!T778), "", Vessels!T778), ""))</f>
        <v/>
      </c>
      <c r="R778" s="51" t="str">
        <f>IF($N$1="Piping", IF(ISBLANK(Piping!U778), "", Piping!U778), IF($N$1="Vessels", IF(ISBLANK(Vessels!U778), "", Vessels!U778), ""))</f>
        <v/>
      </c>
      <c r="S778" s="118" t="str">
        <f>IF(B778&lt;&gt;"",IF($N$1="Piping", IF(ISBLANK(Piping!$J$3), "", Piping!$J$3), IF($N$1="Vessels", IF(ISBLANK(Vessels!$J$3), "", Vessels!$J$3), "")),"")</f>
        <v/>
      </c>
      <c r="T778" s="37"/>
      <c r="U778" s="37"/>
      <c r="V778" s="37"/>
      <c r="W778" s="37"/>
      <c r="X778" s="37"/>
      <c r="Y778" s="37"/>
      <c r="Z778" s="37"/>
    </row>
    <row r="779" spans="1:26" ht="15.75" customHeight="1" x14ac:dyDescent="0.3">
      <c r="A779" s="22">
        <f>IF($N$1="Piping", IF(ISBLANK(Piping!A779), "", Piping!A779), IF($N$1="Vessels", IF(ISBLANK(Vessels!A779), "", Vessels!A779), ""))</f>
        <v>194.2</v>
      </c>
      <c r="B779" s="21" t="str">
        <f>IF($N$1="Piping", IF(ISBLANK(Piping!B779), "", Piping!B779), IF($N$1="Vessels", IF(ISBLANK(Vessels!B779), "", Vessels!B779), ""))</f>
        <v/>
      </c>
      <c r="C779" s="21" t="str">
        <f>IF($N$1="Piping", IF(ISBLANK(Piping!C779), "", Piping!C779), IF($N$1="Vessels", IF(ISBLANK(Vessels!C779), "", Vessels!C779), ""))</f>
        <v>Piping</v>
      </c>
      <c r="D779" s="21" t="str">
        <f>IF($N$1="Piping", IF(ISBLANK(Piping!D779), "", Piping!D779), IF($N$1="Vessels", IF(ISBLANK(Vessels!D779), "", Vessels!D779), ""))</f>
        <v/>
      </c>
      <c r="E779" s="21" t="str">
        <f>IF($N$1="Piping", IF(ISBLANK(Piping!E779), "", Piping!E779), IF($N$1="Vessels", IF(ISBLANK(Vessels!E779), "", Vessels!E779), ""))</f>
        <v/>
      </c>
      <c r="F779" s="21" t="str">
        <f>IF($N$1="Piping", IF(ISBLANK(Piping!F779), "", Piping!F779), IF($N$1="Vessels", IF(ISBLANK(Vessels!F779), "", Vessels!F779), ""))</f>
        <v/>
      </c>
      <c r="G779" s="21">
        <f>IF($N$1="Piping", IF(ISBLANK(Piping!G779), "", Piping!G779), IF($N$1="Vessels", IF(ISBLANK(Vessels!G779), "", Vessels!G779), ""))</f>
        <v>0</v>
      </c>
      <c r="H779" s="21" t="str">
        <f>IF($N$1="Piping", IF(ISBLANK(Piping!H779), "", Piping!H779), IF($N$1="Vessels", IF(ISBLANK(Vessels!H779), "", Vessels!H779), ""))</f>
        <v/>
      </c>
      <c r="I779" s="21" t="str">
        <f>IF($N$1="Piping", IF(ISBLANK(Piping!I779), "", Piping!I779), IF($N$1="Vessels", IF(ISBLANK(Vessels!I779), "", Vessels!I779), ""))</f>
        <v/>
      </c>
      <c r="J779" s="21" t="str">
        <f>IF($N$1="Piping", IF(ISBLANK(Piping!J779), "", Piping!J779), IF($N$1="Vessels", IF(ISBLANK(Vessels!J779), "", Vessels!J779), ""))</f>
        <v/>
      </c>
      <c r="K779" s="21" t="str">
        <f>IF($N$1="Piping", IF(ISBLANK(Piping!K779), "", Piping!K779), IF($N$1="Vessels", IF(ISBLANK(Vessels!K779), "", Vessels!K779), ""))</f>
        <v/>
      </c>
      <c r="L779" s="21" t="str">
        <f>IF($N$1="Piping", IF(ISBLANK(Piping!L779), "", Piping!L779), IF($N$1="Vessels", IF(ISBLANK(Vessels!L779), "", Vessels!L779), ""))</f>
        <v/>
      </c>
      <c r="M779" s="21"/>
      <c r="N779" s="21"/>
      <c r="O779" s="21"/>
      <c r="P779" s="21"/>
      <c r="Q779" s="21" t="str">
        <f>IF($N$1="Piping", IF(ISBLANK(Piping!T779), "", Piping!T779), IF($N$1="Vessels", IF(ISBLANK(Vessels!T779), "", Vessels!T779), ""))</f>
        <v/>
      </c>
      <c r="R779" s="51" t="str">
        <f>IF($N$1="Piping", IF(ISBLANK(Piping!U779), "", Piping!U779), IF($N$1="Vessels", IF(ISBLANK(Vessels!U779), "", Vessels!U779), ""))</f>
        <v/>
      </c>
      <c r="S779" s="118" t="str">
        <f>IF(B779&lt;&gt;"",IF($N$1="Piping", IF(ISBLANK(Piping!$J$3), "", Piping!$J$3), IF($N$1="Vessels", IF(ISBLANK(Vessels!$J$3), "", Vessels!$J$3), "")),"")</f>
        <v/>
      </c>
      <c r="T779" s="37"/>
      <c r="U779" s="37"/>
      <c r="V779" s="37"/>
      <c r="W779" s="37"/>
      <c r="X779" s="37"/>
      <c r="Y779" s="37"/>
      <c r="Z779" s="37"/>
    </row>
    <row r="780" spans="1:26" ht="15.75" customHeight="1" x14ac:dyDescent="0.3">
      <c r="A780" s="22">
        <f>IF($N$1="Piping", IF(ISBLANK(Piping!A780), "", Piping!A780), IF($N$1="Vessels", IF(ISBLANK(Vessels!A780), "", Vessels!A780), ""))</f>
        <v>194.3</v>
      </c>
      <c r="B780" s="21" t="str">
        <f>IF($N$1="Piping", IF(ISBLANK(Piping!B780), "", Piping!B780), IF($N$1="Vessels", IF(ISBLANK(Vessels!B780), "", Vessels!B780), ""))</f>
        <v/>
      </c>
      <c r="C780" s="21" t="str">
        <f>IF($N$1="Piping", IF(ISBLANK(Piping!C780), "", Piping!C780), IF($N$1="Vessels", IF(ISBLANK(Vessels!C780), "", Vessels!C780), ""))</f>
        <v>Piping</v>
      </c>
      <c r="D780" s="21" t="str">
        <f>IF($N$1="Piping", IF(ISBLANK(Piping!D780), "", Piping!D780), IF($N$1="Vessels", IF(ISBLANK(Vessels!D780), "", Vessels!D780), ""))</f>
        <v/>
      </c>
      <c r="E780" s="21" t="str">
        <f>IF($N$1="Piping", IF(ISBLANK(Piping!E780), "", Piping!E780), IF($N$1="Vessels", IF(ISBLANK(Vessels!E780), "", Vessels!E780), ""))</f>
        <v/>
      </c>
      <c r="F780" s="21" t="str">
        <f>IF($N$1="Piping", IF(ISBLANK(Piping!F780), "", Piping!F780), IF($N$1="Vessels", IF(ISBLANK(Vessels!F780), "", Vessels!F780), ""))</f>
        <v/>
      </c>
      <c r="G780" s="21">
        <f>IF($N$1="Piping", IF(ISBLANK(Piping!G780), "", Piping!G780), IF($N$1="Vessels", IF(ISBLANK(Vessels!G780), "", Vessels!G780), ""))</f>
        <v>0</v>
      </c>
      <c r="H780" s="21" t="str">
        <f>IF($N$1="Piping", IF(ISBLANK(Piping!H780), "", Piping!H780), IF($N$1="Vessels", IF(ISBLANK(Vessels!H780), "", Vessels!H780), ""))</f>
        <v/>
      </c>
      <c r="I780" s="21" t="str">
        <f>IF($N$1="Piping", IF(ISBLANK(Piping!I780), "", Piping!I780), IF($N$1="Vessels", IF(ISBLANK(Vessels!I780), "", Vessels!I780), ""))</f>
        <v/>
      </c>
      <c r="J780" s="21" t="str">
        <f>IF($N$1="Piping", IF(ISBLANK(Piping!J780), "", Piping!J780), IF($N$1="Vessels", IF(ISBLANK(Vessels!J780), "", Vessels!J780), ""))</f>
        <v/>
      </c>
      <c r="K780" s="21" t="str">
        <f>IF($N$1="Piping", IF(ISBLANK(Piping!K780), "", Piping!K780), IF($N$1="Vessels", IF(ISBLANK(Vessels!K780), "", Vessels!K780), ""))</f>
        <v/>
      </c>
      <c r="L780" s="21" t="str">
        <f>IF($N$1="Piping", IF(ISBLANK(Piping!L780), "", Piping!L780), IF($N$1="Vessels", IF(ISBLANK(Vessels!L780), "", Vessels!L780), ""))</f>
        <v/>
      </c>
      <c r="M780" s="21"/>
      <c r="N780" s="21"/>
      <c r="O780" s="21"/>
      <c r="P780" s="21"/>
      <c r="Q780" s="21" t="str">
        <f>IF($N$1="Piping", IF(ISBLANK(Piping!T780), "", Piping!T780), IF($N$1="Vessels", IF(ISBLANK(Vessels!T780), "", Vessels!T780), ""))</f>
        <v/>
      </c>
      <c r="R780" s="51" t="str">
        <f>IF($N$1="Piping", IF(ISBLANK(Piping!U780), "", Piping!U780), IF($N$1="Vessels", IF(ISBLANK(Vessels!U780), "", Vessels!U780), ""))</f>
        <v/>
      </c>
      <c r="S780" s="118" t="str">
        <f>IF(B780&lt;&gt;"",IF($N$1="Piping", IF(ISBLANK(Piping!$J$3), "", Piping!$J$3), IF($N$1="Vessels", IF(ISBLANK(Vessels!$J$3), "", Vessels!$J$3), "")),"")</f>
        <v/>
      </c>
      <c r="T780" s="37"/>
      <c r="U780" s="37"/>
      <c r="V780" s="37"/>
      <c r="W780" s="37"/>
      <c r="X780" s="37"/>
      <c r="Y780" s="37"/>
      <c r="Z780" s="37"/>
    </row>
    <row r="781" spans="1:26" ht="15.75" customHeight="1" x14ac:dyDescent="0.3">
      <c r="A781" s="22">
        <f>IF($N$1="Piping", IF(ISBLANK(Piping!A781), "", Piping!A781), IF($N$1="Vessels", IF(ISBLANK(Vessels!A781), "", Vessels!A781), ""))</f>
        <v>194.4</v>
      </c>
      <c r="B781" s="21" t="str">
        <f>IF($N$1="Piping", IF(ISBLANK(Piping!B781), "", Piping!B781), IF($N$1="Vessels", IF(ISBLANK(Vessels!B781), "", Vessels!B781), ""))</f>
        <v/>
      </c>
      <c r="C781" s="21" t="str">
        <f>IF($N$1="Piping", IF(ISBLANK(Piping!C781), "", Piping!C781), IF($N$1="Vessels", IF(ISBLANK(Vessels!C781), "", Vessels!C781), ""))</f>
        <v>Piping</v>
      </c>
      <c r="D781" s="21" t="str">
        <f>IF($N$1="Piping", IF(ISBLANK(Piping!D781), "", Piping!D781), IF($N$1="Vessels", IF(ISBLANK(Vessels!D781), "", Vessels!D781), ""))</f>
        <v/>
      </c>
      <c r="E781" s="21" t="str">
        <f>IF($N$1="Piping", IF(ISBLANK(Piping!E781), "", Piping!E781), IF($N$1="Vessels", IF(ISBLANK(Vessels!E781), "", Vessels!E781), ""))</f>
        <v/>
      </c>
      <c r="F781" s="21" t="str">
        <f>IF($N$1="Piping", IF(ISBLANK(Piping!F781), "", Piping!F781), IF($N$1="Vessels", IF(ISBLANK(Vessels!F781), "", Vessels!F781), ""))</f>
        <v/>
      </c>
      <c r="G781" s="21">
        <f>IF($N$1="Piping", IF(ISBLANK(Piping!G781), "", Piping!G781), IF($N$1="Vessels", IF(ISBLANK(Vessels!G781), "", Vessels!G781), ""))</f>
        <v>0</v>
      </c>
      <c r="H781" s="21" t="str">
        <f>IF($N$1="Piping", IF(ISBLANK(Piping!H781), "", Piping!H781), IF($N$1="Vessels", IF(ISBLANK(Vessels!H781), "", Vessels!H781), ""))</f>
        <v/>
      </c>
      <c r="I781" s="21" t="str">
        <f>IF($N$1="Piping", IF(ISBLANK(Piping!I781), "", Piping!I781), IF($N$1="Vessels", IF(ISBLANK(Vessels!I781), "", Vessels!I781), ""))</f>
        <v/>
      </c>
      <c r="J781" s="21" t="str">
        <f>IF($N$1="Piping", IF(ISBLANK(Piping!J781), "", Piping!J781), IF($N$1="Vessels", IF(ISBLANK(Vessels!J781), "", Vessels!J781), ""))</f>
        <v/>
      </c>
      <c r="K781" s="21" t="str">
        <f>IF($N$1="Piping", IF(ISBLANK(Piping!K781), "", Piping!K781), IF($N$1="Vessels", IF(ISBLANK(Vessels!K781), "", Vessels!K781), ""))</f>
        <v/>
      </c>
      <c r="L781" s="21" t="str">
        <f>IF($N$1="Piping", IF(ISBLANK(Piping!L781), "", Piping!L781), IF($N$1="Vessels", IF(ISBLANK(Vessels!L781), "", Vessels!L781), ""))</f>
        <v/>
      </c>
      <c r="M781" s="21"/>
      <c r="N781" s="21"/>
      <c r="O781" s="21"/>
      <c r="P781" s="21"/>
      <c r="Q781" s="21" t="str">
        <f>IF($N$1="Piping", IF(ISBLANK(Piping!T781), "", Piping!T781), IF($N$1="Vessels", IF(ISBLANK(Vessels!T781), "", Vessels!T781), ""))</f>
        <v/>
      </c>
      <c r="R781" s="51" t="str">
        <f>IF($N$1="Piping", IF(ISBLANK(Piping!U781), "", Piping!U781), IF($N$1="Vessels", IF(ISBLANK(Vessels!U781), "", Vessels!U781), ""))</f>
        <v/>
      </c>
      <c r="S781" s="118" t="str">
        <f>IF(B781&lt;&gt;"",IF($N$1="Piping", IF(ISBLANK(Piping!$J$3), "", Piping!$J$3), IF($N$1="Vessels", IF(ISBLANK(Vessels!$J$3), "", Vessels!$J$3), "")),"")</f>
        <v/>
      </c>
      <c r="T781" s="37"/>
      <c r="U781" s="37"/>
      <c r="V781" s="37"/>
      <c r="W781" s="37"/>
      <c r="X781" s="37"/>
      <c r="Y781" s="37"/>
      <c r="Z781" s="37"/>
    </row>
    <row r="782" spans="1:26" ht="15.75" customHeight="1" x14ac:dyDescent="0.3">
      <c r="A782" s="22">
        <f>IF($N$1="Piping", IF(ISBLANK(Piping!A782), "", Piping!A782), IF($N$1="Vessels", IF(ISBLANK(Vessels!A782), "", Vessels!A782), ""))</f>
        <v>195.1</v>
      </c>
      <c r="B782" s="21" t="str">
        <f>IF($N$1="Piping", IF(ISBLANK(Piping!B782), "", Piping!B782), IF($N$1="Vessels", IF(ISBLANK(Vessels!B782), "", Vessels!B782), ""))</f>
        <v/>
      </c>
      <c r="C782" s="21" t="str">
        <f>IF($N$1="Piping", IF(ISBLANK(Piping!C782), "", Piping!C782), IF($N$1="Vessels", IF(ISBLANK(Vessels!C782), "", Vessels!C782), ""))</f>
        <v>Piping</v>
      </c>
      <c r="D782" s="21" t="str">
        <f>IF($N$1="Piping", IF(ISBLANK(Piping!D782), "", Piping!D782), IF($N$1="Vessels", IF(ISBLANK(Vessels!D782), "", Vessels!D782), ""))</f>
        <v/>
      </c>
      <c r="E782" s="21" t="str">
        <f>IF($N$1="Piping", IF(ISBLANK(Piping!E782), "", Piping!E782), IF($N$1="Vessels", IF(ISBLANK(Vessels!E782), "", Vessels!E782), ""))</f>
        <v/>
      </c>
      <c r="F782" s="21" t="str">
        <f>IF($N$1="Piping", IF(ISBLANK(Piping!F782), "", Piping!F782), IF($N$1="Vessels", IF(ISBLANK(Vessels!F782), "", Vessels!F782), ""))</f>
        <v/>
      </c>
      <c r="G782" s="21">
        <f>IF($N$1="Piping", IF(ISBLANK(Piping!G782), "", Piping!G782), IF($N$1="Vessels", IF(ISBLANK(Vessels!G782), "", Vessels!G782), ""))</f>
        <v>0</v>
      </c>
      <c r="H782" s="21" t="str">
        <f>IF($N$1="Piping", IF(ISBLANK(Piping!H782), "", Piping!H782), IF($N$1="Vessels", IF(ISBLANK(Vessels!H782), "", Vessels!H782), ""))</f>
        <v/>
      </c>
      <c r="I782" s="21" t="str">
        <f>IF($N$1="Piping", IF(ISBLANK(Piping!I782), "", Piping!I782), IF($N$1="Vessels", IF(ISBLANK(Vessels!I782), "", Vessels!I782), ""))</f>
        <v/>
      </c>
      <c r="J782" s="21" t="str">
        <f>IF($N$1="Piping", IF(ISBLANK(Piping!J782), "", Piping!J782), IF($N$1="Vessels", IF(ISBLANK(Vessels!J782), "", Vessels!J782), ""))</f>
        <v/>
      </c>
      <c r="K782" s="21" t="str">
        <f>IF($N$1="Piping", IF(ISBLANK(Piping!K782), "", Piping!K782), IF($N$1="Vessels", IF(ISBLANK(Vessels!K782), "", Vessels!K782), ""))</f>
        <v/>
      </c>
      <c r="L782" s="21" t="str">
        <f>IF($N$1="Piping", IF(ISBLANK(Piping!L782), "", Piping!L782), IF($N$1="Vessels", IF(ISBLANK(Vessels!L782), "", Vessels!L782), ""))</f>
        <v/>
      </c>
      <c r="M782" s="21"/>
      <c r="N782" s="21"/>
      <c r="O782" s="21"/>
      <c r="P782" s="21"/>
      <c r="Q782" s="21" t="str">
        <f>IF($N$1="Piping", IF(ISBLANK(Piping!T782), "", Piping!T782), IF($N$1="Vessels", IF(ISBLANK(Vessels!T782), "", Vessels!T782), ""))</f>
        <v/>
      </c>
      <c r="R782" s="51" t="str">
        <f>IF($N$1="Piping", IF(ISBLANK(Piping!U782), "", Piping!U782), IF($N$1="Vessels", IF(ISBLANK(Vessels!U782), "", Vessels!U782), ""))</f>
        <v/>
      </c>
      <c r="S782" s="118" t="str">
        <f>IF(B782&lt;&gt;"",IF($N$1="Piping", IF(ISBLANK(Piping!$J$3), "", Piping!$J$3), IF($N$1="Vessels", IF(ISBLANK(Vessels!$J$3), "", Vessels!$J$3), "")),"")</f>
        <v/>
      </c>
      <c r="T782" s="37"/>
      <c r="U782" s="37"/>
      <c r="V782" s="37"/>
      <c r="W782" s="37"/>
      <c r="X782" s="37"/>
      <c r="Y782" s="37"/>
      <c r="Z782" s="37"/>
    </row>
    <row r="783" spans="1:26" ht="15.75" customHeight="1" x14ac:dyDescent="0.3">
      <c r="A783" s="22">
        <f>IF($N$1="Piping", IF(ISBLANK(Piping!A783), "", Piping!A783), IF($N$1="Vessels", IF(ISBLANK(Vessels!A783), "", Vessels!A783), ""))</f>
        <v>195.2</v>
      </c>
      <c r="B783" s="21" t="str">
        <f>IF($N$1="Piping", IF(ISBLANK(Piping!B783), "", Piping!B783), IF($N$1="Vessels", IF(ISBLANK(Vessels!B783), "", Vessels!B783), ""))</f>
        <v/>
      </c>
      <c r="C783" s="21" t="str">
        <f>IF($N$1="Piping", IF(ISBLANK(Piping!C783), "", Piping!C783), IF($N$1="Vessels", IF(ISBLANK(Vessels!C783), "", Vessels!C783), ""))</f>
        <v>Piping</v>
      </c>
      <c r="D783" s="21" t="str">
        <f>IF($N$1="Piping", IF(ISBLANK(Piping!D783), "", Piping!D783), IF($N$1="Vessels", IF(ISBLANK(Vessels!D783), "", Vessels!D783), ""))</f>
        <v/>
      </c>
      <c r="E783" s="21" t="str">
        <f>IF($N$1="Piping", IF(ISBLANK(Piping!E783), "", Piping!E783), IF($N$1="Vessels", IF(ISBLANK(Vessels!E783), "", Vessels!E783), ""))</f>
        <v/>
      </c>
      <c r="F783" s="21" t="str">
        <f>IF($N$1="Piping", IF(ISBLANK(Piping!F783), "", Piping!F783), IF($N$1="Vessels", IF(ISBLANK(Vessels!F783), "", Vessels!F783), ""))</f>
        <v/>
      </c>
      <c r="G783" s="21">
        <f>IF($N$1="Piping", IF(ISBLANK(Piping!G783), "", Piping!G783), IF($N$1="Vessels", IF(ISBLANK(Vessels!G783), "", Vessels!G783), ""))</f>
        <v>0</v>
      </c>
      <c r="H783" s="21" t="str">
        <f>IF($N$1="Piping", IF(ISBLANK(Piping!H783), "", Piping!H783), IF($N$1="Vessels", IF(ISBLANK(Vessels!H783), "", Vessels!H783), ""))</f>
        <v/>
      </c>
      <c r="I783" s="21" t="str">
        <f>IF($N$1="Piping", IF(ISBLANK(Piping!I783), "", Piping!I783), IF($N$1="Vessels", IF(ISBLANK(Vessels!I783), "", Vessels!I783), ""))</f>
        <v/>
      </c>
      <c r="J783" s="21" t="str">
        <f>IF($N$1="Piping", IF(ISBLANK(Piping!J783), "", Piping!J783), IF($N$1="Vessels", IF(ISBLANK(Vessels!J783), "", Vessels!J783), ""))</f>
        <v/>
      </c>
      <c r="K783" s="21" t="str">
        <f>IF($N$1="Piping", IF(ISBLANK(Piping!K783), "", Piping!K783), IF($N$1="Vessels", IF(ISBLANK(Vessels!K783), "", Vessels!K783), ""))</f>
        <v/>
      </c>
      <c r="L783" s="21" t="str">
        <f>IF($N$1="Piping", IF(ISBLANK(Piping!L783), "", Piping!L783), IF($N$1="Vessels", IF(ISBLANK(Vessels!L783), "", Vessels!L783), ""))</f>
        <v/>
      </c>
      <c r="M783" s="21"/>
      <c r="N783" s="21"/>
      <c r="O783" s="21"/>
      <c r="P783" s="21"/>
      <c r="Q783" s="21" t="str">
        <f>IF($N$1="Piping", IF(ISBLANK(Piping!T783), "", Piping!T783), IF($N$1="Vessels", IF(ISBLANK(Vessels!T783), "", Vessels!T783), ""))</f>
        <v/>
      </c>
      <c r="R783" s="51" t="str">
        <f>IF($N$1="Piping", IF(ISBLANK(Piping!U783), "", Piping!U783), IF($N$1="Vessels", IF(ISBLANK(Vessels!U783), "", Vessels!U783), ""))</f>
        <v/>
      </c>
      <c r="S783" s="118" t="str">
        <f>IF(B783&lt;&gt;"",IF($N$1="Piping", IF(ISBLANK(Piping!$J$3), "", Piping!$J$3), IF($N$1="Vessels", IF(ISBLANK(Vessels!$J$3), "", Vessels!$J$3), "")),"")</f>
        <v/>
      </c>
      <c r="T783" s="37"/>
      <c r="U783" s="37"/>
      <c r="V783" s="37"/>
      <c r="W783" s="37"/>
      <c r="X783" s="37"/>
      <c r="Y783" s="37"/>
      <c r="Z783" s="37"/>
    </row>
    <row r="784" spans="1:26" ht="15.75" customHeight="1" x14ac:dyDescent="0.3">
      <c r="A784" s="22">
        <f>IF($N$1="Piping", IF(ISBLANK(Piping!A784), "", Piping!A784), IF($N$1="Vessels", IF(ISBLANK(Vessels!A784), "", Vessels!A784), ""))</f>
        <v>195.3</v>
      </c>
      <c r="B784" s="21" t="str">
        <f>IF($N$1="Piping", IF(ISBLANK(Piping!B784), "", Piping!B784), IF($N$1="Vessels", IF(ISBLANK(Vessels!B784), "", Vessels!B784), ""))</f>
        <v/>
      </c>
      <c r="C784" s="21" t="str">
        <f>IF($N$1="Piping", IF(ISBLANK(Piping!C784), "", Piping!C784), IF($N$1="Vessels", IF(ISBLANK(Vessels!C784), "", Vessels!C784), ""))</f>
        <v>Piping</v>
      </c>
      <c r="D784" s="21" t="str">
        <f>IF($N$1="Piping", IF(ISBLANK(Piping!D784), "", Piping!D784), IF($N$1="Vessels", IF(ISBLANK(Vessels!D784), "", Vessels!D784), ""))</f>
        <v/>
      </c>
      <c r="E784" s="21" t="str">
        <f>IF($N$1="Piping", IF(ISBLANK(Piping!E784), "", Piping!E784), IF($N$1="Vessels", IF(ISBLANK(Vessels!E784), "", Vessels!E784), ""))</f>
        <v/>
      </c>
      <c r="F784" s="21" t="str">
        <f>IF($N$1="Piping", IF(ISBLANK(Piping!F784), "", Piping!F784), IF($N$1="Vessels", IF(ISBLANK(Vessels!F784), "", Vessels!F784), ""))</f>
        <v/>
      </c>
      <c r="G784" s="21">
        <f>IF($N$1="Piping", IF(ISBLANK(Piping!G784), "", Piping!G784), IF($N$1="Vessels", IF(ISBLANK(Vessels!G784), "", Vessels!G784), ""))</f>
        <v>0</v>
      </c>
      <c r="H784" s="21" t="str">
        <f>IF($N$1="Piping", IF(ISBLANK(Piping!H784), "", Piping!H784), IF($N$1="Vessels", IF(ISBLANK(Vessels!H784), "", Vessels!H784), ""))</f>
        <v/>
      </c>
      <c r="I784" s="21" t="str">
        <f>IF($N$1="Piping", IF(ISBLANK(Piping!I784), "", Piping!I784), IF($N$1="Vessels", IF(ISBLANK(Vessels!I784), "", Vessels!I784), ""))</f>
        <v/>
      </c>
      <c r="J784" s="21" t="str">
        <f>IF($N$1="Piping", IF(ISBLANK(Piping!J784), "", Piping!J784), IF($N$1="Vessels", IF(ISBLANK(Vessels!J784), "", Vessels!J784), ""))</f>
        <v/>
      </c>
      <c r="K784" s="21" t="str">
        <f>IF($N$1="Piping", IF(ISBLANK(Piping!K784), "", Piping!K784), IF($N$1="Vessels", IF(ISBLANK(Vessels!K784), "", Vessels!K784), ""))</f>
        <v/>
      </c>
      <c r="L784" s="21" t="str">
        <f>IF($N$1="Piping", IF(ISBLANK(Piping!L784), "", Piping!L784), IF($N$1="Vessels", IF(ISBLANK(Vessels!L784), "", Vessels!L784), ""))</f>
        <v/>
      </c>
      <c r="M784" s="21"/>
      <c r="N784" s="21"/>
      <c r="O784" s="21"/>
      <c r="P784" s="21"/>
      <c r="Q784" s="21" t="str">
        <f>IF($N$1="Piping", IF(ISBLANK(Piping!T784), "", Piping!T784), IF($N$1="Vessels", IF(ISBLANK(Vessels!T784), "", Vessels!T784), ""))</f>
        <v/>
      </c>
      <c r="R784" s="51" t="str">
        <f>IF($N$1="Piping", IF(ISBLANK(Piping!U784), "", Piping!U784), IF($N$1="Vessels", IF(ISBLANK(Vessels!U784), "", Vessels!U784), ""))</f>
        <v/>
      </c>
      <c r="S784" s="118" t="str">
        <f>IF(B784&lt;&gt;"",IF($N$1="Piping", IF(ISBLANK(Piping!$J$3), "", Piping!$J$3), IF($N$1="Vessels", IF(ISBLANK(Vessels!$J$3), "", Vessels!$J$3), "")),"")</f>
        <v/>
      </c>
      <c r="T784" s="37"/>
      <c r="U784" s="37"/>
      <c r="V784" s="37"/>
      <c r="W784" s="37"/>
      <c r="X784" s="37"/>
      <c r="Y784" s="37"/>
      <c r="Z784" s="37"/>
    </row>
    <row r="785" spans="1:26" ht="15.75" customHeight="1" x14ac:dyDescent="0.3">
      <c r="A785" s="22">
        <f>IF($N$1="Piping", IF(ISBLANK(Piping!A785), "", Piping!A785), IF($N$1="Vessels", IF(ISBLANK(Vessels!A785), "", Vessels!A785), ""))</f>
        <v>195.4</v>
      </c>
      <c r="B785" s="21" t="str">
        <f>IF($N$1="Piping", IF(ISBLANK(Piping!B785), "", Piping!B785), IF($N$1="Vessels", IF(ISBLANK(Vessels!B785), "", Vessels!B785), ""))</f>
        <v/>
      </c>
      <c r="C785" s="21" t="str">
        <f>IF($N$1="Piping", IF(ISBLANK(Piping!C785), "", Piping!C785), IF($N$1="Vessels", IF(ISBLANK(Vessels!C785), "", Vessels!C785), ""))</f>
        <v>Piping</v>
      </c>
      <c r="D785" s="21" t="str">
        <f>IF($N$1="Piping", IF(ISBLANK(Piping!D785), "", Piping!D785), IF($N$1="Vessels", IF(ISBLANK(Vessels!D785), "", Vessels!D785), ""))</f>
        <v/>
      </c>
      <c r="E785" s="21" t="str">
        <f>IF($N$1="Piping", IF(ISBLANK(Piping!E785), "", Piping!E785), IF($N$1="Vessels", IF(ISBLANK(Vessels!E785), "", Vessels!E785), ""))</f>
        <v/>
      </c>
      <c r="F785" s="21" t="str">
        <f>IF($N$1="Piping", IF(ISBLANK(Piping!F785), "", Piping!F785), IF($N$1="Vessels", IF(ISBLANK(Vessels!F785), "", Vessels!F785), ""))</f>
        <v/>
      </c>
      <c r="G785" s="21">
        <f>IF($N$1="Piping", IF(ISBLANK(Piping!G785), "", Piping!G785), IF($N$1="Vessels", IF(ISBLANK(Vessels!G785), "", Vessels!G785), ""))</f>
        <v>0</v>
      </c>
      <c r="H785" s="21" t="str">
        <f>IF($N$1="Piping", IF(ISBLANK(Piping!H785), "", Piping!H785), IF($N$1="Vessels", IF(ISBLANK(Vessels!H785), "", Vessels!H785), ""))</f>
        <v/>
      </c>
      <c r="I785" s="21" t="str">
        <f>IF($N$1="Piping", IF(ISBLANK(Piping!I785), "", Piping!I785), IF($N$1="Vessels", IF(ISBLANK(Vessels!I785), "", Vessels!I785), ""))</f>
        <v/>
      </c>
      <c r="J785" s="21" t="str">
        <f>IF($N$1="Piping", IF(ISBLANK(Piping!J785), "", Piping!J785), IF($N$1="Vessels", IF(ISBLANK(Vessels!J785), "", Vessels!J785), ""))</f>
        <v/>
      </c>
      <c r="K785" s="21" t="str">
        <f>IF($N$1="Piping", IF(ISBLANK(Piping!K785), "", Piping!K785), IF($N$1="Vessels", IF(ISBLANK(Vessels!K785), "", Vessels!K785), ""))</f>
        <v/>
      </c>
      <c r="L785" s="21" t="str">
        <f>IF($N$1="Piping", IF(ISBLANK(Piping!L785), "", Piping!L785), IF($N$1="Vessels", IF(ISBLANK(Vessels!L785), "", Vessels!L785), ""))</f>
        <v/>
      </c>
      <c r="M785" s="21"/>
      <c r="N785" s="21"/>
      <c r="O785" s="21"/>
      <c r="P785" s="21"/>
      <c r="Q785" s="21" t="str">
        <f>IF($N$1="Piping", IF(ISBLANK(Piping!T785), "", Piping!T785), IF($N$1="Vessels", IF(ISBLANK(Vessels!T785), "", Vessels!T785), ""))</f>
        <v/>
      </c>
      <c r="R785" s="51" t="str">
        <f>IF($N$1="Piping", IF(ISBLANK(Piping!U785), "", Piping!U785), IF($N$1="Vessels", IF(ISBLANK(Vessels!U785), "", Vessels!U785), ""))</f>
        <v/>
      </c>
      <c r="S785" s="118" t="str">
        <f>IF(B785&lt;&gt;"",IF($N$1="Piping", IF(ISBLANK(Piping!$J$3), "", Piping!$J$3), IF($N$1="Vessels", IF(ISBLANK(Vessels!$J$3), "", Vessels!$J$3), "")),"")</f>
        <v/>
      </c>
      <c r="T785" s="37"/>
      <c r="U785" s="37"/>
      <c r="V785" s="37"/>
      <c r="W785" s="37"/>
      <c r="X785" s="37"/>
      <c r="Y785" s="37"/>
      <c r="Z785" s="37"/>
    </row>
    <row r="786" spans="1:26" ht="15.75" customHeight="1" x14ac:dyDescent="0.3">
      <c r="A786" s="22">
        <f>IF($N$1="Piping", IF(ISBLANK(Piping!A786), "", Piping!A786), IF($N$1="Vessels", IF(ISBLANK(Vessels!A786), "", Vessels!A786), ""))</f>
        <v>196.1</v>
      </c>
      <c r="B786" s="21" t="str">
        <f>IF($N$1="Piping", IF(ISBLANK(Piping!B786), "", Piping!B786), IF($N$1="Vessels", IF(ISBLANK(Vessels!B786), "", Vessels!B786), ""))</f>
        <v/>
      </c>
      <c r="C786" s="21" t="str">
        <f>IF($N$1="Piping", IF(ISBLANK(Piping!C786), "", Piping!C786), IF($N$1="Vessels", IF(ISBLANK(Vessels!C786), "", Vessels!C786), ""))</f>
        <v>Piping</v>
      </c>
      <c r="D786" s="21" t="str">
        <f>IF($N$1="Piping", IF(ISBLANK(Piping!D786), "", Piping!D786), IF($N$1="Vessels", IF(ISBLANK(Vessels!D786), "", Vessels!D786), ""))</f>
        <v/>
      </c>
      <c r="E786" s="21" t="str">
        <f>IF($N$1="Piping", IF(ISBLANK(Piping!E786), "", Piping!E786), IF($N$1="Vessels", IF(ISBLANK(Vessels!E786), "", Vessels!E786), ""))</f>
        <v/>
      </c>
      <c r="F786" s="21" t="str">
        <f>IF($N$1="Piping", IF(ISBLANK(Piping!F786), "", Piping!F786), IF($N$1="Vessels", IF(ISBLANK(Vessels!F786), "", Vessels!F786), ""))</f>
        <v/>
      </c>
      <c r="G786" s="21">
        <f>IF($N$1="Piping", IF(ISBLANK(Piping!G786), "", Piping!G786), IF($N$1="Vessels", IF(ISBLANK(Vessels!G786), "", Vessels!G786), ""))</f>
        <v>0</v>
      </c>
      <c r="H786" s="21" t="str">
        <f>IF($N$1="Piping", IF(ISBLANK(Piping!H786), "", Piping!H786), IF($N$1="Vessels", IF(ISBLANK(Vessels!H786), "", Vessels!H786), ""))</f>
        <v/>
      </c>
      <c r="I786" s="21" t="str">
        <f>IF($N$1="Piping", IF(ISBLANK(Piping!I786), "", Piping!I786), IF($N$1="Vessels", IF(ISBLANK(Vessels!I786), "", Vessels!I786), ""))</f>
        <v/>
      </c>
      <c r="J786" s="21" t="str">
        <f>IF($N$1="Piping", IF(ISBLANK(Piping!J786), "", Piping!J786), IF($N$1="Vessels", IF(ISBLANK(Vessels!J786), "", Vessels!J786), ""))</f>
        <v/>
      </c>
      <c r="K786" s="21" t="str">
        <f>IF($N$1="Piping", IF(ISBLANK(Piping!K786), "", Piping!K786), IF($N$1="Vessels", IF(ISBLANK(Vessels!K786), "", Vessels!K786), ""))</f>
        <v/>
      </c>
      <c r="L786" s="21" t="str">
        <f>IF($N$1="Piping", IF(ISBLANK(Piping!L786), "", Piping!L786), IF($N$1="Vessels", IF(ISBLANK(Vessels!L786), "", Vessels!L786), ""))</f>
        <v/>
      </c>
      <c r="M786" s="21"/>
      <c r="N786" s="21"/>
      <c r="O786" s="21"/>
      <c r="P786" s="21"/>
      <c r="Q786" s="21" t="str">
        <f>IF($N$1="Piping", IF(ISBLANK(Piping!T786), "", Piping!T786), IF($N$1="Vessels", IF(ISBLANK(Vessels!T786), "", Vessels!T786), ""))</f>
        <v/>
      </c>
      <c r="R786" s="51" t="str">
        <f>IF($N$1="Piping", IF(ISBLANK(Piping!U786), "", Piping!U786), IF($N$1="Vessels", IF(ISBLANK(Vessels!U786), "", Vessels!U786), ""))</f>
        <v/>
      </c>
      <c r="S786" s="118" t="str">
        <f>IF(B786&lt;&gt;"",IF($N$1="Piping", IF(ISBLANK(Piping!$J$3), "", Piping!$J$3), IF($N$1="Vessels", IF(ISBLANK(Vessels!$J$3), "", Vessels!$J$3), "")),"")</f>
        <v/>
      </c>
      <c r="T786" s="37"/>
      <c r="U786" s="37"/>
      <c r="V786" s="37"/>
      <c r="W786" s="37"/>
      <c r="X786" s="37"/>
      <c r="Y786" s="37"/>
      <c r="Z786" s="37"/>
    </row>
    <row r="787" spans="1:26" ht="15.75" customHeight="1" x14ac:dyDescent="0.3">
      <c r="A787" s="22">
        <f>IF($N$1="Piping", IF(ISBLANK(Piping!A787), "", Piping!A787), IF($N$1="Vessels", IF(ISBLANK(Vessels!A787), "", Vessels!A787), ""))</f>
        <v>196.2</v>
      </c>
      <c r="B787" s="21" t="str">
        <f>IF($N$1="Piping", IF(ISBLANK(Piping!B787), "", Piping!B787), IF($N$1="Vessels", IF(ISBLANK(Vessels!B787), "", Vessels!B787), ""))</f>
        <v/>
      </c>
      <c r="C787" s="21" t="str">
        <f>IF($N$1="Piping", IF(ISBLANK(Piping!C787), "", Piping!C787), IF($N$1="Vessels", IF(ISBLANK(Vessels!C787), "", Vessels!C787), ""))</f>
        <v>Piping</v>
      </c>
      <c r="D787" s="21" t="str">
        <f>IF($N$1="Piping", IF(ISBLANK(Piping!D787), "", Piping!D787), IF($N$1="Vessels", IF(ISBLANK(Vessels!D787), "", Vessels!D787), ""))</f>
        <v/>
      </c>
      <c r="E787" s="21" t="str">
        <f>IF($N$1="Piping", IF(ISBLANK(Piping!E787), "", Piping!E787), IF($N$1="Vessels", IF(ISBLANK(Vessels!E787), "", Vessels!E787), ""))</f>
        <v/>
      </c>
      <c r="F787" s="21" t="str">
        <f>IF($N$1="Piping", IF(ISBLANK(Piping!F787), "", Piping!F787), IF($N$1="Vessels", IF(ISBLANK(Vessels!F787), "", Vessels!F787), ""))</f>
        <v/>
      </c>
      <c r="G787" s="21">
        <f>IF($N$1="Piping", IF(ISBLANK(Piping!G787), "", Piping!G787), IF($N$1="Vessels", IF(ISBLANK(Vessels!G787), "", Vessels!G787), ""))</f>
        <v>0</v>
      </c>
      <c r="H787" s="21" t="str">
        <f>IF($N$1="Piping", IF(ISBLANK(Piping!H787), "", Piping!H787), IF($N$1="Vessels", IF(ISBLANK(Vessels!H787), "", Vessels!H787), ""))</f>
        <v/>
      </c>
      <c r="I787" s="21" t="str">
        <f>IF($N$1="Piping", IF(ISBLANK(Piping!I787), "", Piping!I787), IF($N$1="Vessels", IF(ISBLANK(Vessels!I787), "", Vessels!I787), ""))</f>
        <v/>
      </c>
      <c r="J787" s="21" t="str">
        <f>IF($N$1="Piping", IF(ISBLANK(Piping!J787), "", Piping!J787), IF($N$1="Vessels", IF(ISBLANK(Vessels!J787), "", Vessels!J787), ""))</f>
        <v/>
      </c>
      <c r="K787" s="21" t="str">
        <f>IF($N$1="Piping", IF(ISBLANK(Piping!K787), "", Piping!K787), IF($N$1="Vessels", IF(ISBLANK(Vessels!K787), "", Vessels!K787), ""))</f>
        <v/>
      </c>
      <c r="L787" s="21" t="str">
        <f>IF($N$1="Piping", IF(ISBLANK(Piping!L787), "", Piping!L787), IF($N$1="Vessels", IF(ISBLANK(Vessels!L787), "", Vessels!L787), ""))</f>
        <v/>
      </c>
      <c r="M787" s="21"/>
      <c r="N787" s="21"/>
      <c r="O787" s="21"/>
      <c r="P787" s="21"/>
      <c r="Q787" s="21" t="str">
        <f>IF($N$1="Piping", IF(ISBLANK(Piping!T787), "", Piping!T787), IF($N$1="Vessels", IF(ISBLANK(Vessels!T787), "", Vessels!T787), ""))</f>
        <v/>
      </c>
      <c r="R787" s="51" t="str">
        <f>IF($N$1="Piping", IF(ISBLANK(Piping!U787), "", Piping!U787), IF($N$1="Vessels", IF(ISBLANK(Vessels!U787), "", Vessels!U787), ""))</f>
        <v/>
      </c>
      <c r="S787" s="118" t="str">
        <f>IF(B787&lt;&gt;"",IF($N$1="Piping", IF(ISBLANK(Piping!$J$3), "", Piping!$J$3), IF($N$1="Vessels", IF(ISBLANK(Vessels!$J$3), "", Vessels!$J$3), "")),"")</f>
        <v/>
      </c>
      <c r="T787" s="37"/>
      <c r="U787" s="37"/>
      <c r="V787" s="37"/>
      <c r="W787" s="37"/>
      <c r="X787" s="37"/>
      <c r="Y787" s="37"/>
      <c r="Z787" s="37"/>
    </row>
    <row r="788" spans="1:26" ht="15.75" customHeight="1" x14ac:dyDescent="0.3">
      <c r="A788" s="22">
        <f>IF($N$1="Piping", IF(ISBLANK(Piping!A788), "", Piping!A788), IF($N$1="Vessels", IF(ISBLANK(Vessels!A788), "", Vessels!A788), ""))</f>
        <v>196.3</v>
      </c>
      <c r="B788" s="21" t="str">
        <f>IF($N$1="Piping", IF(ISBLANK(Piping!B788), "", Piping!B788), IF($N$1="Vessels", IF(ISBLANK(Vessels!B788), "", Vessels!B788), ""))</f>
        <v/>
      </c>
      <c r="C788" s="21" t="str">
        <f>IF($N$1="Piping", IF(ISBLANK(Piping!C788), "", Piping!C788), IF($N$1="Vessels", IF(ISBLANK(Vessels!C788), "", Vessels!C788), ""))</f>
        <v>Piping</v>
      </c>
      <c r="D788" s="21" t="str">
        <f>IF($N$1="Piping", IF(ISBLANK(Piping!D788), "", Piping!D788), IF($N$1="Vessels", IF(ISBLANK(Vessels!D788), "", Vessels!D788), ""))</f>
        <v/>
      </c>
      <c r="E788" s="21" t="str">
        <f>IF($N$1="Piping", IF(ISBLANK(Piping!E788), "", Piping!E788), IF($N$1="Vessels", IF(ISBLANK(Vessels!E788), "", Vessels!E788), ""))</f>
        <v/>
      </c>
      <c r="F788" s="21" t="str">
        <f>IF($N$1="Piping", IF(ISBLANK(Piping!F788), "", Piping!F788), IF($N$1="Vessels", IF(ISBLANK(Vessels!F788), "", Vessels!F788), ""))</f>
        <v/>
      </c>
      <c r="G788" s="21">
        <f>IF($N$1="Piping", IF(ISBLANK(Piping!G788), "", Piping!G788), IF($N$1="Vessels", IF(ISBLANK(Vessels!G788), "", Vessels!G788), ""))</f>
        <v>0</v>
      </c>
      <c r="H788" s="21" t="str">
        <f>IF($N$1="Piping", IF(ISBLANK(Piping!H788), "", Piping!H788), IF($N$1="Vessels", IF(ISBLANK(Vessels!H788), "", Vessels!H788), ""))</f>
        <v/>
      </c>
      <c r="I788" s="21" t="str">
        <f>IF($N$1="Piping", IF(ISBLANK(Piping!I788), "", Piping!I788), IF($N$1="Vessels", IF(ISBLANK(Vessels!I788), "", Vessels!I788), ""))</f>
        <v/>
      </c>
      <c r="J788" s="21" t="str">
        <f>IF($N$1="Piping", IF(ISBLANK(Piping!J788), "", Piping!J788), IF($N$1="Vessels", IF(ISBLANK(Vessels!J788), "", Vessels!J788), ""))</f>
        <v/>
      </c>
      <c r="K788" s="21" t="str">
        <f>IF($N$1="Piping", IF(ISBLANK(Piping!K788), "", Piping!K788), IF($N$1="Vessels", IF(ISBLANK(Vessels!K788), "", Vessels!K788), ""))</f>
        <v/>
      </c>
      <c r="L788" s="21" t="str">
        <f>IF($N$1="Piping", IF(ISBLANK(Piping!L788), "", Piping!L788), IF($N$1="Vessels", IF(ISBLANK(Vessels!L788), "", Vessels!L788), ""))</f>
        <v/>
      </c>
      <c r="M788" s="21"/>
      <c r="N788" s="21"/>
      <c r="O788" s="21"/>
      <c r="P788" s="21"/>
      <c r="Q788" s="21" t="str">
        <f>IF($N$1="Piping", IF(ISBLANK(Piping!T788), "", Piping!T788), IF($N$1="Vessels", IF(ISBLANK(Vessels!T788), "", Vessels!T788), ""))</f>
        <v/>
      </c>
      <c r="R788" s="51" t="str">
        <f>IF($N$1="Piping", IF(ISBLANK(Piping!U788), "", Piping!U788), IF($N$1="Vessels", IF(ISBLANK(Vessels!U788), "", Vessels!U788), ""))</f>
        <v/>
      </c>
      <c r="S788" s="118" t="str">
        <f>IF(B788&lt;&gt;"",IF($N$1="Piping", IF(ISBLANK(Piping!$J$3), "", Piping!$J$3), IF($N$1="Vessels", IF(ISBLANK(Vessels!$J$3), "", Vessels!$J$3), "")),"")</f>
        <v/>
      </c>
      <c r="T788" s="37"/>
      <c r="U788" s="37"/>
      <c r="V788" s="37"/>
      <c r="W788" s="37"/>
      <c r="X788" s="37"/>
      <c r="Y788" s="37"/>
      <c r="Z788" s="37"/>
    </row>
    <row r="789" spans="1:26" ht="15.75" customHeight="1" x14ac:dyDescent="0.3">
      <c r="A789" s="22">
        <f>IF($N$1="Piping", IF(ISBLANK(Piping!A789), "", Piping!A789), IF($N$1="Vessels", IF(ISBLANK(Vessels!A789), "", Vessels!A789), ""))</f>
        <v>196.4</v>
      </c>
      <c r="B789" s="21" t="str">
        <f>IF($N$1="Piping", IF(ISBLANK(Piping!B789), "", Piping!B789), IF($N$1="Vessels", IF(ISBLANK(Vessels!B789), "", Vessels!B789), ""))</f>
        <v/>
      </c>
      <c r="C789" s="21" t="str">
        <f>IF($N$1="Piping", IF(ISBLANK(Piping!C789), "", Piping!C789), IF($N$1="Vessels", IF(ISBLANK(Vessels!C789), "", Vessels!C789), ""))</f>
        <v>Piping</v>
      </c>
      <c r="D789" s="21" t="str">
        <f>IF($N$1="Piping", IF(ISBLANK(Piping!D789), "", Piping!D789), IF($N$1="Vessels", IF(ISBLANK(Vessels!D789), "", Vessels!D789), ""))</f>
        <v/>
      </c>
      <c r="E789" s="21" t="str">
        <f>IF($N$1="Piping", IF(ISBLANK(Piping!E789), "", Piping!E789), IF($N$1="Vessels", IF(ISBLANK(Vessels!E789), "", Vessels!E789), ""))</f>
        <v/>
      </c>
      <c r="F789" s="21" t="str">
        <f>IF($N$1="Piping", IF(ISBLANK(Piping!F789), "", Piping!F789), IF($N$1="Vessels", IF(ISBLANK(Vessels!F789), "", Vessels!F789), ""))</f>
        <v/>
      </c>
      <c r="G789" s="21">
        <f>IF($N$1="Piping", IF(ISBLANK(Piping!G789), "", Piping!G789), IF($N$1="Vessels", IF(ISBLANK(Vessels!G789), "", Vessels!G789), ""))</f>
        <v>0</v>
      </c>
      <c r="H789" s="21" t="str">
        <f>IF($N$1="Piping", IF(ISBLANK(Piping!H789), "", Piping!H789), IF($N$1="Vessels", IF(ISBLANK(Vessels!H789), "", Vessels!H789), ""))</f>
        <v/>
      </c>
      <c r="I789" s="21" t="str">
        <f>IF($N$1="Piping", IF(ISBLANK(Piping!I789), "", Piping!I789), IF($N$1="Vessels", IF(ISBLANK(Vessels!I789), "", Vessels!I789), ""))</f>
        <v/>
      </c>
      <c r="J789" s="21" t="str">
        <f>IF($N$1="Piping", IF(ISBLANK(Piping!J789), "", Piping!J789), IF($N$1="Vessels", IF(ISBLANK(Vessels!J789), "", Vessels!J789), ""))</f>
        <v/>
      </c>
      <c r="K789" s="21" t="str">
        <f>IF($N$1="Piping", IF(ISBLANK(Piping!K789), "", Piping!K789), IF($N$1="Vessels", IF(ISBLANK(Vessels!K789), "", Vessels!K789), ""))</f>
        <v/>
      </c>
      <c r="L789" s="21" t="str">
        <f>IF($N$1="Piping", IF(ISBLANK(Piping!L789), "", Piping!L789), IF($N$1="Vessels", IF(ISBLANK(Vessels!L789), "", Vessels!L789), ""))</f>
        <v/>
      </c>
      <c r="M789" s="21"/>
      <c r="N789" s="21"/>
      <c r="O789" s="21"/>
      <c r="P789" s="21"/>
      <c r="Q789" s="21" t="str">
        <f>IF($N$1="Piping", IF(ISBLANK(Piping!T789), "", Piping!T789), IF($N$1="Vessels", IF(ISBLANK(Vessels!T789), "", Vessels!T789), ""))</f>
        <v/>
      </c>
      <c r="R789" s="51" t="str">
        <f>IF($N$1="Piping", IF(ISBLANK(Piping!U789), "", Piping!U789), IF($N$1="Vessels", IF(ISBLANK(Vessels!U789), "", Vessels!U789), ""))</f>
        <v/>
      </c>
      <c r="S789" s="118" t="str">
        <f>IF(B789&lt;&gt;"",IF($N$1="Piping", IF(ISBLANK(Piping!$J$3), "", Piping!$J$3), IF($N$1="Vessels", IF(ISBLANK(Vessels!$J$3), "", Vessels!$J$3), "")),"")</f>
        <v/>
      </c>
      <c r="T789" s="37"/>
      <c r="U789" s="37"/>
      <c r="V789" s="37"/>
      <c r="W789" s="37"/>
      <c r="X789" s="37"/>
      <c r="Y789" s="37"/>
      <c r="Z789" s="37"/>
    </row>
    <row r="790" spans="1:26" ht="15.75" customHeight="1" x14ac:dyDescent="0.3">
      <c r="A790" s="22">
        <f>IF($N$1="Piping", IF(ISBLANK(Piping!A790), "", Piping!A790), IF($N$1="Vessels", IF(ISBLANK(Vessels!A790), "", Vessels!A790), ""))</f>
        <v>197.1</v>
      </c>
      <c r="B790" s="21" t="str">
        <f>IF($N$1="Piping", IF(ISBLANK(Piping!B790), "", Piping!B790), IF($N$1="Vessels", IF(ISBLANK(Vessels!B790), "", Vessels!B790), ""))</f>
        <v/>
      </c>
      <c r="C790" s="21" t="str">
        <f>IF($N$1="Piping", IF(ISBLANK(Piping!C790), "", Piping!C790), IF($N$1="Vessels", IF(ISBLANK(Vessels!C790), "", Vessels!C790), ""))</f>
        <v>Piping</v>
      </c>
      <c r="D790" s="21" t="str">
        <f>IF($N$1="Piping", IF(ISBLANK(Piping!D790), "", Piping!D790), IF($N$1="Vessels", IF(ISBLANK(Vessels!D790), "", Vessels!D790), ""))</f>
        <v/>
      </c>
      <c r="E790" s="21" t="str">
        <f>IF($N$1="Piping", IF(ISBLANK(Piping!E790), "", Piping!E790), IF($N$1="Vessels", IF(ISBLANK(Vessels!E790), "", Vessels!E790), ""))</f>
        <v/>
      </c>
      <c r="F790" s="21" t="str">
        <f>IF($N$1="Piping", IF(ISBLANK(Piping!F790), "", Piping!F790), IF($N$1="Vessels", IF(ISBLANK(Vessels!F790), "", Vessels!F790), ""))</f>
        <v/>
      </c>
      <c r="G790" s="21">
        <f>IF($N$1="Piping", IF(ISBLANK(Piping!G790), "", Piping!G790), IF($N$1="Vessels", IF(ISBLANK(Vessels!G790), "", Vessels!G790), ""))</f>
        <v>0</v>
      </c>
      <c r="H790" s="21" t="str">
        <f>IF($N$1="Piping", IF(ISBLANK(Piping!H790), "", Piping!H790), IF($N$1="Vessels", IF(ISBLANK(Vessels!H790), "", Vessels!H790), ""))</f>
        <v/>
      </c>
      <c r="I790" s="21" t="str">
        <f>IF($N$1="Piping", IF(ISBLANK(Piping!I790), "", Piping!I790), IF($N$1="Vessels", IF(ISBLANK(Vessels!I790), "", Vessels!I790), ""))</f>
        <v/>
      </c>
      <c r="J790" s="21" t="str">
        <f>IF($N$1="Piping", IF(ISBLANK(Piping!J790), "", Piping!J790), IF($N$1="Vessels", IF(ISBLANK(Vessels!J790), "", Vessels!J790), ""))</f>
        <v/>
      </c>
      <c r="K790" s="21" t="str">
        <f>IF($N$1="Piping", IF(ISBLANK(Piping!K790), "", Piping!K790), IF($N$1="Vessels", IF(ISBLANK(Vessels!K790), "", Vessels!K790), ""))</f>
        <v/>
      </c>
      <c r="L790" s="21" t="str">
        <f>IF($N$1="Piping", IF(ISBLANK(Piping!L790), "", Piping!L790), IF($N$1="Vessels", IF(ISBLANK(Vessels!L790), "", Vessels!L790), ""))</f>
        <v/>
      </c>
      <c r="M790" s="21"/>
      <c r="N790" s="21"/>
      <c r="O790" s="21"/>
      <c r="P790" s="21"/>
      <c r="Q790" s="21" t="str">
        <f>IF($N$1="Piping", IF(ISBLANK(Piping!T790), "", Piping!T790), IF($N$1="Vessels", IF(ISBLANK(Vessels!T790), "", Vessels!T790), ""))</f>
        <v/>
      </c>
      <c r="R790" s="51" t="str">
        <f>IF($N$1="Piping", IF(ISBLANK(Piping!U790), "", Piping!U790), IF($N$1="Vessels", IF(ISBLANK(Vessels!U790), "", Vessels!U790), ""))</f>
        <v/>
      </c>
      <c r="S790" s="118" t="str">
        <f>IF(B790&lt;&gt;"",IF($N$1="Piping", IF(ISBLANK(Piping!$J$3), "", Piping!$J$3), IF($N$1="Vessels", IF(ISBLANK(Vessels!$J$3), "", Vessels!$J$3), "")),"")</f>
        <v/>
      </c>
      <c r="T790" s="37"/>
      <c r="U790" s="37"/>
      <c r="V790" s="37"/>
      <c r="W790" s="37"/>
      <c r="X790" s="37"/>
      <c r="Y790" s="37"/>
      <c r="Z790" s="37"/>
    </row>
    <row r="791" spans="1:26" ht="15.75" customHeight="1" x14ac:dyDescent="0.3">
      <c r="A791" s="22">
        <f>IF($N$1="Piping", IF(ISBLANK(Piping!A791), "", Piping!A791), IF($N$1="Vessels", IF(ISBLANK(Vessels!A791), "", Vessels!A791), ""))</f>
        <v>197.2</v>
      </c>
      <c r="B791" s="21" t="str">
        <f>IF($N$1="Piping", IF(ISBLANK(Piping!B791), "", Piping!B791), IF($N$1="Vessels", IF(ISBLANK(Vessels!B791), "", Vessels!B791), ""))</f>
        <v/>
      </c>
      <c r="C791" s="21" t="str">
        <f>IF($N$1="Piping", IF(ISBLANK(Piping!C791), "", Piping!C791), IF($N$1="Vessels", IF(ISBLANK(Vessels!C791), "", Vessels!C791), ""))</f>
        <v>Piping</v>
      </c>
      <c r="D791" s="21" t="str">
        <f>IF($N$1="Piping", IF(ISBLANK(Piping!D791), "", Piping!D791), IF($N$1="Vessels", IF(ISBLANK(Vessels!D791), "", Vessels!D791), ""))</f>
        <v/>
      </c>
      <c r="E791" s="21" t="str">
        <f>IF($N$1="Piping", IF(ISBLANK(Piping!E791), "", Piping!E791), IF($N$1="Vessels", IF(ISBLANK(Vessels!E791), "", Vessels!E791), ""))</f>
        <v/>
      </c>
      <c r="F791" s="21" t="str">
        <f>IF($N$1="Piping", IF(ISBLANK(Piping!F791), "", Piping!F791), IF($N$1="Vessels", IF(ISBLANK(Vessels!F791), "", Vessels!F791), ""))</f>
        <v/>
      </c>
      <c r="G791" s="21">
        <f>IF($N$1="Piping", IF(ISBLANK(Piping!G791), "", Piping!G791), IF($N$1="Vessels", IF(ISBLANK(Vessels!G791), "", Vessels!G791), ""))</f>
        <v>0</v>
      </c>
      <c r="H791" s="21" t="str">
        <f>IF($N$1="Piping", IF(ISBLANK(Piping!H791), "", Piping!H791), IF($N$1="Vessels", IF(ISBLANK(Vessels!H791), "", Vessels!H791), ""))</f>
        <v/>
      </c>
      <c r="I791" s="21" t="str">
        <f>IF($N$1="Piping", IF(ISBLANK(Piping!I791), "", Piping!I791), IF($N$1="Vessels", IF(ISBLANK(Vessels!I791), "", Vessels!I791), ""))</f>
        <v/>
      </c>
      <c r="J791" s="21" t="str">
        <f>IF($N$1="Piping", IF(ISBLANK(Piping!J791), "", Piping!J791), IF($N$1="Vessels", IF(ISBLANK(Vessels!J791), "", Vessels!J791), ""))</f>
        <v/>
      </c>
      <c r="K791" s="21" t="str">
        <f>IF($N$1="Piping", IF(ISBLANK(Piping!K791), "", Piping!K791), IF($N$1="Vessels", IF(ISBLANK(Vessels!K791), "", Vessels!K791), ""))</f>
        <v/>
      </c>
      <c r="L791" s="21" t="str">
        <f>IF($N$1="Piping", IF(ISBLANK(Piping!L791), "", Piping!L791), IF($N$1="Vessels", IF(ISBLANK(Vessels!L791), "", Vessels!L791), ""))</f>
        <v/>
      </c>
      <c r="M791" s="21"/>
      <c r="N791" s="21"/>
      <c r="O791" s="21"/>
      <c r="P791" s="21"/>
      <c r="Q791" s="21" t="str">
        <f>IF($N$1="Piping", IF(ISBLANK(Piping!T791), "", Piping!T791), IF($N$1="Vessels", IF(ISBLANK(Vessels!T791), "", Vessels!T791), ""))</f>
        <v/>
      </c>
      <c r="R791" s="51" t="str">
        <f>IF($N$1="Piping", IF(ISBLANK(Piping!U791), "", Piping!U791), IF($N$1="Vessels", IF(ISBLANK(Vessels!U791), "", Vessels!U791), ""))</f>
        <v/>
      </c>
      <c r="S791" s="118" t="str">
        <f>IF(B791&lt;&gt;"",IF($N$1="Piping", IF(ISBLANK(Piping!$J$3), "", Piping!$J$3), IF($N$1="Vessels", IF(ISBLANK(Vessels!$J$3), "", Vessels!$J$3), "")),"")</f>
        <v/>
      </c>
      <c r="T791" s="37"/>
      <c r="U791" s="37"/>
      <c r="V791" s="37"/>
      <c r="W791" s="37"/>
      <c r="X791" s="37"/>
      <c r="Y791" s="37"/>
      <c r="Z791" s="37"/>
    </row>
    <row r="792" spans="1:26" ht="15.75" customHeight="1" x14ac:dyDescent="0.3">
      <c r="A792" s="22">
        <f>IF($N$1="Piping", IF(ISBLANK(Piping!A792), "", Piping!A792), IF($N$1="Vessels", IF(ISBLANK(Vessels!A792), "", Vessels!A792), ""))</f>
        <v>197.3</v>
      </c>
      <c r="B792" s="21" t="str">
        <f>IF($N$1="Piping", IF(ISBLANK(Piping!B792), "", Piping!B792), IF($N$1="Vessels", IF(ISBLANK(Vessels!B792), "", Vessels!B792), ""))</f>
        <v/>
      </c>
      <c r="C792" s="21" t="str">
        <f>IF($N$1="Piping", IF(ISBLANK(Piping!C792), "", Piping!C792), IF($N$1="Vessels", IF(ISBLANK(Vessels!C792), "", Vessels!C792), ""))</f>
        <v>Piping</v>
      </c>
      <c r="D792" s="21" t="str">
        <f>IF($N$1="Piping", IF(ISBLANK(Piping!D792), "", Piping!D792), IF($N$1="Vessels", IF(ISBLANK(Vessels!D792), "", Vessels!D792), ""))</f>
        <v/>
      </c>
      <c r="E792" s="21" t="str">
        <f>IF($N$1="Piping", IF(ISBLANK(Piping!E792), "", Piping!E792), IF($N$1="Vessels", IF(ISBLANK(Vessels!E792), "", Vessels!E792), ""))</f>
        <v/>
      </c>
      <c r="F792" s="21" t="str">
        <f>IF($N$1="Piping", IF(ISBLANK(Piping!F792), "", Piping!F792), IF($N$1="Vessels", IF(ISBLANK(Vessels!F792), "", Vessels!F792), ""))</f>
        <v/>
      </c>
      <c r="G792" s="21">
        <f>IF($N$1="Piping", IF(ISBLANK(Piping!G792), "", Piping!G792), IF($N$1="Vessels", IF(ISBLANK(Vessels!G792), "", Vessels!G792), ""))</f>
        <v>0</v>
      </c>
      <c r="H792" s="21" t="str">
        <f>IF($N$1="Piping", IF(ISBLANK(Piping!H792), "", Piping!H792), IF($N$1="Vessels", IF(ISBLANK(Vessels!H792), "", Vessels!H792), ""))</f>
        <v/>
      </c>
      <c r="I792" s="21" t="str">
        <f>IF($N$1="Piping", IF(ISBLANK(Piping!I792), "", Piping!I792), IF($N$1="Vessels", IF(ISBLANK(Vessels!I792), "", Vessels!I792), ""))</f>
        <v/>
      </c>
      <c r="J792" s="21" t="str">
        <f>IF($N$1="Piping", IF(ISBLANK(Piping!J792), "", Piping!J792), IF($N$1="Vessels", IF(ISBLANK(Vessels!J792), "", Vessels!J792), ""))</f>
        <v/>
      </c>
      <c r="K792" s="21" t="str">
        <f>IF($N$1="Piping", IF(ISBLANK(Piping!K792), "", Piping!K792), IF($N$1="Vessels", IF(ISBLANK(Vessels!K792), "", Vessels!K792), ""))</f>
        <v/>
      </c>
      <c r="L792" s="21" t="str">
        <f>IF($N$1="Piping", IF(ISBLANK(Piping!L792), "", Piping!L792), IF($N$1="Vessels", IF(ISBLANK(Vessels!L792), "", Vessels!L792), ""))</f>
        <v/>
      </c>
      <c r="M792" s="21"/>
      <c r="N792" s="21"/>
      <c r="O792" s="21"/>
      <c r="P792" s="21"/>
      <c r="Q792" s="21" t="str">
        <f>IF($N$1="Piping", IF(ISBLANK(Piping!T792), "", Piping!T792), IF($N$1="Vessels", IF(ISBLANK(Vessels!T792), "", Vessels!T792), ""))</f>
        <v/>
      </c>
      <c r="R792" s="51" t="str">
        <f>IF($N$1="Piping", IF(ISBLANK(Piping!U792), "", Piping!U792), IF($N$1="Vessels", IF(ISBLANK(Vessels!U792), "", Vessels!U792), ""))</f>
        <v/>
      </c>
      <c r="S792" s="118" t="str">
        <f>IF(B792&lt;&gt;"",IF($N$1="Piping", IF(ISBLANK(Piping!$J$3), "", Piping!$J$3), IF($N$1="Vessels", IF(ISBLANK(Vessels!$J$3), "", Vessels!$J$3), "")),"")</f>
        <v/>
      </c>
      <c r="T792" s="37"/>
      <c r="U792" s="37"/>
      <c r="V792" s="37"/>
      <c r="W792" s="37"/>
      <c r="X792" s="37"/>
      <c r="Y792" s="37"/>
      <c r="Z792" s="37"/>
    </row>
    <row r="793" spans="1:26" ht="15.75" customHeight="1" x14ac:dyDescent="0.3">
      <c r="A793" s="22">
        <f>IF($N$1="Piping", IF(ISBLANK(Piping!A793), "", Piping!A793), IF($N$1="Vessels", IF(ISBLANK(Vessels!A793), "", Vessels!A793), ""))</f>
        <v>197.4</v>
      </c>
      <c r="B793" s="21" t="str">
        <f>IF($N$1="Piping", IF(ISBLANK(Piping!B793), "", Piping!B793), IF($N$1="Vessels", IF(ISBLANK(Vessels!B793), "", Vessels!B793), ""))</f>
        <v/>
      </c>
      <c r="C793" s="21" t="str">
        <f>IF($N$1="Piping", IF(ISBLANK(Piping!C793), "", Piping!C793), IF($N$1="Vessels", IF(ISBLANK(Vessels!C793), "", Vessels!C793), ""))</f>
        <v>Piping</v>
      </c>
      <c r="D793" s="21" t="str">
        <f>IF($N$1="Piping", IF(ISBLANK(Piping!D793), "", Piping!D793), IF($N$1="Vessels", IF(ISBLANK(Vessels!D793), "", Vessels!D793), ""))</f>
        <v/>
      </c>
      <c r="E793" s="21" t="str">
        <f>IF($N$1="Piping", IF(ISBLANK(Piping!E793), "", Piping!E793), IF($N$1="Vessels", IF(ISBLANK(Vessels!E793), "", Vessels!E793), ""))</f>
        <v/>
      </c>
      <c r="F793" s="21" t="str">
        <f>IF($N$1="Piping", IF(ISBLANK(Piping!F793), "", Piping!F793), IF($N$1="Vessels", IF(ISBLANK(Vessels!F793), "", Vessels!F793), ""))</f>
        <v/>
      </c>
      <c r="G793" s="21">
        <f>IF($N$1="Piping", IF(ISBLANK(Piping!G793), "", Piping!G793), IF($N$1="Vessels", IF(ISBLANK(Vessels!G793), "", Vessels!G793), ""))</f>
        <v>0</v>
      </c>
      <c r="H793" s="21" t="str">
        <f>IF($N$1="Piping", IF(ISBLANK(Piping!H793), "", Piping!H793), IF($N$1="Vessels", IF(ISBLANK(Vessels!H793), "", Vessels!H793), ""))</f>
        <v/>
      </c>
      <c r="I793" s="21" t="str">
        <f>IF($N$1="Piping", IF(ISBLANK(Piping!I793), "", Piping!I793), IF($N$1="Vessels", IF(ISBLANK(Vessels!I793), "", Vessels!I793), ""))</f>
        <v/>
      </c>
      <c r="J793" s="21" t="str">
        <f>IF($N$1="Piping", IF(ISBLANK(Piping!J793), "", Piping!J793), IF($N$1="Vessels", IF(ISBLANK(Vessels!J793), "", Vessels!J793), ""))</f>
        <v/>
      </c>
      <c r="K793" s="21" t="str">
        <f>IF($N$1="Piping", IF(ISBLANK(Piping!K793), "", Piping!K793), IF($N$1="Vessels", IF(ISBLANK(Vessels!K793), "", Vessels!K793), ""))</f>
        <v/>
      </c>
      <c r="L793" s="21" t="str">
        <f>IF($N$1="Piping", IF(ISBLANK(Piping!L793), "", Piping!L793), IF($N$1="Vessels", IF(ISBLANK(Vessels!L793), "", Vessels!L793), ""))</f>
        <v/>
      </c>
      <c r="M793" s="21"/>
      <c r="N793" s="21"/>
      <c r="O793" s="21"/>
      <c r="P793" s="21"/>
      <c r="Q793" s="21" t="str">
        <f>IF($N$1="Piping", IF(ISBLANK(Piping!T793), "", Piping!T793), IF($N$1="Vessels", IF(ISBLANK(Vessels!T793), "", Vessels!T793), ""))</f>
        <v/>
      </c>
      <c r="R793" s="51" t="str">
        <f>IF($N$1="Piping", IF(ISBLANK(Piping!U793), "", Piping!U793), IF($N$1="Vessels", IF(ISBLANK(Vessels!U793), "", Vessels!U793), ""))</f>
        <v/>
      </c>
      <c r="S793" s="118" t="str">
        <f>IF(B793&lt;&gt;"",IF($N$1="Piping", IF(ISBLANK(Piping!$J$3), "", Piping!$J$3), IF($N$1="Vessels", IF(ISBLANK(Vessels!$J$3), "", Vessels!$J$3), "")),"")</f>
        <v/>
      </c>
      <c r="T793" s="37"/>
      <c r="U793" s="37"/>
      <c r="V793" s="37"/>
      <c r="W793" s="37"/>
      <c r="X793" s="37"/>
      <c r="Y793" s="37"/>
      <c r="Z793" s="37"/>
    </row>
    <row r="794" spans="1:26" ht="15.75" customHeight="1" x14ac:dyDescent="0.3">
      <c r="A794" s="22">
        <f>IF($N$1="Piping", IF(ISBLANK(Piping!A794), "", Piping!A794), IF($N$1="Vessels", IF(ISBLANK(Vessels!A794), "", Vessels!A794), ""))</f>
        <v>198.1</v>
      </c>
      <c r="B794" s="21" t="str">
        <f>IF($N$1="Piping", IF(ISBLANK(Piping!B794), "", Piping!B794), IF($N$1="Vessels", IF(ISBLANK(Vessels!B794), "", Vessels!B794), ""))</f>
        <v/>
      </c>
      <c r="C794" s="21" t="str">
        <f>IF($N$1="Piping", IF(ISBLANK(Piping!C794), "", Piping!C794), IF($N$1="Vessels", IF(ISBLANK(Vessels!C794), "", Vessels!C794), ""))</f>
        <v>Piping</v>
      </c>
      <c r="D794" s="21" t="str">
        <f>IF($N$1="Piping", IF(ISBLANK(Piping!D794), "", Piping!D794), IF($N$1="Vessels", IF(ISBLANK(Vessels!D794), "", Vessels!D794), ""))</f>
        <v/>
      </c>
      <c r="E794" s="21" t="str">
        <f>IF($N$1="Piping", IF(ISBLANK(Piping!E794), "", Piping!E794), IF($N$1="Vessels", IF(ISBLANK(Vessels!E794), "", Vessels!E794), ""))</f>
        <v/>
      </c>
      <c r="F794" s="21" t="str">
        <f>IF($N$1="Piping", IF(ISBLANK(Piping!F794), "", Piping!F794), IF($N$1="Vessels", IF(ISBLANK(Vessels!F794), "", Vessels!F794), ""))</f>
        <v/>
      </c>
      <c r="G794" s="21">
        <f>IF($N$1="Piping", IF(ISBLANK(Piping!G794), "", Piping!G794), IF($N$1="Vessels", IF(ISBLANK(Vessels!G794), "", Vessels!G794), ""))</f>
        <v>0</v>
      </c>
      <c r="H794" s="21" t="str">
        <f>IF($N$1="Piping", IF(ISBLANK(Piping!H794), "", Piping!H794), IF($N$1="Vessels", IF(ISBLANK(Vessels!H794), "", Vessels!H794), ""))</f>
        <v/>
      </c>
      <c r="I794" s="21" t="str">
        <f>IF($N$1="Piping", IF(ISBLANK(Piping!I794), "", Piping!I794), IF($N$1="Vessels", IF(ISBLANK(Vessels!I794), "", Vessels!I794), ""))</f>
        <v/>
      </c>
      <c r="J794" s="21" t="str">
        <f>IF($N$1="Piping", IF(ISBLANK(Piping!J794), "", Piping!J794), IF($N$1="Vessels", IF(ISBLANK(Vessels!J794), "", Vessels!J794), ""))</f>
        <v/>
      </c>
      <c r="K794" s="21" t="str">
        <f>IF($N$1="Piping", IF(ISBLANK(Piping!K794), "", Piping!K794), IF($N$1="Vessels", IF(ISBLANK(Vessels!K794), "", Vessels!K794), ""))</f>
        <v/>
      </c>
      <c r="L794" s="21" t="str">
        <f>IF($N$1="Piping", IF(ISBLANK(Piping!L794), "", Piping!L794), IF($N$1="Vessels", IF(ISBLANK(Vessels!L794), "", Vessels!L794), ""))</f>
        <v/>
      </c>
      <c r="M794" s="21"/>
      <c r="N794" s="21"/>
      <c r="O794" s="21"/>
      <c r="P794" s="21"/>
      <c r="Q794" s="21" t="str">
        <f>IF($N$1="Piping", IF(ISBLANK(Piping!T794), "", Piping!T794), IF($N$1="Vessels", IF(ISBLANK(Vessels!T794), "", Vessels!T794), ""))</f>
        <v/>
      </c>
      <c r="R794" s="51" t="str">
        <f>IF($N$1="Piping", IF(ISBLANK(Piping!U794), "", Piping!U794), IF($N$1="Vessels", IF(ISBLANK(Vessels!U794), "", Vessels!U794), ""))</f>
        <v/>
      </c>
      <c r="S794" s="118" t="str">
        <f>IF(B794&lt;&gt;"",IF($N$1="Piping", IF(ISBLANK(Piping!$J$3), "", Piping!$J$3), IF($N$1="Vessels", IF(ISBLANK(Vessels!$J$3), "", Vessels!$J$3), "")),"")</f>
        <v/>
      </c>
      <c r="T794" s="37"/>
      <c r="U794" s="37"/>
      <c r="V794" s="37"/>
      <c r="W794" s="37"/>
      <c r="X794" s="37"/>
      <c r="Y794" s="37"/>
      <c r="Z794" s="37"/>
    </row>
    <row r="795" spans="1:26" ht="15.75" customHeight="1" x14ac:dyDescent="0.3">
      <c r="A795" s="22">
        <f>IF($N$1="Piping", IF(ISBLANK(Piping!A795), "", Piping!A795), IF($N$1="Vessels", IF(ISBLANK(Vessels!A795), "", Vessels!A795), ""))</f>
        <v>198.2</v>
      </c>
      <c r="B795" s="21" t="str">
        <f>IF($N$1="Piping", IF(ISBLANK(Piping!B795), "", Piping!B795), IF($N$1="Vessels", IF(ISBLANK(Vessels!B795), "", Vessels!B795), ""))</f>
        <v/>
      </c>
      <c r="C795" s="21" t="str">
        <f>IF($N$1="Piping", IF(ISBLANK(Piping!C795), "", Piping!C795), IF($N$1="Vessels", IF(ISBLANK(Vessels!C795), "", Vessels!C795), ""))</f>
        <v>Piping</v>
      </c>
      <c r="D795" s="21" t="str">
        <f>IF($N$1="Piping", IF(ISBLANK(Piping!D795), "", Piping!D795), IF($N$1="Vessels", IF(ISBLANK(Vessels!D795), "", Vessels!D795), ""))</f>
        <v/>
      </c>
      <c r="E795" s="21" t="str">
        <f>IF($N$1="Piping", IF(ISBLANK(Piping!E795), "", Piping!E795), IF($N$1="Vessels", IF(ISBLANK(Vessels!E795), "", Vessels!E795), ""))</f>
        <v/>
      </c>
      <c r="F795" s="21" t="str">
        <f>IF($N$1="Piping", IF(ISBLANK(Piping!F795), "", Piping!F795), IF($N$1="Vessels", IF(ISBLANK(Vessels!F795), "", Vessels!F795), ""))</f>
        <v/>
      </c>
      <c r="G795" s="21">
        <f>IF($N$1="Piping", IF(ISBLANK(Piping!G795), "", Piping!G795), IF($N$1="Vessels", IF(ISBLANK(Vessels!G795), "", Vessels!G795), ""))</f>
        <v>0</v>
      </c>
      <c r="H795" s="21" t="str">
        <f>IF($N$1="Piping", IF(ISBLANK(Piping!H795), "", Piping!H795), IF($N$1="Vessels", IF(ISBLANK(Vessels!H795), "", Vessels!H795), ""))</f>
        <v/>
      </c>
      <c r="I795" s="21" t="str">
        <f>IF($N$1="Piping", IF(ISBLANK(Piping!I795), "", Piping!I795), IF($N$1="Vessels", IF(ISBLANK(Vessels!I795), "", Vessels!I795), ""))</f>
        <v/>
      </c>
      <c r="J795" s="21" t="str">
        <f>IF($N$1="Piping", IF(ISBLANK(Piping!J795), "", Piping!J795), IF($N$1="Vessels", IF(ISBLANK(Vessels!J795), "", Vessels!J795), ""))</f>
        <v/>
      </c>
      <c r="K795" s="21" t="str">
        <f>IF($N$1="Piping", IF(ISBLANK(Piping!K795), "", Piping!K795), IF($N$1="Vessels", IF(ISBLANK(Vessels!K795), "", Vessels!K795), ""))</f>
        <v/>
      </c>
      <c r="L795" s="21" t="str">
        <f>IF($N$1="Piping", IF(ISBLANK(Piping!L795), "", Piping!L795), IF($N$1="Vessels", IF(ISBLANK(Vessels!L795), "", Vessels!L795), ""))</f>
        <v/>
      </c>
      <c r="M795" s="21"/>
      <c r="N795" s="21"/>
      <c r="O795" s="21"/>
      <c r="P795" s="21"/>
      <c r="Q795" s="21" t="str">
        <f>IF($N$1="Piping", IF(ISBLANK(Piping!T795), "", Piping!T795), IF($N$1="Vessels", IF(ISBLANK(Vessels!T795), "", Vessels!T795), ""))</f>
        <v/>
      </c>
      <c r="R795" s="51" t="str">
        <f>IF($N$1="Piping", IF(ISBLANK(Piping!U795), "", Piping!U795), IF($N$1="Vessels", IF(ISBLANK(Vessels!U795), "", Vessels!U795), ""))</f>
        <v/>
      </c>
      <c r="S795" s="118" t="str">
        <f>IF(B795&lt;&gt;"",IF($N$1="Piping", IF(ISBLANK(Piping!$J$3), "", Piping!$J$3), IF($N$1="Vessels", IF(ISBLANK(Vessels!$J$3), "", Vessels!$J$3), "")),"")</f>
        <v/>
      </c>
      <c r="T795" s="37"/>
      <c r="U795" s="37"/>
      <c r="V795" s="37"/>
      <c r="W795" s="37"/>
      <c r="X795" s="37"/>
      <c r="Y795" s="37"/>
      <c r="Z795" s="37"/>
    </row>
    <row r="796" spans="1:26" ht="15.75" customHeight="1" x14ac:dyDescent="0.3">
      <c r="A796" s="22">
        <f>IF($N$1="Piping", IF(ISBLANK(Piping!A796), "", Piping!A796), IF($N$1="Vessels", IF(ISBLANK(Vessels!A796), "", Vessels!A796), ""))</f>
        <v>198.3</v>
      </c>
      <c r="B796" s="21" t="str">
        <f>IF($N$1="Piping", IF(ISBLANK(Piping!B796), "", Piping!B796), IF($N$1="Vessels", IF(ISBLANK(Vessels!B796), "", Vessels!B796), ""))</f>
        <v/>
      </c>
      <c r="C796" s="21" t="str">
        <f>IF($N$1="Piping", IF(ISBLANK(Piping!C796), "", Piping!C796), IF($N$1="Vessels", IF(ISBLANK(Vessels!C796), "", Vessels!C796), ""))</f>
        <v>Piping</v>
      </c>
      <c r="D796" s="21" t="str">
        <f>IF($N$1="Piping", IF(ISBLANK(Piping!D796), "", Piping!D796), IF($N$1="Vessels", IF(ISBLANK(Vessels!D796), "", Vessels!D796), ""))</f>
        <v/>
      </c>
      <c r="E796" s="21" t="str">
        <f>IF($N$1="Piping", IF(ISBLANK(Piping!E796), "", Piping!E796), IF($N$1="Vessels", IF(ISBLANK(Vessels!E796), "", Vessels!E796), ""))</f>
        <v/>
      </c>
      <c r="F796" s="21" t="str">
        <f>IF($N$1="Piping", IF(ISBLANK(Piping!F796), "", Piping!F796), IF($N$1="Vessels", IF(ISBLANK(Vessels!F796), "", Vessels!F796), ""))</f>
        <v/>
      </c>
      <c r="G796" s="21">
        <f>IF($N$1="Piping", IF(ISBLANK(Piping!G796), "", Piping!G796), IF($N$1="Vessels", IF(ISBLANK(Vessels!G796), "", Vessels!G796), ""))</f>
        <v>0</v>
      </c>
      <c r="H796" s="21" t="str">
        <f>IF($N$1="Piping", IF(ISBLANK(Piping!H796), "", Piping!H796), IF($N$1="Vessels", IF(ISBLANK(Vessels!H796), "", Vessels!H796), ""))</f>
        <v/>
      </c>
      <c r="I796" s="21" t="str">
        <f>IF($N$1="Piping", IF(ISBLANK(Piping!I796), "", Piping!I796), IF($N$1="Vessels", IF(ISBLANK(Vessels!I796), "", Vessels!I796), ""))</f>
        <v/>
      </c>
      <c r="J796" s="21" t="str">
        <f>IF($N$1="Piping", IF(ISBLANK(Piping!J796), "", Piping!J796), IF($N$1="Vessels", IF(ISBLANK(Vessels!J796), "", Vessels!J796), ""))</f>
        <v/>
      </c>
      <c r="K796" s="21" t="str">
        <f>IF($N$1="Piping", IF(ISBLANK(Piping!K796), "", Piping!K796), IF($N$1="Vessels", IF(ISBLANK(Vessels!K796), "", Vessels!K796), ""))</f>
        <v/>
      </c>
      <c r="L796" s="21" t="str">
        <f>IF($N$1="Piping", IF(ISBLANK(Piping!L796), "", Piping!L796), IF($N$1="Vessels", IF(ISBLANK(Vessels!L796), "", Vessels!L796), ""))</f>
        <v/>
      </c>
      <c r="M796" s="21"/>
      <c r="N796" s="21"/>
      <c r="O796" s="21"/>
      <c r="P796" s="21"/>
      <c r="Q796" s="21" t="str">
        <f>IF($N$1="Piping", IF(ISBLANK(Piping!T796), "", Piping!T796), IF($N$1="Vessels", IF(ISBLANK(Vessels!T796), "", Vessels!T796), ""))</f>
        <v/>
      </c>
      <c r="R796" s="51" t="str">
        <f>IF($N$1="Piping", IF(ISBLANK(Piping!U796), "", Piping!U796), IF($N$1="Vessels", IF(ISBLANK(Vessels!U796), "", Vessels!U796), ""))</f>
        <v/>
      </c>
      <c r="S796" s="118" t="str">
        <f>IF(B796&lt;&gt;"",IF($N$1="Piping", IF(ISBLANK(Piping!$J$3), "", Piping!$J$3), IF($N$1="Vessels", IF(ISBLANK(Vessels!$J$3), "", Vessels!$J$3), "")),"")</f>
        <v/>
      </c>
      <c r="T796" s="37"/>
      <c r="U796" s="37"/>
      <c r="V796" s="37"/>
      <c r="W796" s="37"/>
      <c r="X796" s="37"/>
      <c r="Y796" s="37"/>
      <c r="Z796" s="37"/>
    </row>
    <row r="797" spans="1:26" ht="15.75" customHeight="1" x14ac:dyDescent="0.3">
      <c r="A797" s="22">
        <f>IF($N$1="Piping", IF(ISBLANK(Piping!A797), "", Piping!A797), IF($N$1="Vessels", IF(ISBLANK(Vessels!A797), "", Vessels!A797), ""))</f>
        <v>198.4</v>
      </c>
      <c r="B797" s="21" t="str">
        <f>IF($N$1="Piping", IF(ISBLANK(Piping!B797), "", Piping!B797), IF($N$1="Vessels", IF(ISBLANK(Vessels!B797), "", Vessels!B797), ""))</f>
        <v/>
      </c>
      <c r="C797" s="21" t="str">
        <f>IF($N$1="Piping", IF(ISBLANK(Piping!C797), "", Piping!C797), IF($N$1="Vessels", IF(ISBLANK(Vessels!C797), "", Vessels!C797), ""))</f>
        <v>Piping</v>
      </c>
      <c r="D797" s="21" t="str">
        <f>IF($N$1="Piping", IF(ISBLANK(Piping!D797), "", Piping!D797), IF($N$1="Vessels", IF(ISBLANK(Vessels!D797), "", Vessels!D797), ""))</f>
        <v/>
      </c>
      <c r="E797" s="21" t="str">
        <f>IF($N$1="Piping", IF(ISBLANK(Piping!E797), "", Piping!E797), IF($N$1="Vessels", IF(ISBLANK(Vessels!E797), "", Vessels!E797), ""))</f>
        <v/>
      </c>
      <c r="F797" s="21" t="str">
        <f>IF($N$1="Piping", IF(ISBLANK(Piping!F797), "", Piping!F797), IF($N$1="Vessels", IF(ISBLANK(Vessels!F797), "", Vessels!F797), ""))</f>
        <v/>
      </c>
      <c r="G797" s="21">
        <f>IF($N$1="Piping", IF(ISBLANK(Piping!G797), "", Piping!G797), IF($N$1="Vessels", IF(ISBLANK(Vessels!G797), "", Vessels!G797), ""))</f>
        <v>0</v>
      </c>
      <c r="H797" s="21" t="str">
        <f>IF($N$1="Piping", IF(ISBLANK(Piping!H797), "", Piping!H797), IF($N$1="Vessels", IF(ISBLANK(Vessels!H797), "", Vessels!H797), ""))</f>
        <v/>
      </c>
      <c r="I797" s="21" t="str">
        <f>IF($N$1="Piping", IF(ISBLANK(Piping!I797), "", Piping!I797), IF($N$1="Vessels", IF(ISBLANK(Vessels!I797), "", Vessels!I797), ""))</f>
        <v/>
      </c>
      <c r="J797" s="21" t="str">
        <f>IF($N$1="Piping", IF(ISBLANK(Piping!J797), "", Piping!J797), IF($N$1="Vessels", IF(ISBLANK(Vessels!J797), "", Vessels!J797), ""))</f>
        <v/>
      </c>
      <c r="K797" s="21" t="str">
        <f>IF($N$1="Piping", IF(ISBLANK(Piping!K797), "", Piping!K797), IF($N$1="Vessels", IF(ISBLANK(Vessels!K797), "", Vessels!K797), ""))</f>
        <v/>
      </c>
      <c r="L797" s="21" t="str">
        <f>IF($N$1="Piping", IF(ISBLANK(Piping!L797), "", Piping!L797), IF($N$1="Vessels", IF(ISBLANK(Vessels!L797), "", Vessels!L797), ""))</f>
        <v/>
      </c>
      <c r="M797" s="21"/>
      <c r="N797" s="21"/>
      <c r="O797" s="21"/>
      <c r="P797" s="21"/>
      <c r="Q797" s="21" t="str">
        <f>IF($N$1="Piping", IF(ISBLANK(Piping!T797), "", Piping!T797), IF($N$1="Vessels", IF(ISBLANK(Vessels!T797), "", Vessels!T797), ""))</f>
        <v/>
      </c>
      <c r="R797" s="51" t="str">
        <f>IF($N$1="Piping", IF(ISBLANK(Piping!U797), "", Piping!U797), IF($N$1="Vessels", IF(ISBLANK(Vessels!U797), "", Vessels!U797), ""))</f>
        <v/>
      </c>
      <c r="S797" s="118" t="str">
        <f>IF(B797&lt;&gt;"",IF($N$1="Piping", IF(ISBLANK(Piping!$J$3), "", Piping!$J$3), IF($N$1="Vessels", IF(ISBLANK(Vessels!$J$3), "", Vessels!$J$3), "")),"")</f>
        <v/>
      </c>
      <c r="T797" s="37"/>
      <c r="U797" s="37"/>
      <c r="V797" s="37"/>
      <c r="W797" s="37"/>
      <c r="X797" s="37"/>
      <c r="Y797" s="37"/>
      <c r="Z797" s="37"/>
    </row>
    <row r="798" spans="1:26" ht="15.75" customHeight="1" x14ac:dyDescent="0.3">
      <c r="A798" s="22">
        <f>IF($N$1="Piping", IF(ISBLANK(Piping!A798), "", Piping!A798), IF($N$1="Vessels", IF(ISBLANK(Vessels!A798), "", Vessels!A798), ""))</f>
        <v>199.1</v>
      </c>
      <c r="B798" s="21" t="str">
        <f>IF($N$1="Piping", IF(ISBLANK(Piping!B798), "", Piping!B798), IF($N$1="Vessels", IF(ISBLANK(Vessels!B798), "", Vessels!B798), ""))</f>
        <v/>
      </c>
      <c r="C798" s="21" t="str">
        <f>IF($N$1="Piping", IF(ISBLANK(Piping!C798), "", Piping!C798), IF($N$1="Vessels", IF(ISBLANK(Vessels!C798), "", Vessels!C798), ""))</f>
        <v>Piping</v>
      </c>
      <c r="D798" s="21" t="str">
        <f>IF($N$1="Piping", IF(ISBLANK(Piping!D798), "", Piping!D798), IF($N$1="Vessels", IF(ISBLANK(Vessels!D798), "", Vessels!D798), ""))</f>
        <v/>
      </c>
      <c r="E798" s="21" t="str">
        <f>IF($N$1="Piping", IF(ISBLANK(Piping!E798), "", Piping!E798), IF($N$1="Vessels", IF(ISBLANK(Vessels!E798), "", Vessels!E798), ""))</f>
        <v/>
      </c>
      <c r="F798" s="21" t="str">
        <f>IF($N$1="Piping", IF(ISBLANK(Piping!F798), "", Piping!F798), IF($N$1="Vessels", IF(ISBLANK(Vessels!F798), "", Vessels!F798), ""))</f>
        <v/>
      </c>
      <c r="G798" s="21">
        <f>IF($N$1="Piping", IF(ISBLANK(Piping!G798), "", Piping!G798), IF($N$1="Vessels", IF(ISBLANK(Vessels!G798), "", Vessels!G798), ""))</f>
        <v>0</v>
      </c>
      <c r="H798" s="21" t="str">
        <f>IF($N$1="Piping", IF(ISBLANK(Piping!H798), "", Piping!H798), IF($N$1="Vessels", IF(ISBLANK(Vessels!H798), "", Vessels!H798), ""))</f>
        <v/>
      </c>
      <c r="I798" s="21" t="str">
        <f>IF($N$1="Piping", IF(ISBLANK(Piping!I798), "", Piping!I798), IF($N$1="Vessels", IF(ISBLANK(Vessels!I798), "", Vessels!I798), ""))</f>
        <v/>
      </c>
      <c r="J798" s="21" t="str">
        <f>IF($N$1="Piping", IF(ISBLANK(Piping!J798), "", Piping!J798), IF($N$1="Vessels", IF(ISBLANK(Vessels!J798), "", Vessels!J798), ""))</f>
        <v/>
      </c>
      <c r="K798" s="21" t="str">
        <f>IF($N$1="Piping", IF(ISBLANK(Piping!K798), "", Piping!K798), IF($N$1="Vessels", IF(ISBLANK(Vessels!K798), "", Vessels!K798), ""))</f>
        <v/>
      </c>
      <c r="L798" s="21" t="str">
        <f>IF($N$1="Piping", IF(ISBLANK(Piping!L798), "", Piping!L798), IF($N$1="Vessels", IF(ISBLANK(Vessels!L798), "", Vessels!L798), ""))</f>
        <v/>
      </c>
      <c r="M798" s="21"/>
      <c r="N798" s="21"/>
      <c r="O798" s="21"/>
      <c r="P798" s="21"/>
      <c r="Q798" s="21" t="str">
        <f>IF($N$1="Piping", IF(ISBLANK(Piping!T798), "", Piping!T798), IF($N$1="Vessels", IF(ISBLANK(Vessels!T798), "", Vessels!T798), ""))</f>
        <v/>
      </c>
      <c r="R798" s="51" t="str">
        <f>IF($N$1="Piping", IF(ISBLANK(Piping!U798), "", Piping!U798), IF($N$1="Vessels", IF(ISBLANK(Vessels!U798), "", Vessels!U798), ""))</f>
        <v/>
      </c>
      <c r="S798" s="118" t="str">
        <f>IF(B798&lt;&gt;"",IF($N$1="Piping", IF(ISBLANK(Piping!$J$3), "", Piping!$J$3), IF($N$1="Vessels", IF(ISBLANK(Vessels!$J$3), "", Vessels!$J$3), "")),"")</f>
        <v/>
      </c>
      <c r="T798" s="37"/>
      <c r="U798" s="37"/>
      <c r="V798" s="37"/>
      <c r="W798" s="37"/>
      <c r="X798" s="37"/>
      <c r="Y798" s="37"/>
      <c r="Z798" s="37"/>
    </row>
    <row r="799" spans="1:26" ht="15.75" customHeight="1" x14ac:dyDescent="0.3">
      <c r="A799" s="22">
        <f>IF($N$1="Piping", IF(ISBLANK(Piping!A799), "", Piping!A799), IF($N$1="Vessels", IF(ISBLANK(Vessels!A799), "", Vessels!A799), ""))</f>
        <v>199.2</v>
      </c>
      <c r="B799" s="21" t="str">
        <f>IF($N$1="Piping", IF(ISBLANK(Piping!B799), "", Piping!B799), IF($N$1="Vessels", IF(ISBLANK(Vessels!B799), "", Vessels!B799), ""))</f>
        <v/>
      </c>
      <c r="C799" s="21" t="str">
        <f>IF($N$1="Piping", IF(ISBLANK(Piping!C799), "", Piping!C799), IF($N$1="Vessels", IF(ISBLANK(Vessels!C799), "", Vessels!C799), ""))</f>
        <v>Piping</v>
      </c>
      <c r="D799" s="21" t="str">
        <f>IF($N$1="Piping", IF(ISBLANK(Piping!D799), "", Piping!D799), IF($N$1="Vessels", IF(ISBLANK(Vessels!D799), "", Vessels!D799), ""))</f>
        <v/>
      </c>
      <c r="E799" s="21" t="str">
        <f>IF($N$1="Piping", IF(ISBLANK(Piping!E799), "", Piping!E799), IF($N$1="Vessels", IF(ISBLANK(Vessels!E799), "", Vessels!E799), ""))</f>
        <v/>
      </c>
      <c r="F799" s="21" t="str">
        <f>IF($N$1="Piping", IF(ISBLANK(Piping!F799), "", Piping!F799), IF($N$1="Vessels", IF(ISBLANK(Vessels!F799), "", Vessels!F799), ""))</f>
        <v/>
      </c>
      <c r="G799" s="21">
        <f>IF($N$1="Piping", IF(ISBLANK(Piping!G799), "", Piping!G799), IF($N$1="Vessels", IF(ISBLANK(Vessels!G799), "", Vessels!G799), ""))</f>
        <v>0</v>
      </c>
      <c r="H799" s="21" t="str">
        <f>IF($N$1="Piping", IF(ISBLANK(Piping!H799), "", Piping!H799), IF($N$1="Vessels", IF(ISBLANK(Vessels!H799), "", Vessels!H799), ""))</f>
        <v/>
      </c>
      <c r="I799" s="21" t="str">
        <f>IF($N$1="Piping", IF(ISBLANK(Piping!I799), "", Piping!I799), IF($N$1="Vessels", IF(ISBLANK(Vessels!I799), "", Vessels!I799), ""))</f>
        <v/>
      </c>
      <c r="J799" s="21" t="str">
        <f>IF($N$1="Piping", IF(ISBLANK(Piping!J799), "", Piping!J799), IF($N$1="Vessels", IF(ISBLANK(Vessels!J799), "", Vessels!J799), ""))</f>
        <v/>
      </c>
      <c r="K799" s="21" t="str">
        <f>IF($N$1="Piping", IF(ISBLANK(Piping!K799), "", Piping!K799), IF($N$1="Vessels", IF(ISBLANK(Vessels!K799), "", Vessels!K799), ""))</f>
        <v/>
      </c>
      <c r="L799" s="21" t="str">
        <f>IF($N$1="Piping", IF(ISBLANK(Piping!L799), "", Piping!L799), IF($N$1="Vessels", IF(ISBLANK(Vessels!L799), "", Vessels!L799), ""))</f>
        <v/>
      </c>
      <c r="M799" s="21"/>
      <c r="N799" s="21"/>
      <c r="O799" s="21"/>
      <c r="P799" s="21"/>
      <c r="Q799" s="21" t="str">
        <f>IF($N$1="Piping", IF(ISBLANK(Piping!T799), "", Piping!T799), IF($N$1="Vessels", IF(ISBLANK(Vessels!T799), "", Vessels!T799), ""))</f>
        <v/>
      </c>
      <c r="R799" s="51" t="str">
        <f>IF($N$1="Piping", IF(ISBLANK(Piping!U799), "", Piping!U799), IF($N$1="Vessels", IF(ISBLANK(Vessels!U799), "", Vessels!U799), ""))</f>
        <v/>
      </c>
      <c r="S799" s="118" t="str">
        <f>IF(B799&lt;&gt;"",IF($N$1="Piping", IF(ISBLANK(Piping!$J$3), "", Piping!$J$3), IF($N$1="Vessels", IF(ISBLANK(Vessels!$J$3), "", Vessels!$J$3), "")),"")</f>
        <v/>
      </c>
      <c r="T799" s="37"/>
      <c r="U799" s="37"/>
      <c r="V799" s="37"/>
      <c r="W799" s="37"/>
      <c r="X799" s="37"/>
      <c r="Y799" s="37"/>
      <c r="Z799" s="37"/>
    </row>
    <row r="800" spans="1:26" ht="15.75" customHeight="1" x14ac:dyDescent="0.3">
      <c r="A800" s="22">
        <f>IF($N$1="Piping", IF(ISBLANK(Piping!A800), "", Piping!A800), IF($N$1="Vessels", IF(ISBLANK(Vessels!A800), "", Vessels!A800), ""))</f>
        <v>199.3</v>
      </c>
      <c r="B800" s="21" t="str">
        <f>IF($N$1="Piping", IF(ISBLANK(Piping!B800), "", Piping!B800), IF($N$1="Vessels", IF(ISBLANK(Vessels!B800), "", Vessels!B800), ""))</f>
        <v/>
      </c>
      <c r="C800" s="21" t="str">
        <f>IF($N$1="Piping", IF(ISBLANK(Piping!C800), "", Piping!C800), IF($N$1="Vessels", IF(ISBLANK(Vessels!C800), "", Vessels!C800), ""))</f>
        <v>Piping</v>
      </c>
      <c r="D800" s="21" t="str">
        <f>IF($N$1="Piping", IF(ISBLANK(Piping!D800), "", Piping!D800), IF($N$1="Vessels", IF(ISBLANK(Vessels!D800), "", Vessels!D800), ""))</f>
        <v/>
      </c>
      <c r="E800" s="21" t="str">
        <f>IF($N$1="Piping", IF(ISBLANK(Piping!E800), "", Piping!E800), IF($N$1="Vessels", IF(ISBLANK(Vessels!E800), "", Vessels!E800), ""))</f>
        <v/>
      </c>
      <c r="F800" s="21" t="str">
        <f>IF($N$1="Piping", IF(ISBLANK(Piping!F800), "", Piping!F800), IF($N$1="Vessels", IF(ISBLANK(Vessels!F800), "", Vessels!F800), ""))</f>
        <v/>
      </c>
      <c r="G800" s="21">
        <f>IF($N$1="Piping", IF(ISBLANK(Piping!G800), "", Piping!G800), IF($N$1="Vessels", IF(ISBLANK(Vessels!G800), "", Vessels!G800), ""))</f>
        <v>0</v>
      </c>
      <c r="H800" s="21" t="str">
        <f>IF($N$1="Piping", IF(ISBLANK(Piping!H800), "", Piping!H800), IF($N$1="Vessels", IF(ISBLANK(Vessels!H800), "", Vessels!H800), ""))</f>
        <v/>
      </c>
      <c r="I800" s="21" t="str">
        <f>IF($N$1="Piping", IF(ISBLANK(Piping!I800), "", Piping!I800), IF($N$1="Vessels", IF(ISBLANK(Vessels!I800), "", Vessels!I800), ""))</f>
        <v/>
      </c>
      <c r="J800" s="21" t="str">
        <f>IF($N$1="Piping", IF(ISBLANK(Piping!J800), "", Piping!J800), IF($N$1="Vessels", IF(ISBLANK(Vessels!J800), "", Vessels!J800), ""))</f>
        <v/>
      </c>
      <c r="K800" s="21" t="str">
        <f>IF($N$1="Piping", IF(ISBLANK(Piping!K800), "", Piping!K800), IF($N$1="Vessels", IF(ISBLANK(Vessels!K800), "", Vessels!K800), ""))</f>
        <v/>
      </c>
      <c r="L800" s="21" t="str">
        <f>IF($N$1="Piping", IF(ISBLANK(Piping!L800), "", Piping!L800), IF($N$1="Vessels", IF(ISBLANK(Vessels!L800), "", Vessels!L800), ""))</f>
        <v/>
      </c>
      <c r="M800" s="21"/>
      <c r="N800" s="21"/>
      <c r="O800" s="21"/>
      <c r="P800" s="21"/>
      <c r="Q800" s="21" t="str">
        <f>IF($N$1="Piping", IF(ISBLANK(Piping!T800), "", Piping!T800), IF($N$1="Vessels", IF(ISBLANK(Vessels!T800), "", Vessels!T800), ""))</f>
        <v/>
      </c>
      <c r="R800" s="51" t="str">
        <f>IF($N$1="Piping", IF(ISBLANK(Piping!U800), "", Piping!U800), IF($N$1="Vessels", IF(ISBLANK(Vessels!U800), "", Vessels!U800), ""))</f>
        <v/>
      </c>
      <c r="S800" s="118" t="str">
        <f>IF(B800&lt;&gt;"",IF($N$1="Piping", IF(ISBLANK(Piping!$J$3), "", Piping!$J$3), IF($N$1="Vessels", IF(ISBLANK(Vessels!$J$3), "", Vessels!$J$3), "")),"")</f>
        <v/>
      </c>
      <c r="T800" s="37"/>
      <c r="U800" s="37"/>
      <c r="V800" s="37"/>
      <c r="W800" s="37"/>
      <c r="X800" s="37"/>
      <c r="Y800" s="37"/>
      <c r="Z800" s="37"/>
    </row>
    <row r="801" spans="1:26" ht="15.75" customHeight="1" x14ac:dyDescent="0.3">
      <c r="A801" s="22">
        <f>IF($N$1="Piping", IF(ISBLANK(Piping!A801), "", Piping!A801), IF($N$1="Vessels", IF(ISBLANK(Vessels!A801), "", Vessels!A801), ""))</f>
        <v>199.4</v>
      </c>
      <c r="B801" s="21" t="str">
        <f>IF($N$1="Piping", IF(ISBLANK(Piping!B801), "", Piping!B801), IF($N$1="Vessels", IF(ISBLANK(Vessels!B801), "", Vessels!B801), ""))</f>
        <v/>
      </c>
      <c r="C801" s="21" t="str">
        <f>IF($N$1="Piping", IF(ISBLANK(Piping!C801), "", Piping!C801), IF($N$1="Vessels", IF(ISBLANK(Vessels!C801), "", Vessels!C801), ""))</f>
        <v>Piping</v>
      </c>
      <c r="D801" s="21" t="str">
        <f>IF($N$1="Piping", IF(ISBLANK(Piping!D801), "", Piping!D801), IF($N$1="Vessels", IF(ISBLANK(Vessels!D801), "", Vessels!D801), ""))</f>
        <v/>
      </c>
      <c r="E801" s="21" t="str">
        <f>IF($N$1="Piping", IF(ISBLANK(Piping!E801), "", Piping!E801), IF($N$1="Vessels", IF(ISBLANK(Vessels!E801), "", Vessels!E801), ""))</f>
        <v/>
      </c>
      <c r="F801" s="21" t="str">
        <f>IF($N$1="Piping", IF(ISBLANK(Piping!F801), "", Piping!F801), IF($N$1="Vessels", IF(ISBLANK(Vessels!F801), "", Vessels!F801), ""))</f>
        <v/>
      </c>
      <c r="G801" s="21">
        <f>IF($N$1="Piping", IF(ISBLANK(Piping!G801), "", Piping!G801), IF($N$1="Vessels", IF(ISBLANK(Vessels!G801), "", Vessels!G801), ""))</f>
        <v>0</v>
      </c>
      <c r="H801" s="21" t="str">
        <f>IF($N$1="Piping", IF(ISBLANK(Piping!H801), "", Piping!H801), IF($N$1="Vessels", IF(ISBLANK(Vessels!H801), "", Vessels!H801), ""))</f>
        <v/>
      </c>
      <c r="I801" s="21" t="str">
        <f>IF($N$1="Piping", IF(ISBLANK(Piping!I801), "", Piping!I801), IF($N$1="Vessels", IF(ISBLANK(Vessels!I801), "", Vessels!I801), ""))</f>
        <v/>
      </c>
      <c r="J801" s="21" t="str">
        <f>IF($N$1="Piping", IF(ISBLANK(Piping!J801), "", Piping!J801), IF($N$1="Vessels", IF(ISBLANK(Vessels!J801), "", Vessels!J801), ""))</f>
        <v/>
      </c>
      <c r="K801" s="21" t="str">
        <f>IF($N$1="Piping", IF(ISBLANK(Piping!K801), "", Piping!K801), IF($N$1="Vessels", IF(ISBLANK(Vessels!K801), "", Vessels!K801), ""))</f>
        <v/>
      </c>
      <c r="L801" s="21" t="str">
        <f>IF($N$1="Piping", IF(ISBLANK(Piping!L801), "", Piping!L801), IF($N$1="Vessels", IF(ISBLANK(Vessels!L801), "", Vessels!L801), ""))</f>
        <v/>
      </c>
      <c r="M801" s="21"/>
      <c r="N801" s="21"/>
      <c r="O801" s="21"/>
      <c r="P801" s="21"/>
      <c r="Q801" s="21" t="str">
        <f>IF($N$1="Piping", IF(ISBLANK(Piping!T801), "", Piping!T801), IF($N$1="Vessels", IF(ISBLANK(Vessels!T801), "", Vessels!T801), ""))</f>
        <v/>
      </c>
      <c r="R801" s="51" t="str">
        <f>IF($N$1="Piping", IF(ISBLANK(Piping!U801), "", Piping!U801), IF($N$1="Vessels", IF(ISBLANK(Vessels!U801), "", Vessels!U801), ""))</f>
        <v/>
      </c>
      <c r="S801" s="118" t="str">
        <f>IF(B801&lt;&gt;"",IF($N$1="Piping", IF(ISBLANK(Piping!$J$3), "", Piping!$J$3), IF($N$1="Vessels", IF(ISBLANK(Vessels!$J$3), "", Vessels!$J$3), "")),"")</f>
        <v/>
      </c>
      <c r="T801" s="37"/>
      <c r="U801" s="37"/>
      <c r="V801" s="37"/>
      <c r="W801" s="37"/>
      <c r="X801" s="37"/>
      <c r="Y801" s="37"/>
      <c r="Z801" s="37"/>
    </row>
    <row r="802" spans="1:26" ht="15.75" customHeight="1" x14ac:dyDescent="0.3">
      <c r="A802" s="22">
        <f>IF($N$1="Piping", IF(ISBLANK(Piping!A802), "", Piping!A802), IF($N$1="Vessels", IF(ISBLANK(Vessels!A802), "", Vessels!A802), ""))</f>
        <v>200.1</v>
      </c>
      <c r="B802" s="21" t="str">
        <f>IF($N$1="Piping", IF(ISBLANK(Piping!B802), "", Piping!B802), IF($N$1="Vessels", IF(ISBLANK(Vessels!B802), "", Vessels!B802), ""))</f>
        <v/>
      </c>
      <c r="C802" s="21" t="str">
        <f>IF($N$1="Piping", IF(ISBLANK(Piping!C802), "", Piping!C802), IF($N$1="Vessels", IF(ISBLANK(Vessels!C802), "", Vessels!C802), ""))</f>
        <v>Piping</v>
      </c>
      <c r="D802" s="21" t="str">
        <f>IF($N$1="Piping", IF(ISBLANK(Piping!D802), "", Piping!D802), IF($N$1="Vessels", IF(ISBLANK(Vessels!D802), "", Vessels!D802), ""))</f>
        <v/>
      </c>
      <c r="E802" s="21" t="str">
        <f>IF($N$1="Piping", IF(ISBLANK(Piping!E802), "", Piping!E802), IF($N$1="Vessels", IF(ISBLANK(Vessels!E802), "", Vessels!E802), ""))</f>
        <v/>
      </c>
      <c r="F802" s="21" t="str">
        <f>IF($N$1="Piping", IF(ISBLANK(Piping!F802), "", Piping!F802), IF($N$1="Vessels", IF(ISBLANK(Vessels!F802), "", Vessels!F802), ""))</f>
        <v/>
      </c>
      <c r="G802" s="21">
        <f>IF($N$1="Piping", IF(ISBLANK(Piping!G802), "", Piping!G802), IF($N$1="Vessels", IF(ISBLANK(Vessels!G802), "", Vessels!G802), ""))</f>
        <v>0</v>
      </c>
      <c r="H802" s="21" t="str">
        <f>IF($N$1="Piping", IF(ISBLANK(Piping!H802), "", Piping!H802), IF($N$1="Vessels", IF(ISBLANK(Vessels!H802), "", Vessels!H802), ""))</f>
        <v/>
      </c>
      <c r="I802" s="21" t="str">
        <f>IF($N$1="Piping", IF(ISBLANK(Piping!I802), "", Piping!I802), IF($N$1="Vessels", IF(ISBLANK(Vessels!I802), "", Vessels!I802), ""))</f>
        <v/>
      </c>
      <c r="J802" s="21" t="str">
        <f>IF($N$1="Piping", IF(ISBLANK(Piping!J802), "", Piping!J802), IF($N$1="Vessels", IF(ISBLANK(Vessels!J802), "", Vessels!J802), ""))</f>
        <v/>
      </c>
      <c r="K802" s="21" t="str">
        <f>IF($N$1="Piping", IF(ISBLANK(Piping!K802), "", Piping!K802), IF($N$1="Vessels", IF(ISBLANK(Vessels!K802), "", Vessels!K802), ""))</f>
        <v/>
      </c>
      <c r="L802" s="21" t="str">
        <f>IF($N$1="Piping", IF(ISBLANK(Piping!L802), "", Piping!L802), IF($N$1="Vessels", IF(ISBLANK(Vessels!L802), "", Vessels!L802), ""))</f>
        <v/>
      </c>
      <c r="M802" s="21"/>
      <c r="N802" s="21"/>
      <c r="O802" s="21"/>
      <c r="P802" s="21"/>
      <c r="Q802" s="21" t="str">
        <f>IF($N$1="Piping", IF(ISBLANK(Piping!T802), "", Piping!T802), IF($N$1="Vessels", IF(ISBLANK(Vessels!T802), "", Vessels!T802), ""))</f>
        <v/>
      </c>
      <c r="R802" s="51" t="str">
        <f>IF($N$1="Piping", IF(ISBLANK(Piping!U802), "", Piping!U802), IF($N$1="Vessels", IF(ISBLANK(Vessels!U802), "", Vessels!U802), ""))</f>
        <v/>
      </c>
      <c r="S802" s="118" t="str">
        <f>IF(B802&lt;&gt;"",IF($N$1="Piping", IF(ISBLANK(Piping!$J$3), "", Piping!$J$3), IF($N$1="Vessels", IF(ISBLANK(Vessels!$J$3), "", Vessels!$J$3), "")),"")</f>
        <v/>
      </c>
      <c r="T802" s="37"/>
      <c r="U802" s="37"/>
      <c r="V802" s="37"/>
      <c r="W802" s="37"/>
      <c r="X802" s="37"/>
      <c r="Y802" s="37"/>
      <c r="Z802" s="37"/>
    </row>
    <row r="803" spans="1:26" ht="15.75" customHeight="1" x14ac:dyDescent="0.3">
      <c r="A803" s="22">
        <f>IF($N$1="Piping", IF(ISBLANK(Piping!A803), "", Piping!A803), IF($N$1="Vessels", IF(ISBLANK(Vessels!A803), "", Vessels!A803), ""))</f>
        <v>200.2</v>
      </c>
      <c r="B803" s="21" t="str">
        <f>IF($N$1="Piping", IF(ISBLANK(Piping!B803), "", Piping!B803), IF($N$1="Vessels", IF(ISBLANK(Vessels!B803), "", Vessels!B803), ""))</f>
        <v/>
      </c>
      <c r="C803" s="21" t="str">
        <f>IF($N$1="Piping", IF(ISBLANK(Piping!C803), "", Piping!C803), IF($N$1="Vessels", IF(ISBLANK(Vessels!C803), "", Vessels!C803), ""))</f>
        <v>Piping</v>
      </c>
      <c r="D803" s="21" t="str">
        <f>IF($N$1="Piping", IF(ISBLANK(Piping!D803), "", Piping!D803), IF($N$1="Vessels", IF(ISBLANK(Vessels!D803), "", Vessels!D803), ""))</f>
        <v/>
      </c>
      <c r="E803" s="21" t="str">
        <f>IF($N$1="Piping", IF(ISBLANK(Piping!E803), "", Piping!E803), IF($N$1="Vessels", IF(ISBLANK(Vessels!E803), "", Vessels!E803), ""))</f>
        <v/>
      </c>
      <c r="F803" s="21" t="str">
        <f>IF($N$1="Piping", IF(ISBLANK(Piping!F803), "", Piping!F803), IF($N$1="Vessels", IF(ISBLANK(Vessels!F803), "", Vessels!F803), ""))</f>
        <v/>
      </c>
      <c r="G803" s="21">
        <f>IF($N$1="Piping", IF(ISBLANK(Piping!G803), "", Piping!G803), IF($N$1="Vessels", IF(ISBLANK(Vessels!G803), "", Vessels!G803), ""))</f>
        <v>0</v>
      </c>
      <c r="H803" s="21" t="str">
        <f>IF($N$1="Piping", IF(ISBLANK(Piping!H803), "", Piping!H803), IF($N$1="Vessels", IF(ISBLANK(Vessels!H803), "", Vessels!H803), ""))</f>
        <v/>
      </c>
      <c r="I803" s="21" t="str">
        <f>IF($N$1="Piping", IF(ISBLANK(Piping!I803), "", Piping!I803), IF($N$1="Vessels", IF(ISBLANK(Vessels!I803), "", Vessels!I803), ""))</f>
        <v/>
      </c>
      <c r="J803" s="21" t="str">
        <f>IF($N$1="Piping", IF(ISBLANK(Piping!J803), "", Piping!J803), IF($N$1="Vessels", IF(ISBLANK(Vessels!J803), "", Vessels!J803), ""))</f>
        <v/>
      </c>
      <c r="K803" s="21" t="str">
        <f>IF($N$1="Piping", IF(ISBLANK(Piping!K803), "", Piping!K803), IF($N$1="Vessels", IF(ISBLANK(Vessels!K803), "", Vessels!K803), ""))</f>
        <v/>
      </c>
      <c r="L803" s="21" t="str">
        <f>IF($N$1="Piping", IF(ISBLANK(Piping!L803), "", Piping!L803), IF($N$1="Vessels", IF(ISBLANK(Vessels!L803), "", Vessels!L803), ""))</f>
        <v/>
      </c>
      <c r="M803" s="21"/>
      <c r="N803" s="21"/>
      <c r="O803" s="21"/>
      <c r="P803" s="21"/>
      <c r="Q803" s="21" t="str">
        <f>IF($N$1="Piping", IF(ISBLANK(Piping!T803), "", Piping!T803), IF($N$1="Vessels", IF(ISBLANK(Vessels!T803), "", Vessels!T803), ""))</f>
        <v/>
      </c>
      <c r="R803" s="51" t="str">
        <f>IF($N$1="Piping", IF(ISBLANK(Piping!U803), "", Piping!U803), IF($N$1="Vessels", IF(ISBLANK(Vessels!U803), "", Vessels!U803), ""))</f>
        <v/>
      </c>
      <c r="S803" s="118" t="str">
        <f>IF(B803&lt;&gt;"",IF($N$1="Piping", IF(ISBLANK(Piping!$J$3), "", Piping!$J$3), IF($N$1="Vessels", IF(ISBLANK(Vessels!$J$3), "", Vessels!$J$3), "")),"")</f>
        <v/>
      </c>
      <c r="T803" s="37"/>
      <c r="U803" s="37"/>
      <c r="V803" s="37"/>
      <c r="W803" s="37"/>
      <c r="X803" s="37"/>
      <c r="Y803" s="37"/>
      <c r="Z803" s="37"/>
    </row>
    <row r="804" spans="1:26" ht="15.75" customHeight="1" x14ac:dyDescent="0.3">
      <c r="A804" s="22">
        <f>IF($N$1="Piping", IF(ISBLANK(Piping!A804), "", Piping!A804), IF($N$1="Vessels", IF(ISBLANK(Vessels!A804), "", Vessels!A804), ""))</f>
        <v>200.3</v>
      </c>
      <c r="B804" s="21" t="str">
        <f>IF($N$1="Piping", IF(ISBLANK(Piping!B804), "", Piping!B804), IF($N$1="Vessels", IF(ISBLANK(Vessels!B804), "", Vessels!B804), ""))</f>
        <v/>
      </c>
      <c r="C804" s="21" t="str">
        <f>IF($N$1="Piping", IF(ISBLANK(Piping!C804), "", Piping!C804), IF($N$1="Vessels", IF(ISBLANK(Vessels!C804), "", Vessels!C804), ""))</f>
        <v>Piping</v>
      </c>
      <c r="D804" s="21" t="str">
        <f>IF($N$1="Piping", IF(ISBLANK(Piping!D804), "", Piping!D804), IF($N$1="Vessels", IF(ISBLANK(Vessels!D804), "", Vessels!D804), ""))</f>
        <v/>
      </c>
      <c r="E804" s="21" t="str">
        <f>IF($N$1="Piping", IF(ISBLANK(Piping!E804), "", Piping!E804), IF($N$1="Vessels", IF(ISBLANK(Vessels!E804), "", Vessels!E804), ""))</f>
        <v/>
      </c>
      <c r="F804" s="21" t="str">
        <f>IF($N$1="Piping", IF(ISBLANK(Piping!F804), "", Piping!F804), IF($N$1="Vessels", IF(ISBLANK(Vessels!F804), "", Vessels!F804), ""))</f>
        <v/>
      </c>
      <c r="G804" s="21">
        <f>IF($N$1="Piping", IF(ISBLANK(Piping!G804), "", Piping!G804), IF($N$1="Vessels", IF(ISBLANK(Vessels!G804), "", Vessels!G804), ""))</f>
        <v>0</v>
      </c>
      <c r="H804" s="21" t="str">
        <f>IF($N$1="Piping", IF(ISBLANK(Piping!H804), "", Piping!H804), IF($N$1="Vessels", IF(ISBLANK(Vessels!H804), "", Vessels!H804), ""))</f>
        <v/>
      </c>
      <c r="I804" s="21" t="str">
        <f>IF($N$1="Piping", IF(ISBLANK(Piping!I804), "", Piping!I804), IF($N$1="Vessels", IF(ISBLANK(Vessels!I804), "", Vessels!I804), ""))</f>
        <v/>
      </c>
      <c r="J804" s="21" t="str">
        <f>IF($N$1="Piping", IF(ISBLANK(Piping!J804), "", Piping!J804), IF($N$1="Vessels", IF(ISBLANK(Vessels!J804), "", Vessels!J804), ""))</f>
        <v/>
      </c>
      <c r="K804" s="21" t="str">
        <f>IF($N$1="Piping", IF(ISBLANK(Piping!K804), "", Piping!K804), IF($N$1="Vessels", IF(ISBLANK(Vessels!K804), "", Vessels!K804), ""))</f>
        <v/>
      </c>
      <c r="L804" s="21" t="str">
        <f>IF($N$1="Piping", IF(ISBLANK(Piping!L804), "", Piping!L804), IF($N$1="Vessels", IF(ISBLANK(Vessels!L804), "", Vessels!L804), ""))</f>
        <v/>
      </c>
      <c r="M804" s="21"/>
      <c r="N804" s="21"/>
      <c r="O804" s="21"/>
      <c r="P804" s="21"/>
      <c r="Q804" s="21" t="str">
        <f>IF($N$1="Piping", IF(ISBLANK(Piping!T804), "", Piping!T804), IF($N$1="Vessels", IF(ISBLANK(Vessels!T804), "", Vessels!T804), ""))</f>
        <v/>
      </c>
      <c r="R804" s="51" t="str">
        <f>IF($N$1="Piping", IF(ISBLANK(Piping!U804), "", Piping!U804), IF($N$1="Vessels", IF(ISBLANK(Vessels!U804), "", Vessels!U804), ""))</f>
        <v/>
      </c>
      <c r="S804" s="118" t="str">
        <f>IF(B804&lt;&gt;"",IF($N$1="Piping", IF(ISBLANK(Piping!$J$3), "", Piping!$J$3), IF($N$1="Vessels", IF(ISBLANK(Vessels!$J$3), "", Vessels!$J$3), "")),"")</f>
        <v/>
      </c>
      <c r="T804" s="37"/>
      <c r="U804" s="37"/>
      <c r="V804" s="37"/>
      <c r="W804" s="37"/>
      <c r="X804" s="37"/>
      <c r="Y804" s="37"/>
      <c r="Z804" s="37"/>
    </row>
    <row r="805" spans="1:26" ht="15.75" customHeight="1" x14ac:dyDescent="0.3">
      <c r="A805" s="22">
        <f>IF($N$1="Piping", IF(ISBLANK(Piping!A805), "", Piping!A805), IF($N$1="Vessels", IF(ISBLANK(Vessels!A805), "", Vessels!A805), ""))</f>
        <v>200.4</v>
      </c>
      <c r="B805" s="21" t="str">
        <f>IF($N$1="Piping", IF(ISBLANK(Piping!B805), "", Piping!B805), IF($N$1="Vessels", IF(ISBLANK(Vessels!B805), "", Vessels!B805), ""))</f>
        <v/>
      </c>
      <c r="C805" s="21" t="str">
        <f>IF($N$1="Piping", IF(ISBLANK(Piping!C805), "", Piping!C805), IF($N$1="Vessels", IF(ISBLANK(Vessels!C805), "", Vessels!C805), ""))</f>
        <v>Piping</v>
      </c>
      <c r="D805" s="21" t="str">
        <f>IF($N$1="Piping", IF(ISBLANK(Piping!D805), "", Piping!D805), IF($N$1="Vessels", IF(ISBLANK(Vessels!D805), "", Vessels!D805), ""))</f>
        <v/>
      </c>
      <c r="E805" s="21" t="str">
        <f>IF($N$1="Piping", IF(ISBLANK(Piping!E805), "", Piping!E805), IF($N$1="Vessels", IF(ISBLANK(Vessels!E805), "", Vessels!E805), ""))</f>
        <v/>
      </c>
      <c r="F805" s="21" t="str">
        <f>IF($N$1="Piping", IF(ISBLANK(Piping!F805), "", Piping!F805), IF($N$1="Vessels", IF(ISBLANK(Vessels!F805), "", Vessels!F805), ""))</f>
        <v/>
      </c>
      <c r="G805" s="21">
        <f>IF($N$1="Piping", IF(ISBLANK(Piping!G805), "", Piping!G805), IF($N$1="Vessels", IF(ISBLANK(Vessels!G805), "", Vessels!G805), ""))</f>
        <v>0</v>
      </c>
      <c r="H805" s="21" t="str">
        <f>IF($N$1="Piping", IF(ISBLANK(Piping!H805), "", Piping!H805), IF($N$1="Vessels", IF(ISBLANK(Vessels!H805), "", Vessels!H805), ""))</f>
        <v/>
      </c>
      <c r="I805" s="21" t="str">
        <f>IF($N$1="Piping", IF(ISBLANK(Piping!I805), "", Piping!I805), IF($N$1="Vessels", IF(ISBLANK(Vessels!I805), "", Vessels!I805), ""))</f>
        <v/>
      </c>
      <c r="J805" s="21" t="str">
        <f>IF($N$1="Piping", IF(ISBLANK(Piping!J805), "", Piping!J805), IF($N$1="Vessels", IF(ISBLANK(Vessels!J805), "", Vessels!J805), ""))</f>
        <v/>
      </c>
      <c r="K805" s="21" t="str">
        <f>IF($N$1="Piping", IF(ISBLANK(Piping!K805), "", Piping!K805), IF($N$1="Vessels", IF(ISBLANK(Vessels!K805), "", Vessels!K805), ""))</f>
        <v/>
      </c>
      <c r="L805" s="21" t="str">
        <f>IF($N$1="Piping", IF(ISBLANK(Piping!L805), "", Piping!L805), IF($N$1="Vessels", IF(ISBLANK(Vessels!L805), "", Vessels!L805), ""))</f>
        <v/>
      </c>
      <c r="M805" s="21"/>
      <c r="N805" s="21"/>
      <c r="O805" s="21"/>
      <c r="P805" s="21"/>
      <c r="Q805" s="21" t="str">
        <f>IF($N$1="Piping", IF(ISBLANK(Piping!T805), "", Piping!T805), IF($N$1="Vessels", IF(ISBLANK(Vessels!T805), "", Vessels!T805), ""))</f>
        <v/>
      </c>
      <c r="R805" s="51" t="str">
        <f>IF($N$1="Piping", IF(ISBLANK(Piping!U805), "", Piping!U805), IF($N$1="Vessels", IF(ISBLANK(Vessels!U805), "", Vessels!U805), ""))</f>
        <v/>
      </c>
      <c r="S805" s="118" t="str">
        <f>IF(B805&lt;&gt;"",IF($N$1="Piping", IF(ISBLANK(Piping!$J$3), "", Piping!$J$3), IF($N$1="Vessels", IF(ISBLANK(Vessels!$J$3), "", Vessels!$J$3), "")),"")</f>
        <v/>
      </c>
      <c r="T805" s="37"/>
      <c r="U805" s="37"/>
      <c r="V805" s="37"/>
      <c r="W805" s="37"/>
      <c r="X805" s="37"/>
      <c r="Y805" s="37"/>
      <c r="Z805" s="37"/>
    </row>
    <row r="806" spans="1:26" ht="15.75" customHeight="1" x14ac:dyDescent="0.3">
      <c r="A806" s="22">
        <f>IF($N$1="Piping", IF(ISBLANK(Piping!A806), "", Piping!A806), IF($N$1="Vessels", IF(ISBLANK(Vessels!A806), "", Vessels!A806), ""))</f>
        <v>201.1</v>
      </c>
      <c r="B806" s="21" t="str">
        <f>IF($N$1="Piping", IF(ISBLANK(Piping!B806), "", Piping!B806), IF($N$1="Vessels", IF(ISBLANK(Vessels!B806), "", Vessels!B806), ""))</f>
        <v/>
      </c>
      <c r="C806" s="21" t="str">
        <f>IF($N$1="Piping", IF(ISBLANK(Piping!C806), "", Piping!C806), IF($N$1="Vessels", IF(ISBLANK(Vessels!C806), "", Vessels!C806), ""))</f>
        <v>Piping</v>
      </c>
      <c r="D806" s="21" t="str">
        <f>IF($N$1="Piping", IF(ISBLANK(Piping!D806), "", Piping!D806), IF($N$1="Vessels", IF(ISBLANK(Vessels!D806), "", Vessels!D806), ""))</f>
        <v/>
      </c>
      <c r="E806" s="21" t="str">
        <f>IF($N$1="Piping", IF(ISBLANK(Piping!E806), "", Piping!E806), IF($N$1="Vessels", IF(ISBLANK(Vessels!E806), "", Vessels!E806), ""))</f>
        <v/>
      </c>
      <c r="F806" s="21" t="str">
        <f>IF($N$1="Piping", IF(ISBLANK(Piping!F806), "", Piping!F806), IF($N$1="Vessels", IF(ISBLANK(Vessels!F806), "", Vessels!F806), ""))</f>
        <v/>
      </c>
      <c r="G806" s="21">
        <f>IF($N$1="Piping", IF(ISBLANK(Piping!G806), "", Piping!G806), IF($N$1="Vessels", IF(ISBLANK(Vessels!G806), "", Vessels!G806), ""))</f>
        <v>0</v>
      </c>
      <c r="H806" s="21" t="str">
        <f>IF($N$1="Piping", IF(ISBLANK(Piping!H806), "", Piping!H806), IF($N$1="Vessels", IF(ISBLANK(Vessels!H806), "", Vessels!H806), ""))</f>
        <v/>
      </c>
      <c r="I806" s="21" t="str">
        <f>IF($N$1="Piping", IF(ISBLANK(Piping!I806), "", Piping!I806), IF($N$1="Vessels", IF(ISBLANK(Vessels!I806), "", Vessels!I806), ""))</f>
        <v/>
      </c>
      <c r="J806" s="21" t="str">
        <f>IF($N$1="Piping", IF(ISBLANK(Piping!J806), "", Piping!J806), IF($N$1="Vessels", IF(ISBLANK(Vessels!J806), "", Vessels!J806), ""))</f>
        <v/>
      </c>
      <c r="K806" s="21" t="str">
        <f>IF($N$1="Piping", IF(ISBLANK(Piping!K806), "", Piping!K806), IF($N$1="Vessels", IF(ISBLANK(Vessels!K806), "", Vessels!K806), ""))</f>
        <v/>
      </c>
      <c r="L806" s="21" t="str">
        <f>IF($N$1="Piping", IF(ISBLANK(Piping!L806), "", Piping!L806), IF($N$1="Vessels", IF(ISBLANK(Vessels!L806), "", Vessels!L806), ""))</f>
        <v/>
      </c>
      <c r="M806" s="21"/>
      <c r="N806" s="21"/>
      <c r="O806" s="21"/>
      <c r="P806" s="21"/>
      <c r="Q806" s="21" t="str">
        <f>IF($N$1="Piping", IF(ISBLANK(Piping!T806), "", Piping!T806), IF($N$1="Vessels", IF(ISBLANK(Vessels!T806), "", Vessels!T806), ""))</f>
        <v/>
      </c>
      <c r="R806" s="51" t="str">
        <f>IF($N$1="Piping", IF(ISBLANK(Piping!U806), "", Piping!U806), IF($N$1="Vessels", IF(ISBLANK(Vessels!U806), "", Vessels!U806), ""))</f>
        <v/>
      </c>
      <c r="S806" s="118" t="str">
        <f>IF(B806&lt;&gt;"",IF($N$1="Piping", IF(ISBLANK(Piping!$J$3), "", Piping!$J$3), IF($N$1="Vessels", IF(ISBLANK(Vessels!$J$3), "", Vessels!$J$3), "")),"")</f>
        <v/>
      </c>
      <c r="T806" s="37"/>
      <c r="U806" s="37"/>
      <c r="V806" s="37"/>
      <c r="W806" s="37"/>
      <c r="X806" s="37"/>
      <c r="Y806" s="37"/>
      <c r="Z806" s="37"/>
    </row>
    <row r="807" spans="1:26" ht="15.75" customHeight="1" x14ac:dyDescent="0.3">
      <c r="A807" s="22">
        <f>IF($N$1="Piping", IF(ISBLANK(Piping!A807), "", Piping!A807), IF($N$1="Vessels", IF(ISBLANK(Vessels!A807), "", Vessels!A807), ""))</f>
        <v>201.2</v>
      </c>
      <c r="B807" s="21" t="str">
        <f>IF($N$1="Piping", IF(ISBLANK(Piping!B807), "", Piping!B807), IF($N$1="Vessels", IF(ISBLANK(Vessels!B807), "", Vessels!B807), ""))</f>
        <v/>
      </c>
      <c r="C807" s="21" t="str">
        <f>IF($N$1="Piping", IF(ISBLANK(Piping!C807), "", Piping!C807), IF($N$1="Vessels", IF(ISBLANK(Vessels!C807), "", Vessels!C807), ""))</f>
        <v>Piping</v>
      </c>
      <c r="D807" s="21" t="str">
        <f>IF($N$1="Piping", IF(ISBLANK(Piping!D807), "", Piping!D807), IF($N$1="Vessels", IF(ISBLANK(Vessels!D807), "", Vessels!D807), ""))</f>
        <v/>
      </c>
      <c r="E807" s="21" t="str">
        <f>IF($N$1="Piping", IF(ISBLANK(Piping!E807), "", Piping!E807), IF($N$1="Vessels", IF(ISBLANK(Vessels!E807), "", Vessels!E807), ""))</f>
        <v/>
      </c>
      <c r="F807" s="21" t="str">
        <f>IF($N$1="Piping", IF(ISBLANK(Piping!F807), "", Piping!F807), IF($N$1="Vessels", IF(ISBLANK(Vessels!F807), "", Vessels!F807), ""))</f>
        <v/>
      </c>
      <c r="G807" s="21">
        <f>IF($N$1="Piping", IF(ISBLANK(Piping!G807), "", Piping!G807), IF($N$1="Vessels", IF(ISBLANK(Vessels!G807), "", Vessels!G807), ""))</f>
        <v>0</v>
      </c>
      <c r="H807" s="21" t="str">
        <f>IF($N$1="Piping", IF(ISBLANK(Piping!H807), "", Piping!H807), IF($N$1="Vessels", IF(ISBLANK(Vessels!H807), "", Vessels!H807), ""))</f>
        <v/>
      </c>
      <c r="I807" s="21" t="str">
        <f>IF($N$1="Piping", IF(ISBLANK(Piping!I807), "", Piping!I807), IF($N$1="Vessels", IF(ISBLANK(Vessels!I807), "", Vessels!I807), ""))</f>
        <v/>
      </c>
      <c r="J807" s="21" t="str">
        <f>IF($N$1="Piping", IF(ISBLANK(Piping!J807), "", Piping!J807), IF($N$1="Vessels", IF(ISBLANK(Vessels!J807), "", Vessels!J807), ""))</f>
        <v/>
      </c>
      <c r="K807" s="21" t="str">
        <f>IF($N$1="Piping", IF(ISBLANK(Piping!K807), "", Piping!K807), IF($N$1="Vessels", IF(ISBLANK(Vessels!K807), "", Vessels!K807), ""))</f>
        <v/>
      </c>
      <c r="L807" s="21" t="str">
        <f>IF($N$1="Piping", IF(ISBLANK(Piping!L807), "", Piping!L807), IF($N$1="Vessels", IF(ISBLANK(Vessels!L807), "", Vessels!L807), ""))</f>
        <v/>
      </c>
      <c r="M807" s="21"/>
      <c r="N807" s="21"/>
      <c r="O807" s="21"/>
      <c r="P807" s="21"/>
      <c r="Q807" s="21" t="str">
        <f>IF($N$1="Piping", IF(ISBLANK(Piping!T807), "", Piping!T807), IF($N$1="Vessels", IF(ISBLANK(Vessels!T807), "", Vessels!T807), ""))</f>
        <v/>
      </c>
      <c r="R807" s="51" t="str">
        <f>IF($N$1="Piping", IF(ISBLANK(Piping!U807), "", Piping!U807), IF($N$1="Vessels", IF(ISBLANK(Vessels!U807), "", Vessels!U807), ""))</f>
        <v/>
      </c>
      <c r="S807" s="118" t="str">
        <f>IF(B807&lt;&gt;"",IF($N$1="Piping", IF(ISBLANK(Piping!$J$3), "", Piping!$J$3), IF($N$1="Vessels", IF(ISBLANK(Vessels!$J$3), "", Vessels!$J$3), "")),"")</f>
        <v/>
      </c>
      <c r="T807" s="37"/>
      <c r="U807" s="37"/>
      <c r="V807" s="37"/>
      <c r="W807" s="37"/>
      <c r="X807" s="37"/>
      <c r="Y807" s="37"/>
      <c r="Z807" s="37"/>
    </row>
    <row r="808" spans="1:26" ht="15.75" customHeight="1" x14ac:dyDescent="0.3">
      <c r="A808" s="22">
        <f>IF($N$1="Piping", IF(ISBLANK(Piping!A808), "", Piping!A808), IF($N$1="Vessels", IF(ISBLANK(Vessels!A808), "", Vessels!A808), ""))</f>
        <v>201.3</v>
      </c>
      <c r="B808" s="21" t="str">
        <f>IF($N$1="Piping", IF(ISBLANK(Piping!B808), "", Piping!B808), IF($N$1="Vessels", IF(ISBLANK(Vessels!B808), "", Vessels!B808), ""))</f>
        <v/>
      </c>
      <c r="C808" s="21" t="str">
        <f>IF($N$1="Piping", IF(ISBLANK(Piping!C808), "", Piping!C808), IF($N$1="Vessels", IF(ISBLANK(Vessels!C808), "", Vessels!C808), ""))</f>
        <v>Piping</v>
      </c>
      <c r="D808" s="21" t="str">
        <f>IF($N$1="Piping", IF(ISBLANK(Piping!D808), "", Piping!D808), IF($N$1="Vessels", IF(ISBLANK(Vessels!D808), "", Vessels!D808), ""))</f>
        <v/>
      </c>
      <c r="E808" s="21" t="str">
        <f>IF($N$1="Piping", IF(ISBLANK(Piping!E808), "", Piping!E808), IF($N$1="Vessels", IF(ISBLANK(Vessels!E808), "", Vessels!E808), ""))</f>
        <v/>
      </c>
      <c r="F808" s="21" t="str">
        <f>IF($N$1="Piping", IF(ISBLANK(Piping!F808), "", Piping!F808), IF($N$1="Vessels", IF(ISBLANK(Vessels!F808), "", Vessels!F808), ""))</f>
        <v/>
      </c>
      <c r="G808" s="21">
        <f>IF($N$1="Piping", IF(ISBLANK(Piping!G808), "", Piping!G808), IF($N$1="Vessels", IF(ISBLANK(Vessels!G808), "", Vessels!G808), ""))</f>
        <v>0</v>
      </c>
      <c r="H808" s="21" t="str">
        <f>IF($N$1="Piping", IF(ISBLANK(Piping!H808), "", Piping!H808), IF($N$1="Vessels", IF(ISBLANK(Vessels!H808), "", Vessels!H808), ""))</f>
        <v/>
      </c>
      <c r="I808" s="21" t="str">
        <f>IF($N$1="Piping", IF(ISBLANK(Piping!I808), "", Piping!I808), IF($N$1="Vessels", IF(ISBLANK(Vessels!I808), "", Vessels!I808), ""))</f>
        <v/>
      </c>
      <c r="J808" s="21" t="str">
        <f>IF($N$1="Piping", IF(ISBLANK(Piping!J808), "", Piping!J808), IF($N$1="Vessels", IF(ISBLANK(Vessels!J808), "", Vessels!J808), ""))</f>
        <v/>
      </c>
      <c r="K808" s="21" t="str">
        <f>IF($N$1="Piping", IF(ISBLANK(Piping!K808), "", Piping!K808), IF($N$1="Vessels", IF(ISBLANK(Vessels!K808), "", Vessels!K808), ""))</f>
        <v/>
      </c>
      <c r="L808" s="21" t="str">
        <f>IF($N$1="Piping", IF(ISBLANK(Piping!L808), "", Piping!L808), IF($N$1="Vessels", IF(ISBLANK(Vessels!L808), "", Vessels!L808), ""))</f>
        <v/>
      </c>
      <c r="M808" s="21"/>
      <c r="N808" s="21"/>
      <c r="O808" s="21"/>
      <c r="P808" s="21"/>
      <c r="Q808" s="21" t="str">
        <f>IF($N$1="Piping", IF(ISBLANK(Piping!T808), "", Piping!T808), IF($N$1="Vessels", IF(ISBLANK(Vessels!T808), "", Vessels!T808), ""))</f>
        <v/>
      </c>
      <c r="R808" s="51" t="str">
        <f>IF($N$1="Piping", IF(ISBLANK(Piping!U808), "", Piping!U808), IF($N$1="Vessels", IF(ISBLANK(Vessels!U808), "", Vessels!U808), ""))</f>
        <v/>
      </c>
      <c r="S808" s="118" t="str">
        <f>IF(B808&lt;&gt;"",IF($N$1="Piping", IF(ISBLANK(Piping!$J$3), "", Piping!$J$3), IF($N$1="Vessels", IF(ISBLANK(Vessels!$J$3), "", Vessels!$J$3), "")),"")</f>
        <v/>
      </c>
      <c r="T808" s="37"/>
      <c r="U808" s="37"/>
      <c r="V808" s="37"/>
      <c r="W808" s="37"/>
      <c r="X808" s="37"/>
      <c r="Y808" s="37"/>
      <c r="Z808" s="37"/>
    </row>
    <row r="809" spans="1:26" ht="15.75" customHeight="1" x14ac:dyDescent="0.3">
      <c r="A809" s="22">
        <f>IF($N$1="Piping", IF(ISBLANK(Piping!A809), "", Piping!A809), IF($N$1="Vessels", IF(ISBLANK(Vessels!A809), "", Vessels!A809), ""))</f>
        <v>201.4</v>
      </c>
      <c r="B809" s="21" t="str">
        <f>IF($N$1="Piping", IF(ISBLANK(Piping!B809), "", Piping!B809), IF($N$1="Vessels", IF(ISBLANK(Vessels!B809), "", Vessels!B809), ""))</f>
        <v/>
      </c>
      <c r="C809" s="21" t="str">
        <f>IF($N$1="Piping", IF(ISBLANK(Piping!C809), "", Piping!C809), IF($N$1="Vessels", IF(ISBLANK(Vessels!C809), "", Vessels!C809), ""))</f>
        <v>Piping</v>
      </c>
      <c r="D809" s="21" t="str">
        <f>IF($N$1="Piping", IF(ISBLANK(Piping!D809), "", Piping!D809), IF($N$1="Vessels", IF(ISBLANK(Vessels!D809), "", Vessels!D809), ""))</f>
        <v/>
      </c>
      <c r="E809" s="21" t="str">
        <f>IF($N$1="Piping", IF(ISBLANK(Piping!E809), "", Piping!E809), IF($N$1="Vessels", IF(ISBLANK(Vessels!E809), "", Vessels!E809), ""))</f>
        <v/>
      </c>
      <c r="F809" s="21" t="str">
        <f>IF($N$1="Piping", IF(ISBLANK(Piping!F809), "", Piping!F809), IF($N$1="Vessels", IF(ISBLANK(Vessels!F809), "", Vessels!F809), ""))</f>
        <v/>
      </c>
      <c r="G809" s="21">
        <f>IF($N$1="Piping", IF(ISBLANK(Piping!G809), "", Piping!G809), IF($N$1="Vessels", IF(ISBLANK(Vessels!G809), "", Vessels!G809), ""))</f>
        <v>0</v>
      </c>
      <c r="H809" s="21" t="str">
        <f>IF($N$1="Piping", IF(ISBLANK(Piping!H809), "", Piping!H809), IF($N$1="Vessels", IF(ISBLANK(Vessels!H809), "", Vessels!H809), ""))</f>
        <v/>
      </c>
      <c r="I809" s="21" t="str">
        <f>IF($N$1="Piping", IF(ISBLANK(Piping!I809), "", Piping!I809), IF($N$1="Vessels", IF(ISBLANK(Vessels!I809), "", Vessels!I809), ""))</f>
        <v/>
      </c>
      <c r="J809" s="21" t="str">
        <f>IF($N$1="Piping", IF(ISBLANK(Piping!J809), "", Piping!J809), IF($N$1="Vessels", IF(ISBLANK(Vessels!J809), "", Vessels!J809), ""))</f>
        <v/>
      </c>
      <c r="K809" s="21" t="str">
        <f>IF($N$1="Piping", IF(ISBLANK(Piping!K809), "", Piping!K809), IF($N$1="Vessels", IF(ISBLANK(Vessels!K809), "", Vessels!K809), ""))</f>
        <v/>
      </c>
      <c r="L809" s="21" t="str">
        <f>IF($N$1="Piping", IF(ISBLANK(Piping!L809), "", Piping!L809), IF($N$1="Vessels", IF(ISBLANK(Vessels!L809), "", Vessels!L809), ""))</f>
        <v/>
      </c>
      <c r="M809" s="21"/>
      <c r="N809" s="21"/>
      <c r="O809" s="21"/>
      <c r="P809" s="21"/>
      <c r="Q809" s="21" t="str">
        <f>IF($N$1="Piping", IF(ISBLANK(Piping!T809), "", Piping!T809), IF($N$1="Vessels", IF(ISBLANK(Vessels!T809), "", Vessels!T809), ""))</f>
        <v/>
      </c>
      <c r="R809" s="51" t="str">
        <f>IF($N$1="Piping", IF(ISBLANK(Piping!U809), "", Piping!U809), IF($N$1="Vessels", IF(ISBLANK(Vessels!U809), "", Vessels!U809), ""))</f>
        <v/>
      </c>
      <c r="S809" s="118" t="str">
        <f>IF(B809&lt;&gt;"",IF($N$1="Piping", IF(ISBLANK(Piping!$J$3), "", Piping!$J$3), IF($N$1="Vessels", IF(ISBLANK(Vessels!$J$3), "", Vessels!$J$3), "")),"")</f>
        <v/>
      </c>
      <c r="T809" s="37"/>
      <c r="U809" s="37"/>
      <c r="V809" s="37"/>
      <c r="W809" s="37"/>
      <c r="X809" s="37"/>
      <c r="Y809" s="37"/>
      <c r="Z809" s="37"/>
    </row>
    <row r="810" spans="1:26" ht="15.75" customHeight="1" x14ac:dyDescent="0.3">
      <c r="A810" s="22">
        <f>IF($N$1="Piping", IF(ISBLANK(Piping!A810), "", Piping!A810), IF($N$1="Vessels", IF(ISBLANK(Vessels!A810), "", Vessels!A810), ""))</f>
        <v>202.1</v>
      </c>
      <c r="B810" s="21" t="str">
        <f>IF($N$1="Piping", IF(ISBLANK(Piping!B810), "", Piping!B810), IF($N$1="Vessels", IF(ISBLANK(Vessels!B810), "", Vessels!B810), ""))</f>
        <v/>
      </c>
      <c r="C810" s="21" t="str">
        <f>IF($N$1="Piping", IF(ISBLANK(Piping!C810), "", Piping!C810), IF($N$1="Vessels", IF(ISBLANK(Vessels!C810), "", Vessels!C810), ""))</f>
        <v>Piping</v>
      </c>
      <c r="D810" s="21" t="str">
        <f>IF($N$1="Piping", IF(ISBLANK(Piping!D810), "", Piping!D810), IF($N$1="Vessels", IF(ISBLANK(Vessels!D810), "", Vessels!D810), ""))</f>
        <v/>
      </c>
      <c r="E810" s="21" t="str">
        <f>IF($N$1="Piping", IF(ISBLANK(Piping!E810), "", Piping!E810), IF($N$1="Vessels", IF(ISBLANK(Vessels!E810), "", Vessels!E810), ""))</f>
        <v/>
      </c>
      <c r="F810" s="21" t="str">
        <f>IF($N$1="Piping", IF(ISBLANK(Piping!F810), "", Piping!F810), IF($N$1="Vessels", IF(ISBLANK(Vessels!F810), "", Vessels!F810), ""))</f>
        <v/>
      </c>
      <c r="G810" s="21">
        <f>IF($N$1="Piping", IF(ISBLANK(Piping!G810), "", Piping!G810), IF($N$1="Vessels", IF(ISBLANK(Vessels!G810), "", Vessels!G810), ""))</f>
        <v>0</v>
      </c>
      <c r="H810" s="21" t="str">
        <f>IF($N$1="Piping", IF(ISBLANK(Piping!H810), "", Piping!H810), IF($N$1="Vessels", IF(ISBLANK(Vessels!H810), "", Vessels!H810), ""))</f>
        <v/>
      </c>
      <c r="I810" s="21" t="str">
        <f>IF($N$1="Piping", IF(ISBLANK(Piping!I810), "", Piping!I810), IF($N$1="Vessels", IF(ISBLANK(Vessels!I810), "", Vessels!I810), ""))</f>
        <v/>
      </c>
      <c r="J810" s="21" t="str">
        <f>IF($N$1="Piping", IF(ISBLANK(Piping!J810), "", Piping!J810), IF($N$1="Vessels", IF(ISBLANK(Vessels!J810), "", Vessels!J810), ""))</f>
        <v/>
      </c>
      <c r="K810" s="21" t="str">
        <f>IF($N$1="Piping", IF(ISBLANK(Piping!K810), "", Piping!K810), IF($N$1="Vessels", IF(ISBLANK(Vessels!K810), "", Vessels!K810), ""))</f>
        <v/>
      </c>
      <c r="L810" s="21" t="str">
        <f>IF($N$1="Piping", IF(ISBLANK(Piping!L810), "", Piping!L810), IF($N$1="Vessels", IF(ISBLANK(Vessels!L810), "", Vessels!L810), ""))</f>
        <v/>
      </c>
      <c r="M810" s="21"/>
      <c r="N810" s="21"/>
      <c r="O810" s="21"/>
      <c r="P810" s="21"/>
      <c r="Q810" s="21" t="str">
        <f>IF($N$1="Piping", IF(ISBLANK(Piping!T810), "", Piping!T810), IF($N$1="Vessels", IF(ISBLANK(Vessels!T810), "", Vessels!T810), ""))</f>
        <v/>
      </c>
      <c r="R810" s="51" t="str">
        <f>IF($N$1="Piping", IF(ISBLANK(Piping!U810), "", Piping!U810), IF($N$1="Vessels", IF(ISBLANK(Vessels!U810), "", Vessels!U810), ""))</f>
        <v/>
      </c>
      <c r="S810" s="118" t="str">
        <f>IF(B810&lt;&gt;"",IF($N$1="Piping", IF(ISBLANK(Piping!$J$3), "", Piping!$J$3), IF($N$1="Vessels", IF(ISBLANK(Vessels!$J$3), "", Vessels!$J$3), "")),"")</f>
        <v/>
      </c>
      <c r="T810" s="37"/>
      <c r="U810" s="37"/>
      <c r="V810" s="37"/>
      <c r="W810" s="37"/>
      <c r="X810" s="37"/>
      <c r="Y810" s="37"/>
      <c r="Z810" s="37"/>
    </row>
    <row r="811" spans="1:26" ht="15.75" customHeight="1" x14ac:dyDescent="0.3">
      <c r="A811" s="22">
        <f>IF($N$1="Piping", IF(ISBLANK(Piping!A811), "", Piping!A811), IF($N$1="Vessels", IF(ISBLANK(Vessels!A811), "", Vessels!A811), ""))</f>
        <v>202.2</v>
      </c>
      <c r="B811" s="21" t="str">
        <f>IF($N$1="Piping", IF(ISBLANK(Piping!B811), "", Piping!B811), IF($N$1="Vessels", IF(ISBLANK(Vessels!B811), "", Vessels!B811), ""))</f>
        <v/>
      </c>
      <c r="C811" s="21" t="str">
        <f>IF($N$1="Piping", IF(ISBLANK(Piping!C811), "", Piping!C811), IF($N$1="Vessels", IF(ISBLANK(Vessels!C811), "", Vessels!C811), ""))</f>
        <v>Piping</v>
      </c>
      <c r="D811" s="21" t="str">
        <f>IF($N$1="Piping", IF(ISBLANK(Piping!D811), "", Piping!D811), IF($N$1="Vessels", IF(ISBLANK(Vessels!D811), "", Vessels!D811), ""))</f>
        <v/>
      </c>
      <c r="E811" s="21" t="str">
        <f>IF($N$1="Piping", IF(ISBLANK(Piping!E811), "", Piping!E811), IF($N$1="Vessels", IF(ISBLANK(Vessels!E811), "", Vessels!E811), ""))</f>
        <v/>
      </c>
      <c r="F811" s="21" t="str">
        <f>IF($N$1="Piping", IF(ISBLANK(Piping!F811), "", Piping!F811), IF($N$1="Vessels", IF(ISBLANK(Vessels!F811), "", Vessels!F811), ""))</f>
        <v/>
      </c>
      <c r="G811" s="21">
        <f>IF($N$1="Piping", IF(ISBLANK(Piping!G811), "", Piping!G811), IF($N$1="Vessels", IF(ISBLANK(Vessels!G811), "", Vessels!G811), ""))</f>
        <v>0</v>
      </c>
      <c r="H811" s="21" t="str">
        <f>IF($N$1="Piping", IF(ISBLANK(Piping!H811), "", Piping!H811), IF($N$1="Vessels", IF(ISBLANK(Vessels!H811), "", Vessels!H811), ""))</f>
        <v/>
      </c>
      <c r="I811" s="21" t="str">
        <f>IF($N$1="Piping", IF(ISBLANK(Piping!I811), "", Piping!I811), IF($N$1="Vessels", IF(ISBLANK(Vessels!I811), "", Vessels!I811), ""))</f>
        <v/>
      </c>
      <c r="J811" s="21" t="str">
        <f>IF($N$1="Piping", IF(ISBLANK(Piping!J811), "", Piping!J811), IF($N$1="Vessels", IF(ISBLANK(Vessels!J811), "", Vessels!J811), ""))</f>
        <v/>
      </c>
      <c r="K811" s="21" t="str">
        <f>IF($N$1="Piping", IF(ISBLANK(Piping!K811), "", Piping!K811), IF($N$1="Vessels", IF(ISBLANK(Vessels!K811), "", Vessels!K811), ""))</f>
        <v/>
      </c>
      <c r="L811" s="21" t="str">
        <f>IF($N$1="Piping", IF(ISBLANK(Piping!L811), "", Piping!L811), IF($N$1="Vessels", IF(ISBLANK(Vessels!L811), "", Vessels!L811), ""))</f>
        <v/>
      </c>
      <c r="M811" s="21"/>
      <c r="N811" s="21"/>
      <c r="O811" s="21"/>
      <c r="P811" s="21"/>
      <c r="Q811" s="21" t="str">
        <f>IF($N$1="Piping", IF(ISBLANK(Piping!T811), "", Piping!T811), IF($N$1="Vessels", IF(ISBLANK(Vessels!T811), "", Vessels!T811), ""))</f>
        <v/>
      </c>
      <c r="R811" s="51" t="str">
        <f>IF($N$1="Piping", IF(ISBLANK(Piping!U811), "", Piping!U811), IF($N$1="Vessels", IF(ISBLANK(Vessels!U811), "", Vessels!U811), ""))</f>
        <v/>
      </c>
      <c r="S811" s="118" t="str">
        <f>IF(B811&lt;&gt;"",IF($N$1="Piping", IF(ISBLANK(Piping!$J$3), "", Piping!$J$3), IF($N$1="Vessels", IF(ISBLANK(Vessels!$J$3), "", Vessels!$J$3), "")),"")</f>
        <v/>
      </c>
      <c r="T811" s="37"/>
      <c r="U811" s="37"/>
      <c r="V811" s="37"/>
      <c r="W811" s="37"/>
      <c r="X811" s="37"/>
      <c r="Y811" s="37"/>
      <c r="Z811" s="37"/>
    </row>
    <row r="812" spans="1:26" ht="15.75" customHeight="1" x14ac:dyDescent="0.3">
      <c r="A812" s="22">
        <f>IF($N$1="Piping", IF(ISBLANK(Piping!A812), "", Piping!A812), IF($N$1="Vessels", IF(ISBLANK(Vessels!A812), "", Vessels!A812), ""))</f>
        <v>202.3</v>
      </c>
      <c r="B812" s="21" t="str">
        <f>IF($N$1="Piping", IF(ISBLANK(Piping!B812), "", Piping!B812), IF($N$1="Vessels", IF(ISBLANK(Vessels!B812), "", Vessels!B812), ""))</f>
        <v/>
      </c>
      <c r="C812" s="21" t="str">
        <f>IF($N$1="Piping", IF(ISBLANK(Piping!C812), "", Piping!C812), IF($N$1="Vessels", IF(ISBLANK(Vessels!C812), "", Vessels!C812), ""))</f>
        <v>Piping</v>
      </c>
      <c r="D812" s="21" t="str">
        <f>IF($N$1="Piping", IF(ISBLANK(Piping!D812), "", Piping!D812), IF($N$1="Vessels", IF(ISBLANK(Vessels!D812), "", Vessels!D812), ""))</f>
        <v/>
      </c>
      <c r="E812" s="21" t="str">
        <f>IF($N$1="Piping", IF(ISBLANK(Piping!E812), "", Piping!E812), IF($N$1="Vessels", IF(ISBLANK(Vessels!E812), "", Vessels!E812), ""))</f>
        <v/>
      </c>
      <c r="F812" s="21" t="str">
        <f>IF($N$1="Piping", IF(ISBLANK(Piping!F812), "", Piping!F812), IF($N$1="Vessels", IF(ISBLANK(Vessels!F812), "", Vessels!F812), ""))</f>
        <v/>
      </c>
      <c r="G812" s="21">
        <f>IF($N$1="Piping", IF(ISBLANK(Piping!G812), "", Piping!G812), IF($N$1="Vessels", IF(ISBLANK(Vessels!G812), "", Vessels!G812), ""))</f>
        <v>0</v>
      </c>
      <c r="H812" s="21" t="str">
        <f>IF($N$1="Piping", IF(ISBLANK(Piping!H812), "", Piping!H812), IF($N$1="Vessels", IF(ISBLANK(Vessels!H812), "", Vessels!H812), ""))</f>
        <v/>
      </c>
      <c r="I812" s="21" t="str">
        <f>IF($N$1="Piping", IF(ISBLANK(Piping!I812), "", Piping!I812), IF($N$1="Vessels", IF(ISBLANK(Vessels!I812), "", Vessels!I812), ""))</f>
        <v/>
      </c>
      <c r="J812" s="21" t="str">
        <f>IF($N$1="Piping", IF(ISBLANK(Piping!J812), "", Piping!J812), IF($N$1="Vessels", IF(ISBLANK(Vessels!J812), "", Vessels!J812), ""))</f>
        <v/>
      </c>
      <c r="K812" s="21" t="str">
        <f>IF($N$1="Piping", IF(ISBLANK(Piping!K812), "", Piping!K812), IF($N$1="Vessels", IF(ISBLANK(Vessels!K812), "", Vessels!K812), ""))</f>
        <v/>
      </c>
      <c r="L812" s="21" t="str">
        <f>IF($N$1="Piping", IF(ISBLANK(Piping!L812), "", Piping!L812), IF($N$1="Vessels", IF(ISBLANK(Vessels!L812), "", Vessels!L812), ""))</f>
        <v/>
      </c>
      <c r="M812" s="21"/>
      <c r="N812" s="21"/>
      <c r="O812" s="21"/>
      <c r="P812" s="21"/>
      <c r="Q812" s="21" t="str">
        <f>IF($N$1="Piping", IF(ISBLANK(Piping!T812), "", Piping!T812), IF($N$1="Vessels", IF(ISBLANK(Vessels!T812), "", Vessels!T812), ""))</f>
        <v/>
      </c>
      <c r="R812" s="51" t="str">
        <f>IF($N$1="Piping", IF(ISBLANK(Piping!U812), "", Piping!U812), IF($N$1="Vessels", IF(ISBLANK(Vessels!U812), "", Vessels!U812), ""))</f>
        <v/>
      </c>
      <c r="S812" s="118" t="str">
        <f>IF(B812&lt;&gt;"",IF($N$1="Piping", IF(ISBLANK(Piping!$J$3), "", Piping!$J$3), IF($N$1="Vessels", IF(ISBLANK(Vessels!$J$3), "", Vessels!$J$3), "")),"")</f>
        <v/>
      </c>
      <c r="T812" s="37"/>
      <c r="U812" s="37"/>
      <c r="V812" s="37"/>
      <c r="W812" s="37"/>
      <c r="X812" s="37"/>
      <c r="Y812" s="37"/>
      <c r="Z812" s="37"/>
    </row>
    <row r="813" spans="1:26" ht="15.75" customHeight="1" x14ac:dyDescent="0.3">
      <c r="A813" s="22">
        <f>IF($N$1="Piping", IF(ISBLANK(Piping!A813), "", Piping!A813), IF($N$1="Vessels", IF(ISBLANK(Vessels!A813), "", Vessels!A813), ""))</f>
        <v>202.4</v>
      </c>
      <c r="B813" s="21" t="str">
        <f>IF($N$1="Piping", IF(ISBLANK(Piping!B813), "", Piping!B813), IF($N$1="Vessels", IF(ISBLANK(Vessels!B813), "", Vessels!B813), ""))</f>
        <v/>
      </c>
      <c r="C813" s="21" t="str">
        <f>IF($N$1="Piping", IF(ISBLANK(Piping!C813), "", Piping!C813), IF($N$1="Vessels", IF(ISBLANK(Vessels!C813), "", Vessels!C813), ""))</f>
        <v>Piping</v>
      </c>
      <c r="D813" s="21" t="str">
        <f>IF($N$1="Piping", IF(ISBLANK(Piping!D813), "", Piping!D813), IF($N$1="Vessels", IF(ISBLANK(Vessels!D813), "", Vessels!D813), ""))</f>
        <v/>
      </c>
      <c r="E813" s="21" t="str">
        <f>IF($N$1="Piping", IF(ISBLANK(Piping!E813), "", Piping!E813), IF($N$1="Vessels", IF(ISBLANK(Vessels!E813), "", Vessels!E813), ""))</f>
        <v/>
      </c>
      <c r="F813" s="21" t="str">
        <f>IF($N$1="Piping", IF(ISBLANK(Piping!F813), "", Piping!F813), IF($N$1="Vessels", IF(ISBLANK(Vessels!F813), "", Vessels!F813), ""))</f>
        <v/>
      </c>
      <c r="G813" s="21">
        <f>IF($N$1="Piping", IF(ISBLANK(Piping!G813), "", Piping!G813), IF($N$1="Vessels", IF(ISBLANK(Vessels!G813), "", Vessels!G813), ""))</f>
        <v>0</v>
      </c>
      <c r="H813" s="21" t="str">
        <f>IF($N$1="Piping", IF(ISBLANK(Piping!H813), "", Piping!H813), IF($N$1="Vessels", IF(ISBLANK(Vessels!H813), "", Vessels!H813), ""))</f>
        <v/>
      </c>
      <c r="I813" s="21" t="str">
        <f>IF($N$1="Piping", IF(ISBLANK(Piping!I813), "", Piping!I813), IF($N$1="Vessels", IF(ISBLANK(Vessels!I813), "", Vessels!I813), ""))</f>
        <v/>
      </c>
      <c r="J813" s="21" t="str">
        <f>IF($N$1="Piping", IF(ISBLANK(Piping!J813), "", Piping!J813), IF($N$1="Vessels", IF(ISBLANK(Vessels!J813), "", Vessels!J813), ""))</f>
        <v/>
      </c>
      <c r="K813" s="21" t="str">
        <f>IF($N$1="Piping", IF(ISBLANK(Piping!K813), "", Piping!K813), IF($N$1="Vessels", IF(ISBLANK(Vessels!K813), "", Vessels!K813), ""))</f>
        <v/>
      </c>
      <c r="L813" s="21" t="str">
        <f>IF($N$1="Piping", IF(ISBLANK(Piping!L813), "", Piping!L813), IF($N$1="Vessels", IF(ISBLANK(Vessels!L813), "", Vessels!L813), ""))</f>
        <v/>
      </c>
      <c r="M813" s="21"/>
      <c r="N813" s="21"/>
      <c r="O813" s="21"/>
      <c r="P813" s="21"/>
      <c r="Q813" s="21" t="str">
        <f>IF($N$1="Piping", IF(ISBLANK(Piping!T813), "", Piping!T813), IF($N$1="Vessels", IF(ISBLANK(Vessels!T813), "", Vessels!T813), ""))</f>
        <v/>
      </c>
      <c r="R813" s="51" t="str">
        <f>IF($N$1="Piping", IF(ISBLANK(Piping!U813), "", Piping!U813), IF($N$1="Vessels", IF(ISBLANK(Vessels!U813), "", Vessels!U813), ""))</f>
        <v/>
      </c>
      <c r="S813" s="118" t="str">
        <f>IF(B813&lt;&gt;"",IF($N$1="Piping", IF(ISBLANK(Piping!$J$3), "", Piping!$J$3), IF($N$1="Vessels", IF(ISBLANK(Vessels!$J$3), "", Vessels!$J$3), "")),"")</f>
        <v/>
      </c>
      <c r="T813" s="37"/>
      <c r="U813" s="37"/>
      <c r="V813" s="37"/>
      <c r="W813" s="37"/>
      <c r="X813" s="37"/>
      <c r="Y813" s="37"/>
      <c r="Z813" s="37"/>
    </row>
    <row r="814" spans="1:26" ht="15.75" customHeight="1" x14ac:dyDescent="0.3">
      <c r="A814" s="22">
        <f>IF($N$1="Piping", IF(ISBLANK(Piping!A814), "", Piping!A814), IF($N$1="Vessels", IF(ISBLANK(Vessels!A814), "", Vessels!A814), ""))</f>
        <v>203.1</v>
      </c>
      <c r="B814" s="21" t="str">
        <f>IF($N$1="Piping", IF(ISBLANK(Piping!B814), "", Piping!B814), IF($N$1="Vessels", IF(ISBLANK(Vessels!B814), "", Vessels!B814), ""))</f>
        <v/>
      </c>
      <c r="C814" s="21" t="str">
        <f>IF($N$1="Piping", IF(ISBLANK(Piping!C814), "", Piping!C814), IF($N$1="Vessels", IF(ISBLANK(Vessels!C814), "", Vessels!C814), ""))</f>
        <v>Piping</v>
      </c>
      <c r="D814" s="21" t="str">
        <f>IF($N$1="Piping", IF(ISBLANK(Piping!D814), "", Piping!D814), IF($N$1="Vessels", IF(ISBLANK(Vessels!D814), "", Vessels!D814), ""))</f>
        <v/>
      </c>
      <c r="E814" s="21" t="str">
        <f>IF($N$1="Piping", IF(ISBLANK(Piping!E814), "", Piping!E814), IF($N$1="Vessels", IF(ISBLANK(Vessels!E814), "", Vessels!E814), ""))</f>
        <v/>
      </c>
      <c r="F814" s="21" t="str">
        <f>IF($N$1="Piping", IF(ISBLANK(Piping!F814), "", Piping!F814), IF($N$1="Vessels", IF(ISBLANK(Vessels!F814), "", Vessels!F814), ""))</f>
        <v/>
      </c>
      <c r="G814" s="21">
        <f>IF($N$1="Piping", IF(ISBLANK(Piping!G814), "", Piping!G814), IF($N$1="Vessels", IF(ISBLANK(Vessels!G814), "", Vessels!G814), ""))</f>
        <v>0</v>
      </c>
      <c r="H814" s="21" t="str">
        <f>IF($N$1="Piping", IF(ISBLANK(Piping!H814), "", Piping!H814), IF($N$1="Vessels", IF(ISBLANK(Vessels!H814), "", Vessels!H814), ""))</f>
        <v/>
      </c>
      <c r="I814" s="21" t="str">
        <f>IF($N$1="Piping", IF(ISBLANK(Piping!I814), "", Piping!I814), IF($N$1="Vessels", IF(ISBLANK(Vessels!I814), "", Vessels!I814), ""))</f>
        <v/>
      </c>
      <c r="J814" s="21" t="str">
        <f>IF($N$1="Piping", IF(ISBLANK(Piping!J814), "", Piping!J814), IF($N$1="Vessels", IF(ISBLANK(Vessels!J814), "", Vessels!J814), ""))</f>
        <v/>
      </c>
      <c r="K814" s="21" t="str">
        <f>IF($N$1="Piping", IF(ISBLANK(Piping!K814), "", Piping!K814), IF($N$1="Vessels", IF(ISBLANK(Vessels!K814), "", Vessels!K814), ""))</f>
        <v/>
      </c>
      <c r="L814" s="21" t="str">
        <f>IF($N$1="Piping", IF(ISBLANK(Piping!L814), "", Piping!L814), IF($N$1="Vessels", IF(ISBLANK(Vessels!L814), "", Vessels!L814), ""))</f>
        <v/>
      </c>
      <c r="M814" s="21"/>
      <c r="N814" s="21"/>
      <c r="O814" s="21"/>
      <c r="P814" s="21"/>
      <c r="Q814" s="21" t="str">
        <f>IF($N$1="Piping", IF(ISBLANK(Piping!T814), "", Piping!T814), IF($N$1="Vessels", IF(ISBLANK(Vessels!T814), "", Vessels!T814), ""))</f>
        <v/>
      </c>
      <c r="R814" s="51" t="str">
        <f>IF($N$1="Piping", IF(ISBLANK(Piping!U814), "", Piping!U814), IF($N$1="Vessels", IF(ISBLANK(Vessels!U814), "", Vessels!U814), ""))</f>
        <v/>
      </c>
      <c r="S814" s="118" t="str">
        <f>IF(B814&lt;&gt;"",IF($N$1="Piping", IF(ISBLANK(Piping!$J$3), "", Piping!$J$3), IF($N$1="Vessels", IF(ISBLANK(Vessels!$J$3), "", Vessels!$J$3), "")),"")</f>
        <v/>
      </c>
      <c r="T814" s="37"/>
      <c r="U814" s="37"/>
      <c r="V814" s="37"/>
      <c r="W814" s="37"/>
      <c r="X814" s="37"/>
      <c r="Y814" s="37"/>
      <c r="Z814" s="37"/>
    </row>
    <row r="815" spans="1:26" ht="15.75" customHeight="1" x14ac:dyDescent="0.3">
      <c r="A815" s="22">
        <f>IF($N$1="Piping", IF(ISBLANK(Piping!A815), "", Piping!A815), IF($N$1="Vessels", IF(ISBLANK(Vessels!A815), "", Vessels!A815), ""))</f>
        <v>203.2</v>
      </c>
      <c r="B815" s="21" t="str">
        <f>IF($N$1="Piping", IF(ISBLANK(Piping!B815), "", Piping!B815), IF($N$1="Vessels", IF(ISBLANK(Vessels!B815), "", Vessels!B815), ""))</f>
        <v/>
      </c>
      <c r="C815" s="21" t="str">
        <f>IF($N$1="Piping", IF(ISBLANK(Piping!C815), "", Piping!C815), IF($N$1="Vessels", IF(ISBLANK(Vessels!C815), "", Vessels!C815), ""))</f>
        <v>Piping</v>
      </c>
      <c r="D815" s="21" t="str">
        <f>IF($N$1="Piping", IF(ISBLANK(Piping!D815), "", Piping!D815), IF($N$1="Vessels", IF(ISBLANK(Vessels!D815), "", Vessels!D815), ""))</f>
        <v/>
      </c>
      <c r="E815" s="21" t="str">
        <f>IF($N$1="Piping", IF(ISBLANK(Piping!E815), "", Piping!E815), IF($N$1="Vessels", IF(ISBLANK(Vessels!E815), "", Vessels!E815), ""))</f>
        <v/>
      </c>
      <c r="F815" s="21" t="str">
        <f>IF($N$1="Piping", IF(ISBLANK(Piping!F815), "", Piping!F815), IF($N$1="Vessels", IF(ISBLANK(Vessels!F815), "", Vessels!F815), ""))</f>
        <v/>
      </c>
      <c r="G815" s="21">
        <f>IF($N$1="Piping", IF(ISBLANK(Piping!G815), "", Piping!G815), IF($N$1="Vessels", IF(ISBLANK(Vessels!G815), "", Vessels!G815), ""))</f>
        <v>0</v>
      </c>
      <c r="H815" s="21" t="str">
        <f>IF($N$1="Piping", IF(ISBLANK(Piping!H815), "", Piping!H815), IF($N$1="Vessels", IF(ISBLANK(Vessels!H815), "", Vessels!H815), ""))</f>
        <v/>
      </c>
      <c r="I815" s="21" t="str">
        <f>IF($N$1="Piping", IF(ISBLANK(Piping!I815), "", Piping!I815), IF($N$1="Vessels", IF(ISBLANK(Vessels!I815), "", Vessels!I815), ""))</f>
        <v/>
      </c>
      <c r="J815" s="21" t="str">
        <f>IF($N$1="Piping", IF(ISBLANK(Piping!J815), "", Piping!J815), IF($N$1="Vessels", IF(ISBLANK(Vessels!J815), "", Vessels!J815), ""))</f>
        <v/>
      </c>
      <c r="K815" s="21" t="str">
        <f>IF($N$1="Piping", IF(ISBLANK(Piping!K815), "", Piping!K815), IF($N$1="Vessels", IF(ISBLANK(Vessels!K815), "", Vessels!K815), ""))</f>
        <v/>
      </c>
      <c r="L815" s="21" t="str">
        <f>IF($N$1="Piping", IF(ISBLANK(Piping!L815), "", Piping!L815), IF($N$1="Vessels", IF(ISBLANK(Vessels!L815), "", Vessels!L815), ""))</f>
        <v/>
      </c>
      <c r="M815" s="21"/>
      <c r="N815" s="21"/>
      <c r="O815" s="21"/>
      <c r="P815" s="21"/>
      <c r="Q815" s="21" t="str">
        <f>IF($N$1="Piping", IF(ISBLANK(Piping!T815), "", Piping!T815), IF($N$1="Vessels", IF(ISBLANK(Vessels!T815), "", Vessels!T815), ""))</f>
        <v/>
      </c>
      <c r="R815" s="51" t="str">
        <f>IF($N$1="Piping", IF(ISBLANK(Piping!U815), "", Piping!U815), IF($N$1="Vessels", IF(ISBLANK(Vessels!U815), "", Vessels!U815), ""))</f>
        <v/>
      </c>
      <c r="S815" s="118" t="str">
        <f>IF(B815&lt;&gt;"",IF($N$1="Piping", IF(ISBLANK(Piping!$J$3), "", Piping!$J$3), IF($N$1="Vessels", IF(ISBLANK(Vessels!$J$3), "", Vessels!$J$3), "")),"")</f>
        <v/>
      </c>
      <c r="T815" s="37"/>
      <c r="U815" s="37"/>
      <c r="V815" s="37"/>
      <c r="W815" s="37"/>
      <c r="X815" s="37"/>
      <c r="Y815" s="37"/>
      <c r="Z815" s="37"/>
    </row>
    <row r="816" spans="1:26" ht="15.75" customHeight="1" x14ac:dyDescent="0.3">
      <c r="A816" s="22">
        <f>IF($N$1="Piping", IF(ISBLANK(Piping!A816), "", Piping!A816), IF($N$1="Vessels", IF(ISBLANK(Vessels!A816), "", Vessels!A816), ""))</f>
        <v>203.3</v>
      </c>
      <c r="B816" s="21" t="str">
        <f>IF($N$1="Piping", IF(ISBLANK(Piping!B816), "", Piping!B816), IF($N$1="Vessels", IF(ISBLANK(Vessels!B816), "", Vessels!B816), ""))</f>
        <v/>
      </c>
      <c r="C816" s="21" t="str">
        <f>IF($N$1="Piping", IF(ISBLANK(Piping!C816), "", Piping!C816), IF($N$1="Vessels", IF(ISBLANK(Vessels!C816), "", Vessels!C816), ""))</f>
        <v>Piping</v>
      </c>
      <c r="D816" s="21" t="str">
        <f>IF($N$1="Piping", IF(ISBLANK(Piping!D816), "", Piping!D816), IF($N$1="Vessels", IF(ISBLANK(Vessels!D816), "", Vessels!D816), ""))</f>
        <v/>
      </c>
      <c r="E816" s="21" t="str">
        <f>IF($N$1="Piping", IF(ISBLANK(Piping!E816), "", Piping!E816), IF($N$1="Vessels", IF(ISBLANK(Vessels!E816), "", Vessels!E816), ""))</f>
        <v/>
      </c>
      <c r="F816" s="21" t="str">
        <f>IF($N$1="Piping", IF(ISBLANK(Piping!F816), "", Piping!F816), IF($N$1="Vessels", IF(ISBLANK(Vessels!F816), "", Vessels!F816), ""))</f>
        <v/>
      </c>
      <c r="G816" s="21">
        <f>IF($N$1="Piping", IF(ISBLANK(Piping!G816), "", Piping!G816), IF($N$1="Vessels", IF(ISBLANK(Vessels!G816), "", Vessels!G816), ""))</f>
        <v>0</v>
      </c>
      <c r="H816" s="21" t="str">
        <f>IF($N$1="Piping", IF(ISBLANK(Piping!H816), "", Piping!H816), IF($N$1="Vessels", IF(ISBLANK(Vessels!H816), "", Vessels!H816), ""))</f>
        <v/>
      </c>
      <c r="I816" s="21" t="str">
        <f>IF($N$1="Piping", IF(ISBLANK(Piping!I816), "", Piping!I816), IF($N$1="Vessels", IF(ISBLANK(Vessels!I816), "", Vessels!I816), ""))</f>
        <v/>
      </c>
      <c r="J816" s="21" t="str">
        <f>IF($N$1="Piping", IF(ISBLANK(Piping!J816), "", Piping!J816), IF($N$1="Vessels", IF(ISBLANK(Vessels!J816), "", Vessels!J816), ""))</f>
        <v/>
      </c>
      <c r="K816" s="21" t="str">
        <f>IF($N$1="Piping", IF(ISBLANK(Piping!K816), "", Piping!K816), IF($N$1="Vessels", IF(ISBLANK(Vessels!K816), "", Vessels!K816), ""))</f>
        <v/>
      </c>
      <c r="L816" s="21" t="str">
        <f>IF($N$1="Piping", IF(ISBLANK(Piping!L816), "", Piping!L816), IF($N$1="Vessels", IF(ISBLANK(Vessels!L816), "", Vessels!L816), ""))</f>
        <v/>
      </c>
      <c r="M816" s="21"/>
      <c r="N816" s="21"/>
      <c r="O816" s="21"/>
      <c r="P816" s="21"/>
      <c r="Q816" s="21" t="str">
        <f>IF($N$1="Piping", IF(ISBLANK(Piping!T816), "", Piping!T816), IF($N$1="Vessels", IF(ISBLANK(Vessels!T816), "", Vessels!T816), ""))</f>
        <v/>
      </c>
      <c r="R816" s="51" t="str">
        <f>IF($N$1="Piping", IF(ISBLANK(Piping!U816), "", Piping!U816), IF($N$1="Vessels", IF(ISBLANK(Vessels!U816), "", Vessels!U816), ""))</f>
        <v/>
      </c>
      <c r="S816" s="118" t="str">
        <f>IF(B816&lt;&gt;"",IF($N$1="Piping", IF(ISBLANK(Piping!$J$3), "", Piping!$J$3), IF($N$1="Vessels", IF(ISBLANK(Vessels!$J$3), "", Vessels!$J$3), "")),"")</f>
        <v/>
      </c>
      <c r="T816" s="37"/>
      <c r="U816" s="37"/>
      <c r="V816" s="37"/>
      <c r="W816" s="37"/>
      <c r="X816" s="37"/>
      <c r="Y816" s="37"/>
      <c r="Z816" s="37"/>
    </row>
    <row r="817" spans="1:26" ht="15.75" customHeight="1" x14ac:dyDescent="0.3">
      <c r="A817" s="22">
        <f>IF($N$1="Piping", IF(ISBLANK(Piping!A817), "", Piping!A817), IF($N$1="Vessels", IF(ISBLANK(Vessels!A817), "", Vessels!A817), ""))</f>
        <v>203.4</v>
      </c>
      <c r="B817" s="21" t="str">
        <f>IF($N$1="Piping", IF(ISBLANK(Piping!B817), "", Piping!B817), IF($N$1="Vessels", IF(ISBLANK(Vessels!B817), "", Vessels!B817), ""))</f>
        <v/>
      </c>
      <c r="C817" s="21" t="str">
        <f>IF($N$1="Piping", IF(ISBLANK(Piping!C817), "", Piping!C817), IF($N$1="Vessels", IF(ISBLANK(Vessels!C817), "", Vessels!C817), ""))</f>
        <v>Piping</v>
      </c>
      <c r="D817" s="21" t="str">
        <f>IF($N$1="Piping", IF(ISBLANK(Piping!D817), "", Piping!D817), IF($N$1="Vessels", IF(ISBLANK(Vessels!D817), "", Vessels!D817), ""))</f>
        <v/>
      </c>
      <c r="E817" s="21" t="str">
        <f>IF($N$1="Piping", IF(ISBLANK(Piping!E817), "", Piping!E817), IF($N$1="Vessels", IF(ISBLANK(Vessels!E817), "", Vessels!E817), ""))</f>
        <v/>
      </c>
      <c r="F817" s="21" t="str">
        <f>IF($N$1="Piping", IF(ISBLANK(Piping!F817), "", Piping!F817), IF($N$1="Vessels", IF(ISBLANK(Vessels!F817), "", Vessels!F817), ""))</f>
        <v/>
      </c>
      <c r="G817" s="21">
        <f>IF($N$1="Piping", IF(ISBLANK(Piping!G817), "", Piping!G817), IF($N$1="Vessels", IF(ISBLANK(Vessels!G817), "", Vessels!G817), ""))</f>
        <v>0</v>
      </c>
      <c r="H817" s="21" t="str">
        <f>IF($N$1="Piping", IF(ISBLANK(Piping!H817), "", Piping!H817), IF($N$1="Vessels", IF(ISBLANK(Vessels!H817), "", Vessels!H817), ""))</f>
        <v/>
      </c>
      <c r="I817" s="21" t="str">
        <f>IF($N$1="Piping", IF(ISBLANK(Piping!I817), "", Piping!I817), IF($N$1="Vessels", IF(ISBLANK(Vessels!I817), "", Vessels!I817), ""))</f>
        <v/>
      </c>
      <c r="J817" s="21" t="str">
        <f>IF($N$1="Piping", IF(ISBLANK(Piping!J817), "", Piping!J817), IF($N$1="Vessels", IF(ISBLANK(Vessels!J817), "", Vessels!J817), ""))</f>
        <v/>
      </c>
      <c r="K817" s="21" t="str">
        <f>IF($N$1="Piping", IF(ISBLANK(Piping!K817), "", Piping!K817), IF($N$1="Vessels", IF(ISBLANK(Vessels!K817), "", Vessels!K817), ""))</f>
        <v/>
      </c>
      <c r="L817" s="21" t="str">
        <f>IF($N$1="Piping", IF(ISBLANK(Piping!L817), "", Piping!L817), IF($N$1="Vessels", IF(ISBLANK(Vessels!L817), "", Vessels!L817), ""))</f>
        <v/>
      </c>
      <c r="M817" s="21"/>
      <c r="N817" s="21"/>
      <c r="O817" s="21"/>
      <c r="P817" s="21"/>
      <c r="Q817" s="21" t="str">
        <f>IF($N$1="Piping", IF(ISBLANK(Piping!T817), "", Piping!T817), IF($N$1="Vessels", IF(ISBLANK(Vessels!T817), "", Vessels!T817), ""))</f>
        <v/>
      </c>
      <c r="R817" s="51" t="str">
        <f>IF($N$1="Piping", IF(ISBLANK(Piping!U817), "", Piping!U817), IF($N$1="Vessels", IF(ISBLANK(Vessels!U817), "", Vessels!U817), ""))</f>
        <v/>
      </c>
      <c r="S817" s="118" t="str">
        <f>IF(B817&lt;&gt;"",IF($N$1="Piping", IF(ISBLANK(Piping!$J$3), "", Piping!$J$3), IF($N$1="Vessels", IF(ISBLANK(Vessels!$J$3), "", Vessels!$J$3), "")),"")</f>
        <v/>
      </c>
      <c r="T817" s="37"/>
      <c r="U817" s="37"/>
      <c r="V817" s="37"/>
      <c r="W817" s="37"/>
      <c r="X817" s="37"/>
      <c r="Y817" s="37"/>
      <c r="Z817" s="37"/>
    </row>
    <row r="818" spans="1:26" ht="15.75" customHeight="1" x14ac:dyDescent="0.3">
      <c r="A818" s="22">
        <f>IF($N$1="Piping", IF(ISBLANK(Piping!A818), "", Piping!A818), IF($N$1="Vessels", IF(ISBLANK(Vessels!A818), "", Vessels!A818), ""))</f>
        <v>204.1</v>
      </c>
      <c r="B818" s="21" t="str">
        <f>IF($N$1="Piping", IF(ISBLANK(Piping!B818), "", Piping!B818), IF($N$1="Vessels", IF(ISBLANK(Vessels!B818), "", Vessels!B818), ""))</f>
        <v/>
      </c>
      <c r="C818" s="21" t="str">
        <f>IF($N$1="Piping", IF(ISBLANK(Piping!C818), "", Piping!C818), IF($N$1="Vessels", IF(ISBLANK(Vessels!C818), "", Vessels!C818), ""))</f>
        <v>Piping</v>
      </c>
      <c r="D818" s="21" t="str">
        <f>IF($N$1="Piping", IF(ISBLANK(Piping!D818), "", Piping!D818), IF($N$1="Vessels", IF(ISBLANK(Vessels!D818), "", Vessels!D818), ""))</f>
        <v/>
      </c>
      <c r="E818" s="21" t="str">
        <f>IF($N$1="Piping", IF(ISBLANK(Piping!E818), "", Piping!E818), IF($N$1="Vessels", IF(ISBLANK(Vessels!E818), "", Vessels!E818), ""))</f>
        <v/>
      </c>
      <c r="F818" s="21" t="str">
        <f>IF($N$1="Piping", IF(ISBLANK(Piping!F818), "", Piping!F818), IF($N$1="Vessels", IF(ISBLANK(Vessels!F818), "", Vessels!F818), ""))</f>
        <v/>
      </c>
      <c r="G818" s="21">
        <f>IF($N$1="Piping", IF(ISBLANK(Piping!G818), "", Piping!G818), IF($N$1="Vessels", IF(ISBLANK(Vessels!G818), "", Vessels!G818), ""))</f>
        <v>0</v>
      </c>
      <c r="H818" s="21" t="str">
        <f>IF($N$1="Piping", IF(ISBLANK(Piping!H818), "", Piping!H818), IF($N$1="Vessels", IF(ISBLANK(Vessels!H818), "", Vessels!H818), ""))</f>
        <v/>
      </c>
      <c r="I818" s="21" t="str">
        <f>IF($N$1="Piping", IF(ISBLANK(Piping!I818), "", Piping!I818), IF($N$1="Vessels", IF(ISBLANK(Vessels!I818), "", Vessels!I818), ""))</f>
        <v/>
      </c>
      <c r="J818" s="21" t="str">
        <f>IF($N$1="Piping", IF(ISBLANK(Piping!J818), "", Piping!J818), IF($N$1="Vessels", IF(ISBLANK(Vessels!J818), "", Vessels!J818), ""))</f>
        <v/>
      </c>
      <c r="K818" s="21" t="str">
        <f>IF($N$1="Piping", IF(ISBLANK(Piping!K818), "", Piping!K818), IF($N$1="Vessels", IF(ISBLANK(Vessels!K818), "", Vessels!K818), ""))</f>
        <v/>
      </c>
      <c r="L818" s="21" t="str">
        <f>IF($N$1="Piping", IF(ISBLANK(Piping!L818), "", Piping!L818), IF($N$1="Vessels", IF(ISBLANK(Vessels!L818), "", Vessels!L818), ""))</f>
        <v/>
      </c>
      <c r="M818" s="21"/>
      <c r="N818" s="21"/>
      <c r="O818" s="21"/>
      <c r="P818" s="21"/>
      <c r="Q818" s="21" t="str">
        <f>IF($N$1="Piping", IF(ISBLANK(Piping!T818), "", Piping!T818), IF($N$1="Vessels", IF(ISBLANK(Vessels!T818), "", Vessels!T818), ""))</f>
        <v/>
      </c>
      <c r="R818" s="51" t="str">
        <f>IF($N$1="Piping", IF(ISBLANK(Piping!U818), "", Piping!U818), IF($N$1="Vessels", IF(ISBLANK(Vessels!U818), "", Vessels!U818), ""))</f>
        <v/>
      </c>
      <c r="S818" s="118" t="str">
        <f>IF(B818&lt;&gt;"",IF($N$1="Piping", IF(ISBLANK(Piping!$J$3), "", Piping!$J$3), IF($N$1="Vessels", IF(ISBLANK(Vessels!$J$3), "", Vessels!$J$3), "")),"")</f>
        <v/>
      </c>
      <c r="T818" s="37"/>
      <c r="U818" s="37"/>
      <c r="V818" s="37"/>
      <c r="W818" s="37"/>
      <c r="X818" s="37"/>
      <c r="Y818" s="37"/>
      <c r="Z818" s="37"/>
    </row>
    <row r="819" spans="1:26" ht="15.75" customHeight="1" x14ac:dyDescent="0.3">
      <c r="A819" s="22">
        <f>IF($N$1="Piping", IF(ISBLANK(Piping!A819), "", Piping!A819), IF($N$1="Vessels", IF(ISBLANK(Vessels!A819), "", Vessels!A819), ""))</f>
        <v>204.2</v>
      </c>
      <c r="B819" s="21" t="str">
        <f>IF($N$1="Piping", IF(ISBLANK(Piping!B819), "", Piping!B819), IF($N$1="Vessels", IF(ISBLANK(Vessels!B819), "", Vessels!B819), ""))</f>
        <v/>
      </c>
      <c r="C819" s="21" t="str">
        <f>IF($N$1="Piping", IF(ISBLANK(Piping!C819), "", Piping!C819), IF($N$1="Vessels", IF(ISBLANK(Vessels!C819), "", Vessels!C819), ""))</f>
        <v>Piping</v>
      </c>
      <c r="D819" s="21" t="str">
        <f>IF($N$1="Piping", IF(ISBLANK(Piping!D819), "", Piping!D819), IF($N$1="Vessels", IF(ISBLANK(Vessels!D819), "", Vessels!D819), ""))</f>
        <v/>
      </c>
      <c r="E819" s="21" t="str">
        <f>IF($N$1="Piping", IF(ISBLANK(Piping!E819), "", Piping!E819), IF($N$1="Vessels", IF(ISBLANK(Vessels!E819), "", Vessels!E819), ""))</f>
        <v/>
      </c>
      <c r="F819" s="21" t="str">
        <f>IF($N$1="Piping", IF(ISBLANK(Piping!F819), "", Piping!F819), IF($N$1="Vessels", IF(ISBLANK(Vessels!F819), "", Vessels!F819), ""))</f>
        <v/>
      </c>
      <c r="G819" s="21">
        <f>IF($N$1="Piping", IF(ISBLANK(Piping!G819), "", Piping!G819), IF($N$1="Vessels", IF(ISBLANK(Vessels!G819), "", Vessels!G819), ""))</f>
        <v>0</v>
      </c>
      <c r="H819" s="21" t="str">
        <f>IF($N$1="Piping", IF(ISBLANK(Piping!H819), "", Piping!H819), IF($N$1="Vessels", IF(ISBLANK(Vessels!H819), "", Vessels!H819), ""))</f>
        <v/>
      </c>
      <c r="I819" s="21" t="str">
        <f>IF($N$1="Piping", IF(ISBLANK(Piping!I819), "", Piping!I819), IF($N$1="Vessels", IF(ISBLANK(Vessels!I819), "", Vessels!I819), ""))</f>
        <v/>
      </c>
      <c r="J819" s="21" t="str">
        <f>IF($N$1="Piping", IF(ISBLANK(Piping!J819), "", Piping!J819), IF($N$1="Vessels", IF(ISBLANK(Vessels!J819), "", Vessels!J819), ""))</f>
        <v/>
      </c>
      <c r="K819" s="21" t="str">
        <f>IF($N$1="Piping", IF(ISBLANK(Piping!K819), "", Piping!K819), IF($N$1="Vessels", IF(ISBLANK(Vessels!K819), "", Vessels!K819), ""))</f>
        <v/>
      </c>
      <c r="L819" s="21" t="str">
        <f>IF($N$1="Piping", IF(ISBLANK(Piping!L819), "", Piping!L819), IF($N$1="Vessels", IF(ISBLANK(Vessels!L819), "", Vessels!L819), ""))</f>
        <v/>
      </c>
      <c r="M819" s="21"/>
      <c r="N819" s="21"/>
      <c r="O819" s="21"/>
      <c r="P819" s="21"/>
      <c r="Q819" s="21" t="str">
        <f>IF($N$1="Piping", IF(ISBLANK(Piping!T819), "", Piping!T819), IF($N$1="Vessels", IF(ISBLANK(Vessels!T819), "", Vessels!T819), ""))</f>
        <v/>
      </c>
      <c r="R819" s="51" t="str">
        <f>IF($N$1="Piping", IF(ISBLANK(Piping!U819), "", Piping!U819), IF($N$1="Vessels", IF(ISBLANK(Vessels!U819), "", Vessels!U819), ""))</f>
        <v/>
      </c>
      <c r="S819" s="118" t="str">
        <f>IF(B819&lt;&gt;"",IF($N$1="Piping", IF(ISBLANK(Piping!$J$3), "", Piping!$J$3), IF($N$1="Vessels", IF(ISBLANK(Vessels!$J$3), "", Vessels!$J$3), "")),"")</f>
        <v/>
      </c>
      <c r="T819" s="37"/>
      <c r="U819" s="37"/>
      <c r="V819" s="37"/>
      <c r="W819" s="37"/>
      <c r="X819" s="37"/>
      <c r="Y819" s="37"/>
      <c r="Z819" s="37"/>
    </row>
    <row r="820" spans="1:26" ht="15.75" customHeight="1" x14ac:dyDescent="0.3">
      <c r="A820" s="22">
        <f>IF($N$1="Piping", IF(ISBLANK(Piping!A820), "", Piping!A820), IF($N$1="Vessels", IF(ISBLANK(Vessels!A820), "", Vessels!A820), ""))</f>
        <v>204.3</v>
      </c>
      <c r="B820" s="21" t="str">
        <f>IF($N$1="Piping", IF(ISBLANK(Piping!B820), "", Piping!B820), IF($N$1="Vessels", IF(ISBLANK(Vessels!B820), "", Vessels!B820), ""))</f>
        <v/>
      </c>
      <c r="C820" s="21" t="str">
        <f>IF($N$1="Piping", IF(ISBLANK(Piping!C820), "", Piping!C820), IF($N$1="Vessels", IF(ISBLANK(Vessels!C820), "", Vessels!C820), ""))</f>
        <v>Piping</v>
      </c>
      <c r="D820" s="21" t="str">
        <f>IF($N$1="Piping", IF(ISBLANK(Piping!D820), "", Piping!D820), IF($N$1="Vessels", IF(ISBLANK(Vessels!D820), "", Vessels!D820), ""))</f>
        <v/>
      </c>
      <c r="E820" s="21" t="str">
        <f>IF($N$1="Piping", IF(ISBLANK(Piping!E820), "", Piping!E820), IF($N$1="Vessels", IF(ISBLANK(Vessels!E820), "", Vessels!E820), ""))</f>
        <v/>
      </c>
      <c r="F820" s="21" t="str">
        <f>IF($N$1="Piping", IF(ISBLANK(Piping!F820), "", Piping!F820), IF($N$1="Vessels", IF(ISBLANK(Vessels!F820), "", Vessels!F820), ""))</f>
        <v/>
      </c>
      <c r="G820" s="21">
        <f>IF($N$1="Piping", IF(ISBLANK(Piping!G820), "", Piping!G820), IF($N$1="Vessels", IF(ISBLANK(Vessels!G820), "", Vessels!G820), ""))</f>
        <v>0</v>
      </c>
      <c r="H820" s="21" t="str">
        <f>IF($N$1="Piping", IF(ISBLANK(Piping!H820), "", Piping!H820), IF($N$1="Vessels", IF(ISBLANK(Vessels!H820), "", Vessels!H820), ""))</f>
        <v/>
      </c>
      <c r="I820" s="21" t="str">
        <f>IF($N$1="Piping", IF(ISBLANK(Piping!I820), "", Piping!I820), IF($N$1="Vessels", IF(ISBLANK(Vessels!I820), "", Vessels!I820), ""))</f>
        <v/>
      </c>
      <c r="J820" s="21" t="str">
        <f>IF($N$1="Piping", IF(ISBLANK(Piping!J820), "", Piping!J820), IF($N$1="Vessels", IF(ISBLANK(Vessels!J820), "", Vessels!J820), ""))</f>
        <v/>
      </c>
      <c r="K820" s="21" t="str">
        <f>IF($N$1="Piping", IF(ISBLANK(Piping!K820), "", Piping!K820), IF($N$1="Vessels", IF(ISBLANK(Vessels!K820), "", Vessels!K820), ""))</f>
        <v/>
      </c>
      <c r="L820" s="21" t="str">
        <f>IF($N$1="Piping", IF(ISBLANK(Piping!L820), "", Piping!L820), IF($N$1="Vessels", IF(ISBLANK(Vessels!L820), "", Vessels!L820), ""))</f>
        <v/>
      </c>
      <c r="M820" s="21"/>
      <c r="N820" s="21"/>
      <c r="O820" s="21"/>
      <c r="P820" s="21"/>
      <c r="Q820" s="21" t="str">
        <f>IF($N$1="Piping", IF(ISBLANK(Piping!T820), "", Piping!T820), IF($N$1="Vessels", IF(ISBLANK(Vessels!T820), "", Vessels!T820), ""))</f>
        <v/>
      </c>
      <c r="R820" s="51" t="str">
        <f>IF($N$1="Piping", IF(ISBLANK(Piping!U820), "", Piping!U820), IF($N$1="Vessels", IF(ISBLANK(Vessels!U820), "", Vessels!U820), ""))</f>
        <v/>
      </c>
      <c r="S820" s="118" t="str">
        <f>IF(B820&lt;&gt;"",IF($N$1="Piping", IF(ISBLANK(Piping!$J$3), "", Piping!$J$3), IF($N$1="Vessels", IF(ISBLANK(Vessels!$J$3), "", Vessels!$J$3), "")),"")</f>
        <v/>
      </c>
      <c r="T820" s="37"/>
      <c r="U820" s="37"/>
      <c r="V820" s="37"/>
      <c r="W820" s="37"/>
      <c r="X820" s="37"/>
      <c r="Y820" s="37"/>
      <c r="Z820" s="37"/>
    </row>
    <row r="821" spans="1:26" ht="15.75" customHeight="1" x14ac:dyDescent="0.3">
      <c r="A821" s="22">
        <f>IF($N$1="Piping", IF(ISBLANK(Piping!A821), "", Piping!A821), IF($N$1="Vessels", IF(ISBLANK(Vessels!A821), "", Vessels!A821), ""))</f>
        <v>204.4</v>
      </c>
      <c r="B821" s="21" t="str">
        <f>IF($N$1="Piping", IF(ISBLANK(Piping!B821), "", Piping!B821), IF($N$1="Vessels", IF(ISBLANK(Vessels!B821), "", Vessels!B821), ""))</f>
        <v/>
      </c>
      <c r="C821" s="21" t="str">
        <f>IF($N$1="Piping", IF(ISBLANK(Piping!C821), "", Piping!C821), IF($N$1="Vessels", IF(ISBLANK(Vessels!C821), "", Vessels!C821), ""))</f>
        <v>Piping</v>
      </c>
      <c r="D821" s="21" t="str">
        <f>IF($N$1="Piping", IF(ISBLANK(Piping!D821), "", Piping!D821), IF($N$1="Vessels", IF(ISBLANK(Vessels!D821), "", Vessels!D821), ""))</f>
        <v/>
      </c>
      <c r="E821" s="21" t="str">
        <f>IF($N$1="Piping", IF(ISBLANK(Piping!E821), "", Piping!E821), IF($N$1="Vessels", IF(ISBLANK(Vessels!E821), "", Vessels!E821), ""))</f>
        <v/>
      </c>
      <c r="F821" s="21" t="str">
        <f>IF($N$1="Piping", IF(ISBLANK(Piping!F821), "", Piping!F821), IF($N$1="Vessels", IF(ISBLANK(Vessels!F821), "", Vessels!F821), ""))</f>
        <v/>
      </c>
      <c r="G821" s="21">
        <f>IF($N$1="Piping", IF(ISBLANK(Piping!G821), "", Piping!G821), IF($N$1="Vessels", IF(ISBLANK(Vessels!G821), "", Vessels!G821), ""))</f>
        <v>0</v>
      </c>
      <c r="H821" s="21" t="str">
        <f>IF($N$1="Piping", IF(ISBLANK(Piping!H821), "", Piping!H821), IF($N$1="Vessels", IF(ISBLANK(Vessels!H821), "", Vessels!H821), ""))</f>
        <v/>
      </c>
      <c r="I821" s="21" t="str">
        <f>IF($N$1="Piping", IF(ISBLANK(Piping!I821), "", Piping!I821), IF($N$1="Vessels", IF(ISBLANK(Vessels!I821), "", Vessels!I821), ""))</f>
        <v/>
      </c>
      <c r="J821" s="21" t="str">
        <f>IF($N$1="Piping", IF(ISBLANK(Piping!J821), "", Piping!J821), IF($N$1="Vessels", IF(ISBLANK(Vessels!J821), "", Vessels!J821), ""))</f>
        <v/>
      </c>
      <c r="K821" s="21" t="str">
        <f>IF($N$1="Piping", IF(ISBLANK(Piping!K821), "", Piping!K821), IF($N$1="Vessels", IF(ISBLANK(Vessels!K821), "", Vessels!K821), ""))</f>
        <v/>
      </c>
      <c r="L821" s="21" t="str">
        <f>IF($N$1="Piping", IF(ISBLANK(Piping!L821), "", Piping!L821), IF($N$1="Vessels", IF(ISBLANK(Vessels!L821), "", Vessels!L821), ""))</f>
        <v/>
      </c>
      <c r="M821" s="21"/>
      <c r="N821" s="21"/>
      <c r="O821" s="21"/>
      <c r="P821" s="21"/>
      <c r="Q821" s="21" t="str">
        <f>IF($N$1="Piping", IF(ISBLANK(Piping!T821), "", Piping!T821), IF($N$1="Vessels", IF(ISBLANK(Vessels!T821), "", Vessels!T821), ""))</f>
        <v/>
      </c>
      <c r="R821" s="51" t="str">
        <f>IF($N$1="Piping", IF(ISBLANK(Piping!U821), "", Piping!U821), IF($N$1="Vessels", IF(ISBLANK(Vessels!U821), "", Vessels!U821), ""))</f>
        <v/>
      </c>
      <c r="S821" s="118" t="str">
        <f>IF(B821&lt;&gt;"",IF($N$1="Piping", IF(ISBLANK(Piping!$J$3), "", Piping!$J$3), IF($N$1="Vessels", IF(ISBLANK(Vessels!$J$3), "", Vessels!$J$3), "")),"")</f>
        <v/>
      </c>
      <c r="T821" s="37"/>
      <c r="U821" s="37"/>
      <c r="V821" s="37"/>
      <c r="W821" s="37"/>
      <c r="X821" s="37"/>
      <c r="Y821" s="37"/>
      <c r="Z821" s="37"/>
    </row>
    <row r="822" spans="1:26" ht="15.75" customHeight="1" x14ac:dyDescent="0.3">
      <c r="A822" s="22">
        <f>IF($N$1="Piping", IF(ISBLANK(Piping!A822), "", Piping!A822), IF($N$1="Vessels", IF(ISBLANK(Vessels!A822), "", Vessels!A822), ""))</f>
        <v>205.1</v>
      </c>
      <c r="B822" s="21" t="str">
        <f>IF($N$1="Piping", IF(ISBLANK(Piping!B822), "", Piping!B822), IF($N$1="Vessels", IF(ISBLANK(Vessels!B822), "", Vessels!B822), ""))</f>
        <v/>
      </c>
      <c r="C822" s="21" t="str">
        <f>IF($N$1="Piping", IF(ISBLANK(Piping!C822), "", Piping!C822), IF($N$1="Vessels", IF(ISBLANK(Vessels!C822), "", Vessels!C822), ""))</f>
        <v>Piping</v>
      </c>
      <c r="D822" s="21" t="str">
        <f>IF($N$1="Piping", IF(ISBLANK(Piping!D822), "", Piping!D822), IF($N$1="Vessels", IF(ISBLANK(Vessels!D822), "", Vessels!D822), ""))</f>
        <v/>
      </c>
      <c r="E822" s="21" t="str">
        <f>IF($N$1="Piping", IF(ISBLANK(Piping!E822), "", Piping!E822), IF($N$1="Vessels", IF(ISBLANK(Vessels!E822), "", Vessels!E822), ""))</f>
        <v/>
      </c>
      <c r="F822" s="21" t="str">
        <f>IF($N$1="Piping", IF(ISBLANK(Piping!F822), "", Piping!F822), IF($N$1="Vessels", IF(ISBLANK(Vessels!F822), "", Vessels!F822), ""))</f>
        <v/>
      </c>
      <c r="G822" s="21">
        <f>IF($N$1="Piping", IF(ISBLANK(Piping!G822), "", Piping!G822), IF($N$1="Vessels", IF(ISBLANK(Vessels!G822), "", Vessels!G822), ""))</f>
        <v>0</v>
      </c>
      <c r="H822" s="21" t="str">
        <f>IF($N$1="Piping", IF(ISBLANK(Piping!H822), "", Piping!H822), IF($N$1="Vessels", IF(ISBLANK(Vessels!H822), "", Vessels!H822), ""))</f>
        <v/>
      </c>
      <c r="I822" s="21" t="str">
        <f>IF($N$1="Piping", IF(ISBLANK(Piping!I822), "", Piping!I822), IF($N$1="Vessels", IF(ISBLANK(Vessels!I822), "", Vessels!I822), ""))</f>
        <v/>
      </c>
      <c r="J822" s="21" t="str">
        <f>IF($N$1="Piping", IF(ISBLANK(Piping!J822), "", Piping!J822), IF($N$1="Vessels", IF(ISBLANK(Vessels!J822), "", Vessels!J822), ""))</f>
        <v/>
      </c>
      <c r="K822" s="21" t="str">
        <f>IF($N$1="Piping", IF(ISBLANK(Piping!K822), "", Piping!K822), IF($N$1="Vessels", IF(ISBLANK(Vessels!K822), "", Vessels!K822), ""))</f>
        <v/>
      </c>
      <c r="L822" s="21" t="str">
        <f>IF($N$1="Piping", IF(ISBLANK(Piping!L822), "", Piping!L822), IF($N$1="Vessels", IF(ISBLANK(Vessels!L822), "", Vessels!L822), ""))</f>
        <v/>
      </c>
      <c r="M822" s="21"/>
      <c r="N822" s="21"/>
      <c r="O822" s="21"/>
      <c r="P822" s="21"/>
      <c r="Q822" s="21" t="str">
        <f>IF($N$1="Piping", IF(ISBLANK(Piping!T822), "", Piping!T822), IF($N$1="Vessels", IF(ISBLANK(Vessels!T822), "", Vessels!T822), ""))</f>
        <v/>
      </c>
      <c r="R822" s="51" t="str">
        <f>IF($N$1="Piping", IF(ISBLANK(Piping!U822), "", Piping!U822), IF($N$1="Vessels", IF(ISBLANK(Vessels!U822), "", Vessels!U822), ""))</f>
        <v/>
      </c>
      <c r="S822" s="118" t="str">
        <f>IF(B822&lt;&gt;"",IF($N$1="Piping", IF(ISBLANK(Piping!$J$3), "", Piping!$J$3), IF($N$1="Vessels", IF(ISBLANK(Vessels!$J$3), "", Vessels!$J$3), "")),"")</f>
        <v/>
      </c>
      <c r="T822" s="37"/>
      <c r="U822" s="37"/>
      <c r="V822" s="37"/>
      <c r="W822" s="37"/>
      <c r="X822" s="37"/>
      <c r="Y822" s="37"/>
      <c r="Z822" s="37"/>
    </row>
    <row r="823" spans="1:26" ht="15.75" customHeight="1" x14ac:dyDescent="0.3">
      <c r="A823" s="22">
        <f>IF($N$1="Piping", IF(ISBLANK(Piping!A823), "", Piping!A823), IF($N$1="Vessels", IF(ISBLANK(Vessels!A823), "", Vessels!A823), ""))</f>
        <v>205.2</v>
      </c>
      <c r="B823" s="21" t="str">
        <f>IF($N$1="Piping", IF(ISBLANK(Piping!B823), "", Piping!B823), IF($N$1="Vessels", IF(ISBLANK(Vessels!B823), "", Vessels!B823), ""))</f>
        <v/>
      </c>
      <c r="C823" s="21" t="str">
        <f>IF($N$1="Piping", IF(ISBLANK(Piping!C823), "", Piping!C823), IF($N$1="Vessels", IF(ISBLANK(Vessels!C823), "", Vessels!C823), ""))</f>
        <v>Piping</v>
      </c>
      <c r="D823" s="21" t="str">
        <f>IF($N$1="Piping", IF(ISBLANK(Piping!D823), "", Piping!D823), IF($N$1="Vessels", IF(ISBLANK(Vessels!D823), "", Vessels!D823), ""))</f>
        <v/>
      </c>
      <c r="E823" s="21" t="str">
        <f>IF($N$1="Piping", IF(ISBLANK(Piping!E823), "", Piping!E823), IF($N$1="Vessels", IF(ISBLANK(Vessels!E823), "", Vessels!E823), ""))</f>
        <v/>
      </c>
      <c r="F823" s="21" t="str">
        <f>IF($N$1="Piping", IF(ISBLANK(Piping!F823), "", Piping!F823), IF($N$1="Vessels", IF(ISBLANK(Vessels!F823), "", Vessels!F823), ""))</f>
        <v/>
      </c>
      <c r="G823" s="21">
        <f>IF($N$1="Piping", IF(ISBLANK(Piping!G823), "", Piping!G823), IF($N$1="Vessels", IF(ISBLANK(Vessels!G823), "", Vessels!G823), ""))</f>
        <v>0</v>
      </c>
      <c r="H823" s="21" t="str">
        <f>IF($N$1="Piping", IF(ISBLANK(Piping!H823), "", Piping!H823), IF($N$1="Vessels", IF(ISBLANK(Vessels!H823), "", Vessels!H823), ""))</f>
        <v/>
      </c>
      <c r="I823" s="21" t="str">
        <f>IF($N$1="Piping", IF(ISBLANK(Piping!I823), "", Piping!I823), IF($N$1="Vessels", IF(ISBLANK(Vessels!I823), "", Vessels!I823), ""))</f>
        <v/>
      </c>
      <c r="J823" s="21" t="str">
        <f>IF($N$1="Piping", IF(ISBLANK(Piping!J823), "", Piping!J823), IF($N$1="Vessels", IF(ISBLANK(Vessels!J823), "", Vessels!J823), ""))</f>
        <v/>
      </c>
      <c r="K823" s="21" t="str">
        <f>IF($N$1="Piping", IF(ISBLANK(Piping!K823), "", Piping!K823), IF($N$1="Vessels", IF(ISBLANK(Vessels!K823), "", Vessels!K823), ""))</f>
        <v/>
      </c>
      <c r="L823" s="21" t="str">
        <f>IF($N$1="Piping", IF(ISBLANK(Piping!L823), "", Piping!L823), IF($N$1="Vessels", IF(ISBLANK(Vessels!L823), "", Vessels!L823), ""))</f>
        <v/>
      </c>
      <c r="M823" s="21"/>
      <c r="N823" s="21"/>
      <c r="O823" s="21"/>
      <c r="P823" s="21"/>
      <c r="Q823" s="21" t="str">
        <f>IF($N$1="Piping", IF(ISBLANK(Piping!T823), "", Piping!T823), IF($N$1="Vessels", IF(ISBLANK(Vessels!T823), "", Vessels!T823), ""))</f>
        <v/>
      </c>
      <c r="R823" s="51" t="str">
        <f>IF($N$1="Piping", IF(ISBLANK(Piping!U823), "", Piping!U823), IF($N$1="Vessels", IF(ISBLANK(Vessels!U823), "", Vessels!U823), ""))</f>
        <v/>
      </c>
      <c r="S823" s="118" t="str">
        <f>IF(B823&lt;&gt;"",IF($N$1="Piping", IF(ISBLANK(Piping!$J$3), "", Piping!$J$3), IF($N$1="Vessels", IF(ISBLANK(Vessels!$J$3), "", Vessels!$J$3), "")),"")</f>
        <v/>
      </c>
      <c r="T823" s="37"/>
      <c r="U823" s="37"/>
      <c r="V823" s="37"/>
      <c r="W823" s="37"/>
      <c r="X823" s="37"/>
      <c r="Y823" s="37"/>
      <c r="Z823" s="37"/>
    </row>
    <row r="824" spans="1:26" ht="15.75" customHeight="1" x14ac:dyDescent="0.3">
      <c r="A824" s="22">
        <f>IF($N$1="Piping", IF(ISBLANK(Piping!A824), "", Piping!A824), IF($N$1="Vessels", IF(ISBLANK(Vessels!A824), "", Vessels!A824), ""))</f>
        <v>205.3</v>
      </c>
      <c r="B824" s="21" t="str">
        <f>IF($N$1="Piping", IF(ISBLANK(Piping!B824), "", Piping!B824), IF($N$1="Vessels", IF(ISBLANK(Vessels!B824), "", Vessels!B824), ""))</f>
        <v/>
      </c>
      <c r="C824" s="21" t="str">
        <f>IF($N$1="Piping", IF(ISBLANK(Piping!C824), "", Piping!C824), IF($N$1="Vessels", IF(ISBLANK(Vessels!C824), "", Vessels!C824), ""))</f>
        <v>Piping</v>
      </c>
      <c r="D824" s="21" t="str">
        <f>IF($N$1="Piping", IF(ISBLANK(Piping!D824), "", Piping!D824), IF($N$1="Vessels", IF(ISBLANK(Vessels!D824), "", Vessels!D824), ""))</f>
        <v/>
      </c>
      <c r="E824" s="21" t="str">
        <f>IF($N$1="Piping", IF(ISBLANK(Piping!E824), "", Piping!E824), IF($N$1="Vessels", IF(ISBLANK(Vessels!E824), "", Vessels!E824), ""))</f>
        <v/>
      </c>
      <c r="F824" s="21" t="str">
        <f>IF($N$1="Piping", IF(ISBLANK(Piping!F824), "", Piping!F824), IF($N$1="Vessels", IF(ISBLANK(Vessels!F824), "", Vessels!F824), ""))</f>
        <v/>
      </c>
      <c r="G824" s="21">
        <f>IF($N$1="Piping", IF(ISBLANK(Piping!G824), "", Piping!G824), IF($N$1="Vessels", IF(ISBLANK(Vessels!G824), "", Vessels!G824), ""))</f>
        <v>0</v>
      </c>
      <c r="H824" s="21" t="str">
        <f>IF($N$1="Piping", IF(ISBLANK(Piping!H824), "", Piping!H824), IF($N$1="Vessels", IF(ISBLANK(Vessels!H824), "", Vessels!H824), ""))</f>
        <v/>
      </c>
      <c r="I824" s="21" t="str">
        <f>IF($N$1="Piping", IF(ISBLANK(Piping!I824), "", Piping!I824), IF($N$1="Vessels", IF(ISBLANK(Vessels!I824), "", Vessels!I824), ""))</f>
        <v/>
      </c>
      <c r="J824" s="21" t="str">
        <f>IF($N$1="Piping", IF(ISBLANK(Piping!J824), "", Piping!J824), IF($N$1="Vessels", IF(ISBLANK(Vessels!J824), "", Vessels!J824), ""))</f>
        <v/>
      </c>
      <c r="K824" s="21" t="str">
        <f>IF($N$1="Piping", IF(ISBLANK(Piping!K824), "", Piping!K824), IF($N$1="Vessels", IF(ISBLANK(Vessels!K824), "", Vessels!K824), ""))</f>
        <v/>
      </c>
      <c r="L824" s="21" t="str">
        <f>IF($N$1="Piping", IF(ISBLANK(Piping!L824), "", Piping!L824), IF($N$1="Vessels", IF(ISBLANK(Vessels!L824), "", Vessels!L824), ""))</f>
        <v/>
      </c>
      <c r="M824" s="21"/>
      <c r="N824" s="21"/>
      <c r="O824" s="21"/>
      <c r="P824" s="21"/>
      <c r="Q824" s="21" t="str">
        <f>IF($N$1="Piping", IF(ISBLANK(Piping!T824), "", Piping!T824), IF($N$1="Vessels", IF(ISBLANK(Vessels!T824), "", Vessels!T824), ""))</f>
        <v/>
      </c>
      <c r="R824" s="51" t="str">
        <f>IF($N$1="Piping", IF(ISBLANK(Piping!U824), "", Piping!U824), IF($N$1="Vessels", IF(ISBLANK(Vessels!U824), "", Vessels!U824), ""))</f>
        <v/>
      </c>
      <c r="S824" s="118" t="str">
        <f>IF(B824&lt;&gt;"",IF($N$1="Piping", IF(ISBLANK(Piping!$J$3), "", Piping!$J$3), IF($N$1="Vessels", IF(ISBLANK(Vessels!$J$3), "", Vessels!$J$3), "")),"")</f>
        <v/>
      </c>
      <c r="T824" s="37"/>
      <c r="U824" s="37"/>
      <c r="V824" s="37"/>
      <c r="W824" s="37"/>
      <c r="X824" s="37"/>
      <c r="Y824" s="37"/>
      <c r="Z824" s="37"/>
    </row>
    <row r="825" spans="1:26" ht="15.75" customHeight="1" x14ac:dyDescent="0.3">
      <c r="A825" s="22">
        <f>IF($N$1="Piping", IF(ISBLANK(Piping!A825), "", Piping!A825), IF($N$1="Vessels", IF(ISBLANK(Vessels!A825), "", Vessels!A825), ""))</f>
        <v>205.4</v>
      </c>
      <c r="B825" s="21" t="str">
        <f>IF($N$1="Piping", IF(ISBLANK(Piping!B825), "", Piping!B825), IF($N$1="Vessels", IF(ISBLANK(Vessels!B825), "", Vessels!B825), ""))</f>
        <v/>
      </c>
      <c r="C825" s="21" t="str">
        <f>IF($N$1="Piping", IF(ISBLANK(Piping!C825), "", Piping!C825), IF($N$1="Vessels", IF(ISBLANK(Vessels!C825), "", Vessels!C825), ""))</f>
        <v>Piping</v>
      </c>
      <c r="D825" s="21" t="str">
        <f>IF($N$1="Piping", IF(ISBLANK(Piping!D825), "", Piping!D825), IF($N$1="Vessels", IF(ISBLANK(Vessels!D825), "", Vessels!D825), ""))</f>
        <v/>
      </c>
      <c r="E825" s="21" t="str">
        <f>IF($N$1="Piping", IF(ISBLANK(Piping!E825), "", Piping!E825), IF($N$1="Vessels", IF(ISBLANK(Vessels!E825), "", Vessels!E825), ""))</f>
        <v/>
      </c>
      <c r="F825" s="21" t="str">
        <f>IF($N$1="Piping", IF(ISBLANK(Piping!F825), "", Piping!F825), IF($N$1="Vessels", IF(ISBLANK(Vessels!F825), "", Vessels!F825), ""))</f>
        <v/>
      </c>
      <c r="G825" s="21">
        <f>IF($N$1="Piping", IF(ISBLANK(Piping!G825), "", Piping!G825), IF($N$1="Vessels", IF(ISBLANK(Vessels!G825), "", Vessels!G825), ""))</f>
        <v>0</v>
      </c>
      <c r="H825" s="21" t="str">
        <f>IF($N$1="Piping", IF(ISBLANK(Piping!H825), "", Piping!H825), IF($N$1="Vessels", IF(ISBLANK(Vessels!H825), "", Vessels!H825), ""))</f>
        <v/>
      </c>
      <c r="I825" s="21" t="str">
        <f>IF($N$1="Piping", IF(ISBLANK(Piping!I825), "", Piping!I825), IF($N$1="Vessels", IF(ISBLANK(Vessels!I825), "", Vessels!I825), ""))</f>
        <v/>
      </c>
      <c r="J825" s="21" t="str">
        <f>IF($N$1="Piping", IF(ISBLANK(Piping!J825), "", Piping!J825), IF($N$1="Vessels", IF(ISBLANK(Vessels!J825), "", Vessels!J825), ""))</f>
        <v/>
      </c>
      <c r="K825" s="21" t="str">
        <f>IF($N$1="Piping", IF(ISBLANK(Piping!K825), "", Piping!K825), IF($N$1="Vessels", IF(ISBLANK(Vessels!K825), "", Vessels!K825), ""))</f>
        <v/>
      </c>
      <c r="L825" s="21" t="str">
        <f>IF($N$1="Piping", IF(ISBLANK(Piping!L825), "", Piping!L825), IF($N$1="Vessels", IF(ISBLANK(Vessels!L825), "", Vessels!L825), ""))</f>
        <v/>
      </c>
      <c r="M825" s="21"/>
      <c r="N825" s="21"/>
      <c r="O825" s="21"/>
      <c r="P825" s="21"/>
      <c r="Q825" s="21" t="str">
        <f>IF($N$1="Piping", IF(ISBLANK(Piping!T825), "", Piping!T825), IF($N$1="Vessels", IF(ISBLANK(Vessels!T825), "", Vessels!T825), ""))</f>
        <v/>
      </c>
      <c r="R825" s="51" t="str">
        <f>IF($N$1="Piping", IF(ISBLANK(Piping!U825), "", Piping!U825), IF($N$1="Vessels", IF(ISBLANK(Vessels!U825), "", Vessels!U825), ""))</f>
        <v/>
      </c>
      <c r="S825" s="118" t="str">
        <f>IF(B825&lt;&gt;"",IF($N$1="Piping", IF(ISBLANK(Piping!$J$3), "", Piping!$J$3), IF($N$1="Vessels", IF(ISBLANK(Vessels!$J$3), "", Vessels!$J$3), "")),"")</f>
        <v/>
      </c>
      <c r="T825" s="37"/>
      <c r="U825" s="37"/>
      <c r="V825" s="37"/>
      <c r="W825" s="37"/>
      <c r="X825" s="37"/>
      <c r="Y825" s="37"/>
      <c r="Z825" s="37"/>
    </row>
    <row r="826" spans="1:26" ht="15.75" customHeight="1" x14ac:dyDescent="0.3">
      <c r="A826" s="22">
        <f>IF($N$1="Piping", IF(ISBLANK(Piping!A826), "", Piping!A826), IF($N$1="Vessels", IF(ISBLANK(Vessels!A826), "", Vessels!A826), ""))</f>
        <v>206.1</v>
      </c>
      <c r="B826" s="21" t="str">
        <f>IF($N$1="Piping", IF(ISBLANK(Piping!B826), "", Piping!B826), IF($N$1="Vessels", IF(ISBLANK(Vessels!B826), "", Vessels!B826), ""))</f>
        <v/>
      </c>
      <c r="C826" s="21" t="str">
        <f>IF($N$1="Piping", IF(ISBLANK(Piping!C826), "", Piping!C826), IF($N$1="Vessels", IF(ISBLANK(Vessels!C826), "", Vessels!C826), ""))</f>
        <v>Piping</v>
      </c>
      <c r="D826" s="21" t="str">
        <f>IF($N$1="Piping", IF(ISBLANK(Piping!D826), "", Piping!D826), IF($N$1="Vessels", IF(ISBLANK(Vessels!D826), "", Vessels!D826), ""))</f>
        <v/>
      </c>
      <c r="E826" s="21" t="str">
        <f>IF($N$1="Piping", IF(ISBLANK(Piping!E826), "", Piping!E826), IF($N$1="Vessels", IF(ISBLANK(Vessels!E826), "", Vessels!E826), ""))</f>
        <v/>
      </c>
      <c r="F826" s="21" t="str">
        <f>IF($N$1="Piping", IF(ISBLANK(Piping!F826), "", Piping!F826), IF($N$1="Vessels", IF(ISBLANK(Vessels!F826), "", Vessels!F826), ""))</f>
        <v/>
      </c>
      <c r="G826" s="21">
        <f>IF($N$1="Piping", IF(ISBLANK(Piping!G826), "", Piping!G826), IF($N$1="Vessels", IF(ISBLANK(Vessels!G826), "", Vessels!G826), ""))</f>
        <v>0</v>
      </c>
      <c r="H826" s="21" t="str">
        <f>IF($N$1="Piping", IF(ISBLANK(Piping!H826), "", Piping!H826), IF($N$1="Vessels", IF(ISBLANK(Vessels!H826), "", Vessels!H826), ""))</f>
        <v/>
      </c>
      <c r="I826" s="21" t="str">
        <f>IF($N$1="Piping", IF(ISBLANK(Piping!I826), "", Piping!I826), IF($N$1="Vessels", IF(ISBLANK(Vessels!I826), "", Vessels!I826), ""))</f>
        <v/>
      </c>
      <c r="J826" s="21" t="str">
        <f>IF($N$1="Piping", IF(ISBLANK(Piping!J826), "", Piping!J826), IF($N$1="Vessels", IF(ISBLANK(Vessels!J826), "", Vessels!J826), ""))</f>
        <v/>
      </c>
      <c r="K826" s="21" t="str">
        <f>IF($N$1="Piping", IF(ISBLANK(Piping!K826), "", Piping!K826), IF($N$1="Vessels", IF(ISBLANK(Vessels!K826), "", Vessels!K826), ""))</f>
        <v/>
      </c>
      <c r="L826" s="21" t="str">
        <f>IF($N$1="Piping", IF(ISBLANK(Piping!L826), "", Piping!L826), IF($N$1="Vessels", IF(ISBLANK(Vessels!L826), "", Vessels!L826), ""))</f>
        <v/>
      </c>
      <c r="M826" s="21"/>
      <c r="N826" s="21"/>
      <c r="O826" s="21"/>
      <c r="P826" s="21"/>
      <c r="Q826" s="21" t="str">
        <f>IF($N$1="Piping", IF(ISBLANK(Piping!T826), "", Piping!T826), IF($N$1="Vessels", IF(ISBLANK(Vessels!T826), "", Vessels!T826), ""))</f>
        <v/>
      </c>
      <c r="R826" s="51" t="str">
        <f>IF($N$1="Piping", IF(ISBLANK(Piping!U826), "", Piping!U826), IF($N$1="Vessels", IF(ISBLANK(Vessels!U826), "", Vessels!U826), ""))</f>
        <v/>
      </c>
      <c r="S826" s="118" t="str">
        <f>IF(B826&lt;&gt;"",IF($N$1="Piping", IF(ISBLANK(Piping!$J$3), "", Piping!$J$3), IF($N$1="Vessels", IF(ISBLANK(Vessels!$J$3), "", Vessels!$J$3), "")),"")</f>
        <v/>
      </c>
      <c r="T826" s="37"/>
      <c r="U826" s="37"/>
      <c r="V826" s="37"/>
      <c r="W826" s="37"/>
      <c r="X826" s="37"/>
      <c r="Y826" s="37"/>
      <c r="Z826" s="37"/>
    </row>
    <row r="827" spans="1:26" ht="15.75" customHeight="1" x14ac:dyDescent="0.3">
      <c r="A827" s="22">
        <f>IF($N$1="Piping", IF(ISBLANK(Piping!A827), "", Piping!A827), IF($N$1="Vessels", IF(ISBLANK(Vessels!A827), "", Vessels!A827), ""))</f>
        <v>206.2</v>
      </c>
      <c r="B827" s="21" t="str">
        <f>IF($N$1="Piping", IF(ISBLANK(Piping!B827), "", Piping!B827), IF($N$1="Vessels", IF(ISBLANK(Vessels!B827), "", Vessels!B827), ""))</f>
        <v/>
      </c>
      <c r="C827" s="21" t="str">
        <f>IF($N$1="Piping", IF(ISBLANK(Piping!C827), "", Piping!C827), IF($N$1="Vessels", IF(ISBLANK(Vessels!C827), "", Vessels!C827), ""))</f>
        <v>Piping</v>
      </c>
      <c r="D827" s="21" t="str">
        <f>IF($N$1="Piping", IF(ISBLANK(Piping!D827), "", Piping!D827), IF($N$1="Vessels", IF(ISBLANK(Vessels!D827), "", Vessels!D827), ""))</f>
        <v/>
      </c>
      <c r="E827" s="21" t="str">
        <f>IF($N$1="Piping", IF(ISBLANK(Piping!E827), "", Piping!E827), IF($N$1="Vessels", IF(ISBLANK(Vessels!E827), "", Vessels!E827), ""))</f>
        <v/>
      </c>
      <c r="F827" s="21" t="str">
        <f>IF($N$1="Piping", IF(ISBLANK(Piping!F827), "", Piping!F827), IF($N$1="Vessels", IF(ISBLANK(Vessels!F827), "", Vessels!F827), ""))</f>
        <v/>
      </c>
      <c r="G827" s="21">
        <f>IF($N$1="Piping", IF(ISBLANK(Piping!G827), "", Piping!G827), IF($N$1="Vessels", IF(ISBLANK(Vessels!G827), "", Vessels!G827), ""))</f>
        <v>0</v>
      </c>
      <c r="H827" s="21" t="str">
        <f>IF($N$1="Piping", IF(ISBLANK(Piping!H827), "", Piping!H827), IF($N$1="Vessels", IF(ISBLANK(Vessels!H827), "", Vessels!H827), ""))</f>
        <v/>
      </c>
      <c r="I827" s="21" t="str">
        <f>IF($N$1="Piping", IF(ISBLANK(Piping!I827), "", Piping!I827), IF($N$1="Vessels", IF(ISBLANK(Vessels!I827), "", Vessels!I827), ""))</f>
        <v/>
      </c>
      <c r="J827" s="21" t="str">
        <f>IF($N$1="Piping", IF(ISBLANK(Piping!J827), "", Piping!J827), IF($N$1="Vessels", IF(ISBLANK(Vessels!J827), "", Vessels!J827), ""))</f>
        <v/>
      </c>
      <c r="K827" s="21" t="str">
        <f>IF($N$1="Piping", IF(ISBLANK(Piping!K827), "", Piping!K827), IF($N$1="Vessels", IF(ISBLANK(Vessels!K827), "", Vessels!K827), ""))</f>
        <v/>
      </c>
      <c r="L827" s="21" t="str">
        <f>IF($N$1="Piping", IF(ISBLANK(Piping!L827), "", Piping!L827), IF($N$1="Vessels", IF(ISBLANK(Vessels!L827), "", Vessels!L827), ""))</f>
        <v/>
      </c>
      <c r="M827" s="21"/>
      <c r="N827" s="21"/>
      <c r="O827" s="21"/>
      <c r="P827" s="21"/>
      <c r="Q827" s="21" t="str">
        <f>IF($N$1="Piping", IF(ISBLANK(Piping!T827), "", Piping!T827), IF($N$1="Vessels", IF(ISBLANK(Vessels!T827), "", Vessels!T827), ""))</f>
        <v/>
      </c>
      <c r="R827" s="51" t="str">
        <f>IF($N$1="Piping", IF(ISBLANK(Piping!U827), "", Piping!U827), IF($N$1="Vessels", IF(ISBLANK(Vessels!U827), "", Vessels!U827), ""))</f>
        <v/>
      </c>
      <c r="S827" s="118" t="str">
        <f>IF(B827&lt;&gt;"",IF($N$1="Piping", IF(ISBLANK(Piping!$J$3), "", Piping!$J$3), IF($N$1="Vessels", IF(ISBLANK(Vessels!$J$3), "", Vessels!$J$3), "")),"")</f>
        <v/>
      </c>
      <c r="T827" s="37"/>
      <c r="U827" s="37"/>
      <c r="V827" s="37"/>
      <c r="W827" s="37"/>
      <c r="X827" s="37"/>
      <c r="Y827" s="37"/>
      <c r="Z827" s="37"/>
    </row>
    <row r="828" spans="1:26" ht="15.75" customHeight="1" x14ac:dyDescent="0.3">
      <c r="A828" s="22">
        <f>IF($N$1="Piping", IF(ISBLANK(Piping!A828), "", Piping!A828), IF($N$1="Vessels", IF(ISBLANK(Vessels!A828), "", Vessels!A828), ""))</f>
        <v>206.3</v>
      </c>
      <c r="B828" s="21" t="str">
        <f>IF($N$1="Piping", IF(ISBLANK(Piping!B828), "", Piping!B828), IF($N$1="Vessels", IF(ISBLANK(Vessels!B828), "", Vessels!B828), ""))</f>
        <v/>
      </c>
      <c r="C828" s="21" t="str">
        <f>IF($N$1="Piping", IF(ISBLANK(Piping!C828), "", Piping!C828), IF($N$1="Vessels", IF(ISBLANK(Vessels!C828), "", Vessels!C828), ""))</f>
        <v>Piping</v>
      </c>
      <c r="D828" s="21" t="str">
        <f>IF($N$1="Piping", IF(ISBLANK(Piping!D828), "", Piping!D828), IF($N$1="Vessels", IF(ISBLANK(Vessels!D828), "", Vessels!D828), ""))</f>
        <v/>
      </c>
      <c r="E828" s="21" t="str">
        <f>IF($N$1="Piping", IF(ISBLANK(Piping!E828), "", Piping!E828), IF($N$1="Vessels", IF(ISBLANK(Vessels!E828), "", Vessels!E828), ""))</f>
        <v/>
      </c>
      <c r="F828" s="21" t="str">
        <f>IF($N$1="Piping", IF(ISBLANK(Piping!F828), "", Piping!F828), IF($N$1="Vessels", IF(ISBLANK(Vessels!F828), "", Vessels!F828), ""))</f>
        <v/>
      </c>
      <c r="G828" s="21">
        <f>IF($N$1="Piping", IF(ISBLANK(Piping!G828), "", Piping!G828), IF($N$1="Vessels", IF(ISBLANK(Vessels!G828), "", Vessels!G828), ""))</f>
        <v>0</v>
      </c>
      <c r="H828" s="21" t="str">
        <f>IF($N$1="Piping", IF(ISBLANK(Piping!H828), "", Piping!H828), IF($N$1="Vessels", IF(ISBLANK(Vessels!H828), "", Vessels!H828), ""))</f>
        <v/>
      </c>
      <c r="I828" s="21" t="str">
        <f>IF($N$1="Piping", IF(ISBLANK(Piping!I828), "", Piping!I828), IF($N$1="Vessels", IF(ISBLANK(Vessels!I828), "", Vessels!I828), ""))</f>
        <v/>
      </c>
      <c r="J828" s="21" t="str">
        <f>IF($N$1="Piping", IF(ISBLANK(Piping!J828), "", Piping!J828), IF($N$1="Vessels", IF(ISBLANK(Vessels!J828), "", Vessels!J828), ""))</f>
        <v/>
      </c>
      <c r="K828" s="21" t="str">
        <f>IF($N$1="Piping", IF(ISBLANK(Piping!K828), "", Piping!K828), IF($N$1="Vessels", IF(ISBLANK(Vessels!K828), "", Vessels!K828), ""))</f>
        <v/>
      </c>
      <c r="L828" s="21" t="str">
        <f>IF($N$1="Piping", IF(ISBLANK(Piping!L828), "", Piping!L828), IF($N$1="Vessels", IF(ISBLANK(Vessels!L828), "", Vessels!L828), ""))</f>
        <v/>
      </c>
      <c r="M828" s="21"/>
      <c r="N828" s="21"/>
      <c r="O828" s="21"/>
      <c r="P828" s="21"/>
      <c r="Q828" s="21" t="str">
        <f>IF($N$1="Piping", IF(ISBLANK(Piping!T828), "", Piping!T828), IF($N$1="Vessels", IF(ISBLANK(Vessels!T828), "", Vessels!T828), ""))</f>
        <v/>
      </c>
      <c r="R828" s="51" t="str">
        <f>IF($N$1="Piping", IF(ISBLANK(Piping!U828), "", Piping!U828), IF($N$1="Vessels", IF(ISBLANK(Vessels!U828), "", Vessels!U828), ""))</f>
        <v/>
      </c>
      <c r="S828" s="118" t="str">
        <f>IF(B828&lt;&gt;"",IF($N$1="Piping", IF(ISBLANK(Piping!$J$3), "", Piping!$J$3), IF($N$1="Vessels", IF(ISBLANK(Vessels!$J$3), "", Vessels!$J$3), "")),"")</f>
        <v/>
      </c>
      <c r="T828" s="37"/>
      <c r="U828" s="37"/>
      <c r="V828" s="37"/>
      <c r="W828" s="37"/>
      <c r="X828" s="37"/>
      <c r="Y828" s="37"/>
      <c r="Z828" s="37"/>
    </row>
    <row r="829" spans="1:26" ht="15.75" customHeight="1" x14ac:dyDescent="0.3">
      <c r="A829" s="22">
        <f>IF($N$1="Piping", IF(ISBLANK(Piping!A829), "", Piping!A829), IF($N$1="Vessels", IF(ISBLANK(Vessels!A829), "", Vessels!A829), ""))</f>
        <v>206.4</v>
      </c>
      <c r="B829" s="21" t="str">
        <f>IF($N$1="Piping", IF(ISBLANK(Piping!B829), "", Piping!B829), IF($N$1="Vessels", IF(ISBLANK(Vessels!B829), "", Vessels!B829), ""))</f>
        <v/>
      </c>
      <c r="C829" s="21" t="str">
        <f>IF($N$1="Piping", IF(ISBLANK(Piping!C829), "", Piping!C829), IF($N$1="Vessels", IF(ISBLANK(Vessels!C829), "", Vessels!C829), ""))</f>
        <v>Piping</v>
      </c>
      <c r="D829" s="21" t="str">
        <f>IF($N$1="Piping", IF(ISBLANK(Piping!D829), "", Piping!D829), IF($N$1="Vessels", IF(ISBLANK(Vessels!D829), "", Vessels!D829), ""))</f>
        <v/>
      </c>
      <c r="E829" s="21" t="str">
        <f>IF($N$1="Piping", IF(ISBLANK(Piping!E829), "", Piping!E829), IF($N$1="Vessels", IF(ISBLANK(Vessels!E829), "", Vessels!E829), ""))</f>
        <v/>
      </c>
      <c r="F829" s="21" t="str">
        <f>IF($N$1="Piping", IF(ISBLANK(Piping!F829), "", Piping!F829), IF($N$1="Vessels", IF(ISBLANK(Vessels!F829), "", Vessels!F829), ""))</f>
        <v/>
      </c>
      <c r="G829" s="21">
        <f>IF($N$1="Piping", IF(ISBLANK(Piping!G829), "", Piping!G829), IF($N$1="Vessels", IF(ISBLANK(Vessels!G829), "", Vessels!G829), ""))</f>
        <v>0</v>
      </c>
      <c r="H829" s="21" t="str">
        <f>IF($N$1="Piping", IF(ISBLANK(Piping!H829), "", Piping!H829), IF($N$1="Vessels", IF(ISBLANK(Vessels!H829), "", Vessels!H829), ""))</f>
        <v/>
      </c>
      <c r="I829" s="21" t="str">
        <f>IF($N$1="Piping", IF(ISBLANK(Piping!I829), "", Piping!I829), IF($N$1="Vessels", IF(ISBLANK(Vessels!I829), "", Vessels!I829), ""))</f>
        <v/>
      </c>
      <c r="J829" s="21" t="str">
        <f>IF($N$1="Piping", IF(ISBLANK(Piping!J829), "", Piping!J829), IF($N$1="Vessels", IF(ISBLANK(Vessels!J829), "", Vessels!J829), ""))</f>
        <v/>
      </c>
      <c r="K829" s="21" t="str">
        <f>IF($N$1="Piping", IF(ISBLANK(Piping!K829), "", Piping!K829), IF($N$1="Vessels", IF(ISBLANK(Vessels!K829), "", Vessels!K829), ""))</f>
        <v/>
      </c>
      <c r="L829" s="21" t="str">
        <f>IF($N$1="Piping", IF(ISBLANK(Piping!L829), "", Piping!L829), IF($N$1="Vessels", IF(ISBLANK(Vessels!L829), "", Vessels!L829), ""))</f>
        <v/>
      </c>
      <c r="M829" s="21"/>
      <c r="N829" s="21"/>
      <c r="O829" s="21"/>
      <c r="P829" s="21"/>
      <c r="Q829" s="21" t="str">
        <f>IF($N$1="Piping", IF(ISBLANK(Piping!T829), "", Piping!T829), IF($N$1="Vessels", IF(ISBLANK(Vessels!T829), "", Vessels!T829), ""))</f>
        <v/>
      </c>
      <c r="R829" s="51" t="str">
        <f>IF($N$1="Piping", IF(ISBLANK(Piping!U829), "", Piping!U829), IF($N$1="Vessels", IF(ISBLANK(Vessels!U829), "", Vessels!U829), ""))</f>
        <v/>
      </c>
      <c r="S829" s="118" t="str">
        <f>IF(B829&lt;&gt;"",IF($N$1="Piping", IF(ISBLANK(Piping!$J$3), "", Piping!$J$3), IF($N$1="Vessels", IF(ISBLANK(Vessels!$J$3), "", Vessels!$J$3), "")),"")</f>
        <v/>
      </c>
      <c r="T829" s="37"/>
      <c r="U829" s="37"/>
      <c r="V829" s="37"/>
      <c r="W829" s="37"/>
      <c r="X829" s="37"/>
      <c r="Y829" s="37"/>
      <c r="Z829" s="37"/>
    </row>
    <row r="830" spans="1:26" ht="15.75" customHeight="1" x14ac:dyDescent="0.3">
      <c r="A830" s="22">
        <f>IF($N$1="Piping", IF(ISBLANK(Piping!A830), "", Piping!A830), IF($N$1="Vessels", IF(ISBLANK(Vessels!A830), "", Vessels!A830), ""))</f>
        <v>207.1</v>
      </c>
      <c r="B830" s="21" t="str">
        <f>IF($N$1="Piping", IF(ISBLANK(Piping!B830), "", Piping!B830), IF($N$1="Vessels", IF(ISBLANK(Vessels!B830), "", Vessels!B830), ""))</f>
        <v/>
      </c>
      <c r="C830" s="21" t="str">
        <f>IF($N$1="Piping", IF(ISBLANK(Piping!C830), "", Piping!C830), IF($N$1="Vessels", IF(ISBLANK(Vessels!C830), "", Vessels!C830), ""))</f>
        <v>Piping</v>
      </c>
      <c r="D830" s="21" t="str">
        <f>IF($N$1="Piping", IF(ISBLANK(Piping!D830), "", Piping!D830), IF($N$1="Vessels", IF(ISBLANK(Vessels!D830), "", Vessels!D830), ""))</f>
        <v/>
      </c>
      <c r="E830" s="21" t="str">
        <f>IF($N$1="Piping", IF(ISBLANK(Piping!E830), "", Piping!E830), IF($N$1="Vessels", IF(ISBLANK(Vessels!E830), "", Vessels!E830), ""))</f>
        <v/>
      </c>
      <c r="F830" s="21" t="str">
        <f>IF($N$1="Piping", IF(ISBLANK(Piping!F830), "", Piping!F830), IF($N$1="Vessels", IF(ISBLANK(Vessels!F830), "", Vessels!F830), ""))</f>
        <v/>
      </c>
      <c r="G830" s="21">
        <f>IF($N$1="Piping", IF(ISBLANK(Piping!G830), "", Piping!G830), IF($N$1="Vessels", IF(ISBLANK(Vessels!G830), "", Vessels!G830), ""))</f>
        <v>0</v>
      </c>
      <c r="H830" s="21" t="str">
        <f>IF($N$1="Piping", IF(ISBLANK(Piping!H830), "", Piping!H830), IF($N$1="Vessels", IF(ISBLANK(Vessels!H830), "", Vessels!H830), ""))</f>
        <v/>
      </c>
      <c r="I830" s="21" t="str">
        <f>IF($N$1="Piping", IF(ISBLANK(Piping!I830), "", Piping!I830), IF($N$1="Vessels", IF(ISBLANK(Vessels!I830), "", Vessels!I830), ""))</f>
        <v/>
      </c>
      <c r="J830" s="21" t="str">
        <f>IF($N$1="Piping", IF(ISBLANK(Piping!J830), "", Piping!J830), IF($N$1="Vessels", IF(ISBLANK(Vessels!J830), "", Vessels!J830), ""))</f>
        <v/>
      </c>
      <c r="K830" s="21" t="str">
        <f>IF($N$1="Piping", IF(ISBLANK(Piping!K830), "", Piping!K830), IF($N$1="Vessels", IF(ISBLANK(Vessels!K830), "", Vessels!K830), ""))</f>
        <v/>
      </c>
      <c r="L830" s="21" t="str">
        <f>IF($N$1="Piping", IF(ISBLANK(Piping!L830), "", Piping!L830), IF($N$1="Vessels", IF(ISBLANK(Vessels!L830), "", Vessels!L830), ""))</f>
        <v/>
      </c>
      <c r="M830" s="21"/>
      <c r="N830" s="21"/>
      <c r="O830" s="21"/>
      <c r="P830" s="21"/>
      <c r="Q830" s="21" t="str">
        <f>IF($N$1="Piping", IF(ISBLANK(Piping!T830), "", Piping!T830), IF($N$1="Vessels", IF(ISBLANK(Vessels!T830), "", Vessels!T830), ""))</f>
        <v/>
      </c>
      <c r="R830" s="51" t="str">
        <f>IF($N$1="Piping", IF(ISBLANK(Piping!U830), "", Piping!U830), IF($N$1="Vessels", IF(ISBLANK(Vessels!U830), "", Vessels!U830), ""))</f>
        <v/>
      </c>
      <c r="S830" s="118" t="str">
        <f>IF(B830&lt;&gt;"",IF($N$1="Piping", IF(ISBLANK(Piping!$J$3), "", Piping!$J$3), IF($N$1="Vessels", IF(ISBLANK(Vessels!$J$3), "", Vessels!$J$3), "")),"")</f>
        <v/>
      </c>
      <c r="T830" s="37"/>
      <c r="U830" s="37"/>
      <c r="V830" s="37"/>
      <c r="W830" s="37"/>
      <c r="X830" s="37"/>
      <c r="Y830" s="37"/>
      <c r="Z830" s="37"/>
    </row>
    <row r="831" spans="1:26" ht="15.75" customHeight="1" x14ac:dyDescent="0.3">
      <c r="A831" s="22">
        <f>IF($N$1="Piping", IF(ISBLANK(Piping!A831), "", Piping!A831), IF($N$1="Vessels", IF(ISBLANK(Vessels!A831), "", Vessels!A831), ""))</f>
        <v>207.2</v>
      </c>
      <c r="B831" s="21" t="str">
        <f>IF($N$1="Piping", IF(ISBLANK(Piping!B831), "", Piping!B831), IF($N$1="Vessels", IF(ISBLANK(Vessels!B831), "", Vessels!B831), ""))</f>
        <v/>
      </c>
      <c r="C831" s="21" t="str">
        <f>IF($N$1="Piping", IF(ISBLANK(Piping!C831), "", Piping!C831), IF($N$1="Vessels", IF(ISBLANK(Vessels!C831), "", Vessels!C831), ""))</f>
        <v>Piping</v>
      </c>
      <c r="D831" s="21" t="str">
        <f>IF($N$1="Piping", IF(ISBLANK(Piping!D831), "", Piping!D831), IF($N$1="Vessels", IF(ISBLANK(Vessels!D831), "", Vessels!D831), ""))</f>
        <v/>
      </c>
      <c r="E831" s="21" t="str">
        <f>IF($N$1="Piping", IF(ISBLANK(Piping!E831), "", Piping!E831), IF($N$1="Vessels", IF(ISBLANK(Vessels!E831), "", Vessels!E831), ""))</f>
        <v/>
      </c>
      <c r="F831" s="21" t="str">
        <f>IF($N$1="Piping", IF(ISBLANK(Piping!F831), "", Piping!F831), IF($N$1="Vessels", IF(ISBLANK(Vessels!F831), "", Vessels!F831), ""))</f>
        <v/>
      </c>
      <c r="G831" s="21">
        <f>IF($N$1="Piping", IF(ISBLANK(Piping!G831), "", Piping!G831), IF($N$1="Vessels", IF(ISBLANK(Vessels!G831), "", Vessels!G831), ""))</f>
        <v>0</v>
      </c>
      <c r="H831" s="21" t="str">
        <f>IF($N$1="Piping", IF(ISBLANK(Piping!H831), "", Piping!H831), IF($N$1="Vessels", IF(ISBLANK(Vessels!H831), "", Vessels!H831), ""))</f>
        <v/>
      </c>
      <c r="I831" s="21" t="str">
        <f>IF($N$1="Piping", IF(ISBLANK(Piping!I831), "", Piping!I831), IF($N$1="Vessels", IF(ISBLANK(Vessels!I831), "", Vessels!I831), ""))</f>
        <v/>
      </c>
      <c r="J831" s="21" t="str">
        <f>IF($N$1="Piping", IF(ISBLANK(Piping!J831), "", Piping!J831), IF($N$1="Vessels", IF(ISBLANK(Vessels!J831), "", Vessels!J831), ""))</f>
        <v/>
      </c>
      <c r="K831" s="21" t="str">
        <f>IF($N$1="Piping", IF(ISBLANK(Piping!K831), "", Piping!K831), IF($N$1="Vessels", IF(ISBLANK(Vessels!K831), "", Vessels!K831), ""))</f>
        <v/>
      </c>
      <c r="L831" s="21" t="str">
        <f>IF($N$1="Piping", IF(ISBLANK(Piping!L831), "", Piping!L831), IF($N$1="Vessels", IF(ISBLANK(Vessels!L831), "", Vessels!L831), ""))</f>
        <v/>
      </c>
      <c r="M831" s="21"/>
      <c r="N831" s="21"/>
      <c r="O831" s="21"/>
      <c r="P831" s="21"/>
      <c r="Q831" s="21" t="str">
        <f>IF($N$1="Piping", IF(ISBLANK(Piping!T831), "", Piping!T831), IF($N$1="Vessels", IF(ISBLANK(Vessels!T831), "", Vessels!T831), ""))</f>
        <v/>
      </c>
      <c r="R831" s="51" t="str">
        <f>IF($N$1="Piping", IF(ISBLANK(Piping!U831), "", Piping!U831), IF($N$1="Vessels", IF(ISBLANK(Vessels!U831), "", Vessels!U831), ""))</f>
        <v/>
      </c>
      <c r="S831" s="118" t="str">
        <f>IF(B831&lt;&gt;"",IF($N$1="Piping", IF(ISBLANK(Piping!$J$3), "", Piping!$J$3), IF($N$1="Vessels", IF(ISBLANK(Vessels!$J$3), "", Vessels!$J$3), "")),"")</f>
        <v/>
      </c>
      <c r="T831" s="37"/>
      <c r="U831" s="37"/>
      <c r="V831" s="37"/>
      <c r="W831" s="37"/>
      <c r="X831" s="37"/>
      <c r="Y831" s="37"/>
      <c r="Z831" s="37"/>
    </row>
    <row r="832" spans="1:26" ht="15.75" customHeight="1" x14ac:dyDescent="0.3">
      <c r="A832" s="22">
        <f>IF($N$1="Piping", IF(ISBLANK(Piping!A832), "", Piping!A832), IF($N$1="Vessels", IF(ISBLANK(Vessels!A832), "", Vessels!A832), ""))</f>
        <v>207.3</v>
      </c>
      <c r="B832" s="21" t="str">
        <f>IF($N$1="Piping", IF(ISBLANK(Piping!B832), "", Piping!B832), IF($N$1="Vessels", IF(ISBLANK(Vessels!B832), "", Vessels!B832), ""))</f>
        <v/>
      </c>
      <c r="C832" s="21" t="str">
        <f>IF($N$1="Piping", IF(ISBLANK(Piping!C832), "", Piping!C832), IF($N$1="Vessels", IF(ISBLANK(Vessels!C832), "", Vessels!C832), ""))</f>
        <v>Piping</v>
      </c>
      <c r="D832" s="21" t="str">
        <f>IF($N$1="Piping", IF(ISBLANK(Piping!D832), "", Piping!D832), IF($N$1="Vessels", IF(ISBLANK(Vessels!D832), "", Vessels!D832), ""))</f>
        <v/>
      </c>
      <c r="E832" s="21" t="str">
        <f>IF($N$1="Piping", IF(ISBLANK(Piping!E832), "", Piping!E832), IF($N$1="Vessels", IF(ISBLANK(Vessels!E832), "", Vessels!E832), ""))</f>
        <v/>
      </c>
      <c r="F832" s="21" t="str">
        <f>IF($N$1="Piping", IF(ISBLANK(Piping!F832), "", Piping!F832), IF($N$1="Vessels", IF(ISBLANK(Vessels!F832), "", Vessels!F832), ""))</f>
        <v/>
      </c>
      <c r="G832" s="21">
        <f>IF($N$1="Piping", IF(ISBLANK(Piping!G832), "", Piping!G832), IF($N$1="Vessels", IF(ISBLANK(Vessels!G832), "", Vessels!G832), ""))</f>
        <v>0</v>
      </c>
      <c r="H832" s="21" t="str">
        <f>IF($N$1="Piping", IF(ISBLANK(Piping!H832), "", Piping!H832), IF($N$1="Vessels", IF(ISBLANK(Vessels!H832), "", Vessels!H832), ""))</f>
        <v/>
      </c>
      <c r="I832" s="21" t="str">
        <f>IF($N$1="Piping", IF(ISBLANK(Piping!I832), "", Piping!I832), IF($N$1="Vessels", IF(ISBLANK(Vessels!I832), "", Vessels!I832), ""))</f>
        <v/>
      </c>
      <c r="J832" s="21" t="str">
        <f>IF($N$1="Piping", IF(ISBLANK(Piping!J832), "", Piping!J832), IF($N$1="Vessels", IF(ISBLANK(Vessels!J832), "", Vessels!J832), ""))</f>
        <v/>
      </c>
      <c r="K832" s="21" t="str">
        <f>IF($N$1="Piping", IF(ISBLANK(Piping!K832), "", Piping!K832), IF($N$1="Vessels", IF(ISBLANK(Vessels!K832), "", Vessels!K832), ""))</f>
        <v/>
      </c>
      <c r="L832" s="21" t="str">
        <f>IF($N$1="Piping", IF(ISBLANK(Piping!L832), "", Piping!L832), IF($N$1="Vessels", IF(ISBLANK(Vessels!L832), "", Vessels!L832), ""))</f>
        <v/>
      </c>
      <c r="M832" s="21"/>
      <c r="N832" s="21"/>
      <c r="O832" s="21"/>
      <c r="P832" s="21"/>
      <c r="Q832" s="21" t="str">
        <f>IF($N$1="Piping", IF(ISBLANK(Piping!T832), "", Piping!T832), IF($N$1="Vessels", IF(ISBLANK(Vessels!T832), "", Vessels!T832), ""))</f>
        <v/>
      </c>
      <c r="R832" s="51" t="str">
        <f>IF($N$1="Piping", IF(ISBLANK(Piping!U832), "", Piping!U832), IF($N$1="Vessels", IF(ISBLANK(Vessels!U832), "", Vessels!U832), ""))</f>
        <v/>
      </c>
      <c r="S832" s="118" t="str">
        <f>IF(B832&lt;&gt;"",IF($N$1="Piping", IF(ISBLANK(Piping!$J$3), "", Piping!$J$3), IF($N$1="Vessels", IF(ISBLANK(Vessels!$J$3), "", Vessels!$J$3), "")),"")</f>
        <v/>
      </c>
      <c r="T832" s="37"/>
      <c r="U832" s="37"/>
      <c r="V832" s="37"/>
      <c r="W832" s="37"/>
      <c r="X832" s="37"/>
      <c r="Y832" s="37"/>
      <c r="Z832" s="37"/>
    </row>
    <row r="833" spans="1:26" ht="15.75" customHeight="1" x14ac:dyDescent="0.3">
      <c r="A833" s="22">
        <f>IF($N$1="Piping", IF(ISBLANK(Piping!A833), "", Piping!A833), IF($N$1="Vessels", IF(ISBLANK(Vessels!A833), "", Vessels!A833), ""))</f>
        <v>207.4</v>
      </c>
      <c r="B833" s="21" t="str">
        <f>IF($N$1="Piping", IF(ISBLANK(Piping!B833), "", Piping!B833), IF($N$1="Vessels", IF(ISBLANK(Vessels!B833), "", Vessels!B833), ""))</f>
        <v/>
      </c>
      <c r="C833" s="21" t="str">
        <f>IF($N$1="Piping", IF(ISBLANK(Piping!C833), "", Piping!C833), IF($N$1="Vessels", IF(ISBLANK(Vessels!C833), "", Vessels!C833), ""))</f>
        <v>Piping</v>
      </c>
      <c r="D833" s="21" t="str">
        <f>IF($N$1="Piping", IF(ISBLANK(Piping!D833), "", Piping!D833), IF($N$1="Vessels", IF(ISBLANK(Vessels!D833), "", Vessels!D833), ""))</f>
        <v/>
      </c>
      <c r="E833" s="21" t="str">
        <f>IF($N$1="Piping", IF(ISBLANK(Piping!E833), "", Piping!E833), IF($N$1="Vessels", IF(ISBLANK(Vessels!E833), "", Vessels!E833), ""))</f>
        <v/>
      </c>
      <c r="F833" s="21" t="str">
        <f>IF($N$1="Piping", IF(ISBLANK(Piping!F833), "", Piping!F833), IF($N$1="Vessels", IF(ISBLANK(Vessels!F833), "", Vessels!F833), ""))</f>
        <v/>
      </c>
      <c r="G833" s="21">
        <f>IF($N$1="Piping", IF(ISBLANK(Piping!G833), "", Piping!G833), IF($N$1="Vessels", IF(ISBLANK(Vessels!G833), "", Vessels!G833), ""))</f>
        <v>0</v>
      </c>
      <c r="H833" s="21" t="str">
        <f>IF($N$1="Piping", IF(ISBLANK(Piping!H833), "", Piping!H833), IF($N$1="Vessels", IF(ISBLANK(Vessels!H833), "", Vessels!H833), ""))</f>
        <v/>
      </c>
      <c r="I833" s="21" t="str">
        <f>IF($N$1="Piping", IF(ISBLANK(Piping!I833), "", Piping!I833), IF($N$1="Vessels", IF(ISBLANK(Vessels!I833), "", Vessels!I833), ""))</f>
        <v/>
      </c>
      <c r="J833" s="21" t="str">
        <f>IF($N$1="Piping", IF(ISBLANK(Piping!J833), "", Piping!J833), IF($N$1="Vessels", IF(ISBLANK(Vessels!J833), "", Vessels!J833), ""))</f>
        <v/>
      </c>
      <c r="K833" s="21" t="str">
        <f>IF($N$1="Piping", IF(ISBLANK(Piping!K833), "", Piping!K833), IF($N$1="Vessels", IF(ISBLANK(Vessels!K833), "", Vessels!K833), ""))</f>
        <v/>
      </c>
      <c r="L833" s="21" t="str">
        <f>IF($N$1="Piping", IF(ISBLANK(Piping!L833), "", Piping!L833), IF($N$1="Vessels", IF(ISBLANK(Vessels!L833), "", Vessels!L833), ""))</f>
        <v/>
      </c>
      <c r="M833" s="21"/>
      <c r="N833" s="21"/>
      <c r="O833" s="21"/>
      <c r="P833" s="21"/>
      <c r="Q833" s="21" t="str">
        <f>IF($N$1="Piping", IF(ISBLANK(Piping!T833), "", Piping!T833), IF($N$1="Vessels", IF(ISBLANK(Vessels!T833), "", Vessels!T833), ""))</f>
        <v/>
      </c>
      <c r="R833" s="51" t="str">
        <f>IF($N$1="Piping", IF(ISBLANK(Piping!U833), "", Piping!U833), IF($N$1="Vessels", IF(ISBLANK(Vessels!U833), "", Vessels!U833), ""))</f>
        <v/>
      </c>
      <c r="S833" s="118" t="str">
        <f>IF(B833&lt;&gt;"",IF($N$1="Piping", IF(ISBLANK(Piping!$J$3), "", Piping!$J$3), IF($N$1="Vessels", IF(ISBLANK(Vessels!$J$3), "", Vessels!$J$3), "")),"")</f>
        <v/>
      </c>
      <c r="T833" s="37"/>
      <c r="U833" s="37"/>
      <c r="V833" s="37"/>
      <c r="W833" s="37"/>
      <c r="X833" s="37"/>
      <c r="Y833" s="37"/>
      <c r="Z833" s="37"/>
    </row>
    <row r="834" spans="1:26" ht="15.75" customHeight="1" x14ac:dyDescent="0.3">
      <c r="A834" s="22">
        <f>IF($N$1="Piping", IF(ISBLANK(Piping!A834), "", Piping!A834), IF($N$1="Vessels", IF(ISBLANK(Vessels!A834), "", Vessels!A834), ""))</f>
        <v>208.1</v>
      </c>
      <c r="B834" s="21" t="str">
        <f>IF($N$1="Piping", IF(ISBLANK(Piping!B834), "", Piping!B834), IF($N$1="Vessels", IF(ISBLANK(Vessels!B834), "", Vessels!B834), ""))</f>
        <v/>
      </c>
      <c r="C834" s="21" t="str">
        <f>IF($N$1="Piping", IF(ISBLANK(Piping!C834), "", Piping!C834), IF($N$1="Vessels", IF(ISBLANK(Vessels!C834), "", Vessels!C834), ""))</f>
        <v>Piping</v>
      </c>
      <c r="D834" s="21" t="str">
        <f>IF($N$1="Piping", IF(ISBLANK(Piping!D834), "", Piping!D834), IF($N$1="Vessels", IF(ISBLANK(Vessels!D834), "", Vessels!D834), ""))</f>
        <v/>
      </c>
      <c r="E834" s="21" t="str">
        <f>IF($N$1="Piping", IF(ISBLANK(Piping!E834), "", Piping!E834), IF($N$1="Vessels", IF(ISBLANK(Vessels!E834), "", Vessels!E834), ""))</f>
        <v/>
      </c>
      <c r="F834" s="21" t="str">
        <f>IF($N$1="Piping", IF(ISBLANK(Piping!F834), "", Piping!F834), IF($N$1="Vessels", IF(ISBLANK(Vessels!F834), "", Vessels!F834), ""))</f>
        <v/>
      </c>
      <c r="G834" s="21">
        <f>IF($N$1="Piping", IF(ISBLANK(Piping!G834), "", Piping!G834), IF($N$1="Vessels", IF(ISBLANK(Vessels!G834), "", Vessels!G834), ""))</f>
        <v>0</v>
      </c>
      <c r="H834" s="21" t="str">
        <f>IF($N$1="Piping", IF(ISBLANK(Piping!H834), "", Piping!H834), IF($N$1="Vessels", IF(ISBLANK(Vessels!H834), "", Vessels!H834), ""))</f>
        <v/>
      </c>
      <c r="I834" s="21" t="str">
        <f>IF($N$1="Piping", IF(ISBLANK(Piping!I834), "", Piping!I834), IF($N$1="Vessels", IF(ISBLANK(Vessels!I834), "", Vessels!I834), ""))</f>
        <v/>
      </c>
      <c r="J834" s="21" t="str">
        <f>IF($N$1="Piping", IF(ISBLANK(Piping!J834), "", Piping!J834), IF($N$1="Vessels", IF(ISBLANK(Vessels!J834), "", Vessels!J834), ""))</f>
        <v/>
      </c>
      <c r="K834" s="21" t="str">
        <f>IF($N$1="Piping", IF(ISBLANK(Piping!K834), "", Piping!K834), IF($N$1="Vessels", IF(ISBLANK(Vessels!K834), "", Vessels!K834), ""))</f>
        <v/>
      </c>
      <c r="L834" s="21" t="str">
        <f>IF($N$1="Piping", IF(ISBLANK(Piping!L834), "", Piping!L834), IF($N$1="Vessels", IF(ISBLANK(Vessels!L834), "", Vessels!L834), ""))</f>
        <v/>
      </c>
      <c r="M834" s="21"/>
      <c r="N834" s="21"/>
      <c r="O834" s="21"/>
      <c r="P834" s="21"/>
      <c r="Q834" s="21" t="str">
        <f>IF($N$1="Piping", IF(ISBLANK(Piping!T834), "", Piping!T834), IF($N$1="Vessels", IF(ISBLANK(Vessels!T834), "", Vessels!T834), ""))</f>
        <v/>
      </c>
      <c r="R834" s="51" t="str">
        <f>IF($N$1="Piping", IF(ISBLANK(Piping!U834), "", Piping!U834), IF($N$1="Vessels", IF(ISBLANK(Vessels!U834), "", Vessels!U834), ""))</f>
        <v/>
      </c>
      <c r="S834" s="118" t="str">
        <f>IF(B834&lt;&gt;"",IF($N$1="Piping", IF(ISBLANK(Piping!$J$3), "", Piping!$J$3), IF($N$1="Vessels", IF(ISBLANK(Vessels!$J$3), "", Vessels!$J$3), "")),"")</f>
        <v/>
      </c>
      <c r="T834" s="37"/>
      <c r="U834" s="37"/>
      <c r="V834" s="37"/>
      <c r="W834" s="37"/>
      <c r="X834" s="37"/>
      <c r="Y834" s="37"/>
      <c r="Z834" s="37"/>
    </row>
    <row r="835" spans="1:26" ht="15.75" customHeight="1" x14ac:dyDescent="0.3">
      <c r="A835" s="119"/>
      <c r="B835" s="19"/>
      <c r="C835" s="18"/>
      <c r="D835" s="19"/>
      <c r="E835" s="19"/>
      <c r="F835" s="19"/>
      <c r="G835" s="21"/>
      <c r="H835" s="21"/>
      <c r="I835" s="21"/>
      <c r="J835" s="21"/>
      <c r="K835" s="19"/>
      <c r="L835" s="19"/>
      <c r="M835" s="37"/>
      <c r="N835" s="37"/>
      <c r="O835" s="37"/>
      <c r="P835" s="37"/>
      <c r="Q835" s="37"/>
      <c r="R835" s="37"/>
      <c r="S835" s="37"/>
      <c r="T835" s="37"/>
      <c r="U835" s="37"/>
      <c r="V835" s="37"/>
      <c r="W835" s="37"/>
      <c r="X835" s="37"/>
      <c r="Y835" s="37"/>
      <c r="Z835" s="37"/>
    </row>
    <row r="836" spans="1:26" ht="15.75" customHeight="1" x14ac:dyDescent="0.3">
      <c r="A836" s="119"/>
      <c r="B836" s="19"/>
      <c r="C836" s="18"/>
      <c r="D836" s="19"/>
      <c r="E836" s="19"/>
      <c r="F836" s="19"/>
      <c r="G836" s="21"/>
      <c r="H836" s="21"/>
      <c r="I836" s="21"/>
      <c r="J836" s="21"/>
      <c r="K836" s="19"/>
      <c r="L836" s="19"/>
      <c r="M836" s="37"/>
      <c r="N836" s="37"/>
      <c r="O836" s="37"/>
      <c r="P836" s="37"/>
      <c r="Q836" s="37"/>
      <c r="R836" s="37"/>
      <c r="S836" s="37"/>
      <c r="T836" s="37"/>
      <c r="U836" s="37"/>
      <c r="V836" s="37"/>
      <c r="W836" s="37"/>
      <c r="X836" s="37"/>
      <c r="Y836" s="37"/>
      <c r="Z836" s="37"/>
    </row>
    <row r="837" spans="1:26" ht="15.75" customHeight="1" x14ac:dyDescent="0.3">
      <c r="A837" s="119"/>
      <c r="B837" s="19"/>
      <c r="C837" s="18"/>
      <c r="D837" s="19"/>
      <c r="E837" s="19"/>
      <c r="F837" s="19"/>
      <c r="G837" s="21"/>
      <c r="H837" s="21"/>
      <c r="I837" s="21"/>
      <c r="J837" s="21"/>
      <c r="K837" s="19"/>
      <c r="L837" s="19"/>
      <c r="M837" s="37"/>
      <c r="N837" s="37"/>
      <c r="O837" s="37"/>
      <c r="P837" s="37"/>
      <c r="Q837" s="37"/>
      <c r="R837" s="37"/>
      <c r="S837" s="37"/>
      <c r="T837" s="37"/>
      <c r="U837" s="37"/>
      <c r="V837" s="37"/>
      <c r="W837" s="37"/>
      <c r="X837" s="37"/>
      <c r="Y837" s="37"/>
      <c r="Z837" s="37"/>
    </row>
    <row r="838" spans="1:26" ht="15.75" customHeight="1" x14ac:dyDescent="0.3">
      <c r="A838" s="119"/>
      <c r="B838" s="19"/>
      <c r="C838" s="18"/>
      <c r="D838" s="19"/>
      <c r="E838" s="19"/>
      <c r="F838" s="19"/>
      <c r="G838" s="21"/>
      <c r="H838" s="21"/>
      <c r="I838" s="21"/>
      <c r="J838" s="21"/>
      <c r="K838" s="19"/>
      <c r="L838" s="19"/>
      <c r="M838" s="37"/>
      <c r="N838" s="37"/>
      <c r="O838" s="37"/>
      <c r="P838" s="37"/>
      <c r="Q838" s="37"/>
      <c r="R838" s="37"/>
      <c r="S838" s="37"/>
      <c r="T838" s="37"/>
      <c r="U838" s="37"/>
      <c r="V838" s="37"/>
      <c r="W838" s="37"/>
      <c r="X838" s="37"/>
      <c r="Y838" s="37"/>
      <c r="Z838" s="37"/>
    </row>
    <row r="839" spans="1:26" ht="15.75" customHeight="1" x14ac:dyDescent="0.3">
      <c r="A839" s="119"/>
      <c r="B839" s="19"/>
      <c r="C839" s="18"/>
      <c r="D839" s="19"/>
      <c r="E839" s="19"/>
      <c r="F839" s="19"/>
      <c r="G839" s="21"/>
      <c r="H839" s="21"/>
      <c r="I839" s="21"/>
      <c r="J839" s="21"/>
      <c r="K839" s="19"/>
      <c r="L839" s="19"/>
      <c r="M839" s="37"/>
      <c r="N839" s="37"/>
      <c r="O839" s="37"/>
      <c r="P839" s="37"/>
      <c r="Q839" s="37"/>
      <c r="R839" s="37"/>
      <c r="S839" s="37"/>
      <c r="T839" s="37"/>
      <c r="U839" s="37"/>
      <c r="V839" s="37"/>
      <c r="W839" s="37"/>
      <c r="X839" s="37"/>
      <c r="Y839" s="37"/>
      <c r="Z839" s="37"/>
    </row>
    <row r="840" spans="1:26" ht="15.75" customHeight="1" x14ac:dyDescent="0.3">
      <c r="A840" s="119"/>
      <c r="B840" s="19"/>
      <c r="C840" s="18"/>
      <c r="D840" s="19"/>
      <c r="E840" s="19"/>
      <c r="F840" s="19"/>
      <c r="G840" s="21"/>
      <c r="H840" s="21"/>
      <c r="I840" s="21"/>
      <c r="J840" s="21"/>
      <c r="K840" s="19"/>
      <c r="L840" s="19"/>
      <c r="M840" s="37"/>
      <c r="N840" s="37"/>
      <c r="O840" s="37"/>
      <c r="P840" s="37"/>
      <c r="Q840" s="37"/>
      <c r="R840" s="37"/>
      <c r="S840" s="37"/>
      <c r="T840" s="37"/>
      <c r="U840" s="37"/>
      <c r="V840" s="37"/>
      <c r="W840" s="37"/>
      <c r="X840" s="37"/>
      <c r="Y840" s="37"/>
      <c r="Z840" s="37"/>
    </row>
    <row r="841" spans="1:26" ht="15.75" customHeight="1" x14ac:dyDescent="0.3">
      <c r="A841" s="119"/>
      <c r="B841" s="19"/>
      <c r="C841" s="18"/>
      <c r="D841" s="19"/>
      <c r="E841" s="19"/>
      <c r="F841" s="19"/>
      <c r="G841" s="21"/>
      <c r="H841" s="21"/>
      <c r="I841" s="21"/>
      <c r="J841" s="21"/>
      <c r="K841" s="19"/>
      <c r="L841" s="19"/>
      <c r="M841" s="37"/>
      <c r="N841" s="37"/>
      <c r="O841" s="37"/>
      <c r="P841" s="37"/>
      <c r="Q841" s="37"/>
      <c r="R841" s="37"/>
      <c r="S841" s="37"/>
      <c r="T841" s="37"/>
      <c r="U841" s="37"/>
      <c r="V841" s="37"/>
      <c r="W841" s="37"/>
      <c r="X841" s="37"/>
      <c r="Y841" s="37"/>
      <c r="Z841" s="37"/>
    </row>
    <row r="842" spans="1:26" ht="15.75" customHeight="1" x14ac:dyDescent="0.3">
      <c r="A842" s="119"/>
      <c r="B842" s="19"/>
      <c r="C842" s="18"/>
      <c r="D842" s="19"/>
      <c r="E842" s="19"/>
      <c r="F842" s="19"/>
      <c r="G842" s="21"/>
      <c r="H842" s="21"/>
      <c r="I842" s="21"/>
      <c r="J842" s="21"/>
      <c r="K842" s="19"/>
      <c r="L842" s="19"/>
      <c r="M842" s="37"/>
      <c r="N842" s="37"/>
      <c r="O842" s="37"/>
      <c r="P842" s="37"/>
      <c r="Q842" s="37"/>
      <c r="R842" s="37"/>
      <c r="S842" s="37"/>
      <c r="T842" s="37"/>
      <c r="U842" s="37"/>
      <c r="V842" s="37"/>
      <c r="W842" s="37"/>
      <c r="X842" s="37"/>
      <c r="Y842" s="37"/>
      <c r="Z842" s="37"/>
    </row>
    <row r="843" spans="1:26" ht="15.75" customHeight="1" x14ac:dyDescent="0.3">
      <c r="A843" s="119"/>
      <c r="B843" s="19"/>
      <c r="C843" s="18"/>
      <c r="D843" s="19"/>
      <c r="E843" s="19"/>
      <c r="F843" s="19"/>
      <c r="G843" s="21"/>
      <c r="H843" s="21"/>
      <c r="I843" s="21"/>
      <c r="J843" s="21"/>
      <c r="K843" s="19"/>
      <c r="L843" s="19"/>
      <c r="M843" s="37"/>
      <c r="N843" s="37"/>
      <c r="O843" s="37"/>
      <c r="P843" s="37"/>
      <c r="Q843" s="37"/>
      <c r="R843" s="37"/>
      <c r="S843" s="37"/>
      <c r="T843" s="37"/>
      <c r="U843" s="37"/>
      <c r="V843" s="37"/>
      <c r="W843" s="37"/>
      <c r="X843" s="37"/>
      <c r="Y843" s="37"/>
      <c r="Z843" s="37"/>
    </row>
    <row r="844" spans="1:26" ht="15.75" customHeight="1" x14ac:dyDescent="0.3">
      <c r="A844" s="119"/>
      <c r="B844" s="19"/>
      <c r="C844" s="18"/>
      <c r="D844" s="19"/>
      <c r="E844" s="19"/>
      <c r="F844" s="19"/>
      <c r="G844" s="21"/>
      <c r="H844" s="21"/>
      <c r="I844" s="21"/>
      <c r="J844" s="21"/>
      <c r="K844" s="19"/>
      <c r="L844" s="19"/>
      <c r="M844" s="37"/>
      <c r="N844" s="37"/>
      <c r="O844" s="37"/>
      <c r="P844" s="37"/>
      <c r="Q844" s="37"/>
      <c r="R844" s="37"/>
      <c r="S844" s="37"/>
      <c r="T844" s="37"/>
      <c r="U844" s="37"/>
      <c r="V844" s="37"/>
      <c r="W844" s="37"/>
      <c r="X844" s="37"/>
      <c r="Y844" s="37"/>
      <c r="Z844" s="37"/>
    </row>
    <row r="845" spans="1:26" ht="15.75" customHeight="1" x14ac:dyDescent="0.3">
      <c r="A845" s="119"/>
      <c r="B845" s="19"/>
      <c r="C845" s="18"/>
      <c r="D845" s="19"/>
      <c r="E845" s="19"/>
      <c r="F845" s="19"/>
      <c r="G845" s="21"/>
      <c r="H845" s="21"/>
      <c r="I845" s="21"/>
      <c r="J845" s="21"/>
      <c r="K845" s="19"/>
      <c r="L845" s="19"/>
      <c r="M845" s="37"/>
      <c r="N845" s="37"/>
      <c r="O845" s="37"/>
      <c r="P845" s="37"/>
      <c r="Q845" s="37"/>
      <c r="R845" s="37"/>
      <c r="S845" s="37"/>
      <c r="T845" s="37"/>
      <c r="U845" s="37"/>
      <c r="V845" s="37"/>
      <c r="W845" s="37"/>
      <c r="X845" s="37"/>
      <c r="Y845" s="37"/>
      <c r="Z845" s="37"/>
    </row>
    <row r="846" spans="1:26" ht="15.75" customHeight="1" x14ac:dyDescent="0.3">
      <c r="A846" s="119"/>
      <c r="B846" s="19"/>
      <c r="C846" s="18"/>
      <c r="D846" s="19"/>
      <c r="E846" s="19"/>
      <c r="F846" s="19"/>
      <c r="G846" s="21"/>
      <c r="H846" s="21"/>
      <c r="I846" s="21"/>
      <c r="J846" s="21"/>
      <c r="K846" s="19"/>
      <c r="L846" s="19"/>
      <c r="M846" s="37"/>
      <c r="N846" s="37"/>
      <c r="O846" s="37"/>
      <c r="P846" s="37"/>
      <c r="Q846" s="37"/>
      <c r="R846" s="37"/>
      <c r="S846" s="37"/>
      <c r="T846" s="37"/>
      <c r="U846" s="37"/>
      <c r="V846" s="37"/>
      <c r="W846" s="37"/>
      <c r="X846" s="37"/>
      <c r="Y846" s="37"/>
      <c r="Z846" s="37"/>
    </row>
    <row r="847" spans="1:26" ht="15.75" customHeight="1" x14ac:dyDescent="0.3">
      <c r="A847" s="119"/>
      <c r="B847" s="19"/>
      <c r="C847" s="18"/>
      <c r="D847" s="19"/>
      <c r="E847" s="19"/>
      <c r="F847" s="19"/>
      <c r="G847" s="21"/>
      <c r="H847" s="21"/>
      <c r="I847" s="21"/>
      <c r="J847" s="21"/>
      <c r="K847" s="19"/>
      <c r="L847" s="19"/>
      <c r="M847" s="37"/>
      <c r="N847" s="37"/>
      <c r="O847" s="37"/>
      <c r="P847" s="37"/>
      <c r="Q847" s="37"/>
      <c r="R847" s="37"/>
      <c r="S847" s="37"/>
      <c r="T847" s="37"/>
      <c r="U847" s="37"/>
      <c r="V847" s="37"/>
      <c r="W847" s="37"/>
      <c r="X847" s="37"/>
      <c r="Y847" s="37"/>
      <c r="Z847" s="37"/>
    </row>
    <row r="848" spans="1:26" ht="15.75" customHeight="1" x14ac:dyDescent="0.3">
      <c r="A848" s="119"/>
      <c r="B848" s="19"/>
      <c r="C848" s="18"/>
      <c r="D848" s="19"/>
      <c r="E848" s="19"/>
      <c r="F848" s="19"/>
      <c r="G848" s="21"/>
      <c r="H848" s="21"/>
      <c r="I848" s="21"/>
      <c r="J848" s="21"/>
      <c r="K848" s="19"/>
      <c r="L848" s="19"/>
      <c r="M848" s="37"/>
      <c r="N848" s="37"/>
      <c r="O848" s="37"/>
      <c r="P848" s="37"/>
      <c r="Q848" s="37"/>
      <c r="R848" s="37"/>
      <c r="S848" s="37"/>
      <c r="T848" s="37"/>
      <c r="U848" s="37"/>
      <c r="V848" s="37"/>
      <c r="W848" s="37"/>
      <c r="X848" s="37"/>
      <c r="Y848" s="37"/>
      <c r="Z848" s="37"/>
    </row>
    <row r="849" spans="1:26" ht="15.75" customHeight="1" x14ac:dyDescent="0.3">
      <c r="A849" s="119"/>
      <c r="B849" s="19"/>
      <c r="C849" s="18"/>
      <c r="D849" s="19"/>
      <c r="E849" s="19"/>
      <c r="F849" s="19"/>
      <c r="G849" s="21"/>
      <c r="H849" s="21"/>
      <c r="I849" s="21"/>
      <c r="J849" s="21"/>
      <c r="K849" s="19"/>
      <c r="L849" s="19"/>
      <c r="M849" s="37"/>
      <c r="N849" s="37"/>
      <c r="O849" s="37"/>
      <c r="P849" s="37"/>
      <c r="Q849" s="37"/>
      <c r="R849" s="37"/>
      <c r="S849" s="37"/>
      <c r="T849" s="37"/>
      <c r="U849" s="37"/>
      <c r="V849" s="37"/>
      <c r="W849" s="37"/>
      <c r="X849" s="37"/>
      <c r="Y849" s="37"/>
      <c r="Z849" s="37"/>
    </row>
    <row r="850" spans="1:26" ht="15.75" customHeight="1" x14ac:dyDescent="0.3">
      <c r="A850" s="119"/>
      <c r="B850" s="19"/>
      <c r="C850" s="18"/>
      <c r="D850" s="19"/>
      <c r="E850" s="19"/>
      <c r="F850" s="19"/>
      <c r="G850" s="21"/>
      <c r="H850" s="21"/>
      <c r="I850" s="21"/>
      <c r="J850" s="21"/>
      <c r="K850" s="19"/>
      <c r="L850" s="19"/>
      <c r="M850" s="37"/>
      <c r="N850" s="37"/>
      <c r="O850" s="37"/>
      <c r="P850" s="37"/>
      <c r="Q850" s="37"/>
      <c r="R850" s="37"/>
      <c r="S850" s="37"/>
      <c r="T850" s="37"/>
      <c r="U850" s="37"/>
      <c r="V850" s="37"/>
      <c r="W850" s="37"/>
      <c r="X850" s="37"/>
      <c r="Y850" s="37"/>
      <c r="Z850" s="37"/>
    </row>
    <row r="851" spans="1:26" ht="15.75" customHeight="1" x14ac:dyDescent="0.3">
      <c r="A851" s="119"/>
      <c r="B851" s="19"/>
      <c r="C851" s="18"/>
      <c r="D851" s="19"/>
      <c r="E851" s="19"/>
      <c r="F851" s="19"/>
      <c r="G851" s="21"/>
      <c r="H851" s="21"/>
      <c r="I851" s="21"/>
      <c r="J851" s="21"/>
      <c r="K851" s="19"/>
      <c r="L851" s="19"/>
      <c r="M851" s="37"/>
      <c r="N851" s="37"/>
      <c r="O851" s="37"/>
      <c r="P851" s="37"/>
      <c r="Q851" s="37"/>
      <c r="R851" s="37"/>
      <c r="S851" s="37"/>
      <c r="T851" s="37"/>
      <c r="U851" s="37"/>
      <c r="V851" s="37"/>
      <c r="W851" s="37"/>
      <c r="X851" s="37"/>
      <c r="Y851" s="37"/>
      <c r="Z851" s="37"/>
    </row>
    <row r="852" spans="1:26" ht="15.75" customHeight="1" x14ac:dyDescent="0.3">
      <c r="A852" s="119"/>
      <c r="B852" s="19"/>
      <c r="C852" s="18"/>
      <c r="D852" s="19"/>
      <c r="E852" s="19"/>
      <c r="F852" s="19"/>
      <c r="G852" s="21"/>
      <c r="H852" s="21"/>
      <c r="I852" s="21"/>
      <c r="J852" s="21"/>
      <c r="K852" s="19"/>
      <c r="L852" s="19"/>
      <c r="M852" s="37"/>
      <c r="N852" s="37"/>
      <c r="O852" s="37"/>
      <c r="P852" s="37"/>
      <c r="Q852" s="37"/>
      <c r="R852" s="37"/>
      <c r="S852" s="37"/>
      <c r="T852" s="37"/>
      <c r="U852" s="37"/>
      <c r="V852" s="37"/>
      <c r="W852" s="37"/>
      <c r="X852" s="37"/>
      <c r="Y852" s="37"/>
      <c r="Z852" s="37"/>
    </row>
    <row r="853" spans="1:26" ht="15.75" customHeight="1" x14ac:dyDescent="0.3">
      <c r="A853" s="119"/>
      <c r="B853" s="19"/>
      <c r="C853" s="18"/>
      <c r="D853" s="19"/>
      <c r="E853" s="19"/>
      <c r="F853" s="19"/>
      <c r="G853" s="21"/>
      <c r="H853" s="21"/>
      <c r="I853" s="21"/>
      <c r="J853" s="21"/>
      <c r="K853" s="19"/>
      <c r="L853" s="19"/>
      <c r="M853" s="37"/>
      <c r="N853" s="37"/>
      <c r="O853" s="37"/>
      <c r="P853" s="37"/>
      <c r="Q853" s="37"/>
      <c r="R853" s="37"/>
      <c r="S853" s="37"/>
      <c r="T853" s="37"/>
      <c r="U853" s="37"/>
      <c r="V853" s="37"/>
      <c r="W853" s="37"/>
      <c r="X853" s="37"/>
      <c r="Y853" s="37"/>
      <c r="Z853" s="37"/>
    </row>
    <row r="854" spans="1:26" ht="15.75" customHeight="1" x14ac:dyDescent="0.3">
      <c r="A854" s="119"/>
      <c r="B854" s="19"/>
      <c r="C854" s="18"/>
      <c r="D854" s="19"/>
      <c r="E854" s="19"/>
      <c r="F854" s="19"/>
      <c r="G854" s="21"/>
      <c r="H854" s="21"/>
      <c r="I854" s="21"/>
      <c r="J854" s="21"/>
      <c r="K854" s="19"/>
      <c r="L854" s="19"/>
      <c r="M854" s="37"/>
      <c r="N854" s="37"/>
      <c r="O854" s="37"/>
      <c r="P854" s="37"/>
      <c r="Q854" s="37"/>
      <c r="R854" s="37"/>
      <c r="S854" s="37"/>
      <c r="T854" s="37"/>
      <c r="U854" s="37"/>
      <c r="V854" s="37"/>
      <c r="W854" s="37"/>
      <c r="X854" s="37"/>
      <c r="Y854" s="37"/>
      <c r="Z854" s="37"/>
    </row>
    <row r="855" spans="1:26" ht="15.75" customHeight="1" x14ac:dyDescent="0.3">
      <c r="A855" s="119"/>
      <c r="B855" s="19"/>
      <c r="C855" s="18"/>
      <c r="D855" s="19"/>
      <c r="E855" s="19"/>
      <c r="F855" s="19"/>
      <c r="G855" s="21"/>
      <c r="H855" s="21"/>
      <c r="I855" s="21"/>
      <c r="J855" s="21"/>
      <c r="K855" s="19"/>
      <c r="L855" s="19"/>
      <c r="M855" s="37"/>
      <c r="N855" s="37"/>
      <c r="O855" s="37"/>
      <c r="P855" s="37"/>
      <c r="Q855" s="37"/>
      <c r="R855" s="37"/>
      <c r="S855" s="37"/>
      <c r="T855" s="37"/>
      <c r="U855" s="37"/>
      <c r="V855" s="37"/>
      <c r="W855" s="37"/>
      <c r="X855" s="37"/>
      <c r="Y855" s="37"/>
      <c r="Z855" s="37"/>
    </row>
    <row r="856" spans="1:26" ht="15.75" customHeight="1" x14ac:dyDescent="0.3">
      <c r="A856" s="119"/>
      <c r="B856" s="19"/>
      <c r="C856" s="18"/>
      <c r="D856" s="19"/>
      <c r="E856" s="19"/>
      <c r="F856" s="19"/>
      <c r="G856" s="21"/>
      <c r="H856" s="21"/>
      <c r="I856" s="21"/>
      <c r="J856" s="21"/>
      <c r="K856" s="19"/>
      <c r="L856" s="19"/>
      <c r="M856" s="37"/>
      <c r="N856" s="37"/>
      <c r="O856" s="37"/>
      <c r="P856" s="37"/>
      <c r="Q856" s="37"/>
      <c r="R856" s="37"/>
      <c r="S856" s="37"/>
      <c r="T856" s="37"/>
      <c r="U856" s="37"/>
      <c r="V856" s="37"/>
      <c r="W856" s="37"/>
      <c r="X856" s="37"/>
      <c r="Y856" s="37"/>
      <c r="Z856" s="37"/>
    </row>
    <row r="857" spans="1:26" ht="15.75" customHeight="1" x14ac:dyDescent="0.3">
      <c r="A857" s="119"/>
      <c r="B857" s="19"/>
      <c r="C857" s="18"/>
      <c r="D857" s="19"/>
      <c r="E857" s="19"/>
      <c r="F857" s="19"/>
      <c r="G857" s="21"/>
      <c r="H857" s="21"/>
      <c r="I857" s="21"/>
      <c r="J857" s="21"/>
      <c r="K857" s="19"/>
      <c r="L857" s="19"/>
      <c r="M857" s="37"/>
      <c r="N857" s="37"/>
      <c r="O857" s="37"/>
      <c r="P857" s="37"/>
      <c r="Q857" s="37"/>
      <c r="R857" s="37"/>
      <c r="S857" s="37"/>
      <c r="T857" s="37"/>
      <c r="U857" s="37"/>
      <c r="V857" s="37"/>
      <c r="W857" s="37"/>
      <c r="X857" s="37"/>
      <c r="Y857" s="37"/>
      <c r="Z857" s="37"/>
    </row>
    <row r="858" spans="1:26" ht="15.75" customHeight="1" x14ac:dyDescent="0.3">
      <c r="A858" s="119"/>
      <c r="B858" s="19"/>
      <c r="C858" s="18"/>
      <c r="D858" s="19"/>
      <c r="E858" s="19"/>
      <c r="F858" s="19"/>
      <c r="G858" s="21"/>
      <c r="H858" s="21"/>
      <c r="I858" s="21"/>
      <c r="J858" s="21"/>
      <c r="K858" s="19"/>
      <c r="L858" s="19"/>
      <c r="M858" s="37"/>
      <c r="N858" s="37"/>
      <c r="O858" s="37"/>
      <c r="P858" s="37"/>
      <c r="Q858" s="37"/>
      <c r="R858" s="37"/>
      <c r="S858" s="37"/>
      <c r="T858" s="37"/>
      <c r="U858" s="37"/>
      <c r="V858" s="37"/>
      <c r="W858" s="37"/>
      <c r="X858" s="37"/>
      <c r="Y858" s="37"/>
      <c r="Z858" s="37"/>
    </row>
    <row r="859" spans="1:26" ht="15.75" customHeight="1" x14ac:dyDescent="0.3">
      <c r="A859" s="119"/>
      <c r="B859" s="19"/>
      <c r="C859" s="18"/>
      <c r="D859" s="19"/>
      <c r="E859" s="19"/>
      <c r="F859" s="19"/>
      <c r="G859" s="21"/>
      <c r="H859" s="21"/>
      <c r="I859" s="21"/>
      <c r="J859" s="21"/>
      <c r="K859" s="19"/>
      <c r="L859" s="19"/>
      <c r="M859" s="37"/>
      <c r="N859" s="37"/>
      <c r="O859" s="37"/>
      <c r="P859" s="37"/>
      <c r="Q859" s="37"/>
      <c r="R859" s="37"/>
      <c r="S859" s="37"/>
      <c r="T859" s="37"/>
      <c r="U859" s="37"/>
      <c r="V859" s="37"/>
      <c r="W859" s="37"/>
      <c r="X859" s="37"/>
      <c r="Y859" s="37"/>
      <c r="Z859" s="37"/>
    </row>
    <row r="860" spans="1:26" ht="15.75" customHeight="1" x14ac:dyDescent="0.3">
      <c r="A860" s="119"/>
      <c r="B860" s="19"/>
      <c r="C860" s="18"/>
      <c r="D860" s="19"/>
      <c r="E860" s="19"/>
      <c r="F860" s="19"/>
      <c r="G860" s="21"/>
      <c r="H860" s="21"/>
      <c r="I860" s="21"/>
      <c r="J860" s="21"/>
      <c r="K860" s="19"/>
      <c r="L860" s="19"/>
      <c r="M860" s="37"/>
      <c r="N860" s="37"/>
      <c r="O860" s="37"/>
      <c r="P860" s="37"/>
      <c r="Q860" s="37"/>
      <c r="R860" s="37"/>
      <c r="S860" s="37"/>
      <c r="T860" s="37"/>
      <c r="U860" s="37"/>
      <c r="V860" s="37"/>
      <c r="W860" s="37"/>
      <c r="X860" s="37"/>
      <c r="Y860" s="37"/>
      <c r="Z860" s="37"/>
    </row>
    <row r="861" spans="1:26" ht="15.75" customHeight="1" x14ac:dyDescent="0.3">
      <c r="A861" s="119"/>
      <c r="B861" s="19"/>
      <c r="C861" s="18"/>
      <c r="D861" s="19"/>
      <c r="E861" s="19"/>
      <c r="F861" s="19"/>
      <c r="G861" s="21"/>
      <c r="H861" s="21"/>
      <c r="I861" s="21"/>
      <c r="J861" s="21"/>
      <c r="K861" s="19"/>
      <c r="L861" s="19"/>
      <c r="M861" s="37"/>
      <c r="N861" s="37"/>
      <c r="O861" s="37"/>
      <c r="P861" s="37"/>
      <c r="Q861" s="37"/>
      <c r="R861" s="37"/>
      <c r="S861" s="37"/>
      <c r="T861" s="37"/>
      <c r="U861" s="37"/>
      <c r="V861" s="37"/>
      <c r="W861" s="37"/>
      <c r="X861" s="37"/>
      <c r="Y861" s="37"/>
      <c r="Z861" s="37"/>
    </row>
    <row r="862" spans="1:26" ht="15.75" customHeight="1" x14ac:dyDescent="0.3">
      <c r="A862" s="119"/>
      <c r="B862" s="19"/>
      <c r="C862" s="18"/>
      <c r="D862" s="19"/>
      <c r="E862" s="19"/>
      <c r="F862" s="19"/>
      <c r="G862" s="21"/>
      <c r="H862" s="21"/>
      <c r="I862" s="21"/>
      <c r="J862" s="21"/>
      <c r="K862" s="19"/>
      <c r="L862" s="19"/>
      <c r="M862" s="37"/>
      <c r="N862" s="37"/>
      <c r="O862" s="37"/>
      <c r="P862" s="37"/>
      <c r="Q862" s="37"/>
      <c r="R862" s="37"/>
      <c r="S862" s="37"/>
      <c r="T862" s="37"/>
      <c r="U862" s="37"/>
      <c r="V862" s="37"/>
      <c r="W862" s="37"/>
      <c r="X862" s="37"/>
      <c r="Y862" s="37"/>
      <c r="Z862" s="37"/>
    </row>
    <row r="863" spans="1:26" ht="15.75" customHeight="1" x14ac:dyDescent="0.3">
      <c r="A863" s="119"/>
      <c r="B863" s="19"/>
      <c r="C863" s="18"/>
      <c r="D863" s="19"/>
      <c r="E863" s="19"/>
      <c r="F863" s="19"/>
      <c r="G863" s="21"/>
      <c r="H863" s="21"/>
      <c r="I863" s="21"/>
      <c r="J863" s="21"/>
      <c r="K863" s="19"/>
      <c r="L863" s="19"/>
      <c r="M863" s="37"/>
      <c r="N863" s="37"/>
      <c r="O863" s="37"/>
      <c r="P863" s="37"/>
      <c r="Q863" s="37"/>
      <c r="R863" s="37"/>
      <c r="S863" s="37"/>
      <c r="T863" s="37"/>
      <c r="U863" s="37"/>
      <c r="V863" s="37"/>
      <c r="W863" s="37"/>
      <c r="X863" s="37"/>
      <c r="Y863" s="37"/>
      <c r="Z863" s="37"/>
    </row>
    <row r="864" spans="1:26" ht="15.75" customHeight="1" x14ac:dyDescent="0.3">
      <c r="A864" s="119"/>
      <c r="B864" s="19"/>
      <c r="C864" s="18"/>
      <c r="D864" s="19"/>
      <c r="E864" s="19"/>
      <c r="F864" s="19"/>
      <c r="G864" s="21"/>
      <c r="H864" s="21"/>
      <c r="I864" s="21"/>
      <c r="J864" s="21"/>
      <c r="K864" s="19"/>
      <c r="L864" s="19"/>
      <c r="M864" s="37"/>
      <c r="N864" s="37"/>
      <c r="O864" s="37"/>
      <c r="P864" s="37"/>
      <c r="Q864" s="37"/>
      <c r="R864" s="37"/>
      <c r="S864" s="37"/>
      <c r="T864" s="37"/>
      <c r="U864" s="37"/>
      <c r="V864" s="37"/>
      <c r="W864" s="37"/>
      <c r="X864" s="37"/>
      <c r="Y864" s="37"/>
      <c r="Z864" s="37"/>
    </row>
    <row r="865" spans="1:26" ht="15.75" customHeight="1" x14ac:dyDescent="0.3">
      <c r="A865" s="119"/>
      <c r="B865" s="19"/>
      <c r="C865" s="18"/>
      <c r="D865" s="19"/>
      <c r="E865" s="19"/>
      <c r="F865" s="19"/>
      <c r="G865" s="21"/>
      <c r="H865" s="21"/>
      <c r="I865" s="21"/>
      <c r="J865" s="21"/>
      <c r="K865" s="19"/>
      <c r="L865" s="19"/>
      <c r="M865" s="37"/>
      <c r="N865" s="37"/>
      <c r="O865" s="37"/>
      <c r="P865" s="37"/>
      <c r="Q865" s="37"/>
      <c r="R865" s="37"/>
      <c r="S865" s="37"/>
      <c r="T865" s="37"/>
      <c r="U865" s="37"/>
      <c r="V865" s="37"/>
      <c r="W865" s="37"/>
      <c r="X865" s="37"/>
      <c r="Y865" s="37"/>
      <c r="Z865" s="37"/>
    </row>
    <row r="866" spans="1:26" ht="15.75" customHeight="1" x14ac:dyDescent="0.3">
      <c r="A866" s="119"/>
      <c r="B866" s="19"/>
      <c r="C866" s="18"/>
      <c r="D866" s="19"/>
      <c r="E866" s="19"/>
      <c r="F866" s="19"/>
      <c r="G866" s="21"/>
      <c r="H866" s="21"/>
      <c r="I866" s="21"/>
      <c r="J866" s="21"/>
      <c r="K866" s="19"/>
      <c r="L866" s="19"/>
      <c r="M866" s="37"/>
      <c r="N866" s="37"/>
      <c r="O866" s="37"/>
      <c r="P866" s="37"/>
      <c r="Q866" s="37"/>
      <c r="R866" s="37"/>
      <c r="S866" s="37"/>
      <c r="T866" s="37"/>
      <c r="U866" s="37"/>
      <c r="V866" s="37"/>
      <c r="W866" s="37"/>
      <c r="X866" s="37"/>
      <c r="Y866" s="37"/>
      <c r="Z866" s="37"/>
    </row>
    <row r="867" spans="1:26" ht="15.75" customHeight="1" x14ac:dyDescent="0.3">
      <c r="A867" s="119"/>
      <c r="B867" s="19"/>
      <c r="C867" s="18"/>
      <c r="D867" s="19"/>
      <c r="E867" s="19"/>
      <c r="F867" s="19"/>
      <c r="G867" s="21"/>
      <c r="H867" s="21"/>
      <c r="I867" s="21"/>
      <c r="J867" s="21"/>
      <c r="K867" s="19"/>
      <c r="L867" s="19"/>
      <c r="M867" s="37"/>
      <c r="N867" s="37"/>
      <c r="O867" s="37"/>
      <c r="P867" s="37"/>
      <c r="Q867" s="37"/>
      <c r="R867" s="37"/>
      <c r="S867" s="37"/>
      <c r="T867" s="37"/>
      <c r="U867" s="37"/>
      <c r="V867" s="37"/>
      <c r="W867" s="37"/>
      <c r="X867" s="37"/>
      <c r="Y867" s="37"/>
      <c r="Z867" s="37"/>
    </row>
    <row r="868" spans="1:26" ht="15.75" customHeight="1" x14ac:dyDescent="0.3">
      <c r="A868" s="119"/>
      <c r="B868" s="19"/>
      <c r="C868" s="18"/>
      <c r="D868" s="19"/>
      <c r="E868" s="19"/>
      <c r="F868" s="19"/>
      <c r="G868" s="21"/>
      <c r="H868" s="21"/>
      <c r="I868" s="21"/>
      <c r="J868" s="21"/>
      <c r="K868" s="19"/>
      <c r="L868" s="19"/>
      <c r="M868" s="37"/>
      <c r="N868" s="37"/>
      <c r="O868" s="37"/>
      <c r="P868" s="37"/>
      <c r="Q868" s="37"/>
      <c r="R868" s="37"/>
      <c r="S868" s="37"/>
      <c r="T868" s="37"/>
      <c r="U868" s="37"/>
      <c r="V868" s="37"/>
      <c r="W868" s="37"/>
      <c r="X868" s="37"/>
      <c r="Y868" s="37"/>
      <c r="Z868" s="37"/>
    </row>
    <row r="869" spans="1:26" ht="15.75" customHeight="1" x14ac:dyDescent="0.3">
      <c r="A869" s="119"/>
      <c r="B869" s="19"/>
      <c r="C869" s="18"/>
      <c r="D869" s="19"/>
      <c r="E869" s="19"/>
      <c r="F869" s="19"/>
      <c r="G869" s="21"/>
      <c r="H869" s="21"/>
      <c r="I869" s="21"/>
      <c r="J869" s="21"/>
      <c r="K869" s="19"/>
      <c r="L869" s="19"/>
      <c r="M869" s="37"/>
      <c r="N869" s="37"/>
      <c r="O869" s="37"/>
      <c r="P869" s="37"/>
      <c r="Q869" s="37"/>
      <c r="R869" s="37"/>
      <c r="S869" s="37"/>
      <c r="T869" s="37"/>
      <c r="U869" s="37"/>
      <c r="V869" s="37"/>
      <c r="W869" s="37"/>
      <c r="X869" s="37"/>
      <c r="Y869" s="37"/>
      <c r="Z869" s="37"/>
    </row>
    <row r="870" spans="1:26" ht="15.75" customHeight="1" x14ac:dyDescent="0.3">
      <c r="A870" s="119"/>
      <c r="B870" s="19"/>
      <c r="C870" s="18"/>
      <c r="D870" s="19"/>
      <c r="E870" s="19"/>
      <c r="F870" s="19"/>
      <c r="G870" s="21"/>
      <c r="H870" s="21"/>
      <c r="I870" s="21"/>
      <c r="J870" s="21"/>
      <c r="K870" s="19"/>
      <c r="L870" s="19"/>
      <c r="M870" s="37"/>
      <c r="N870" s="37"/>
      <c r="O870" s="37"/>
      <c r="P870" s="37"/>
      <c r="Q870" s="37"/>
      <c r="R870" s="37"/>
      <c r="S870" s="37"/>
      <c r="T870" s="37"/>
      <c r="U870" s="37"/>
      <c r="V870" s="37"/>
      <c r="W870" s="37"/>
      <c r="X870" s="37"/>
      <c r="Y870" s="37"/>
      <c r="Z870" s="37"/>
    </row>
    <row r="871" spans="1:26" ht="15.75" customHeight="1" x14ac:dyDescent="0.3">
      <c r="A871" s="119"/>
      <c r="B871" s="19"/>
      <c r="C871" s="18"/>
      <c r="D871" s="19"/>
      <c r="E871" s="19"/>
      <c r="F871" s="19"/>
      <c r="G871" s="21"/>
      <c r="H871" s="21"/>
      <c r="I871" s="21"/>
      <c r="J871" s="21"/>
      <c r="K871" s="19"/>
      <c r="L871" s="19"/>
      <c r="M871" s="37"/>
      <c r="N871" s="37"/>
      <c r="O871" s="37"/>
      <c r="P871" s="37"/>
      <c r="Q871" s="37"/>
      <c r="R871" s="37"/>
      <c r="S871" s="37"/>
      <c r="T871" s="37"/>
      <c r="U871" s="37"/>
      <c r="V871" s="37"/>
      <c r="W871" s="37"/>
      <c r="X871" s="37"/>
      <c r="Y871" s="37"/>
      <c r="Z871" s="37"/>
    </row>
    <row r="872" spans="1:26" ht="15.75" customHeight="1" x14ac:dyDescent="0.3">
      <c r="A872" s="119"/>
      <c r="B872" s="19"/>
      <c r="C872" s="18"/>
      <c r="D872" s="19"/>
      <c r="E872" s="19"/>
      <c r="F872" s="19"/>
      <c r="G872" s="21"/>
      <c r="H872" s="21"/>
      <c r="I872" s="21"/>
      <c r="J872" s="21"/>
      <c r="K872" s="19"/>
      <c r="L872" s="19"/>
      <c r="M872" s="37"/>
      <c r="N872" s="37"/>
      <c r="O872" s="37"/>
      <c r="P872" s="37"/>
      <c r="Q872" s="37"/>
      <c r="R872" s="37"/>
      <c r="S872" s="37"/>
      <c r="T872" s="37"/>
      <c r="U872" s="37"/>
      <c r="V872" s="37"/>
      <c r="W872" s="37"/>
      <c r="X872" s="37"/>
      <c r="Y872" s="37"/>
      <c r="Z872" s="37"/>
    </row>
    <row r="873" spans="1:26" ht="15.75" customHeight="1" x14ac:dyDescent="0.3">
      <c r="A873" s="119"/>
      <c r="B873" s="19"/>
      <c r="C873" s="18"/>
      <c r="D873" s="19"/>
      <c r="E873" s="19"/>
      <c r="F873" s="19"/>
      <c r="G873" s="21"/>
      <c r="H873" s="21"/>
      <c r="I873" s="21"/>
      <c r="J873" s="21"/>
      <c r="K873" s="19"/>
      <c r="L873" s="19"/>
      <c r="M873" s="37"/>
      <c r="N873" s="37"/>
      <c r="O873" s="37"/>
      <c r="P873" s="37"/>
      <c r="Q873" s="37"/>
      <c r="R873" s="37"/>
      <c r="S873" s="37"/>
      <c r="T873" s="37"/>
      <c r="U873" s="37"/>
      <c r="V873" s="37"/>
      <c r="W873" s="37"/>
      <c r="X873" s="37"/>
      <c r="Y873" s="37"/>
      <c r="Z873" s="37"/>
    </row>
    <row r="874" spans="1:26" ht="15.75" customHeight="1" x14ac:dyDescent="0.3">
      <c r="A874" s="119"/>
      <c r="B874" s="19"/>
      <c r="C874" s="18"/>
      <c r="D874" s="19"/>
      <c r="E874" s="19"/>
      <c r="F874" s="19"/>
      <c r="G874" s="21"/>
      <c r="H874" s="21"/>
      <c r="I874" s="21"/>
      <c r="J874" s="21"/>
      <c r="K874" s="19"/>
      <c r="L874" s="19"/>
      <c r="M874" s="37"/>
      <c r="N874" s="37"/>
      <c r="O874" s="37"/>
      <c r="P874" s="37"/>
      <c r="Q874" s="37"/>
      <c r="R874" s="37"/>
      <c r="S874" s="37"/>
      <c r="T874" s="37"/>
      <c r="U874" s="37"/>
      <c r="V874" s="37"/>
      <c r="W874" s="37"/>
      <c r="X874" s="37"/>
      <c r="Y874" s="37"/>
      <c r="Z874" s="37"/>
    </row>
    <row r="875" spans="1:26" ht="15.75" customHeight="1" x14ac:dyDescent="0.3">
      <c r="A875" s="119"/>
      <c r="B875" s="19"/>
      <c r="C875" s="18"/>
      <c r="D875" s="19"/>
      <c r="E875" s="19"/>
      <c r="F875" s="19"/>
      <c r="G875" s="21"/>
      <c r="H875" s="21"/>
      <c r="I875" s="21"/>
      <c r="J875" s="21"/>
      <c r="K875" s="19"/>
      <c r="L875" s="19"/>
      <c r="M875" s="37"/>
      <c r="N875" s="37"/>
      <c r="O875" s="37"/>
      <c r="P875" s="37"/>
      <c r="Q875" s="37"/>
      <c r="R875" s="37"/>
      <c r="S875" s="37"/>
      <c r="T875" s="37"/>
      <c r="U875" s="37"/>
      <c r="V875" s="37"/>
      <c r="W875" s="37"/>
      <c r="X875" s="37"/>
      <c r="Y875" s="37"/>
      <c r="Z875" s="37"/>
    </row>
    <row r="876" spans="1:26" ht="15.75" customHeight="1" x14ac:dyDescent="0.3">
      <c r="A876" s="119"/>
      <c r="B876" s="19"/>
      <c r="C876" s="18"/>
      <c r="D876" s="19"/>
      <c r="E876" s="19"/>
      <c r="F876" s="19"/>
      <c r="G876" s="21"/>
      <c r="H876" s="21"/>
      <c r="I876" s="21"/>
      <c r="J876" s="21"/>
      <c r="K876" s="19"/>
      <c r="L876" s="19"/>
      <c r="M876" s="37"/>
      <c r="N876" s="37"/>
      <c r="O876" s="37"/>
      <c r="P876" s="37"/>
      <c r="Q876" s="37"/>
      <c r="R876" s="37"/>
      <c r="S876" s="37"/>
      <c r="T876" s="37"/>
      <c r="U876" s="37"/>
      <c r="V876" s="37"/>
      <c r="W876" s="37"/>
      <c r="X876" s="37"/>
      <c r="Y876" s="37"/>
      <c r="Z876" s="37"/>
    </row>
    <row r="877" spans="1:26" ht="15.75" customHeight="1" x14ac:dyDescent="0.3">
      <c r="A877" s="119"/>
      <c r="B877" s="19"/>
      <c r="C877" s="18"/>
      <c r="D877" s="19"/>
      <c r="E877" s="19"/>
      <c r="F877" s="19"/>
      <c r="G877" s="21"/>
      <c r="H877" s="21"/>
      <c r="I877" s="21"/>
      <c r="J877" s="21"/>
      <c r="K877" s="19"/>
      <c r="L877" s="19"/>
      <c r="M877" s="37"/>
      <c r="N877" s="37"/>
      <c r="O877" s="37"/>
      <c r="P877" s="37"/>
      <c r="Q877" s="37"/>
      <c r="R877" s="37"/>
      <c r="S877" s="37"/>
      <c r="T877" s="37"/>
      <c r="U877" s="37"/>
      <c r="V877" s="37"/>
      <c r="W877" s="37"/>
      <c r="X877" s="37"/>
      <c r="Y877" s="37"/>
      <c r="Z877" s="37"/>
    </row>
    <row r="878" spans="1:26" ht="15.75" customHeight="1" x14ac:dyDescent="0.3">
      <c r="A878" s="119"/>
      <c r="B878" s="19"/>
      <c r="C878" s="18"/>
      <c r="D878" s="19"/>
      <c r="E878" s="19"/>
      <c r="F878" s="19"/>
      <c r="G878" s="21"/>
      <c r="H878" s="21"/>
      <c r="I878" s="21"/>
      <c r="J878" s="21"/>
      <c r="K878" s="19"/>
      <c r="L878" s="19"/>
      <c r="M878" s="37"/>
      <c r="N878" s="37"/>
      <c r="O878" s="37"/>
      <c r="P878" s="37"/>
      <c r="Q878" s="37"/>
      <c r="R878" s="37"/>
      <c r="S878" s="37"/>
      <c r="T878" s="37"/>
      <c r="U878" s="37"/>
      <c r="V878" s="37"/>
      <c r="W878" s="37"/>
      <c r="X878" s="37"/>
      <c r="Y878" s="37"/>
      <c r="Z878" s="37"/>
    </row>
    <row r="879" spans="1:26" ht="15.75" customHeight="1" x14ac:dyDescent="0.3">
      <c r="A879" s="119"/>
      <c r="B879" s="19"/>
      <c r="C879" s="18"/>
      <c r="D879" s="19"/>
      <c r="E879" s="19"/>
      <c r="F879" s="19"/>
      <c r="G879" s="21"/>
      <c r="H879" s="21"/>
      <c r="I879" s="21"/>
      <c r="J879" s="21"/>
      <c r="K879" s="19"/>
      <c r="L879" s="19"/>
      <c r="M879" s="37"/>
      <c r="N879" s="37"/>
      <c r="O879" s="37"/>
      <c r="P879" s="37"/>
      <c r="Q879" s="37"/>
      <c r="R879" s="37"/>
      <c r="S879" s="37"/>
      <c r="T879" s="37"/>
      <c r="U879" s="37"/>
      <c r="V879" s="37"/>
      <c r="W879" s="37"/>
      <c r="X879" s="37"/>
      <c r="Y879" s="37"/>
      <c r="Z879" s="37"/>
    </row>
    <row r="880" spans="1:26" ht="15.75" customHeight="1" x14ac:dyDescent="0.3">
      <c r="A880" s="119"/>
      <c r="B880" s="19"/>
      <c r="C880" s="18"/>
      <c r="D880" s="19"/>
      <c r="E880" s="19"/>
      <c r="F880" s="19"/>
      <c r="G880" s="21"/>
      <c r="H880" s="21"/>
      <c r="I880" s="21"/>
      <c r="J880" s="21"/>
      <c r="K880" s="19"/>
      <c r="L880" s="19"/>
      <c r="M880" s="37"/>
      <c r="N880" s="37"/>
      <c r="O880" s="37"/>
      <c r="P880" s="37"/>
      <c r="Q880" s="37"/>
      <c r="R880" s="37"/>
      <c r="S880" s="37"/>
      <c r="T880" s="37"/>
      <c r="U880" s="37"/>
      <c r="V880" s="37"/>
      <c r="W880" s="37"/>
      <c r="X880" s="37"/>
      <c r="Y880" s="37"/>
      <c r="Z880" s="37"/>
    </row>
    <row r="881" spans="1:26" ht="15.75" customHeight="1" x14ac:dyDescent="0.3">
      <c r="A881" s="119"/>
      <c r="B881" s="19"/>
      <c r="C881" s="18"/>
      <c r="D881" s="19"/>
      <c r="E881" s="19"/>
      <c r="F881" s="19"/>
      <c r="G881" s="21"/>
      <c r="H881" s="21"/>
      <c r="I881" s="21"/>
      <c r="J881" s="21"/>
      <c r="K881" s="19"/>
      <c r="L881" s="19"/>
      <c r="M881" s="37"/>
      <c r="N881" s="37"/>
      <c r="O881" s="37"/>
      <c r="P881" s="37"/>
      <c r="Q881" s="37"/>
      <c r="R881" s="37"/>
      <c r="S881" s="37"/>
      <c r="T881" s="37"/>
      <c r="U881" s="37"/>
      <c r="V881" s="37"/>
      <c r="W881" s="37"/>
      <c r="X881" s="37"/>
      <c r="Y881" s="37"/>
      <c r="Z881" s="37"/>
    </row>
    <row r="882" spans="1:26" ht="15.75" customHeight="1" x14ac:dyDescent="0.3">
      <c r="A882" s="119"/>
      <c r="B882" s="19"/>
      <c r="C882" s="18"/>
      <c r="D882" s="19"/>
      <c r="E882" s="19"/>
      <c r="F882" s="19"/>
      <c r="G882" s="21"/>
      <c r="H882" s="21"/>
      <c r="I882" s="21"/>
      <c r="J882" s="21"/>
      <c r="K882" s="19"/>
      <c r="L882" s="19"/>
      <c r="M882" s="37"/>
      <c r="N882" s="37"/>
      <c r="O882" s="37"/>
      <c r="P882" s="37"/>
      <c r="Q882" s="37"/>
      <c r="R882" s="37"/>
      <c r="S882" s="37"/>
      <c r="T882" s="37"/>
      <c r="U882" s="37"/>
      <c r="V882" s="37"/>
      <c r="W882" s="37"/>
      <c r="X882" s="37"/>
      <c r="Y882" s="37"/>
      <c r="Z882" s="37"/>
    </row>
    <row r="883" spans="1:26" ht="15.75" customHeight="1" x14ac:dyDescent="0.3">
      <c r="A883" s="119"/>
      <c r="B883" s="19"/>
      <c r="C883" s="18"/>
      <c r="D883" s="19"/>
      <c r="E883" s="19"/>
      <c r="F883" s="19"/>
      <c r="G883" s="21"/>
      <c r="H883" s="21"/>
      <c r="I883" s="21"/>
      <c r="J883" s="21"/>
      <c r="K883" s="19"/>
      <c r="L883" s="19"/>
      <c r="M883" s="37"/>
      <c r="N883" s="37"/>
      <c r="O883" s="37"/>
      <c r="P883" s="37"/>
      <c r="Q883" s="37"/>
      <c r="R883" s="37"/>
      <c r="S883" s="37"/>
      <c r="T883" s="37"/>
      <c r="U883" s="37"/>
      <c r="V883" s="37"/>
      <c r="W883" s="37"/>
      <c r="X883" s="37"/>
      <c r="Y883" s="37"/>
      <c r="Z883" s="37"/>
    </row>
    <row r="884" spans="1:26" ht="15.75" customHeight="1" x14ac:dyDescent="0.3">
      <c r="A884" s="119"/>
      <c r="B884" s="19"/>
      <c r="C884" s="18"/>
      <c r="D884" s="19"/>
      <c r="E884" s="19"/>
      <c r="F884" s="19"/>
      <c r="G884" s="21"/>
      <c r="H884" s="21"/>
      <c r="I884" s="21"/>
      <c r="J884" s="21"/>
      <c r="K884" s="19"/>
      <c r="L884" s="19"/>
      <c r="M884" s="37"/>
      <c r="N884" s="37"/>
      <c r="O884" s="37"/>
      <c r="P884" s="37"/>
      <c r="Q884" s="37"/>
      <c r="R884" s="37"/>
      <c r="S884" s="37"/>
      <c r="T884" s="37"/>
      <c r="U884" s="37"/>
      <c r="V884" s="37"/>
      <c r="W884" s="37"/>
      <c r="X884" s="37"/>
      <c r="Y884" s="37"/>
      <c r="Z884" s="37"/>
    </row>
    <row r="885" spans="1:26" ht="15.75" customHeight="1" x14ac:dyDescent="0.3">
      <c r="A885" s="119"/>
      <c r="B885" s="19"/>
      <c r="C885" s="18"/>
      <c r="D885" s="19"/>
      <c r="E885" s="19"/>
      <c r="F885" s="19"/>
      <c r="G885" s="21"/>
      <c r="H885" s="21"/>
      <c r="I885" s="21"/>
      <c r="J885" s="21"/>
      <c r="K885" s="19"/>
      <c r="L885" s="19"/>
      <c r="M885" s="37"/>
      <c r="N885" s="37"/>
      <c r="O885" s="37"/>
      <c r="P885" s="37"/>
      <c r="Q885" s="37"/>
      <c r="R885" s="37"/>
      <c r="S885" s="37"/>
      <c r="T885" s="37"/>
      <c r="U885" s="37"/>
      <c r="V885" s="37"/>
      <c r="W885" s="37"/>
      <c r="X885" s="37"/>
      <c r="Y885" s="37"/>
      <c r="Z885" s="37"/>
    </row>
    <row r="886" spans="1:26" ht="15.75" customHeight="1" x14ac:dyDescent="0.3">
      <c r="A886" s="119"/>
      <c r="B886" s="19"/>
      <c r="C886" s="18"/>
      <c r="D886" s="19"/>
      <c r="E886" s="19"/>
      <c r="F886" s="19"/>
      <c r="G886" s="21"/>
      <c r="H886" s="21"/>
      <c r="I886" s="21"/>
      <c r="J886" s="21"/>
      <c r="K886" s="19"/>
      <c r="L886" s="19"/>
      <c r="M886" s="37"/>
      <c r="N886" s="37"/>
      <c r="O886" s="37"/>
      <c r="P886" s="37"/>
      <c r="Q886" s="37"/>
      <c r="R886" s="37"/>
      <c r="S886" s="37"/>
      <c r="T886" s="37"/>
      <c r="U886" s="37"/>
      <c r="V886" s="37"/>
      <c r="W886" s="37"/>
      <c r="X886" s="37"/>
      <c r="Y886" s="37"/>
      <c r="Z886" s="37"/>
    </row>
    <row r="887" spans="1:26" ht="15.75" customHeight="1" x14ac:dyDescent="0.3">
      <c r="A887" s="119"/>
      <c r="B887" s="19"/>
      <c r="C887" s="18"/>
      <c r="D887" s="19"/>
      <c r="E887" s="19"/>
      <c r="F887" s="19"/>
      <c r="G887" s="21"/>
      <c r="H887" s="21"/>
      <c r="I887" s="21"/>
      <c r="J887" s="21"/>
      <c r="K887" s="19"/>
      <c r="L887" s="19"/>
      <c r="M887" s="37"/>
      <c r="N887" s="37"/>
      <c r="O887" s="37"/>
      <c r="P887" s="37"/>
      <c r="Q887" s="37"/>
      <c r="R887" s="37"/>
      <c r="S887" s="37"/>
      <c r="T887" s="37"/>
      <c r="U887" s="37"/>
      <c r="V887" s="37"/>
      <c r="W887" s="37"/>
      <c r="X887" s="37"/>
      <c r="Y887" s="37"/>
      <c r="Z887" s="37"/>
    </row>
    <row r="888" spans="1:26" ht="15.75" customHeight="1" x14ac:dyDescent="0.3">
      <c r="A888" s="119"/>
      <c r="B888" s="19"/>
      <c r="C888" s="18"/>
      <c r="D888" s="19"/>
      <c r="E888" s="19"/>
      <c r="F888" s="19"/>
      <c r="G888" s="21"/>
      <c r="H888" s="21"/>
      <c r="I888" s="21"/>
      <c r="J888" s="21"/>
      <c r="K888" s="19"/>
      <c r="L888" s="19"/>
      <c r="M888" s="37"/>
      <c r="N888" s="37"/>
      <c r="O888" s="37"/>
      <c r="P888" s="37"/>
      <c r="Q888" s="37"/>
      <c r="R888" s="37"/>
      <c r="S888" s="37"/>
      <c r="T888" s="37"/>
      <c r="U888" s="37"/>
      <c r="V888" s="37"/>
      <c r="W888" s="37"/>
      <c r="X888" s="37"/>
      <c r="Y888" s="37"/>
      <c r="Z888" s="37"/>
    </row>
    <row r="889" spans="1:26" ht="15.75" customHeight="1" x14ac:dyDescent="0.3">
      <c r="A889" s="119"/>
      <c r="B889" s="19"/>
      <c r="C889" s="18"/>
      <c r="D889" s="19"/>
      <c r="E889" s="19"/>
      <c r="F889" s="19"/>
      <c r="G889" s="21"/>
      <c r="H889" s="21"/>
      <c r="I889" s="21"/>
      <c r="J889" s="21"/>
      <c r="K889" s="19"/>
      <c r="L889" s="19"/>
      <c r="M889" s="37"/>
      <c r="N889" s="37"/>
      <c r="O889" s="37"/>
      <c r="P889" s="37"/>
      <c r="Q889" s="37"/>
      <c r="R889" s="37"/>
      <c r="S889" s="37"/>
      <c r="T889" s="37"/>
      <c r="U889" s="37"/>
      <c r="V889" s="37"/>
      <c r="W889" s="37"/>
      <c r="X889" s="37"/>
      <c r="Y889" s="37"/>
      <c r="Z889" s="37"/>
    </row>
    <row r="890" spans="1:26" ht="15.75" customHeight="1" x14ac:dyDescent="0.3">
      <c r="A890" s="119"/>
      <c r="B890" s="19"/>
      <c r="C890" s="18"/>
      <c r="D890" s="19"/>
      <c r="E890" s="19"/>
      <c r="F890" s="19"/>
      <c r="G890" s="21"/>
      <c r="H890" s="21"/>
      <c r="I890" s="21"/>
      <c r="J890" s="21"/>
      <c r="K890" s="19"/>
      <c r="L890" s="19"/>
      <c r="M890" s="37"/>
      <c r="N890" s="37"/>
      <c r="O890" s="37"/>
      <c r="P890" s="37"/>
      <c r="Q890" s="37"/>
      <c r="R890" s="37"/>
      <c r="S890" s="37"/>
      <c r="T890" s="37"/>
      <c r="U890" s="37"/>
      <c r="V890" s="37"/>
      <c r="W890" s="37"/>
      <c r="X890" s="37"/>
      <c r="Y890" s="37"/>
      <c r="Z890" s="37"/>
    </row>
    <row r="891" spans="1:26" ht="15.75" customHeight="1" x14ac:dyDescent="0.3">
      <c r="A891" s="119"/>
      <c r="B891" s="19"/>
      <c r="C891" s="18"/>
      <c r="D891" s="19"/>
      <c r="E891" s="19"/>
      <c r="F891" s="19"/>
      <c r="G891" s="21"/>
      <c r="H891" s="21"/>
      <c r="I891" s="21"/>
      <c r="J891" s="21"/>
      <c r="K891" s="19"/>
      <c r="L891" s="19"/>
      <c r="M891" s="37"/>
      <c r="N891" s="37"/>
      <c r="O891" s="37"/>
      <c r="P891" s="37"/>
      <c r="Q891" s="37"/>
      <c r="R891" s="37"/>
      <c r="S891" s="37"/>
      <c r="T891" s="37"/>
      <c r="U891" s="37"/>
      <c r="V891" s="37"/>
      <c r="W891" s="37"/>
      <c r="X891" s="37"/>
      <c r="Y891" s="37"/>
      <c r="Z891" s="37"/>
    </row>
    <row r="892" spans="1:26" ht="15.75" customHeight="1" x14ac:dyDescent="0.3">
      <c r="A892" s="119"/>
      <c r="B892" s="19"/>
      <c r="C892" s="18"/>
      <c r="D892" s="19"/>
      <c r="E892" s="19"/>
      <c r="F892" s="19"/>
      <c r="G892" s="21"/>
      <c r="H892" s="21"/>
      <c r="I892" s="21"/>
      <c r="J892" s="21"/>
      <c r="K892" s="19"/>
      <c r="L892" s="19"/>
      <c r="M892" s="37"/>
      <c r="N892" s="37"/>
      <c r="O892" s="37"/>
      <c r="P892" s="37"/>
      <c r="Q892" s="37"/>
      <c r="R892" s="37"/>
      <c r="S892" s="37"/>
      <c r="T892" s="37"/>
      <c r="U892" s="37"/>
      <c r="V892" s="37"/>
      <c r="W892" s="37"/>
      <c r="X892" s="37"/>
      <c r="Y892" s="37"/>
      <c r="Z892" s="37"/>
    </row>
    <row r="893" spans="1:26" ht="15.75" customHeight="1" x14ac:dyDescent="0.3">
      <c r="A893" s="119"/>
      <c r="B893" s="19"/>
      <c r="C893" s="18"/>
      <c r="D893" s="19"/>
      <c r="E893" s="19"/>
      <c r="F893" s="19"/>
      <c r="G893" s="21"/>
      <c r="H893" s="21"/>
      <c r="I893" s="21"/>
      <c r="J893" s="21"/>
      <c r="K893" s="19"/>
      <c r="L893" s="19"/>
      <c r="M893" s="37"/>
      <c r="N893" s="37"/>
      <c r="O893" s="37"/>
      <c r="P893" s="37"/>
      <c r="Q893" s="37"/>
      <c r="R893" s="37"/>
      <c r="S893" s="37"/>
      <c r="T893" s="37"/>
      <c r="U893" s="37"/>
      <c r="V893" s="37"/>
      <c r="W893" s="37"/>
      <c r="X893" s="37"/>
      <c r="Y893" s="37"/>
      <c r="Z893" s="37"/>
    </row>
    <row r="894" spans="1:26" ht="15.75" customHeight="1" x14ac:dyDescent="0.3">
      <c r="A894" s="119"/>
      <c r="B894" s="19"/>
      <c r="C894" s="18"/>
      <c r="D894" s="19"/>
      <c r="E894" s="19"/>
      <c r="F894" s="19"/>
      <c r="G894" s="21"/>
      <c r="H894" s="21"/>
      <c r="I894" s="21"/>
      <c r="J894" s="21"/>
      <c r="K894" s="19"/>
      <c r="L894" s="19"/>
      <c r="M894" s="37"/>
      <c r="N894" s="37"/>
      <c r="O894" s="37"/>
      <c r="P894" s="37"/>
      <c r="Q894" s="37"/>
      <c r="R894" s="37"/>
      <c r="S894" s="37"/>
      <c r="T894" s="37"/>
      <c r="U894" s="37"/>
      <c r="V894" s="37"/>
      <c r="W894" s="37"/>
      <c r="X894" s="37"/>
      <c r="Y894" s="37"/>
      <c r="Z894" s="37"/>
    </row>
    <row r="895" spans="1:26" ht="15.75" customHeight="1" x14ac:dyDescent="0.3">
      <c r="A895" s="119"/>
      <c r="B895" s="19"/>
      <c r="C895" s="18"/>
      <c r="D895" s="19"/>
      <c r="E895" s="19"/>
      <c r="F895" s="19"/>
      <c r="G895" s="21"/>
      <c r="H895" s="21"/>
      <c r="I895" s="21"/>
      <c r="J895" s="21"/>
      <c r="K895" s="19"/>
      <c r="L895" s="19"/>
      <c r="M895" s="37"/>
      <c r="N895" s="37"/>
      <c r="O895" s="37"/>
      <c r="P895" s="37"/>
      <c r="Q895" s="37"/>
      <c r="R895" s="37"/>
      <c r="S895" s="37"/>
      <c r="T895" s="37"/>
      <c r="U895" s="37"/>
      <c r="V895" s="37"/>
      <c r="W895" s="37"/>
      <c r="X895" s="37"/>
      <c r="Y895" s="37"/>
      <c r="Z895" s="37"/>
    </row>
    <row r="896" spans="1:26" ht="15.75" customHeight="1" x14ac:dyDescent="0.3">
      <c r="A896" s="119"/>
      <c r="B896" s="19"/>
      <c r="C896" s="18"/>
      <c r="D896" s="19"/>
      <c r="E896" s="19"/>
      <c r="F896" s="19"/>
      <c r="G896" s="21"/>
      <c r="H896" s="21"/>
      <c r="I896" s="21"/>
      <c r="J896" s="21"/>
      <c r="K896" s="19"/>
      <c r="L896" s="19"/>
      <c r="M896" s="37"/>
      <c r="N896" s="37"/>
      <c r="O896" s="37"/>
      <c r="P896" s="37"/>
      <c r="Q896" s="37"/>
      <c r="R896" s="37"/>
      <c r="S896" s="37"/>
      <c r="T896" s="37"/>
      <c r="U896" s="37"/>
      <c r="V896" s="37"/>
      <c r="W896" s="37"/>
      <c r="X896" s="37"/>
      <c r="Y896" s="37"/>
      <c r="Z896" s="37"/>
    </row>
    <row r="897" spans="1:26" ht="15.75" customHeight="1" x14ac:dyDescent="0.3">
      <c r="A897" s="119"/>
      <c r="B897" s="19"/>
      <c r="C897" s="18"/>
      <c r="D897" s="19"/>
      <c r="E897" s="19"/>
      <c r="F897" s="19"/>
      <c r="G897" s="21"/>
      <c r="H897" s="21"/>
      <c r="I897" s="21"/>
      <c r="J897" s="21"/>
      <c r="K897" s="19"/>
      <c r="L897" s="19"/>
      <c r="M897" s="37"/>
      <c r="N897" s="37"/>
      <c r="O897" s="37"/>
      <c r="P897" s="37"/>
      <c r="Q897" s="37"/>
      <c r="R897" s="37"/>
      <c r="S897" s="37"/>
      <c r="T897" s="37"/>
      <c r="U897" s="37"/>
      <c r="V897" s="37"/>
      <c r="W897" s="37"/>
      <c r="X897" s="37"/>
      <c r="Y897" s="37"/>
      <c r="Z897" s="37"/>
    </row>
    <row r="898" spans="1:26" ht="15.75" customHeight="1" x14ac:dyDescent="0.3">
      <c r="A898" s="119"/>
      <c r="B898" s="19"/>
      <c r="C898" s="18"/>
      <c r="D898" s="19"/>
      <c r="E898" s="19"/>
      <c r="F898" s="19"/>
      <c r="G898" s="21"/>
      <c r="H898" s="21"/>
      <c r="I898" s="21"/>
      <c r="J898" s="21"/>
      <c r="K898" s="19"/>
      <c r="L898" s="19"/>
      <c r="M898" s="37"/>
      <c r="N898" s="37"/>
      <c r="O898" s="37"/>
      <c r="P898" s="37"/>
      <c r="Q898" s="37"/>
      <c r="R898" s="37"/>
      <c r="S898" s="37"/>
      <c r="T898" s="37"/>
      <c r="U898" s="37"/>
      <c r="V898" s="37"/>
      <c r="W898" s="37"/>
      <c r="X898" s="37"/>
      <c r="Y898" s="37"/>
      <c r="Z898" s="37"/>
    </row>
    <row r="899" spans="1:26" ht="15.75" customHeight="1" x14ac:dyDescent="0.3">
      <c r="A899" s="119"/>
      <c r="B899" s="19"/>
      <c r="C899" s="18"/>
      <c r="D899" s="19"/>
      <c r="E899" s="19"/>
      <c r="F899" s="19"/>
      <c r="G899" s="21"/>
      <c r="H899" s="21"/>
      <c r="I899" s="21"/>
      <c r="J899" s="21"/>
      <c r="K899" s="19"/>
      <c r="L899" s="19"/>
      <c r="M899" s="37"/>
      <c r="N899" s="37"/>
      <c r="O899" s="37"/>
      <c r="P899" s="37"/>
      <c r="Q899" s="37"/>
      <c r="R899" s="37"/>
      <c r="S899" s="37"/>
      <c r="T899" s="37"/>
      <c r="U899" s="37"/>
      <c r="V899" s="37"/>
      <c r="W899" s="37"/>
      <c r="X899" s="37"/>
      <c r="Y899" s="37"/>
      <c r="Z899" s="37"/>
    </row>
    <row r="900" spans="1:26" ht="15.75" customHeight="1" x14ac:dyDescent="0.3">
      <c r="A900" s="119"/>
      <c r="B900" s="19"/>
      <c r="C900" s="18"/>
      <c r="D900" s="19"/>
      <c r="E900" s="19"/>
      <c r="F900" s="19"/>
      <c r="G900" s="21"/>
      <c r="H900" s="21"/>
      <c r="I900" s="21"/>
      <c r="J900" s="21"/>
      <c r="K900" s="19"/>
      <c r="L900" s="19"/>
      <c r="M900" s="37"/>
      <c r="N900" s="37"/>
      <c r="O900" s="37"/>
      <c r="P900" s="37"/>
      <c r="Q900" s="37"/>
      <c r="R900" s="37"/>
      <c r="S900" s="37"/>
      <c r="T900" s="37"/>
      <c r="U900" s="37"/>
      <c r="V900" s="37"/>
      <c r="W900" s="37"/>
      <c r="X900" s="37"/>
      <c r="Y900" s="37"/>
      <c r="Z900" s="37"/>
    </row>
    <row r="901" spans="1:26" ht="15.75" customHeight="1" x14ac:dyDescent="0.3">
      <c r="A901" s="119"/>
      <c r="B901" s="19"/>
      <c r="C901" s="18"/>
      <c r="D901" s="19"/>
      <c r="E901" s="19"/>
      <c r="F901" s="19"/>
      <c r="G901" s="21"/>
      <c r="H901" s="21"/>
      <c r="I901" s="21"/>
      <c r="J901" s="21"/>
      <c r="K901" s="19"/>
      <c r="L901" s="19"/>
      <c r="M901" s="37"/>
      <c r="N901" s="37"/>
      <c r="O901" s="37"/>
      <c r="P901" s="37"/>
      <c r="Q901" s="37"/>
      <c r="R901" s="37"/>
      <c r="S901" s="37"/>
      <c r="T901" s="37"/>
      <c r="U901" s="37"/>
      <c r="V901" s="37"/>
      <c r="W901" s="37"/>
      <c r="X901" s="37"/>
      <c r="Y901" s="37"/>
      <c r="Z901" s="37"/>
    </row>
    <row r="902" spans="1:26" ht="15.75" customHeight="1" x14ac:dyDescent="0.3">
      <c r="A902" s="119"/>
      <c r="B902" s="19"/>
      <c r="C902" s="18"/>
      <c r="D902" s="19"/>
      <c r="E902" s="19"/>
      <c r="F902" s="19"/>
      <c r="G902" s="21"/>
      <c r="H902" s="21"/>
      <c r="I902" s="21"/>
      <c r="J902" s="21"/>
      <c r="K902" s="19"/>
      <c r="L902" s="19"/>
      <c r="M902" s="37"/>
      <c r="N902" s="37"/>
      <c r="O902" s="37"/>
      <c r="P902" s="37"/>
      <c r="Q902" s="37"/>
      <c r="R902" s="37"/>
      <c r="S902" s="37"/>
      <c r="T902" s="37"/>
      <c r="U902" s="37"/>
      <c r="V902" s="37"/>
      <c r="W902" s="37"/>
      <c r="X902" s="37"/>
      <c r="Y902" s="37"/>
      <c r="Z902" s="37"/>
    </row>
    <row r="903" spans="1:26" ht="15.75" customHeight="1" x14ac:dyDescent="0.3">
      <c r="A903" s="119"/>
      <c r="B903" s="19"/>
      <c r="C903" s="18"/>
      <c r="D903" s="19"/>
      <c r="E903" s="19"/>
      <c r="F903" s="19"/>
      <c r="G903" s="21"/>
      <c r="H903" s="21"/>
      <c r="I903" s="21"/>
      <c r="J903" s="21"/>
      <c r="K903" s="19"/>
      <c r="L903" s="19"/>
      <c r="M903" s="37"/>
      <c r="N903" s="37"/>
      <c r="O903" s="37"/>
      <c r="P903" s="37"/>
      <c r="Q903" s="37"/>
      <c r="R903" s="37"/>
      <c r="S903" s="37"/>
      <c r="T903" s="37"/>
      <c r="U903" s="37"/>
      <c r="V903" s="37"/>
      <c r="W903" s="37"/>
      <c r="X903" s="37"/>
      <c r="Y903" s="37"/>
      <c r="Z903" s="37"/>
    </row>
    <row r="904" spans="1:26" ht="15.75" customHeight="1" x14ac:dyDescent="0.3">
      <c r="A904" s="119"/>
      <c r="B904" s="19"/>
      <c r="C904" s="18"/>
      <c r="D904" s="19"/>
      <c r="E904" s="19"/>
      <c r="F904" s="19"/>
      <c r="G904" s="21"/>
      <c r="H904" s="21"/>
      <c r="I904" s="21"/>
      <c r="J904" s="21"/>
      <c r="K904" s="19"/>
      <c r="L904" s="19"/>
      <c r="M904" s="37"/>
      <c r="N904" s="37"/>
      <c r="O904" s="37"/>
      <c r="P904" s="37"/>
      <c r="Q904" s="37"/>
      <c r="R904" s="37"/>
      <c r="S904" s="37"/>
      <c r="T904" s="37"/>
      <c r="U904" s="37"/>
      <c r="V904" s="37"/>
      <c r="W904" s="37"/>
      <c r="X904" s="37"/>
      <c r="Y904" s="37"/>
      <c r="Z904" s="37"/>
    </row>
    <row r="905" spans="1:26" ht="15.75" customHeight="1" x14ac:dyDescent="0.3">
      <c r="A905" s="119"/>
      <c r="B905" s="19"/>
      <c r="C905" s="18"/>
      <c r="D905" s="19"/>
      <c r="E905" s="19"/>
      <c r="F905" s="19"/>
      <c r="G905" s="21"/>
      <c r="H905" s="21"/>
      <c r="I905" s="21"/>
      <c r="J905" s="21"/>
      <c r="K905" s="19"/>
      <c r="L905" s="19"/>
      <c r="M905" s="37"/>
      <c r="N905" s="37"/>
      <c r="O905" s="37"/>
      <c r="P905" s="37"/>
      <c r="Q905" s="37"/>
      <c r="R905" s="37"/>
      <c r="S905" s="37"/>
      <c r="T905" s="37"/>
      <c r="U905" s="37"/>
      <c r="V905" s="37"/>
      <c r="W905" s="37"/>
      <c r="X905" s="37"/>
      <c r="Y905" s="37"/>
      <c r="Z905" s="37"/>
    </row>
    <row r="906" spans="1:26" ht="15.75" customHeight="1" x14ac:dyDescent="0.3">
      <c r="A906" s="119"/>
      <c r="B906" s="19"/>
      <c r="C906" s="18"/>
      <c r="D906" s="19"/>
      <c r="E906" s="19"/>
      <c r="F906" s="19"/>
      <c r="G906" s="21"/>
      <c r="H906" s="21"/>
      <c r="I906" s="21"/>
      <c r="J906" s="21"/>
      <c r="K906" s="19"/>
      <c r="L906" s="19"/>
      <c r="M906" s="37"/>
      <c r="N906" s="37"/>
      <c r="O906" s="37"/>
      <c r="P906" s="37"/>
      <c r="Q906" s="37"/>
      <c r="R906" s="37"/>
      <c r="S906" s="37"/>
      <c r="T906" s="37"/>
      <c r="U906" s="37"/>
      <c r="V906" s="37"/>
      <c r="W906" s="37"/>
      <c r="X906" s="37"/>
      <c r="Y906" s="37"/>
      <c r="Z906" s="37"/>
    </row>
    <row r="907" spans="1:26" ht="15.75" customHeight="1" x14ac:dyDescent="0.3">
      <c r="A907" s="119"/>
      <c r="B907" s="19"/>
      <c r="C907" s="18"/>
      <c r="D907" s="19"/>
      <c r="E907" s="19"/>
      <c r="F907" s="19"/>
      <c r="G907" s="21"/>
      <c r="H907" s="21"/>
      <c r="I907" s="21"/>
      <c r="J907" s="21"/>
      <c r="K907" s="19"/>
      <c r="L907" s="19"/>
      <c r="M907" s="37"/>
      <c r="N907" s="37"/>
      <c r="O907" s="37"/>
      <c r="P907" s="37"/>
      <c r="Q907" s="37"/>
      <c r="R907" s="37"/>
      <c r="S907" s="37"/>
      <c r="T907" s="37"/>
      <c r="U907" s="37"/>
      <c r="V907" s="37"/>
      <c r="W907" s="37"/>
      <c r="X907" s="37"/>
      <c r="Y907" s="37"/>
      <c r="Z907" s="37"/>
    </row>
    <row r="908" spans="1:26" ht="15.75" customHeight="1" x14ac:dyDescent="0.3">
      <c r="A908" s="119"/>
      <c r="B908" s="19"/>
      <c r="C908" s="18"/>
      <c r="D908" s="19"/>
      <c r="E908" s="19"/>
      <c r="F908" s="19"/>
      <c r="G908" s="21"/>
      <c r="H908" s="21"/>
      <c r="I908" s="21"/>
      <c r="J908" s="21"/>
      <c r="K908" s="19"/>
      <c r="L908" s="19"/>
      <c r="M908" s="37"/>
      <c r="N908" s="37"/>
      <c r="O908" s="37"/>
      <c r="P908" s="37"/>
      <c r="Q908" s="37"/>
      <c r="R908" s="37"/>
      <c r="S908" s="37"/>
      <c r="T908" s="37"/>
      <c r="U908" s="37"/>
      <c r="V908" s="37"/>
      <c r="W908" s="37"/>
      <c r="X908" s="37"/>
      <c r="Y908" s="37"/>
      <c r="Z908" s="37"/>
    </row>
    <row r="909" spans="1:26" ht="15.75" customHeight="1" x14ac:dyDescent="0.3">
      <c r="A909" s="119"/>
      <c r="B909" s="19"/>
      <c r="C909" s="18"/>
      <c r="D909" s="19"/>
      <c r="E909" s="19"/>
      <c r="F909" s="19"/>
      <c r="G909" s="21"/>
      <c r="H909" s="21"/>
      <c r="I909" s="21"/>
      <c r="J909" s="21"/>
      <c r="K909" s="19"/>
      <c r="L909" s="19"/>
      <c r="M909" s="37"/>
      <c r="N909" s="37"/>
      <c r="O909" s="37"/>
      <c r="P909" s="37"/>
      <c r="Q909" s="37"/>
      <c r="R909" s="37"/>
      <c r="S909" s="37"/>
      <c r="T909" s="37"/>
      <c r="U909" s="37"/>
      <c r="V909" s="37"/>
      <c r="W909" s="37"/>
      <c r="X909" s="37"/>
      <c r="Y909" s="37"/>
      <c r="Z909" s="37"/>
    </row>
    <row r="910" spans="1:26" ht="15.75" customHeight="1" x14ac:dyDescent="0.3">
      <c r="A910" s="119"/>
      <c r="B910" s="19"/>
      <c r="C910" s="18"/>
      <c r="D910" s="19"/>
      <c r="E910" s="19"/>
      <c r="F910" s="19"/>
      <c r="G910" s="21"/>
      <c r="H910" s="21"/>
      <c r="I910" s="21"/>
      <c r="J910" s="21"/>
      <c r="K910" s="19"/>
      <c r="L910" s="19"/>
      <c r="M910" s="37"/>
      <c r="N910" s="37"/>
      <c r="O910" s="37"/>
      <c r="P910" s="37"/>
      <c r="Q910" s="37"/>
      <c r="R910" s="37"/>
      <c r="S910" s="37"/>
      <c r="T910" s="37"/>
      <c r="U910" s="37"/>
      <c r="V910" s="37"/>
      <c r="W910" s="37"/>
      <c r="X910" s="37"/>
      <c r="Y910" s="37"/>
      <c r="Z910" s="37"/>
    </row>
    <row r="911" spans="1:26" ht="15.75" customHeight="1" x14ac:dyDescent="0.3">
      <c r="A911" s="119"/>
      <c r="B911" s="19"/>
      <c r="C911" s="18"/>
      <c r="D911" s="19"/>
      <c r="E911" s="19"/>
      <c r="F911" s="19"/>
      <c r="G911" s="21"/>
      <c r="H911" s="21"/>
      <c r="I911" s="21"/>
      <c r="J911" s="21"/>
      <c r="K911" s="19"/>
      <c r="L911" s="19"/>
      <c r="M911" s="37"/>
      <c r="N911" s="37"/>
      <c r="O911" s="37"/>
      <c r="P911" s="37"/>
      <c r="Q911" s="37"/>
      <c r="R911" s="37"/>
      <c r="S911" s="37"/>
      <c r="T911" s="37"/>
      <c r="U911" s="37"/>
      <c r="V911" s="37"/>
      <c r="W911" s="37"/>
      <c r="X911" s="37"/>
      <c r="Y911" s="37"/>
      <c r="Z911" s="37"/>
    </row>
    <row r="912" spans="1:26" ht="15.75" customHeight="1" x14ac:dyDescent="0.3">
      <c r="A912" s="119"/>
      <c r="B912" s="19"/>
      <c r="C912" s="18"/>
      <c r="D912" s="19"/>
      <c r="E912" s="19"/>
      <c r="F912" s="19"/>
      <c r="G912" s="21"/>
      <c r="H912" s="21"/>
      <c r="I912" s="21"/>
      <c r="J912" s="21"/>
      <c r="K912" s="19"/>
      <c r="L912" s="19"/>
      <c r="M912" s="37"/>
      <c r="N912" s="37"/>
      <c r="O912" s="37"/>
      <c r="P912" s="37"/>
      <c r="Q912" s="37"/>
      <c r="R912" s="37"/>
      <c r="S912" s="37"/>
      <c r="T912" s="37"/>
      <c r="U912" s="37"/>
      <c r="V912" s="37"/>
      <c r="W912" s="37"/>
      <c r="X912" s="37"/>
      <c r="Y912" s="37"/>
      <c r="Z912" s="37"/>
    </row>
    <row r="913" spans="1:26" ht="15.75" customHeight="1" x14ac:dyDescent="0.3">
      <c r="A913" s="119"/>
      <c r="B913" s="19"/>
      <c r="C913" s="18"/>
      <c r="D913" s="19"/>
      <c r="E913" s="19"/>
      <c r="F913" s="19"/>
      <c r="G913" s="21"/>
      <c r="H913" s="21"/>
      <c r="I913" s="21"/>
      <c r="J913" s="21"/>
      <c r="K913" s="19"/>
      <c r="L913" s="19"/>
      <c r="M913" s="37"/>
      <c r="N913" s="37"/>
      <c r="O913" s="37"/>
      <c r="P913" s="37"/>
      <c r="Q913" s="37"/>
      <c r="R913" s="37"/>
      <c r="S913" s="37"/>
      <c r="T913" s="37"/>
      <c r="U913" s="37"/>
      <c r="V913" s="37"/>
      <c r="W913" s="37"/>
      <c r="X913" s="37"/>
      <c r="Y913" s="37"/>
      <c r="Z913" s="37"/>
    </row>
    <row r="914" spans="1:26" ht="15.75" customHeight="1" x14ac:dyDescent="0.3">
      <c r="A914" s="119"/>
      <c r="B914" s="19"/>
      <c r="C914" s="18"/>
      <c r="D914" s="19"/>
      <c r="E914" s="19"/>
      <c r="F914" s="19"/>
      <c r="G914" s="21"/>
      <c r="H914" s="21"/>
      <c r="I914" s="21"/>
      <c r="J914" s="21"/>
      <c r="K914" s="19"/>
      <c r="L914" s="19"/>
      <c r="M914" s="37"/>
      <c r="N914" s="37"/>
      <c r="O914" s="37"/>
      <c r="P914" s="37"/>
      <c r="Q914" s="37"/>
      <c r="R914" s="37"/>
      <c r="S914" s="37"/>
      <c r="T914" s="37"/>
      <c r="U914" s="37"/>
      <c r="V914" s="37"/>
      <c r="W914" s="37"/>
      <c r="X914" s="37"/>
      <c r="Y914" s="37"/>
      <c r="Z914" s="37"/>
    </row>
    <row r="915" spans="1:26" ht="15.75" customHeight="1" x14ac:dyDescent="0.3">
      <c r="A915" s="119"/>
      <c r="B915" s="19"/>
      <c r="C915" s="18"/>
      <c r="D915" s="19"/>
      <c r="E915" s="19"/>
      <c r="F915" s="19"/>
      <c r="G915" s="21"/>
      <c r="H915" s="21"/>
      <c r="I915" s="21"/>
      <c r="J915" s="21"/>
      <c r="K915" s="19"/>
      <c r="L915" s="19"/>
      <c r="M915" s="37"/>
      <c r="N915" s="37"/>
      <c r="O915" s="37"/>
      <c r="P915" s="37"/>
      <c r="Q915" s="37"/>
      <c r="R915" s="37"/>
      <c r="S915" s="37"/>
      <c r="T915" s="37"/>
      <c r="U915" s="37"/>
      <c r="V915" s="37"/>
      <c r="W915" s="37"/>
      <c r="X915" s="37"/>
      <c r="Y915" s="37"/>
      <c r="Z915" s="37"/>
    </row>
    <row r="916" spans="1:26" ht="15.75" customHeight="1" x14ac:dyDescent="0.3">
      <c r="A916" s="119"/>
      <c r="B916" s="19"/>
      <c r="C916" s="18"/>
      <c r="D916" s="19"/>
      <c r="E916" s="19"/>
      <c r="F916" s="19"/>
      <c r="G916" s="21"/>
      <c r="H916" s="21"/>
      <c r="I916" s="21"/>
      <c r="J916" s="21"/>
      <c r="K916" s="19"/>
      <c r="L916" s="19"/>
      <c r="M916" s="37"/>
      <c r="N916" s="37"/>
      <c r="O916" s="37"/>
      <c r="P916" s="37"/>
      <c r="Q916" s="37"/>
      <c r="R916" s="37"/>
      <c r="S916" s="37"/>
      <c r="T916" s="37"/>
      <c r="U916" s="37"/>
      <c r="V916" s="37"/>
      <c r="W916" s="37"/>
      <c r="X916" s="37"/>
      <c r="Y916" s="37"/>
      <c r="Z916" s="37"/>
    </row>
    <row r="917" spans="1:26" ht="15.75" customHeight="1" x14ac:dyDescent="0.3">
      <c r="A917" s="119"/>
      <c r="B917" s="19"/>
      <c r="C917" s="18"/>
      <c r="D917" s="19"/>
      <c r="E917" s="19"/>
      <c r="F917" s="19"/>
      <c r="G917" s="21"/>
      <c r="H917" s="21"/>
      <c r="I917" s="21"/>
      <c r="J917" s="21"/>
      <c r="K917" s="19"/>
      <c r="L917" s="19"/>
      <c r="M917" s="37"/>
      <c r="N917" s="37"/>
      <c r="O917" s="37"/>
      <c r="P917" s="37"/>
      <c r="Q917" s="37"/>
      <c r="R917" s="37"/>
      <c r="S917" s="37"/>
      <c r="T917" s="37"/>
      <c r="U917" s="37"/>
      <c r="V917" s="37"/>
      <c r="W917" s="37"/>
      <c r="X917" s="37"/>
      <c r="Y917" s="37"/>
      <c r="Z917" s="37"/>
    </row>
    <row r="918" spans="1:26" ht="15.75" customHeight="1" x14ac:dyDescent="0.3">
      <c r="A918" s="119"/>
      <c r="B918" s="19"/>
      <c r="C918" s="18"/>
      <c r="D918" s="19"/>
      <c r="E918" s="19"/>
      <c r="F918" s="19"/>
      <c r="G918" s="21"/>
      <c r="H918" s="21"/>
      <c r="I918" s="21"/>
      <c r="J918" s="21"/>
      <c r="K918" s="19"/>
      <c r="L918" s="19"/>
      <c r="M918" s="37"/>
      <c r="N918" s="37"/>
      <c r="O918" s="37"/>
      <c r="P918" s="37"/>
      <c r="Q918" s="37"/>
      <c r="R918" s="37"/>
      <c r="S918" s="37"/>
      <c r="T918" s="37"/>
      <c r="U918" s="37"/>
      <c r="V918" s="37"/>
      <c r="W918" s="37"/>
      <c r="X918" s="37"/>
      <c r="Y918" s="37"/>
      <c r="Z918" s="37"/>
    </row>
    <row r="919" spans="1:26" ht="15.75" customHeight="1" x14ac:dyDescent="0.3">
      <c r="A919" s="119"/>
      <c r="B919" s="19"/>
      <c r="C919" s="18"/>
      <c r="D919" s="19"/>
      <c r="E919" s="19"/>
      <c r="F919" s="19"/>
      <c r="G919" s="21"/>
      <c r="H919" s="21"/>
      <c r="I919" s="21"/>
      <c r="J919" s="21"/>
      <c r="K919" s="19"/>
      <c r="L919" s="19"/>
      <c r="M919" s="37"/>
      <c r="N919" s="37"/>
      <c r="O919" s="37"/>
      <c r="P919" s="37"/>
      <c r="Q919" s="37"/>
      <c r="R919" s="37"/>
      <c r="S919" s="37"/>
      <c r="T919" s="37"/>
      <c r="U919" s="37"/>
      <c r="V919" s="37"/>
      <c r="W919" s="37"/>
      <c r="X919" s="37"/>
      <c r="Y919" s="37"/>
      <c r="Z919" s="37"/>
    </row>
    <row r="920" spans="1:26" ht="15.75" customHeight="1" x14ac:dyDescent="0.3">
      <c r="A920" s="119"/>
      <c r="B920" s="19"/>
      <c r="C920" s="18"/>
      <c r="D920" s="19"/>
      <c r="E920" s="19"/>
      <c r="F920" s="19"/>
      <c r="G920" s="21"/>
      <c r="H920" s="21"/>
      <c r="I920" s="21"/>
      <c r="J920" s="21"/>
      <c r="K920" s="19"/>
      <c r="L920" s="19"/>
      <c r="M920" s="37"/>
      <c r="N920" s="37"/>
      <c r="O920" s="37"/>
      <c r="P920" s="37"/>
      <c r="Q920" s="37"/>
      <c r="R920" s="37"/>
      <c r="S920" s="37"/>
      <c r="T920" s="37"/>
      <c r="U920" s="37"/>
      <c r="V920" s="37"/>
      <c r="W920" s="37"/>
      <c r="X920" s="37"/>
      <c r="Y920" s="37"/>
      <c r="Z920" s="37"/>
    </row>
    <row r="921" spans="1:26" ht="15.75" customHeight="1" x14ac:dyDescent="0.3">
      <c r="A921" s="119"/>
      <c r="B921" s="19"/>
      <c r="C921" s="18"/>
      <c r="D921" s="19"/>
      <c r="E921" s="19"/>
      <c r="F921" s="19"/>
      <c r="G921" s="21"/>
      <c r="H921" s="21"/>
      <c r="I921" s="21"/>
      <c r="J921" s="21"/>
      <c r="K921" s="19"/>
      <c r="L921" s="19"/>
      <c r="M921" s="37"/>
      <c r="N921" s="37"/>
      <c r="O921" s="37"/>
      <c r="P921" s="37"/>
      <c r="Q921" s="37"/>
      <c r="R921" s="37"/>
      <c r="S921" s="37"/>
      <c r="T921" s="37"/>
      <c r="U921" s="37"/>
      <c r="V921" s="37"/>
      <c r="W921" s="37"/>
      <c r="X921" s="37"/>
      <c r="Y921" s="37"/>
      <c r="Z921" s="37"/>
    </row>
    <row r="922" spans="1:26" ht="15.75" customHeight="1" x14ac:dyDescent="0.3">
      <c r="A922" s="119"/>
      <c r="B922" s="19"/>
      <c r="C922" s="18"/>
      <c r="D922" s="19"/>
      <c r="E922" s="19"/>
      <c r="F922" s="19"/>
      <c r="G922" s="21"/>
      <c r="H922" s="21"/>
      <c r="I922" s="21"/>
      <c r="J922" s="21"/>
      <c r="K922" s="19"/>
      <c r="L922" s="19"/>
      <c r="M922" s="37"/>
      <c r="N922" s="37"/>
      <c r="O922" s="37"/>
      <c r="P922" s="37"/>
      <c r="Q922" s="37"/>
      <c r="R922" s="37"/>
      <c r="S922" s="37"/>
      <c r="T922" s="37"/>
      <c r="U922" s="37"/>
      <c r="V922" s="37"/>
      <c r="W922" s="37"/>
      <c r="X922" s="37"/>
      <c r="Y922" s="37"/>
      <c r="Z922" s="37"/>
    </row>
    <row r="923" spans="1:26" ht="15.75" customHeight="1" x14ac:dyDescent="0.3">
      <c r="A923" s="119"/>
      <c r="B923" s="19"/>
      <c r="C923" s="18"/>
      <c r="D923" s="19"/>
      <c r="E923" s="19"/>
      <c r="F923" s="19"/>
      <c r="G923" s="21"/>
      <c r="H923" s="21"/>
      <c r="I923" s="21"/>
      <c r="J923" s="21"/>
      <c r="K923" s="19"/>
      <c r="L923" s="19"/>
      <c r="M923" s="37"/>
      <c r="N923" s="37"/>
      <c r="O923" s="37"/>
      <c r="P923" s="37"/>
      <c r="Q923" s="37"/>
      <c r="R923" s="37"/>
      <c r="S923" s="37"/>
      <c r="T923" s="37"/>
      <c r="U923" s="37"/>
      <c r="V923" s="37"/>
      <c r="W923" s="37"/>
      <c r="X923" s="37"/>
      <c r="Y923" s="37"/>
      <c r="Z923" s="37"/>
    </row>
    <row r="924" spans="1:26" ht="15.75" customHeight="1" x14ac:dyDescent="0.3">
      <c r="A924" s="119"/>
      <c r="B924" s="19"/>
      <c r="C924" s="18"/>
      <c r="D924" s="19"/>
      <c r="E924" s="19"/>
      <c r="F924" s="19"/>
      <c r="G924" s="21"/>
      <c r="H924" s="21"/>
      <c r="I924" s="21"/>
      <c r="J924" s="21"/>
      <c r="K924" s="19"/>
      <c r="L924" s="19"/>
      <c r="M924" s="37"/>
      <c r="N924" s="37"/>
      <c r="O924" s="37"/>
      <c r="P924" s="37"/>
      <c r="Q924" s="37"/>
      <c r="R924" s="37"/>
      <c r="S924" s="37"/>
      <c r="T924" s="37"/>
      <c r="U924" s="37"/>
      <c r="V924" s="37"/>
      <c r="W924" s="37"/>
      <c r="X924" s="37"/>
      <c r="Y924" s="37"/>
      <c r="Z924" s="37"/>
    </row>
    <row r="925" spans="1:26" ht="15.75" customHeight="1" x14ac:dyDescent="0.3">
      <c r="A925" s="119"/>
      <c r="B925" s="19"/>
      <c r="C925" s="18"/>
      <c r="D925" s="19"/>
      <c r="E925" s="19"/>
      <c r="F925" s="19"/>
      <c r="G925" s="21"/>
      <c r="H925" s="21"/>
      <c r="I925" s="21"/>
      <c r="J925" s="21"/>
      <c r="K925" s="19"/>
      <c r="L925" s="19"/>
      <c r="M925" s="37"/>
      <c r="N925" s="37"/>
      <c r="O925" s="37"/>
      <c r="P925" s="37"/>
      <c r="Q925" s="37"/>
      <c r="R925" s="37"/>
      <c r="S925" s="37"/>
      <c r="T925" s="37"/>
      <c r="U925" s="37"/>
      <c r="V925" s="37"/>
      <c r="W925" s="37"/>
      <c r="X925" s="37"/>
      <c r="Y925" s="37"/>
      <c r="Z925" s="37"/>
    </row>
    <row r="926" spans="1:26" ht="15.75" customHeight="1" x14ac:dyDescent="0.3">
      <c r="A926" s="119"/>
      <c r="B926" s="19"/>
      <c r="C926" s="18"/>
      <c r="D926" s="19"/>
      <c r="E926" s="19"/>
      <c r="F926" s="19"/>
      <c r="G926" s="21"/>
      <c r="H926" s="21"/>
      <c r="I926" s="21"/>
      <c r="J926" s="21"/>
      <c r="K926" s="19"/>
      <c r="L926" s="19"/>
      <c r="M926" s="37"/>
      <c r="N926" s="37"/>
      <c r="O926" s="37"/>
      <c r="P926" s="37"/>
      <c r="Q926" s="37"/>
      <c r="R926" s="37"/>
      <c r="S926" s="37"/>
      <c r="T926" s="37"/>
      <c r="U926" s="37"/>
      <c r="V926" s="37"/>
      <c r="W926" s="37"/>
      <c r="X926" s="37"/>
      <c r="Y926" s="37"/>
      <c r="Z926" s="37"/>
    </row>
    <row r="927" spans="1:26" ht="15.75" customHeight="1" x14ac:dyDescent="0.3">
      <c r="A927" s="119"/>
      <c r="B927" s="19"/>
      <c r="C927" s="18"/>
      <c r="D927" s="19"/>
      <c r="E927" s="19"/>
      <c r="F927" s="19"/>
      <c r="G927" s="21"/>
      <c r="H927" s="21"/>
      <c r="I927" s="21"/>
      <c r="J927" s="21"/>
      <c r="K927" s="19"/>
      <c r="L927" s="19"/>
      <c r="M927" s="37"/>
      <c r="N927" s="37"/>
      <c r="O927" s="37"/>
      <c r="P927" s="37"/>
      <c r="Q927" s="37"/>
      <c r="R927" s="37"/>
      <c r="S927" s="37"/>
      <c r="T927" s="37"/>
      <c r="U927" s="37"/>
      <c r="V927" s="37"/>
      <c r="W927" s="37"/>
      <c r="X927" s="37"/>
      <c r="Y927" s="37"/>
      <c r="Z927" s="37"/>
    </row>
    <row r="928" spans="1:26" ht="15.75" customHeight="1" x14ac:dyDescent="0.3">
      <c r="A928" s="119"/>
      <c r="B928" s="19"/>
      <c r="C928" s="18"/>
      <c r="D928" s="19"/>
      <c r="E928" s="19"/>
      <c r="F928" s="19"/>
      <c r="G928" s="21"/>
      <c r="H928" s="21"/>
      <c r="I928" s="21"/>
      <c r="J928" s="21"/>
      <c r="K928" s="19"/>
      <c r="L928" s="19"/>
      <c r="M928" s="37"/>
      <c r="N928" s="37"/>
      <c r="O928" s="37"/>
      <c r="P928" s="37"/>
      <c r="Q928" s="37"/>
      <c r="R928" s="37"/>
      <c r="S928" s="37"/>
      <c r="T928" s="37"/>
      <c r="U928" s="37"/>
      <c r="V928" s="37"/>
      <c r="W928" s="37"/>
      <c r="X928" s="37"/>
      <c r="Y928" s="37"/>
      <c r="Z928" s="37"/>
    </row>
    <row r="929" spans="1:26" ht="15.75" customHeight="1" x14ac:dyDescent="0.3">
      <c r="A929" s="119"/>
      <c r="B929" s="19"/>
      <c r="C929" s="18"/>
      <c r="D929" s="19"/>
      <c r="E929" s="19"/>
      <c r="F929" s="19"/>
      <c r="G929" s="21"/>
      <c r="H929" s="21"/>
      <c r="I929" s="21"/>
      <c r="J929" s="21"/>
      <c r="K929" s="19"/>
      <c r="L929" s="19"/>
      <c r="M929" s="37"/>
      <c r="N929" s="37"/>
      <c r="O929" s="37"/>
      <c r="P929" s="37"/>
      <c r="Q929" s="37"/>
      <c r="R929" s="37"/>
      <c r="S929" s="37"/>
      <c r="T929" s="37"/>
      <c r="U929" s="37"/>
      <c r="V929" s="37"/>
      <c r="W929" s="37"/>
      <c r="X929" s="37"/>
      <c r="Y929" s="37"/>
      <c r="Z929" s="37"/>
    </row>
    <row r="930" spans="1:26" ht="15.75" customHeight="1" x14ac:dyDescent="0.3">
      <c r="A930" s="119"/>
      <c r="B930" s="19"/>
      <c r="C930" s="18"/>
      <c r="D930" s="19"/>
      <c r="E930" s="19"/>
      <c r="F930" s="19"/>
      <c r="G930" s="21"/>
      <c r="H930" s="21"/>
      <c r="I930" s="21"/>
      <c r="J930" s="21"/>
      <c r="K930" s="19"/>
      <c r="L930" s="19"/>
      <c r="M930" s="37"/>
      <c r="N930" s="37"/>
      <c r="O930" s="37"/>
      <c r="P930" s="37"/>
      <c r="Q930" s="37"/>
      <c r="R930" s="37"/>
      <c r="S930" s="37"/>
      <c r="T930" s="37"/>
      <c r="U930" s="37"/>
      <c r="V930" s="37"/>
      <c r="W930" s="37"/>
      <c r="X930" s="37"/>
      <c r="Y930" s="37"/>
      <c r="Z930" s="37"/>
    </row>
    <row r="931" spans="1:26" ht="15.75" customHeight="1" x14ac:dyDescent="0.3">
      <c r="A931" s="119"/>
      <c r="B931" s="19"/>
      <c r="C931" s="18"/>
      <c r="D931" s="19"/>
      <c r="E931" s="19"/>
      <c r="F931" s="19"/>
      <c r="G931" s="21"/>
      <c r="H931" s="21"/>
      <c r="I931" s="21"/>
      <c r="J931" s="21"/>
      <c r="K931" s="19"/>
      <c r="L931" s="19"/>
      <c r="M931" s="37"/>
      <c r="N931" s="37"/>
      <c r="O931" s="37"/>
      <c r="P931" s="37"/>
      <c r="Q931" s="37"/>
      <c r="R931" s="37"/>
      <c r="S931" s="37"/>
      <c r="T931" s="37"/>
      <c r="U931" s="37"/>
      <c r="V931" s="37"/>
      <c r="W931" s="37"/>
      <c r="X931" s="37"/>
      <c r="Y931" s="37"/>
      <c r="Z931" s="37"/>
    </row>
    <row r="932" spans="1:26" ht="15.75" customHeight="1" x14ac:dyDescent="0.3">
      <c r="A932" s="119"/>
      <c r="B932" s="19"/>
      <c r="C932" s="18"/>
      <c r="D932" s="19"/>
      <c r="E932" s="19"/>
      <c r="F932" s="19"/>
      <c r="G932" s="21"/>
      <c r="H932" s="21"/>
      <c r="I932" s="21"/>
      <c r="J932" s="21"/>
      <c r="K932" s="19"/>
      <c r="L932" s="19"/>
      <c r="M932" s="37"/>
      <c r="N932" s="37"/>
      <c r="O932" s="37"/>
      <c r="P932" s="37"/>
      <c r="Q932" s="37"/>
      <c r="R932" s="37"/>
      <c r="S932" s="37"/>
      <c r="T932" s="37"/>
      <c r="U932" s="37"/>
      <c r="V932" s="37"/>
      <c r="W932" s="37"/>
      <c r="X932" s="37"/>
      <c r="Y932" s="37"/>
      <c r="Z932" s="37"/>
    </row>
    <row r="933" spans="1:26" ht="15.75" customHeight="1" x14ac:dyDescent="0.3">
      <c r="A933" s="119"/>
      <c r="B933" s="19"/>
      <c r="C933" s="18"/>
      <c r="D933" s="19"/>
      <c r="E933" s="19"/>
      <c r="F933" s="19"/>
      <c r="G933" s="21"/>
      <c r="H933" s="21"/>
      <c r="I933" s="21"/>
      <c r="J933" s="21"/>
      <c r="K933" s="19"/>
      <c r="L933" s="19"/>
      <c r="M933" s="37"/>
      <c r="N933" s="37"/>
      <c r="O933" s="37"/>
      <c r="P933" s="37"/>
      <c r="Q933" s="37"/>
      <c r="R933" s="37"/>
      <c r="S933" s="37"/>
      <c r="T933" s="37"/>
      <c r="U933" s="37"/>
      <c r="V933" s="37"/>
      <c r="W933" s="37"/>
      <c r="X933" s="37"/>
      <c r="Y933" s="37"/>
      <c r="Z933" s="37"/>
    </row>
    <row r="934" spans="1:26" ht="15.75" customHeight="1" x14ac:dyDescent="0.3">
      <c r="A934" s="119"/>
      <c r="B934" s="19"/>
      <c r="C934" s="18"/>
      <c r="D934" s="19"/>
      <c r="E934" s="19"/>
      <c r="F934" s="19"/>
      <c r="G934" s="21"/>
      <c r="H934" s="21"/>
      <c r="I934" s="21"/>
      <c r="J934" s="21"/>
      <c r="K934" s="19"/>
      <c r="L934" s="19"/>
      <c r="M934" s="37"/>
      <c r="N934" s="37"/>
      <c r="O934" s="37"/>
      <c r="P934" s="37"/>
      <c r="Q934" s="37"/>
      <c r="R934" s="37"/>
      <c r="S934" s="37"/>
      <c r="T934" s="37"/>
      <c r="U934" s="37"/>
      <c r="V934" s="37"/>
      <c r="W934" s="37"/>
      <c r="X934" s="37"/>
      <c r="Y934" s="37"/>
      <c r="Z934" s="37"/>
    </row>
    <row r="935" spans="1:26" ht="15.75" customHeight="1" x14ac:dyDescent="0.3">
      <c r="A935" s="119"/>
      <c r="B935" s="19"/>
      <c r="C935" s="18"/>
      <c r="D935" s="19"/>
      <c r="E935" s="19"/>
      <c r="F935" s="19"/>
      <c r="G935" s="21"/>
      <c r="H935" s="21"/>
      <c r="I935" s="21"/>
      <c r="J935" s="21"/>
      <c r="K935" s="19"/>
      <c r="L935" s="19"/>
      <c r="M935" s="37"/>
      <c r="N935" s="37"/>
      <c r="O935" s="37"/>
      <c r="P935" s="37"/>
      <c r="Q935" s="37"/>
      <c r="R935" s="37"/>
      <c r="S935" s="37"/>
      <c r="T935" s="37"/>
      <c r="U935" s="37"/>
      <c r="V935" s="37"/>
      <c r="W935" s="37"/>
      <c r="X935" s="37"/>
      <c r="Y935" s="37"/>
      <c r="Z935" s="37"/>
    </row>
    <row r="936" spans="1:26" ht="15.75" customHeight="1" x14ac:dyDescent="0.3">
      <c r="A936" s="119"/>
      <c r="B936" s="19"/>
      <c r="C936" s="18"/>
      <c r="D936" s="19"/>
      <c r="E936" s="19"/>
      <c r="F936" s="19"/>
      <c r="G936" s="21"/>
      <c r="H936" s="21"/>
      <c r="I936" s="21"/>
      <c r="J936" s="21"/>
      <c r="K936" s="19"/>
      <c r="L936" s="19"/>
      <c r="M936" s="37"/>
      <c r="N936" s="37"/>
      <c r="O936" s="37"/>
      <c r="P936" s="37"/>
      <c r="Q936" s="37"/>
      <c r="R936" s="37"/>
      <c r="S936" s="37"/>
      <c r="T936" s="37"/>
      <c r="U936" s="37"/>
      <c r="V936" s="37"/>
      <c r="W936" s="37"/>
      <c r="X936" s="37"/>
      <c r="Y936" s="37"/>
      <c r="Z936" s="37"/>
    </row>
    <row r="937" spans="1:26" ht="15.75" customHeight="1" x14ac:dyDescent="0.3">
      <c r="A937" s="119"/>
      <c r="B937" s="19"/>
      <c r="C937" s="18"/>
      <c r="D937" s="19"/>
      <c r="E937" s="19"/>
      <c r="F937" s="19"/>
      <c r="G937" s="21"/>
      <c r="H937" s="21"/>
      <c r="I937" s="21"/>
      <c r="J937" s="21"/>
      <c r="K937" s="19"/>
      <c r="L937" s="19"/>
      <c r="M937" s="37"/>
      <c r="N937" s="37"/>
      <c r="O937" s="37"/>
      <c r="P937" s="37"/>
      <c r="Q937" s="37"/>
      <c r="R937" s="37"/>
      <c r="S937" s="37"/>
      <c r="T937" s="37"/>
      <c r="U937" s="37"/>
      <c r="V937" s="37"/>
      <c r="W937" s="37"/>
      <c r="X937" s="37"/>
      <c r="Y937" s="37"/>
      <c r="Z937" s="37"/>
    </row>
    <row r="938" spans="1:26" ht="15.75" customHeight="1" x14ac:dyDescent="0.3">
      <c r="A938" s="119"/>
      <c r="B938" s="19"/>
      <c r="C938" s="18"/>
      <c r="D938" s="19"/>
      <c r="E938" s="19"/>
      <c r="F938" s="19"/>
      <c r="G938" s="21"/>
      <c r="H938" s="21"/>
      <c r="I938" s="21"/>
      <c r="J938" s="21"/>
      <c r="K938" s="19"/>
      <c r="L938" s="19"/>
      <c r="M938" s="37"/>
      <c r="N938" s="37"/>
      <c r="O938" s="37"/>
      <c r="P938" s="37"/>
      <c r="Q938" s="37"/>
      <c r="R938" s="37"/>
      <c r="S938" s="37"/>
      <c r="T938" s="37"/>
      <c r="U938" s="37"/>
      <c r="V938" s="37"/>
      <c r="W938" s="37"/>
      <c r="X938" s="37"/>
      <c r="Y938" s="37"/>
      <c r="Z938" s="37"/>
    </row>
    <row r="939" spans="1:26" ht="15.75" customHeight="1" x14ac:dyDescent="0.3">
      <c r="A939" s="119"/>
      <c r="B939" s="19"/>
      <c r="C939" s="18"/>
      <c r="D939" s="19"/>
      <c r="E939" s="19"/>
      <c r="F939" s="19"/>
      <c r="G939" s="21"/>
      <c r="H939" s="21"/>
      <c r="I939" s="21"/>
      <c r="J939" s="21"/>
      <c r="K939" s="19"/>
      <c r="L939" s="19"/>
      <c r="M939" s="37"/>
      <c r="N939" s="37"/>
      <c r="O939" s="37"/>
      <c r="P939" s="37"/>
      <c r="Q939" s="37"/>
      <c r="R939" s="37"/>
      <c r="S939" s="37"/>
      <c r="T939" s="37"/>
      <c r="U939" s="37"/>
      <c r="V939" s="37"/>
      <c r="W939" s="37"/>
      <c r="X939" s="37"/>
      <c r="Y939" s="37"/>
      <c r="Z939" s="37"/>
    </row>
    <row r="940" spans="1:26" ht="15.75" customHeight="1" x14ac:dyDescent="0.3">
      <c r="A940" s="119"/>
      <c r="B940" s="19"/>
      <c r="C940" s="18"/>
      <c r="D940" s="19"/>
      <c r="E940" s="19"/>
      <c r="F940" s="19"/>
      <c r="G940" s="21"/>
      <c r="H940" s="21"/>
      <c r="I940" s="21"/>
      <c r="J940" s="21"/>
      <c r="K940" s="19"/>
      <c r="L940" s="19"/>
      <c r="M940" s="37"/>
      <c r="N940" s="37"/>
      <c r="O940" s="37"/>
      <c r="P940" s="37"/>
      <c r="Q940" s="37"/>
      <c r="R940" s="37"/>
      <c r="S940" s="37"/>
      <c r="T940" s="37"/>
      <c r="U940" s="37"/>
      <c r="V940" s="37"/>
      <c r="W940" s="37"/>
      <c r="X940" s="37"/>
      <c r="Y940" s="37"/>
      <c r="Z940" s="37"/>
    </row>
    <row r="941" spans="1:26" ht="15.75" customHeight="1" x14ac:dyDescent="0.3">
      <c r="A941" s="119"/>
      <c r="B941" s="19"/>
      <c r="C941" s="18"/>
      <c r="D941" s="19"/>
      <c r="E941" s="19"/>
      <c r="F941" s="19"/>
      <c r="G941" s="21"/>
      <c r="H941" s="21"/>
      <c r="I941" s="21"/>
      <c r="J941" s="21"/>
      <c r="K941" s="19"/>
      <c r="L941" s="19"/>
      <c r="M941" s="37"/>
      <c r="N941" s="37"/>
      <c r="O941" s="37"/>
      <c r="P941" s="37"/>
      <c r="Q941" s="37"/>
      <c r="R941" s="37"/>
      <c r="S941" s="37"/>
      <c r="T941" s="37"/>
      <c r="U941" s="37"/>
      <c r="V941" s="37"/>
      <c r="W941" s="37"/>
      <c r="X941" s="37"/>
      <c r="Y941" s="37"/>
      <c r="Z941" s="37"/>
    </row>
    <row r="942" spans="1:26" ht="15.75" customHeight="1" x14ac:dyDescent="0.3">
      <c r="A942" s="119"/>
      <c r="B942" s="19"/>
      <c r="C942" s="18"/>
      <c r="D942" s="19"/>
      <c r="E942" s="19"/>
      <c r="F942" s="19"/>
      <c r="G942" s="21"/>
      <c r="H942" s="21"/>
      <c r="I942" s="21"/>
      <c r="J942" s="21"/>
      <c r="K942" s="19"/>
      <c r="L942" s="19"/>
      <c r="M942" s="37"/>
      <c r="N942" s="37"/>
      <c r="O942" s="37"/>
      <c r="P942" s="37"/>
      <c r="Q942" s="37"/>
      <c r="R942" s="37"/>
      <c r="S942" s="37"/>
      <c r="T942" s="37"/>
      <c r="U942" s="37"/>
      <c r="V942" s="37"/>
      <c r="W942" s="37"/>
      <c r="X942" s="37"/>
      <c r="Y942" s="37"/>
      <c r="Z942" s="37"/>
    </row>
    <row r="943" spans="1:26" ht="15.75" customHeight="1" x14ac:dyDescent="0.3">
      <c r="A943" s="119"/>
      <c r="B943" s="19"/>
      <c r="C943" s="18"/>
      <c r="D943" s="19"/>
      <c r="E943" s="19"/>
      <c r="F943" s="19"/>
      <c r="G943" s="21"/>
      <c r="H943" s="21"/>
      <c r="I943" s="21"/>
      <c r="J943" s="21"/>
      <c r="K943" s="19"/>
      <c r="L943" s="19"/>
      <c r="M943" s="37"/>
      <c r="N943" s="37"/>
      <c r="O943" s="37"/>
      <c r="P943" s="37"/>
      <c r="Q943" s="37"/>
      <c r="R943" s="37"/>
      <c r="S943" s="37"/>
      <c r="T943" s="37"/>
      <c r="U943" s="37"/>
      <c r="V943" s="37"/>
      <c r="W943" s="37"/>
      <c r="X943" s="37"/>
      <c r="Y943" s="37"/>
      <c r="Z943" s="37"/>
    </row>
    <row r="944" spans="1:26" ht="15.75" customHeight="1" x14ac:dyDescent="0.3">
      <c r="A944" s="119"/>
      <c r="B944" s="19"/>
      <c r="C944" s="18"/>
      <c r="D944" s="19"/>
      <c r="E944" s="19"/>
      <c r="F944" s="19"/>
      <c r="G944" s="21"/>
      <c r="H944" s="21"/>
      <c r="I944" s="21"/>
      <c r="J944" s="21"/>
      <c r="K944" s="19"/>
      <c r="L944" s="19"/>
      <c r="M944" s="37"/>
      <c r="N944" s="37"/>
      <c r="O944" s="37"/>
      <c r="P944" s="37"/>
      <c r="Q944" s="37"/>
      <c r="R944" s="37"/>
      <c r="S944" s="37"/>
      <c r="T944" s="37"/>
      <c r="U944" s="37"/>
      <c r="V944" s="37"/>
      <c r="W944" s="37"/>
      <c r="X944" s="37"/>
      <c r="Y944" s="37"/>
      <c r="Z944" s="37"/>
    </row>
    <row r="945" spans="1:26" ht="15.75" customHeight="1" x14ac:dyDescent="0.3">
      <c r="A945" s="119"/>
      <c r="B945" s="19"/>
      <c r="C945" s="18"/>
      <c r="D945" s="19"/>
      <c r="E945" s="19"/>
      <c r="F945" s="19"/>
      <c r="G945" s="21"/>
      <c r="H945" s="21"/>
      <c r="I945" s="21"/>
      <c r="J945" s="21"/>
      <c r="K945" s="19"/>
      <c r="L945" s="19"/>
      <c r="M945" s="37"/>
      <c r="N945" s="37"/>
      <c r="O945" s="37"/>
      <c r="P945" s="37"/>
      <c r="Q945" s="37"/>
      <c r="R945" s="37"/>
      <c r="S945" s="37"/>
      <c r="T945" s="37"/>
      <c r="U945" s="37"/>
      <c r="V945" s="37"/>
      <c r="W945" s="37"/>
      <c r="X945" s="37"/>
      <c r="Y945" s="37"/>
      <c r="Z945" s="37"/>
    </row>
    <row r="946" spans="1:26" ht="15.75" customHeight="1" x14ac:dyDescent="0.3">
      <c r="A946" s="119"/>
      <c r="B946" s="19"/>
      <c r="C946" s="18"/>
      <c r="D946" s="19"/>
      <c r="E946" s="19"/>
      <c r="F946" s="19"/>
      <c r="G946" s="21"/>
      <c r="H946" s="21"/>
      <c r="I946" s="21"/>
      <c r="J946" s="21"/>
      <c r="K946" s="19"/>
      <c r="L946" s="19"/>
      <c r="M946" s="37"/>
      <c r="N946" s="37"/>
      <c r="O946" s="37"/>
      <c r="P946" s="37"/>
      <c r="Q946" s="37"/>
      <c r="R946" s="37"/>
      <c r="S946" s="37"/>
      <c r="T946" s="37"/>
      <c r="U946" s="37"/>
      <c r="V946" s="37"/>
      <c r="W946" s="37"/>
      <c r="X946" s="37"/>
      <c r="Y946" s="37"/>
      <c r="Z946" s="37"/>
    </row>
    <row r="947" spans="1:26" ht="15.75" customHeight="1" x14ac:dyDescent="0.3">
      <c r="A947" s="119"/>
      <c r="B947" s="19"/>
      <c r="C947" s="18"/>
      <c r="D947" s="19"/>
      <c r="E947" s="19"/>
      <c r="F947" s="19"/>
      <c r="G947" s="21"/>
      <c r="H947" s="21"/>
      <c r="I947" s="21"/>
      <c r="J947" s="21"/>
      <c r="K947" s="19"/>
      <c r="L947" s="19"/>
      <c r="M947" s="37"/>
      <c r="N947" s="37"/>
      <c r="O947" s="37"/>
      <c r="P947" s="37"/>
      <c r="Q947" s="37"/>
      <c r="R947" s="37"/>
      <c r="S947" s="37"/>
      <c r="T947" s="37"/>
      <c r="U947" s="37"/>
      <c r="V947" s="37"/>
      <c r="W947" s="37"/>
      <c r="X947" s="37"/>
      <c r="Y947" s="37"/>
      <c r="Z947" s="37"/>
    </row>
    <row r="948" spans="1:26" ht="15.75" customHeight="1" x14ac:dyDescent="0.3">
      <c r="A948" s="119"/>
      <c r="B948" s="19"/>
      <c r="C948" s="18"/>
      <c r="D948" s="19"/>
      <c r="E948" s="19"/>
      <c r="F948" s="19"/>
      <c r="G948" s="21"/>
      <c r="H948" s="21"/>
      <c r="I948" s="21"/>
      <c r="J948" s="21"/>
      <c r="K948" s="19"/>
      <c r="L948" s="19"/>
      <c r="M948" s="37"/>
      <c r="N948" s="37"/>
      <c r="O948" s="37"/>
      <c r="P948" s="37"/>
      <c r="Q948" s="37"/>
      <c r="R948" s="37"/>
      <c r="S948" s="37"/>
      <c r="T948" s="37"/>
      <c r="U948" s="37"/>
      <c r="V948" s="37"/>
      <c r="W948" s="37"/>
      <c r="X948" s="37"/>
      <c r="Y948" s="37"/>
      <c r="Z948" s="37"/>
    </row>
    <row r="949" spans="1:26" ht="15.75" customHeight="1" x14ac:dyDescent="0.3">
      <c r="A949" s="119"/>
      <c r="B949" s="19"/>
      <c r="C949" s="18"/>
      <c r="D949" s="19"/>
      <c r="E949" s="19"/>
      <c r="F949" s="19"/>
      <c r="G949" s="21"/>
      <c r="H949" s="21"/>
      <c r="I949" s="21"/>
      <c r="J949" s="21"/>
      <c r="K949" s="19"/>
      <c r="L949" s="19"/>
      <c r="M949" s="37"/>
      <c r="N949" s="37"/>
      <c r="O949" s="37"/>
      <c r="P949" s="37"/>
      <c r="Q949" s="37"/>
      <c r="R949" s="37"/>
      <c r="S949" s="37"/>
      <c r="T949" s="37"/>
      <c r="U949" s="37"/>
      <c r="V949" s="37"/>
      <c r="W949" s="37"/>
      <c r="X949" s="37"/>
      <c r="Y949" s="37"/>
      <c r="Z949" s="37"/>
    </row>
    <row r="950" spans="1:26" ht="15.75" customHeight="1" x14ac:dyDescent="0.3">
      <c r="A950" s="119"/>
      <c r="B950" s="19"/>
      <c r="C950" s="18"/>
      <c r="D950" s="19"/>
      <c r="E950" s="19"/>
      <c r="F950" s="19"/>
      <c r="G950" s="21"/>
      <c r="H950" s="21"/>
      <c r="I950" s="21"/>
      <c r="J950" s="21"/>
      <c r="K950" s="19"/>
      <c r="L950" s="19"/>
      <c r="M950" s="37"/>
      <c r="N950" s="37"/>
      <c r="O950" s="37"/>
      <c r="P950" s="37"/>
      <c r="Q950" s="37"/>
      <c r="R950" s="37"/>
      <c r="S950" s="37"/>
      <c r="T950" s="37"/>
      <c r="U950" s="37"/>
      <c r="V950" s="37"/>
      <c r="W950" s="37"/>
      <c r="X950" s="37"/>
      <c r="Y950" s="37"/>
      <c r="Z950" s="37"/>
    </row>
    <row r="951" spans="1:26" ht="15.75" customHeight="1" x14ac:dyDescent="0.3">
      <c r="A951" s="119"/>
      <c r="B951" s="19"/>
      <c r="C951" s="18"/>
      <c r="D951" s="19"/>
      <c r="E951" s="19"/>
      <c r="F951" s="19"/>
      <c r="G951" s="21"/>
      <c r="H951" s="21"/>
      <c r="I951" s="21"/>
      <c r="J951" s="21"/>
      <c r="K951" s="19"/>
      <c r="L951" s="19"/>
      <c r="M951" s="37"/>
      <c r="N951" s="37"/>
      <c r="O951" s="37"/>
      <c r="P951" s="37"/>
      <c r="Q951" s="37"/>
      <c r="R951" s="37"/>
      <c r="S951" s="37"/>
      <c r="T951" s="37"/>
      <c r="U951" s="37"/>
      <c r="V951" s="37"/>
      <c r="W951" s="37"/>
      <c r="X951" s="37"/>
      <c r="Y951" s="37"/>
      <c r="Z951" s="37"/>
    </row>
    <row r="952" spans="1:26" ht="15.75" customHeight="1" x14ac:dyDescent="0.3">
      <c r="A952" s="119"/>
      <c r="B952" s="19"/>
      <c r="C952" s="18"/>
      <c r="D952" s="19"/>
      <c r="E952" s="19"/>
      <c r="F952" s="19"/>
      <c r="G952" s="21"/>
      <c r="H952" s="21"/>
      <c r="I952" s="21"/>
      <c r="J952" s="21"/>
      <c r="K952" s="19"/>
      <c r="L952" s="19"/>
      <c r="M952" s="37"/>
      <c r="N952" s="37"/>
      <c r="O952" s="37"/>
      <c r="P952" s="37"/>
      <c r="Q952" s="37"/>
      <c r="R952" s="37"/>
      <c r="S952" s="37"/>
      <c r="T952" s="37"/>
      <c r="U952" s="37"/>
      <c r="V952" s="37"/>
      <c r="W952" s="37"/>
      <c r="X952" s="37"/>
      <c r="Y952" s="37"/>
      <c r="Z952" s="37"/>
    </row>
    <row r="953" spans="1:26" ht="15.75" customHeight="1" x14ac:dyDescent="0.3">
      <c r="A953" s="119"/>
      <c r="B953" s="19"/>
      <c r="C953" s="18"/>
      <c r="D953" s="19"/>
      <c r="E953" s="19"/>
      <c r="F953" s="19"/>
      <c r="G953" s="21"/>
      <c r="H953" s="21"/>
      <c r="I953" s="21"/>
      <c r="J953" s="21"/>
      <c r="K953" s="19"/>
      <c r="L953" s="19"/>
      <c r="M953" s="37"/>
      <c r="N953" s="37"/>
      <c r="O953" s="37"/>
      <c r="P953" s="37"/>
      <c r="Q953" s="37"/>
      <c r="R953" s="37"/>
      <c r="S953" s="37"/>
      <c r="T953" s="37"/>
      <c r="U953" s="37"/>
      <c r="V953" s="37"/>
      <c r="W953" s="37"/>
      <c r="X953" s="37"/>
      <c r="Y953" s="37"/>
      <c r="Z953" s="37"/>
    </row>
    <row r="954" spans="1:26" ht="15.75" customHeight="1" x14ac:dyDescent="0.3">
      <c r="A954" s="119"/>
      <c r="B954" s="19"/>
      <c r="C954" s="18"/>
      <c r="D954" s="19"/>
      <c r="E954" s="19"/>
      <c r="F954" s="19"/>
      <c r="G954" s="21"/>
      <c r="H954" s="21"/>
      <c r="I954" s="21"/>
      <c r="J954" s="21"/>
      <c r="K954" s="19"/>
      <c r="L954" s="19"/>
      <c r="M954" s="37"/>
      <c r="N954" s="37"/>
      <c r="O954" s="37"/>
      <c r="P954" s="37"/>
      <c r="Q954" s="37"/>
      <c r="R954" s="37"/>
      <c r="S954" s="37"/>
      <c r="T954" s="37"/>
      <c r="U954" s="37"/>
      <c r="V954" s="37"/>
      <c r="W954" s="37"/>
      <c r="X954" s="37"/>
      <c r="Y954" s="37"/>
      <c r="Z954" s="37"/>
    </row>
    <row r="955" spans="1:26" ht="15.75" customHeight="1" x14ac:dyDescent="0.3">
      <c r="A955" s="119"/>
      <c r="B955" s="19"/>
      <c r="C955" s="18"/>
      <c r="D955" s="19"/>
      <c r="E955" s="19"/>
      <c r="F955" s="19"/>
      <c r="G955" s="21"/>
      <c r="H955" s="21"/>
      <c r="I955" s="21"/>
      <c r="J955" s="21"/>
      <c r="K955" s="19"/>
      <c r="L955" s="19"/>
      <c r="M955" s="37"/>
      <c r="N955" s="37"/>
      <c r="O955" s="37"/>
      <c r="P955" s="37"/>
      <c r="Q955" s="37"/>
      <c r="R955" s="37"/>
      <c r="S955" s="37"/>
      <c r="T955" s="37"/>
      <c r="U955" s="37"/>
      <c r="V955" s="37"/>
      <c r="W955" s="37"/>
      <c r="X955" s="37"/>
      <c r="Y955" s="37"/>
      <c r="Z955" s="37"/>
    </row>
    <row r="956" spans="1:26" ht="15.75" customHeight="1" x14ac:dyDescent="0.3">
      <c r="A956" s="119"/>
      <c r="B956" s="19"/>
      <c r="C956" s="18"/>
      <c r="D956" s="19"/>
      <c r="E956" s="19"/>
      <c r="F956" s="19"/>
      <c r="G956" s="21"/>
      <c r="H956" s="21"/>
      <c r="I956" s="21"/>
      <c r="J956" s="21"/>
      <c r="K956" s="19"/>
      <c r="L956" s="19"/>
      <c r="M956" s="37"/>
      <c r="N956" s="37"/>
      <c r="O956" s="37"/>
      <c r="P956" s="37"/>
      <c r="Q956" s="37"/>
      <c r="R956" s="37"/>
      <c r="S956" s="37"/>
      <c r="T956" s="37"/>
      <c r="U956" s="37"/>
      <c r="V956" s="37"/>
      <c r="W956" s="37"/>
      <c r="X956" s="37"/>
      <c r="Y956" s="37"/>
      <c r="Z956" s="37"/>
    </row>
    <row r="957" spans="1:26" ht="15.75" customHeight="1" x14ac:dyDescent="0.3">
      <c r="A957" s="119"/>
      <c r="B957" s="19"/>
      <c r="C957" s="18"/>
      <c r="D957" s="19"/>
      <c r="E957" s="19"/>
      <c r="F957" s="19"/>
      <c r="G957" s="21"/>
      <c r="H957" s="21"/>
      <c r="I957" s="21"/>
      <c r="J957" s="21"/>
      <c r="K957" s="19"/>
      <c r="L957" s="19"/>
      <c r="M957" s="37"/>
      <c r="N957" s="37"/>
      <c r="O957" s="37"/>
      <c r="P957" s="37"/>
      <c r="Q957" s="37"/>
      <c r="R957" s="37"/>
      <c r="S957" s="37"/>
      <c r="T957" s="37"/>
      <c r="U957" s="37"/>
      <c r="V957" s="37"/>
      <c r="W957" s="37"/>
      <c r="X957" s="37"/>
      <c r="Y957" s="37"/>
      <c r="Z957" s="37"/>
    </row>
    <row r="958" spans="1:26" ht="15.75" customHeight="1" x14ac:dyDescent="0.3">
      <c r="A958" s="119"/>
      <c r="B958" s="19"/>
      <c r="C958" s="18"/>
      <c r="D958" s="19"/>
      <c r="E958" s="19"/>
      <c r="F958" s="19"/>
      <c r="G958" s="21"/>
      <c r="H958" s="21"/>
      <c r="I958" s="21"/>
      <c r="J958" s="21"/>
      <c r="K958" s="19"/>
      <c r="L958" s="19"/>
      <c r="M958" s="37"/>
      <c r="N958" s="37"/>
      <c r="O958" s="37"/>
      <c r="P958" s="37"/>
      <c r="Q958" s="37"/>
      <c r="R958" s="37"/>
      <c r="S958" s="37"/>
      <c r="T958" s="37"/>
      <c r="U958" s="37"/>
      <c r="V958" s="37"/>
      <c r="W958" s="37"/>
      <c r="X958" s="37"/>
      <c r="Y958" s="37"/>
      <c r="Z958" s="37"/>
    </row>
    <row r="959" spans="1:26" ht="15.75" customHeight="1" x14ac:dyDescent="0.3">
      <c r="A959" s="119"/>
      <c r="B959" s="19"/>
      <c r="C959" s="18"/>
      <c r="D959" s="19"/>
      <c r="E959" s="19"/>
      <c r="F959" s="19"/>
      <c r="G959" s="21"/>
      <c r="H959" s="21"/>
      <c r="I959" s="21"/>
      <c r="J959" s="21"/>
      <c r="K959" s="19"/>
      <c r="L959" s="19"/>
      <c r="M959" s="37"/>
      <c r="N959" s="37"/>
      <c r="O959" s="37"/>
      <c r="P959" s="37"/>
      <c r="Q959" s="37"/>
      <c r="R959" s="37"/>
      <c r="S959" s="37"/>
      <c r="T959" s="37"/>
      <c r="U959" s="37"/>
      <c r="V959" s="37"/>
      <c r="W959" s="37"/>
      <c r="X959" s="37"/>
      <c r="Y959" s="37"/>
      <c r="Z959" s="37"/>
    </row>
    <row r="960" spans="1:26" ht="15.75" customHeight="1" x14ac:dyDescent="0.3">
      <c r="A960" s="119"/>
      <c r="B960" s="19"/>
      <c r="C960" s="18"/>
      <c r="D960" s="19"/>
      <c r="E960" s="19"/>
      <c r="F960" s="19"/>
      <c r="G960" s="21"/>
      <c r="H960" s="21"/>
      <c r="I960" s="21"/>
      <c r="J960" s="21"/>
      <c r="K960" s="19"/>
      <c r="L960" s="19"/>
      <c r="M960" s="37"/>
      <c r="N960" s="37"/>
      <c r="O960" s="37"/>
      <c r="P960" s="37"/>
      <c r="Q960" s="37"/>
      <c r="R960" s="37"/>
      <c r="S960" s="37"/>
      <c r="T960" s="37"/>
      <c r="U960" s="37"/>
      <c r="V960" s="37"/>
      <c r="W960" s="37"/>
      <c r="X960" s="37"/>
      <c r="Y960" s="37"/>
      <c r="Z960" s="37"/>
    </row>
    <row r="961" spans="1:26" ht="15.75" customHeight="1" x14ac:dyDescent="0.3">
      <c r="A961" s="119"/>
      <c r="B961" s="19"/>
      <c r="C961" s="18"/>
      <c r="D961" s="19"/>
      <c r="E961" s="19"/>
      <c r="F961" s="19"/>
      <c r="G961" s="21"/>
      <c r="H961" s="21"/>
      <c r="I961" s="21"/>
      <c r="J961" s="21"/>
      <c r="K961" s="19"/>
      <c r="L961" s="19"/>
      <c r="M961" s="37"/>
      <c r="N961" s="37"/>
      <c r="O961" s="37"/>
      <c r="P961" s="37"/>
      <c r="Q961" s="37"/>
      <c r="R961" s="37"/>
      <c r="S961" s="37"/>
      <c r="T961" s="37"/>
      <c r="U961" s="37"/>
      <c r="V961" s="37"/>
      <c r="W961" s="37"/>
      <c r="X961" s="37"/>
      <c r="Y961" s="37"/>
      <c r="Z961" s="37"/>
    </row>
    <row r="962" spans="1:26" ht="15.75" customHeight="1" x14ac:dyDescent="0.3">
      <c r="A962" s="119"/>
      <c r="B962" s="19"/>
      <c r="C962" s="18"/>
      <c r="D962" s="19"/>
      <c r="E962" s="19"/>
      <c r="F962" s="19"/>
      <c r="G962" s="21"/>
      <c r="H962" s="21"/>
      <c r="I962" s="21"/>
      <c r="J962" s="21"/>
      <c r="K962" s="19"/>
      <c r="L962" s="19"/>
      <c r="M962" s="37"/>
      <c r="N962" s="37"/>
      <c r="O962" s="37"/>
      <c r="P962" s="37"/>
      <c r="Q962" s="37"/>
      <c r="R962" s="37"/>
      <c r="S962" s="37"/>
      <c r="T962" s="37"/>
      <c r="U962" s="37"/>
      <c r="V962" s="37"/>
      <c r="W962" s="37"/>
      <c r="X962" s="37"/>
      <c r="Y962" s="37"/>
      <c r="Z962" s="37"/>
    </row>
    <row r="963" spans="1:26" ht="15.75" customHeight="1" x14ac:dyDescent="0.3">
      <c r="A963" s="119"/>
      <c r="B963" s="19"/>
      <c r="C963" s="18"/>
      <c r="D963" s="19"/>
      <c r="E963" s="19"/>
      <c r="F963" s="19"/>
      <c r="G963" s="21"/>
      <c r="H963" s="21"/>
      <c r="I963" s="21"/>
      <c r="J963" s="21"/>
      <c r="K963" s="19"/>
      <c r="L963" s="19"/>
      <c r="M963" s="37"/>
      <c r="N963" s="37"/>
      <c r="O963" s="37"/>
      <c r="P963" s="37"/>
      <c r="Q963" s="37"/>
      <c r="R963" s="37"/>
      <c r="S963" s="37"/>
      <c r="T963" s="37"/>
      <c r="U963" s="37"/>
      <c r="V963" s="37"/>
      <c r="W963" s="37"/>
      <c r="X963" s="37"/>
      <c r="Y963" s="37"/>
      <c r="Z963" s="37"/>
    </row>
    <row r="964" spans="1:26" ht="15.75" customHeight="1" x14ac:dyDescent="0.3">
      <c r="A964" s="119"/>
      <c r="B964" s="19"/>
      <c r="C964" s="18"/>
      <c r="D964" s="19"/>
      <c r="E964" s="19"/>
      <c r="F964" s="19"/>
      <c r="G964" s="21"/>
      <c r="H964" s="21"/>
      <c r="I964" s="21"/>
      <c r="J964" s="21"/>
      <c r="K964" s="19"/>
      <c r="L964" s="19"/>
      <c r="M964" s="37"/>
      <c r="N964" s="37"/>
      <c r="O964" s="37"/>
      <c r="P964" s="37"/>
      <c r="Q964" s="37"/>
      <c r="R964" s="37"/>
      <c r="S964" s="37"/>
      <c r="T964" s="37"/>
      <c r="U964" s="37"/>
      <c r="V964" s="37"/>
      <c r="W964" s="37"/>
      <c r="X964" s="37"/>
      <c r="Y964" s="37"/>
      <c r="Z964" s="37"/>
    </row>
    <row r="965" spans="1:26" ht="15.75" customHeight="1" x14ac:dyDescent="0.3">
      <c r="A965" s="119"/>
      <c r="B965" s="19"/>
      <c r="C965" s="18"/>
      <c r="D965" s="19"/>
      <c r="E965" s="19"/>
      <c r="F965" s="19"/>
      <c r="G965" s="21"/>
      <c r="H965" s="21"/>
      <c r="I965" s="21"/>
      <c r="J965" s="21"/>
      <c r="K965" s="19"/>
      <c r="L965" s="19"/>
      <c r="M965" s="37"/>
      <c r="N965" s="37"/>
      <c r="O965" s="37"/>
      <c r="P965" s="37"/>
      <c r="Q965" s="37"/>
      <c r="R965" s="37"/>
      <c r="S965" s="37"/>
      <c r="T965" s="37"/>
      <c r="U965" s="37"/>
      <c r="V965" s="37"/>
      <c r="W965" s="37"/>
      <c r="X965" s="37"/>
      <c r="Y965" s="37"/>
      <c r="Z965" s="37"/>
    </row>
    <row r="966" spans="1:26" ht="15.75" customHeight="1" x14ac:dyDescent="0.3">
      <c r="A966" s="119"/>
      <c r="B966" s="19"/>
      <c r="C966" s="18"/>
      <c r="D966" s="19"/>
      <c r="E966" s="19"/>
      <c r="F966" s="19"/>
      <c r="G966" s="21"/>
      <c r="H966" s="21"/>
      <c r="I966" s="21"/>
      <c r="J966" s="21"/>
      <c r="K966" s="19"/>
      <c r="L966" s="19"/>
      <c r="M966" s="37"/>
      <c r="N966" s="37"/>
      <c r="O966" s="37"/>
      <c r="P966" s="37"/>
      <c r="Q966" s="37"/>
      <c r="R966" s="37"/>
      <c r="S966" s="37"/>
      <c r="T966" s="37"/>
      <c r="U966" s="37"/>
      <c r="V966" s="37"/>
      <c r="W966" s="37"/>
      <c r="X966" s="37"/>
      <c r="Y966" s="37"/>
      <c r="Z966" s="37"/>
    </row>
    <row r="967" spans="1:26" ht="15.75" customHeight="1" x14ac:dyDescent="0.3">
      <c r="A967" s="119"/>
      <c r="B967" s="19"/>
      <c r="C967" s="18"/>
      <c r="D967" s="19"/>
      <c r="E967" s="19"/>
      <c r="F967" s="19"/>
      <c r="G967" s="21"/>
      <c r="H967" s="21"/>
      <c r="I967" s="21"/>
      <c r="J967" s="21"/>
      <c r="K967" s="19"/>
      <c r="L967" s="19"/>
      <c r="M967" s="37"/>
      <c r="N967" s="37"/>
      <c r="O967" s="37"/>
      <c r="P967" s="37"/>
      <c r="Q967" s="37"/>
      <c r="R967" s="37"/>
      <c r="S967" s="37"/>
      <c r="T967" s="37"/>
      <c r="U967" s="37"/>
      <c r="V967" s="37"/>
      <c r="W967" s="37"/>
      <c r="X967" s="37"/>
      <c r="Y967" s="37"/>
      <c r="Z967" s="37"/>
    </row>
    <row r="968" spans="1:26" ht="15.75" customHeight="1" x14ac:dyDescent="0.3">
      <c r="A968" s="119"/>
      <c r="B968" s="19"/>
      <c r="C968" s="18"/>
      <c r="D968" s="19"/>
      <c r="E968" s="19"/>
      <c r="F968" s="19"/>
      <c r="G968" s="21"/>
      <c r="H968" s="21"/>
      <c r="I968" s="21"/>
      <c r="J968" s="21"/>
      <c r="K968" s="19"/>
      <c r="L968" s="19"/>
      <c r="M968" s="37"/>
      <c r="N968" s="37"/>
      <c r="O968" s="37"/>
      <c r="P968" s="37"/>
      <c r="Q968" s="37"/>
      <c r="R968" s="37"/>
      <c r="S968" s="37"/>
      <c r="T968" s="37"/>
      <c r="U968" s="37"/>
      <c r="V968" s="37"/>
      <c r="W968" s="37"/>
      <c r="X968" s="37"/>
      <c r="Y968" s="37"/>
      <c r="Z968" s="37"/>
    </row>
    <row r="969" spans="1:26" ht="15.75" customHeight="1" x14ac:dyDescent="0.3">
      <c r="A969" s="119"/>
      <c r="B969" s="19"/>
      <c r="C969" s="18"/>
      <c r="D969" s="19"/>
      <c r="E969" s="19"/>
      <c r="F969" s="19"/>
      <c r="G969" s="21"/>
      <c r="H969" s="21"/>
      <c r="I969" s="21"/>
      <c r="J969" s="21"/>
      <c r="K969" s="19"/>
      <c r="L969" s="19"/>
      <c r="M969" s="37"/>
      <c r="N969" s="37"/>
      <c r="O969" s="37"/>
      <c r="P969" s="37"/>
      <c r="Q969" s="37"/>
      <c r="R969" s="37"/>
      <c r="S969" s="37"/>
      <c r="T969" s="37"/>
      <c r="U969" s="37"/>
      <c r="V969" s="37"/>
      <c r="W969" s="37"/>
      <c r="X969" s="37"/>
      <c r="Y969" s="37"/>
      <c r="Z969" s="37"/>
    </row>
    <row r="970" spans="1:26" ht="15.75" customHeight="1" x14ac:dyDescent="0.3">
      <c r="A970" s="119"/>
      <c r="B970" s="19"/>
      <c r="C970" s="18"/>
      <c r="D970" s="19"/>
      <c r="E970" s="19"/>
      <c r="F970" s="19"/>
      <c r="G970" s="21"/>
      <c r="H970" s="21"/>
      <c r="I970" s="21"/>
      <c r="J970" s="21"/>
      <c r="K970" s="19"/>
      <c r="L970" s="19"/>
      <c r="M970" s="37"/>
      <c r="N970" s="37"/>
      <c r="O970" s="37"/>
      <c r="P970" s="37"/>
      <c r="Q970" s="37"/>
      <c r="R970" s="37"/>
      <c r="S970" s="37"/>
      <c r="T970" s="37"/>
      <c r="U970" s="37"/>
      <c r="V970" s="37"/>
      <c r="W970" s="37"/>
      <c r="X970" s="37"/>
      <c r="Y970" s="37"/>
      <c r="Z970" s="37"/>
    </row>
    <row r="971" spans="1:26" ht="15.75" customHeight="1" x14ac:dyDescent="0.3">
      <c r="A971" s="119"/>
      <c r="B971" s="19"/>
      <c r="C971" s="18"/>
      <c r="D971" s="19"/>
      <c r="E971" s="19"/>
      <c r="F971" s="19"/>
      <c r="G971" s="21"/>
      <c r="H971" s="21"/>
      <c r="I971" s="21"/>
      <c r="J971" s="21"/>
      <c r="K971" s="19"/>
      <c r="L971" s="19"/>
      <c r="M971" s="37"/>
      <c r="N971" s="37"/>
      <c r="O971" s="37"/>
      <c r="P971" s="37"/>
      <c r="Q971" s="37"/>
      <c r="R971" s="37"/>
      <c r="S971" s="37"/>
      <c r="T971" s="37"/>
      <c r="U971" s="37"/>
      <c r="V971" s="37"/>
      <c r="W971" s="37"/>
      <c r="X971" s="37"/>
      <c r="Y971" s="37"/>
      <c r="Z971" s="37"/>
    </row>
    <row r="972" spans="1:26" ht="15.75" customHeight="1" x14ac:dyDescent="0.3">
      <c r="A972" s="119"/>
      <c r="B972" s="19"/>
      <c r="C972" s="18"/>
      <c r="D972" s="19"/>
      <c r="E972" s="19"/>
      <c r="F972" s="19"/>
      <c r="G972" s="21"/>
      <c r="H972" s="21"/>
      <c r="I972" s="21"/>
      <c r="J972" s="21"/>
      <c r="K972" s="19"/>
      <c r="L972" s="19"/>
      <c r="M972" s="37"/>
      <c r="N972" s="37"/>
      <c r="O972" s="37"/>
      <c r="P972" s="37"/>
      <c r="Q972" s="37"/>
      <c r="R972" s="37"/>
      <c r="S972" s="37"/>
      <c r="T972" s="37"/>
      <c r="U972" s="37"/>
      <c r="V972" s="37"/>
      <c r="W972" s="37"/>
      <c r="X972" s="37"/>
      <c r="Y972" s="37"/>
      <c r="Z972" s="37"/>
    </row>
    <row r="973" spans="1:26" ht="15.75" customHeight="1" x14ac:dyDescent="0.3">
      <c r="A973" s="119"/>
      <c r="B973" s="19"/>
      <c r="C973" s="18"/>
      <c r="D973" s="19"/>
      <c r="E973" s="19"/>
      <c r="F973" s="19"/>
      <c r="G973" s="21"/>
      <c r="H973" s="21"/>
      <c r="I973" s="21"/>
      <c r="J973" s="21"/>
      <c r="K973" s="19"/>
      <c r="L973" s="19"/>
      <c r="M973" s="37"/>
      <c r="N973" s="37"/>
      <c r="O973" s="37"/>
      <c r="P973" s="37"/>
      <c r="Q973" s="37"/>
      <c r="R973" s="37"/>
      <c r="S973" s="37"/>
      <c r="T973" s="37"/>
      <c r="U973" s="37"/>
      <c r="V973" s="37"/>
      <c r="W973" s="37"/>
      <c r="X973" s="37"/>
      <c r="Y973" s="37"/>
      <c r="Z973" s="37"/>
    </row>
    <row r="974" spans="1:26" ht="15.75" customHeight="1" x14ac:dyDescent="0.3">
      <c r="A974" s="119"/>
      <c r="B974" s="19"/>
      <c r="C974" s="18"/>
      <c r="D974" s="19"/>
      <c r="E974" s="19"/>
      <c r="F974" s="19"/>
      <c r="G974" s="21"/>
      <c r="H974" s="21"/>
      <c r="I974" s="21"/>
      <c r="J974" s="21"/>
      <c r="K974" s="19"/>
      <c r="L974" s="19"/>
      <c r="M974" s="37"/>
      <c r="N974" s="37"/>
      <c r="O974" s="37"/>
      <c r="P974" s="37"/>
      <c r="Q974" s="37"/>
      <c r="R974" s="37"/>
      <c r="S974" s="37"/>
      <c r="T974" s="37"/>
      <c r="U974" s="37"/>
      <c r="V974" s="37"/>
      <c r="W974" s="37"/>
      <c r="X974" s="37"/>
      <c r="Y974" s="37"/>
      <c r="Z974" s="37"/>
    </row>
    <row r="975" spans="1:26" ht="15.75" customHeight="1" x14ac:dyDescent="0.3">
      <c r="A975" s="119"/>
      <c r="B975" s="19"/>
      <c r="C975" s="18"/>
      <c r="D975" s="19"/>
      <c r="E975" s="19"/>
      <c r="F975" s="19"/>
      <c r="G975" s="21"/>
      <c r="H975" s="21"/>
      <c r="I975" s="21"/>
      <c r="J975" s="21"/>
      <c r="K975" s="19"/>
      <c r="L975" s="19"/>
      <c r="M975" s="37"/>
      <c r="N975" s="37"/>
      <c r="O975" s="37"/>
      <c r="P975" s="37"/>
      <c r="Q975" s="37"/>
      <c r="R975" s="37"/>
      <c r="S975" s="37"/>
      <c r="T975" s="37"/>
      <c r="U975" s="37"/>
      <c r="V975" s="37"/>
      <c r="W975" s="37"/>
      <c r="X975" s="37"/>
      <c r="Y975" s="37"/>
      <c r="Z975" s="37"/>
    </row>
    <row r="976" spans="1:26" ht="15.75" customHeight="1" x14ac:dyDescent="0.3">
      <c r="A976" s="119"/>
      <c r="B976" s="19"/>
      <c r="C976" s="18"/>
      <c r="D976" s="19"/>
      <c r="E976" s="19"/>
      <c r="F976" s="19"/>
      <c r="G976" s="21"/>
      <c r="H976" s="21"/>
      <c r="I976" s="21"/>
      <c r="J976" s="21"/>
      <c r="K976" s="19"/>
      <c r="L976" s="19"/>
      <c r="M976" s="37"/>
      <c r="N976" s="37"/>
      <c r="O976" s="37"/>
      <c r="P976" s="37"/>
      <c r="Q976" s="37"/>
      <c r="R976" s="37"/>
      <c r="S976" s="37"/>
      <c r="T976" s="37"/>
      <c r="U976" s="37"/>
      <c r="V976" s="37"/>
      <c r="W976" s="37"/>
      <c r="X976" s="37"/>
      <c r="Y976" s="37"/>
      <c r="Z976" s="37"/>
    </row>
    <row r="977" spans="1:26" ht="15.75" customHeight="1" x14ac:dyDescent="0.3">
      <c r="A977" s="119"/>
      <c r="B977" s="19"/>
      <c r="C977" s="18"/>
      <c r="D977" s="19"/>
      <c r="E977" s="19"/>
      <c r="F977" s="19"/>
      <c r="G977" s="21"/>
      <c r="H977" s="21"/>
      <c r="I977" s="21"/>
      <c r="J977" s="21"/>
      <c r="K977" s="19"/>
      <c r="L977" s="19"/>
      <c r="M977" s="37"/>
      <c r="N977" s="37"/>
      <c r="O977" s="37"/>
      <c r="P977" s="37"/>
      <c r="Q977" s="37"/>
      <c r="R977" s="37"/>
      <c r="S977" s="37"/>
      <c r="T977" s="37"/>
      <c r="U977" s="37"/>
      <c r="V977" s="37"/>
      <c r="W977" s="37"/>
      <c r="X977" s="37"/>
      <c r="Y977" s="37"/>
      <c r="Z977" s="37"/>
    </row>
    <row r="978" spans="1:26" ht="15.75" customHeight="1" x14ac:dyDescent="0.3">
      <c r="A978" s="119"/>
      <c r="B978" s="19"/>
      <c r="C978" s="18"/>
      <c r="D978" s="19"/>
      <c r="E978" s="19"/>
      <c r="F978" s="19"/>
      <c r="G978" s="21"/>
      <c r="H978" s="21"/>
      <c r="I978" s="21"/>
      <c r="J978" s="21"/>
      <c r="K978" s="19"/>
      <c r="L978" s="19"/>
      <c r="M978" s="37"/>
      <c r="N978" s="37"/>
      <c r="O978" s="37"/>
      <c r="P978" s="37"/>
      <c r="Q978" s="37"/>
      <c r="R978" s="37"/>
      <c r="S978" s="37"/>
      <c r="T978" s="37"/>
      <c r="U978" s="37"/>
      <c r="V978" s="37"/>
      <c r="W978" s="37"/>
      <c r="X978" s="37"/>
      <c r="Y978" s="37"/>
      <c r="Z978" s="37"/>
    </row>
    <row r="979" spans="1:26" ht="15.75" customHeight="1" x14ac:dyDescent="0.3">
      <c r="A979" s="119"/>
      <c r="B979" s="19"/>
      <c r="C979" s="18"/>
      <c r="D979" s="19"/>
      <c r="E979" s="19"/>
      <c r="F979" s="19"/>
      <c r="G979" s="21"/>
      <c r="H979" s="21"/>
      <c r="I979" s="21"/>
      <c r="J979" s="21"/>
      <c r="K979" s="19"/>
      <c r="L979" s="19"/>
      <c r="M979" s="37"/>
      <c r="N979" s="37"/>
      <c r="O979" s="37"/>
      <c r="P979" s="37"/>
      <c r="Q979" s="37"/>
      <c r="R979" s="37"/>
      <c r="S979" s="37"/>
      <c r="T979" s="37"/>
      <c r="U979" s="37"/>
      <c r="V979" s="37"/>
      <c r="W979" s="37"/>
      <c r="X979" s="37"/>
      <c r="Y979" s="37"/>
      <c r="Z979" s="37"/>
    </row>
    <row r="980" spans="1:26" ht="15.75" customHeight="1" x14ac:dyDescent="0.3">
      <c r="A980" s="119"/>
      <c r="B980" s="19"/>
      <c r="C980" s="18"/>
      <c r="D980" s="19"/>
      <c r="E980" s="19"/>
      <c r="F980" s="19"/>
      <c r="G980" s="21"/>
      <c r="H980" s="21"/>
      <c r="I980" s="21"/>
      <c r="J980" s="21"/>
      <c r="K980" s="19"/>
      <c r="L980" s="19"/>
      <c r="M980" s="37"/>
      <c r="N980" s="37"/>
      <c r="O980" s="37"/>
      <c r="P980" s="37"/>
      <c r="Q980" s="37"/>
      <c r="R980" s="37"/>
      <c r="S980" s="37"/>
      <c r="T980" s="37"/>
      <c r="U980" s="37"/>
      <c r="V980" s="37"/>
      <c r="W980" s="37"/>
      <c r="X980" s="37"/>
      <c r="Y980" s="37"/>
      <c r="Z980" s="37"/>
    </row>
    <row r="981" spans="1:26" ht="15.75" customHeight="1" x14ac:dyDescent="0.3">
      <c r="A981" s="119"/>
      <c r="B981" s="19"/>
      <c r="C981" s="18"/>
      <c r="D981" s="19"/>
      <c r="E981" s="19"/>
      <c r="F981" s="19"/>
      <c r="G981" s="21"/>
      <c r="H981" s="21"/>
      <c r="I981" s="21"/>
      <c r="J981" s="21"/>
      <c r="K981" s="19"/>
      <c r="L981" s="19"/>
      <c r="M981" s="37"/>
      <c r="N981" s="37"/>
      <c r="O981" s="37"/>
      <c r="P981" s="37"/>
      <c r="Q981" s="37"/>
      <c r="R981" s="37"/>
      <c r="S981" s="37"/>
      <c r="T981" s="37"/>
      <c r="U981" s="37"/>
      <c r="V981" s="37"/>
      <c r="W981" s="37"/>
      <c r="X981" s="37"/>
      <c r="Y981" s="37"/>
      <c r="Z981" s="37"/>
    </row>
    <row r="982" spans="1:26" ht="15.75" customHeight="1" x14ac:dyDescent="0.3">
      <c r="A982" s="119"/>
      <c r="B982" s="19"/>
      <c r="C982" s="18"/>
      <c r="D982" s="19"/>
      <c r="E982" s="19"/>
      <c r="F982" s="19"/>
      <c r="G982" s="21"/>
      <c r="H982" s="21"/>
      <c r="I982" s="21"/>
      <c r="J982" s="21"/>
      <c r="K982" s="19"/>
      <c r="L982" s="19"/>
      <c r="M982" s="37"/>
      <c r="N982" s="37"/>
      <c r="O982" s="37"/>
      <c r="P982" s="37"/>
      <c r="Q982" s="37"/>
      <c r="R982" s="37"/>
      <c r="S982" s="37"/>
      <c r="T982" s="37"/>
      <c r="U982" s="37"/>
      <c r="V982" s="37"/>
      <c r="W982" s="37"/>
      <c r="X982" s="37"/>
      <c r="Y982" s="37"/>
      <c r="Z982" s="37"/>
    </row>
    <row r="983" spans="1:26" ht="15.75" customHeight="1" x14ac:dyDescent="0.3">
      <c r="A983" s="119"/>
      <c r="B983" s="19"/>
      <c r="C983" s="18"/>
      <c r="D983" s="19"/>
      <c r="E983" s="19"/>
      <c r="F983" s="19"/>
      <c r="G983" s="21"/>
      <c r="H983" s="21"/>
      <c r="I983" s="21"/>
      <c r="J983" s="21"/>
      <c r="K983" s="19"/>
      <c r="L983" s="19"/>
      <c r="M983" s="37"/>
      <c r="N983" s="37"/>
      <c r="O983" s="37"/>
      <c r="P983" s="37"/>
      <c r="Q983" s="37"/>
      <c r="R983" s="37"/>
      <c r="S983" s="37"/>
      <c r="T983" s="37"/>
      <c r="U983" s="37"/>
      <c r="V983" s="37"/>
      <c r="W983" s="37"/>
      <c r="X983" s="37"/>
      <c r="Y983" s="37"/>
      <c r="Z983" s="37"/>
    </row>
    <row r="984" spans="1:26" ht="15.75" customHeight="1" x14ac:dyDescent="0.3">
      <c r="A984" s="119"/>
      <c r="B984" s="19"/>
      <c r="C984" s="18"/>
      <c r="D984" s="19"/>
      <c r="E984" s="19"/>
      <c r="F984" s="19"/>
      <c r="G984" s="21"/>
      <c r="H984" s="21"/>
      <c r="I984" s="21"/>
      <c r="J984" s="21"/>
      <c r="K984" s="19"/>
      <c r="L984" s="19"/>
      <c r="M984" s="37"/>
      <c r="N984" s="37"/>
      <c r="O984" s="37"/>
      <c r="P984" s="37"/>
      <c r="Q984" s="37"/>
      <c r="R984" s="37"/>
      <c r="S984" s="37"/>
      <c r="T984" s="37"/>
      <c r="U984" s="37"/>
      <c r="V984" s="37"/>
      <c r="W984" s="37"/>
      <c r="X984" s="37"/>
      <c r="Y984" s="37"/>
      <c r="Z984" s="37"/>
    </row>
    <row r="985" spans="1:26" ht="15.75" customHeight="1" x14ac:dyDescent="0.3">
      <c r="A985" s="119"/>
      <c r="B985" s="19"/>
      <c r="C985" s="18"/>
      <c r="D985" s="19"/>
      <c r="E985" s="19"/>
      <c r="F985" s="19"/>
      <c r="G985" s="21"/>
      <c r="H985" s="21"/>
      <c r="I985" s="21"/>
      <c r="J985" s="21"/>
      <c r="K985" s="19"/>
      <c r="L985" s="19"/>
      <c r="M985" s="37"/>
      <c r="N985" s="37"/>
      <c r="O985" s="37"/>
      <c r="P985" s="37"/>
      <c r="Q985" s="37"/>
      <c r="R985" s="37"/>
      <c r="S985" s="37"/>
      <c r="T985" s="37"/>
      <c r="U985" s="37"/>
      <c r="V985" s="37"/>
      <c r="W985" s="37"/>
      <c r="X985" s="37"/>
      <c r="Y985" s="37"/>
      <c r="Z985" s="37"/>
    </row>
    <row r="986" spans="1:26" ht="15.75" customHeight="1" x14ac:dyDescent="0.3">
      <c r="A986" s="119"/>
      <c r="B986" s="19"/>
      <c r="C986" s="18"/>
      <c r="D986" s="19"/>
      <c r="E986" s="19"/>
      <c r="F986" s="19"/>
      <c r="G986" s="21"/>
      <c r="H986" s="21"/>
      <c r="I986" s="21"/>
      <c r="J986" s="21"/>
      <c r="K986" s="19"/>
      <c r="L986" s="19"/>
      <c r="M986" s="37"/>
      <c r="N986" s="37"/>
      <c r="O986" s="37"/>
      <c r="P986" s="37"/>
      <c r="Q986" s="37"/>
      <c r="R986" s="37"/>
      <c r="S986" s="37"/>
      <c r="T986" s="37"/>
      <c r="U986" s="37"/>
      <c r="V986" s="37"/>
      <c r="W986" s="37"/>
      <c r="X986" s="37"/>
      <c r="Y986" s="37"/>
      <c r="Z986" s="37"/>
    </row>
    <row r="987" spans="1:26" ht="15.75" customHeight="1" x14ac:dyDescent="0.3">
      <c r="A987" s="119"/>
      <c r="B987" s="19"/>
      <c r="C987" s="18"/>
      <c r="D987" s="19"/>
      <c r="E987" s="19"/>
      <c r="F987" s="19"/>
      <c r="G987" s="21"/>
      <c r="H987" s="21"/>
      <c r="I987" s="21"/>
      <c r="J987" s="21"/>
      <c r="K987" s="19"/>
      <c r="L987" s="19"/>
      <c r="M987" s="37"/>
      <c r="N987" s="37"/>
      <c r="O987" s="37"/>
      <c r="P987" s="37"/>
      <c r="Q987" s="37"/>
      <c r="R987" s="37"/>
      <c r="S987" s="37"/>
      <c r="T987" s="37"/>
      <c r="U987" s="37"/>
      <c r="V987" s="37"/>
      <c r="W987" s="37"/>
      <c r="X987" s="37"/>
      <c r="Y987" s="37"/>
      <c r="Z987" s="37"/>
    </row>
    <row r="988" spans="1:26" ht="15.75" customHeight="1" x14ac:dyDescent="0.3">
      <c r="A988" s="119"/>
      <c r="B988" s="19"/>
      <c r="C988" s="18"/>
      <c r="D988" s="19"/>
      <c r="E988" s="19"/>
      <c r="F988" s="19"/>
      <c r="G988" s="21"/>
      <c r="H988" s="21"/>
      <c r="I988" s="21"/>
      <c r="J988" s="21"/>
      <c r="K988" s="19"/>
      <c r="L988" s="19"/>
      <c r="M988" s="37"/>
      <c r="N988" s="37"/>
      <c r="O988" s="37"/>
      <c r="P988" s="37"/>
      <c r="Q988" s="37"/>
      <c r="R988" s="37"/>
      <c r="S988" s="37"/>
      <c r="T988" s="37"/>
      <c r="U988" s="37"/>
      <c r="V988" s="37"/>
      <c r="W988" s="37"/>
      <c r="X988" s="37"/>
      <c r="Y988" s="37"/>
      <c r="Z988" s="37"/>
    </row>
    <row r="989" spans="1:26" ht="15.75" customHeight="1" x14ac:dyDescent="0.3">
      <c r="A989" s="119"/>
      <c r="B989" s="19"/>
      <c r="C989" s="18"/>
      <c r="D989" s="19"/>
      <c r="E989" s="19"/>
      <c r="F989" s="19"/>
      <c r="G989" s="21"/>
      <c r="H989" s="21"/>
      <c r="I989" s="21"/>
      <c r="J989" s="21"/>
      <c r="K989" s="19"/>
      <c r="L989" s="19"/>
      <c r="M989" s="37"/>
      <c r="N989" s="37"/>
      <c r="O989" s="37"/>
      <c r="P989" s="37"/>
      <c r="Q989" s="37"/>
      <c r="R989" s="37"/>
      <c r="S989" s="37"/>
      <c r="T989" s="37"/>
      <c r="U989" s="37"/>
      <c r="V989" s="37"/>
      <c r="W989" s="37"/>
      <c r="X989" s="37"/>
      <c r="Y989" s="37"/>
      <c r="Z989" s="37"/>
    </row>
    <row r="990" spans="1:26" ht="15.75" customHeight="1" x14ac:dyDescent="0.3">
      <c r="A990" s="119"/>
      <c r="B990" s="19"/>
      <c r="C990" s="18"/>
      <c r="D990" s="19"/>
      <c r="E990" s="19"/>
      <c r="F990" s="19"/>
      <c r="G990" s="21"/>
      <c r="H990" s="21"/>
      <c r="I990" s="21"/>
      <c r="J990" s="21"/>
      <c r="K990" s="19"/>
      <c r="L990" s="19"/>
      <c r="M990" s="37"/>
      <c r="N990" s="37"/>
      <c r="O990" s="37"/>
      <c r="P990" s="37"/>
      <c r="Q990" s="37"/>
      <c r="R990" s="37"/>
      <c r="S990" s="37"/>
      <c r="T990" s="37"/>
      <c r="U990" s="37"/>
      <c r="V990" s="37"/>
      <c r="W990" s="37"/>
      <c r="X990" s="37"/>
      <c r="Y990" s="37"/>
      <c r="Z990" s="37"/>
    </row>
    <row r="991" spans="1:26" ht="15.75" customHeight="1" x14ac:dyDescent="0.3">
      <c r="A991" s="119"/>
      <c r="B991" s="19"/>
      <c r="C991" s="18"/>
      <c r="D991" s="19"/>
      <c r="E991" s="19"/>
      <c r="F991" s="19"/>
      <c r="G991" s="21"/>
      <c r="H991" s="21"/>
      <c r="I991" s="21"/>
      <c r="J991" s="21"/>
      <c r="K991" s="19"/>
      <c r="L991" s="19"/>
      <c r="M991" s="37"/>
      <c r="N991" s="37"/>
      <c r="O991" s="37"/>
      <c r="P991" s="37"/>
      <c r="Q991" s="37"/>
      <c r="R991" s="37"/>
      <c r="S991" s="37"/>
      <c r="T991" s="37"/>
      <c r="U991" s="37"/>
      <c r="V991" s="37"/>
      <c r="W991" s="37"/>
      <c r="X991" s="37"/>
      <c r="Y991" s="37"/>
      <c r="Z991" s="37"/>
    </row>
    <row r="992" spans="1:26" ht="15.75" customHeight="1" x14ac:dyDescent="0.3">
      <c r="A992" s="119"/>
      <c r="B992" s="19"/>
      <c r="C992" s="18"/>
      <c r="D992" s="19"/>
      <c r="E992" s="19"/>
      <c r="F992" s="19"/>
      <c r="G992" s="21"/>
      <c r="H992" s="21"/>
      <c r="I992" s="21"/>
      <c r="J992" s="21"/>
      <c r="K992" s="19"/>
      <c r="L992" s="19"/>
      <c r="M992" s="37"/>
      <c r="N992" s="37"/>
      <c r="O992" s="37"/>
      <c r="P992" s="37"/>
      <c r="Q992" s="37"/>
      <c r="R992" s="37"/>
      <c r="S992" s="37"/>
      <c r="T992" s="37"/>
      <c r="U992" s="37"/>
      <c r="V992" s="37"/>
      <c r="W992" s="37"/>
      <c r="X992" s="37"/>
      <c r="Y992" s="37"/>
      <c r="Z992" s="37"/>
    </row>
    <row r="993" spans="1:26" ht="15.75" customHeight="1" x14ac:dyDescent="0.3">
      <c r="A993" s="119"/>
      <c r="B993" s="19"/>
      <c r="C993" s="18"/>
      <c r="D993" s="19"/>
      <c r="E993" s="19"/>
      <c r="F993" s="19"/>
      <c r="G993" s="21"/>
      <c r="H993" s="21"/>
      <c r="I993" s="21"/>
      <c r="J993" s="21"/>
      <c r="K993" s="19"/>
      <c r="L993" s="19"/>
      <c r="M993" s="37"/>
      <c r="N993" s="37"/>
      <c r="O993" s="37"/>
      <c r="P993" s="37"/>
      <c r="Q993" s="37"/>
      <c r="R993" s="37"/>
      <c r="S993" s="37"/>
      <c r="T993" s="37"/>
      <c r="U993" s="37"/>
      <c r="V993" s="37"/>
      <c r="W993" s="37"/>
      <c r="X993" s="37"/>
      <c r="Y993" s="37"/>
      <c r="Z993" s="37"/>
    </row>
    <row r="994" spans="1:26" ht="15.75" customHeight="1" x14ac:dyDescent="0.3">
      <c r="A994" s="119"/>
      <c r="B994" s="19"/>
      <c r="C994" s="18"/>
      <c r="D994" s="19"/>
      <c r="E994" s="19"/>
      <c r="F994" s="19"/>
      <c r="G994" s="21"/>
      <c r="H994" s="21"/>
      <c r="I994" s="21"/>
      <c r="J994" s="21"/>
      <c r="K994" s="19"/>
      <c r="L994" s="19"/>
      <c r="M994" s="37"/>
      <c r="N994" s="37"/>
      <c r="O994" s="37"/>
      <c r="P994" s="37"/>
      <c r="Q994" s="37"/>
      <c r="R994" s="37"/>
      <c r="S994" s="37"/>
      <c r="T994" s="37"/>
      <c r="U994" s="37"/>
      <c r="V994" s="37"/>
      <c r="W994" s="37"/>
      <c r="X994" s="37"/>
      <c r="Y994" s="37"/>
      <c r="Z994" s="37"/>
    </row>
    <row r="995" spans="1:26" ht="15.75" customHeight="1" x14ac:dyDescent="0.3">
      <c r="A995" s="119"/>
      <c r="B995" s="19"/>
      <c r="C995" s="18"/>
      <c r="D995" s="19"/>
      <c r="E995" s="19"/>
      <c r="F995" s="19"/>
      <c r="G995" s="21"/>
      <c r="H995" s="21"/>
      <c r="I995" s="21"/>
      <c r="J995" s="21"/>
      <c r="K995" s="19"/>
      <c r="L995" s="19"/>
      <c r="M995" s="37"/>
      <c r="N995" s="37"/>
      <c r="O995" s="37"/>
      <c r="P995" s="37"/>
      <c r="Q995" s="37"/>
      <c r="R995" s="37"/>
      <c r="S995" s="37"/>
      <c r="T995" s="37"/>
      <c r="U995" s="37"/>
      <c r="V995" s="37"/>
      <c r="W995" s="37"/>
      <c r="X995" s="37"/>
      <c r="Y995" s="37"/>
      <c r="Z995" s="37"/>
    </row>
    <row r="996" spans="1:26" ht="15.75" customHeight="1" x14ac:dyDescent="0.3">
      <c r="A996" s="119"/>
      <c r="B996" s="19"/>
      <c r="C996" s="18"/>
      <c r="D996" s="19"/>
      <c r="E996" s="19"/>
      <c r="F996" s="19"/>
      <c r="G996" s="21"/>
      <c r="H996" s="21"/>
      <c r="I996" s="21"/>
      <c r="J996" s="21"/>
      <c r="K996" s="19"/>
      <c r="L996" s="19"/>
      <c r="M996" s="37"/>
      <c r="N996" s="37"/>
      <c r="O996" s="37"/>
      <c r="P996" s="37"/>
      <c r="Q996" s="37"/>
      <c r="R996" s="37"/>
      <c r="S996" s="37"/>
      <c r="T996" s="37"/>
      <c r="U996" s="37"/>
      <c r="V996" s="37"/>
      <c r="W996" s="37"/>
      <c r="X996" s="37"/>
      <c r="Y996" s="37"/>
      <c r="Z996" s="37"/>
    </row>
    <row r="997" spans="1:26" ht="15.75" customHeight="1" x14ac:dyDescent="0.3">
      <c r="A997" s="119"/>
      <c r="B997" s="19"/>
      <c r="C997" s="18"/>
      <c r="D997" s="19"/>
      <c r="E997" s="19"/>
      <c r="F997" s="19"/>
      <c r="G997" s="21"/>
      <c r="H997" s="21"/>
      <c r="I997" s="21"/>
      <c r="J997" s="21"/>
      <c r="K997" s="19"/>
      <c r="L997" s="19"/>
      <c r="M997" s="37"/>
      <c r="N997" s="37"/>
      <c r="O997" s="37"/>
      <c r="P997" s="37"/>
      <c r="Q997" s="37"/>
      <c r="R997" s="37"/>
      <c r="S997" s="37"/>
      <c r="T997" s="37"/>
      <c r="U997" s="37"/>
      <c r="V997" s="37"/>
      <c r="W997" s="37"/>
      <c r="X997" s="37"/>
      <c r="Y997" s="37"/>
      <c r="Z997" s="37"/>
    </row>
    <row r="998" spans="1:26" ht="15.75" customHeight="1" x14ac:dyDescent="0.3">
      <c r="A998" s="119"/>
      <c r="B998" s="19"/>
      <c r="C998" s="18"/>
      <c r="D998" s="19"/>
      <c r="E998" s="19"/>
      <c r="F998" s="19"/>
      <c r="G998" s="21"/>
      <c r="H998" s="21"/>
      <c r="I998" s="21"/>
      <c r="J998" s="21"/>
      <c r="K998" s="19"/>
      <c r="L998" s="19"/>
      <c r="M998" s="37"/>
      <c r="N998" s="37"/>
      <c r="O998" s="37"/>
      <c r="P998" s="37"/>
      <c r="Q998" s="37"/>
      <c r="R998" s="37"/>
      <c r="S998" s="37"/>
      <c r="T998" s="37"/>
      <c r="U998" s="37"/>
      <c r="V998" s="37"/>
      <c r="W998" s="37"/>
      <c r="X998" s="37"/>
      <c r="Y998" s="37"/>
      <c r="Z998" s="37"/>
    </row>
    <row r="999" spans="1:26" ht="15.75" customHeight="1" x14ac:dyDescent="0.3">
      <c r="A999" s="119"/>
      <c r="B999" s="19"/>
      <c r="C999" s="18"/>
      <c r="D999" s="19"/>
      <c r="E999" s="19"/>
      <c r="F999" s="19"/>
      <c r="G999" s="21"/>
      <c r="H999" s="21"/>
      <c r="I999" s="21"/>
      <c r="J999" s="21"/>
      <c r="K999" s="19"/>
      <c r="L999" s="19"/>
      <c r="M999" s="37"/>
      <c r="N999" s="37"/>
      <c r="O999" s="37"/>
      <c r="P999" s="37"/>
      <c r="Q999" s="37"/>
      <c r="R999" s="37"/>
      <c r="S999" s="37"/>
      <c r="T999" s="37"/>
      <c r="U999" s="37"/>
      <c r="V999" s="37"/>
      <c r="W999" s="37"/>
      <c r="X999" s="37"/>
      <c r="Y999" s="37"/>
      <c r="Z999" s="37"/>
    </row>
    <row r="1000" spans="1:26" ht="15.75" customHeight="1" x14ac:dyDescent="0.3">
      <c r="A1000" s="119"/>
      <c r="B1000" s="19"/>
      <c r="C1000" s="18"/>
      <c r="D1000" s="19"/>
      <c r="E1000" s="19"/>
      <c r="F1000" s="19"/>
      <c r="G1000" s="21"/>
      <c r="H1000" s="21"/>
      <c r="I1000" s="21"/>
      <c r="J1000" s="21"/>
      <c r="K1000" s="19"/>
      <c r="L1000" s="19"/>
      <c r="M1000" s="37"/>
      <c r="N1000" s="37"/>
      <c r="O1000" s="37"/>
      <c r="P1000" s="37"/>
      <c r="Q1000" s="37"/>
      <c r="R1000" s="37"/>
      <c r="S1000" s="37"/>
      <c r="T1000" s="37"/>
      <c r="U1000" s="37"/>
      <c r="V1000" s="37"/>
      <c r="W1000" s="37"/>
      <c r="X1000" s="37"/>
      <c r="Y1000" s="37"/>
      <c r="Z1000" s="37"/>
    </row>
    <row r="1001" spans="1:26" ht="15.75" customHeight="1" x14ac:dyDescent="0.3">
      <c r="A1001" s="119"/>
      <c r="B1001" s="19"/>
      <c r="C1001" s="18"/>
      <c r="D1001" s="19"/>
      <c r="E1001" s="19"/>
      <c r="F1001" s="19"/>
      <c r="G1001" s="21"/>
      <c r="H1001" s="21"/>
      <c r="I1001" s="21"/>
      <c r="J1001" s="21"/>
      <c r="K1001" s="19"/>
      <c r="L1001" s="19"/>
      <c r="M1001" s="37"/>
      <c r="N1001" s="37"/>
      <c r="O1001" s="37"/>
      <c r="P1001" s="37"/>
      <c r="Q1001" s="37"/>
      <c r="R1001" s="37"/>
      <c r="S1001" s="37"/>
      <c r="T1001" s="37"/>
      <c r="U1001" s="37"/>
      <c r="V1001" s="37"/>
      <c r="W1001" s="37"/>
      <c r="X1001" s="37"/>
      <c r="Y1001" s="37"/>
      <c r="Z1001" s="37"/>
    </row>
    <row r="1002" spans="1:26" ht="15.75" customHeight="1" x14ac:dyDescent="0.3">
      <c r="A1002" s="119"/>
      <c r="B1002" s="19"/>
      <c r="C1002" s="18"/>
      <c r="D1002" s="19"/>
      <c r="E1002" s="19"/>
      <c r="F1002" s="19"/>
      <c r="G1002" s="21"/>
      <c r="H1002" s="21"/>
      <c r="I1002" s="21"/>
      <c r="J1002" s="21"/>
      <c r="K1002" s="19"/>
      <c r="L1002" s="19"/>
      <c r="M1002" s="37"/>
      <c r="N1002" s="37"/>
      <c r="O1002" s="37"/>
      <c r="P1002" s="37"/>
      <c r="Q1002" s="37"/>
      <c r="R1002" s="37"/>
      <c r="S1002" s="37"/>
      <c r="T1002" s="37"/>
      <c r="U1002" s="37"/>
      <c r="V1002" s="37"/>
      <c r="W1002" s="37"/>
      <c r="X1002" s="37"/>
      <c r="Y1002" s="37"/>
      <c r="Z1002" s="37"/>
    </row>
    <row r="1003" spans="1:26" ht="15.75" customHeight="1" x14ac:dyDescent="0.3">
      <c r="A1003" s="119"/>
      <c r="B1003" s="19"/>
      <c r="C1003" s="18"/>
      <c r="D1003" s="19"/>
      <c r="E1003" s="19"/>
      <c r="F1003" s="19"/>
      <c r="G1003" s="21"/>
      <c r="H1003" s="21"/>
      <c r="I1003" s="21"/>
      <c r="J1003" s="21"/>
      <c r="K1003" s="19"/>
      <c r="L1003" s="19"/>
      <c r="M1003" s="37"/>
      <c r="N1003" s="37"/>
      <c r="O1003" s="37"/>
      <c r="P1003" s="37"/>
      <c r="Q1003" s="37"/>
      <c r="R1003" s="37"/>
      <c r="S1003" s="37"/>
      <c r="T1003" s="37"/>
      <c r="U1003" s="37"/>
      <c r="V1003" s="37"/>
      <c r="W1003" s="37"/>
      <c r="X1003" s="37"/>
      <c r="Y1003" s="37"/>
      <c r="Z1003" s="37"/>
    </row>
    <row r="1004" spans="1:26" ht="15.75" customHeight="1" x14ac:dyDescent="0.3">
      <c r="A1004" s="120"/>
      <c r="B1004" s="19"/>
      <c r="C1004" s="59"/>
      <c r="D1004" s="19"/>
      <c r="E1004" s="19"/>
      <c r="F1004" s="19"/>
      <c r="G1004" s="60"/>
      <c r="H1004" s="60"/>
      <c r="I1004" s="60"/>
      <c r="J1004" s="60"/>
      <c r="K1004" s="61"/>
      <c r="L1004" s="61"/>
      <c r="M1004" s="37"/>
      <c r="N1004" s="37"/>
      <c r="O1004" s="37"/>
      <c r="P1004" s="37"/>
      <c r="Q1004" s="37"/>
      <c r="R1004" s="37"/>
      <c r="S1004" s="37"/>
      <c r="T1004" s="37"/>
      <c r="U1004" s="37"/>
      <c r="V1004" s="37"/>
      <c r="W1004" s="37"/>
      <c r="X1004" s="37"/>
      <c r="Y1004" s="37"/>
      <c r="Z1004" s="37"/>
    </row>
    <row r="1005" spans="1:26" ht="15.75" customHeight="1" x14ac:dyDescent="0.3">
      <c r="A1005" s="119"/>
      <c r="B1005" s="19"/>
      <c r="C1005" s="18"/>
      <c r="D1005" s="19"/>
      <c r="E1005" s="19"/>
      <c r="F1005" s="19"/>
      <c r="G1005" s="21"/>
      <c r="H1005" s="21"/>
      <c r="I1005" s="21"/>
      <c r="J1005" s="21"/>
      <c r="K1005" s="19"/>
      <c r="L1005" s="19"/>
      <c r="M1005" s="37"/>
      <c r="N1005" s="37"/>
      <c r="O1005" s="37"/>
      <c r="P1005" s="37"/>
      <c r="Q1005" s="37"/>
      <c r="R1005" s="37"/>
      <c r="S1005" s="37"/>
      <c r="T1005" s="37"/>
      <c r="U1005" s="37"/>
      <c r="V1005" s="37"/>
      <c r="W1005" s="37"/>
      <c r="X1005" s="37"/>
      <c r="Y1005" s="37"/>
      <c r="Z1005" s="37"/>
    </row>
  </sheetData>
  <mergeCells count="14">
    <mergeCell ref="A3:B3"/>
    <mergeCell ref="C3:H3"/>
    <mergeCell ref="J3:M3"/>
    <mergeCell ref="A4:C4"/>
    <mergeCell ref="D4:F4"/>
    <mergeCell ref="G4:I4"/>
    <mergeCell ref="J4:M4"/>
    <mergeCell ref="D1:E1"/>
    <mergeCell ref="G1:I1"/>
    <mergeCell ref="K1:M1"/>
    <mergeCell ref="A2:B2"/>
    <mergeCell ref="C2:E2"/>
    <mergeCell ref="F2:H2"/>
    <mergeCell ref="I2:M2"/>
  </mergeCells>
  <pageMargins left="0.7" right="0.7" top="0.75" bottom="0.75" header="0" footer="0"/>
  <pageSetup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F1122D51205A40A8BDDB2C7507F5C5" ma:contentTypeVersion="16" ma:contentTypeDescription="Create a new document." ma:contentTypeScope="" ma:versionID="0d72d451e56055bdd3ca8c31d1806d1c">
  <xsd:schema xmlns:xsd="http://www.w3.org/2001/XMLSchema" xmlns:xs="http://www.w3.org/2001/XMLSchema" xmlns:p="http://schemas.microsoft.com/office/2006/metadata/properties" xmlns:ns2="d41c97ba-0eb6-4dfa-8a7a-5ac7c37a1a6c" xmlns:ns3="4800d022-51c5-4310-b32f-201d30f6f914" targetNamespace="http://schemas.microsoft.com/office/2006/metadata/properties" ma:root="true" ma:fieldsID="4a2f75307f46d4ece6ff58107455a2d9" ns2:_="" ns3:_="">
    <xsd:import namespace="d41c97ba-0eb6-4dfa-8a7a-5ac7c37a1a6c"/>
    <xsd:import namespace="4800d022-51c5-4310-b32f-201d30f6f914"/>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element ref="ns3:Yes_x002f_No" minOccurs="0"/>
                <xsd:element ref="ns3:PhilYes_x002f_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1c97ba-0eb6-4dfa-8a7a-5ac7c37a1a6c"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18" nillable="true" ma:displayName="Taxonomy Catch All Column" ma:hidden="true" ma:list="{df1302f9-f3de-4086-80e4-42a6329640fc}" ma:internalName="TaxCatchAll" ma:showField="CatchAllData" ma:web="d41c97ba-0eb6-4dfa-8a7a-5ac7c37a1a6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800d022-51c5-4310-b32f-201d30f6f914"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9fcb005-0c50-43f9-bbb9-3269be0d653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Yes_x002f_No" ma:index="22" nillable="true" ma:displayName="Yes/No" ma:default="1" ma:internalName="Yes_x002f_No">
      <xsd:simpleType>
        <xsd:restriction base="dms:Boolean"/>
      </xsd:simpleType>
    </xsd:element>
    <xsd:element name="PhilYes_x002f_No" ma:index="23" nillable="true" ma:displayName="Phil Yes/No" ma:default="0" ma:description="Filter view by a Yes or a No selection" ma:format="Dropdown" ma:internalName="PhilYes_x002f_No">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41c97ba-0eb6-4dfa-8a7a-5ac7c37a1a6c" xsi:nil="true"/>
    <lcf76f155ced4ddcb4097134ff3c332f xmlns="4800d022-51c5-4310-b32f-201d30f6f914">
      <Terms xmlns="http://schemas.microsoft.com/office/infopath/2007/PartnerControls"/>
    </lcf76f155ced4ddcb4097134ff3c332f>
    <MigrationSourceID xmlns="d41c97ba-0eb6-4dfa-8a7a-5ac7c37a1a6c">1JH5sQDMcTc0PBDVK7sabcPKy26ACbG2S</MigrationSourceID>
    <Yes_x002f_No xmlns="4800d022-51c5-4310-b32f-201d30f6f914">true</Yes_x002f_No>
    <PhilYes_x002f_No xmlns="4800d022-51c5-4310-b32f-201d30f6f914">false</PhilYes_x002f_No>
  </documentManagement>
</p:properties>
</file>

<file path=customXml/itemProps1.xml><?xml version="1.0" encoding="utf-8"?>
<ds:datastoreItem xmlns:ds="http://schemas.openxmlformats.org/officeDocument/2006/customXml" ds:itemID="{C184C58E-F691-4ED1-AC12-68F28C8F5D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1c97ba-0eb6-4dfa-8a7a-5ac7c37a1a6c"/>
    <ds:schemaRef ds:uri="4800d022-51c5-4310-b32f-201d30f6f9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E54AC5-F4AF-4F3A-94D7-962D1B8C73CE}">
  <ds:schemaRefs>
    <ds:schemaRef ds:uri="http://schemas.microsoft.com/sharepoint/v3/contenttype/forms"/>
  </ds:schemaRefs>
</ds:datastoreItem>
</file>

<file path=customXml/itemProps3.xml><?xml version="1.0" encoding="utf-8"?>
<ds:datastoreItem xmlns:ds="http://schemas.openxmlformats.org/officeDocument/2006/customXml" ds:itemID="{A981872A-1641-47C4-A160-AA1898F00104}">
  <ds:schemaRefs>
    <ds:schemaRef ds:uri="http://schemas.microsoft.com/office/2006/metadata/properties"/>
    <ds:schemaRef ds:uri="http://schemas.microsoft.com/office/infopath/2007/PartnerControls"/>
    <ds:schemaRef ds:uri="d41c97ba-0eb6-4dfa-8a7a-5ac7c37a1a6c"/>
    <ds:schemaRef ds:uri="4800d022-51c5-4310-b32f-201d30f6f9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33</vt:i4>
      </vt:variant>
    </vt:vector>
  </HeadingPairs>
  <TitlesOfParts>
    <vt:vector size="38" baseType="lpstr">
      <vt:lpstr>Rules</vt:lpstr>
      <vt:lpstr>Vessels</vt:lpstr>
      <vt:lpstr>Piping</vt:lpstr>
      <vt:lpstr>LWN SHEET</vt:lpstr>
      <vt:lpstr>Data Team Historicals</vt:lpstr>
      <vt:lpstr>Nom_0.405</vt:lpstr>
      <vt:lpstr>Nom_0.54</vt:lpstr>
      <vt:lpstr>Nom_0.675</vt:lpstr>
      <vt:lpstr>Nom_0.84</vt:lpstr>
      <vt:lpstr>Nom_1.05</vt:lpstr>
      <vt:lpstr>Nom_1.315</vt:lpstr>
      <vt:lpstr>Nom_1.5</vt:lpstr>
      <vt:lpstr>Nom_1.66</vt:lpstr>
      <vt:lpstr>Nom_1.9</vt:lpstr>
      <vt:lpstr>Nom_10.75</vt:lpstr>
      <vt:lpstr>Nom_12.75</vt:lpstr>
      <vt:lpstr>Nom_14</vt:lpstr>
      <vt:lpstr>Nom_16</vt:lpstr>
      <vt:lpstr>Nom_18</vt:lpstr>
      <vt:lpstr>Nom_2.375</vt:lpstr>
      <vt:lpstr>Nom_2.875</vt:lpstr>
      <vt:lpstr>Nom_20</vt:lpstr>
      <vt:lpstr>Nom_22</vt:lpstr>
      <vt:lpstr>Nom_24</vt:lpstr>
      <vt:lpstr>Nom_26</vt:lpstr>
      <vt:lpstr>Nom_28</vt:lpstr>
      <vt:lpstr>Nom_3.5</vt:lpstr>
      <vt:lpstr>Nom_30</vt:lpstr>
      <vt:lpstr>Nom_32</vt:lpstr>
      <vt:lpstr>Nom_34</vt:lpstr>
      <vt:lpstr>Nom_36</vt:lpstr>
      <vt:lpstr>Nom_4</vt:lpstr>
      <vt:lpstr>Nom_4.5</vt:lpstr>
      <vt:lpstr>Nom_42</vt:lpstr>
      <vt:lpstr>Nom_5.563</vt:lpstr>
      <vt:lpstr>Nom_6.625</vt:lpstr>
      <vt:lpstr>Nom_8.625</vt:lpstr>
      <vt:lpstr>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Cooper</dc:creator>
  <cp:lastModifiedBy>Chris Herrin</cp:lastModifiedBy>
  <dcterms:created xsi:type="dcterms:W3CDTF">2021-08-20T13:42:17Z</dcterms:created>
  <dcterms:modified xsi:type="dcterms:W3CDTF">2026-03-08T22:11:17Z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0x0101003CF1122D51205A40A8BDDB2C7507F5C5</vt:lpwstr>
  </property>
  <property fmtid="{D5CDD505-2E9C-101B-9397-08002B2CF9AE}" pid="3" name="Order">
    <vt:r8>4600</vt:r8>
  </property>
  <property fmtid="{D5CDD505-2E9C-101B-9397-08002B2CF9AE}" pid="4" name="MediaServiceImageTags">
    <vt:lpwstr/>
  </property>
</Properties>
</file>